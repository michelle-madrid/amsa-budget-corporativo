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inerals-my.sharepoint.com/personal/mmadrida_pelambres_cl1/Documents/Documentos/Control Gestión 2026/Presupuesto Corporativo/"/>
    </mc:Choice>
  </mc:AlternateContent>
  <xr:revisionPtr revIDLastSave="228" documentId="8_{5D5CC1EB-64C7-4E7F-A4F3-C7CFCDC393F2}" xr6:coauthVersionLast="47" xr6:coauthVersionMax="47" xr10:uidLastSave="{2C69FF2A-1B34-44BE-81AB-867E4C05C0C2}"/>
  <bookViews>
    <workbookView xWindow="-108" yWindow="-108" windowWidth="23256" windowHeight="12576" xr2:uid="{92F283C5-5BC6-45C0-ADBF-8C0EE07AFCAD}"/>
  </bookViews>
  <sheets>
    <sheet name="Act Corpo VP+Gerencia+items (2)" sheetId="5" r:id="rId1"/>
  </sheets>
  <definedNames>
    <definedName name="EPMWorkbookOptions_1" hidden="1">"dgEAAB+LCAAAAAAABACF0MEOgjAMBuC7ie+w7C4DTTwYwINeTCQYTdRrhQKL0JFtOh9fokGjHrz+/dqmDee3pmZX1EYqinjg+ZwhZSqXVEb8YotRMOXzeDgID0qfT0qd09Z21LCuj8zsZvKIV9a2MyGcc56beEqXYuz7gTgm611WYQP8heV/PJJkLFCGvNvKWLjFQqOpUkpbpLiA2mAoPsOHW9QIegkWUtrBFXv5HT9sf8tGK4uZxbzXv4VP"</definedName>
    <definedName name="EPMWorkbookOptions_2" hidden="1">"73ImntHK7EFLONWYoC7fE37y7nXi63fxHS3iv392AQAA"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11" i="5" l="1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76" i="5"/>
  <c r="AG77" i="5"/>
  <c r="AG78" i="5"/>
  <c r="AG79" i="5"/>
  <c r="AG80" i="5"/>
  <c r="AG81" i="5"/>
  <c r="AG82" i="5"/>
  <c r="AG83" i="5"/>
  <c r="AG84" i="5"/>
  <c r="AG85" i="5"/>
  <c r="AG86" i="5"/>
  <c r="AG87" i="5"/>
  <c r="AG88" i="5"/>
  <c r="AG89" i="5"/>
  <c r="AG90" i="5"/>
  <c r="AG91" i="5"/>
  <c r="AG92" i="5"/>
  <c r="AG93" i="5"/>
  <c r="AG94" i="5"/>
  <c r="AG95" i="5"/>
  <c r="AG96" i="5"/>
  <c r="AG97" i="5"/>
  <c r="AG98" i="5"/>
  <c r="AG99" i="5"/>
  <c r="AG100" i="5"/>
  <c r="AG101" i="5"/>
  <c r="AG102" i="5"/>
  <c r="AG103" i="5"/>
  <c r="AG104" i="5"/>
  <c r="AG105" i="5"/>
  <c r="AG106" i="5"/>
  <c r="AG107" i="5"/>
  <c r="AG108" i="5"/>
  <c r="AG109" i="5"/>
  <c r="AG110" i="5"/>
  <c r="AG111" i="5"/>
  <c r="AG112" i="5"/>
  <c r="AG113" i="5"/>
  <c r="AG114" i="5"/>
  <c r="AG115" i="5"/>
  <c r="AG116" i="5"/>
  <c r="AG117" i="5"/>
  <c r="AG118" i="5"/>
  <c r="AG119" i="5"/>
  <c r="AG120" i="5"/>
  <c r="AG121" i="5"/>
  <c r="AG122" i="5"/>
  <c r="AG123" i="5"/>
  <c r="AG124" i="5"/>
  <c r="AG125" i="5"/>
  <c r="AG126" i="5"/>
  <c r="AG127" i="5"/>
  <c r="AG128" i="5"/>
  <c r="AG129" i="5"/>
  <c r="AG130" i="5"/>
  <c r="AG131" i="5"/>
  <c r="AG132" i="5"/>
  <c r="AG133" i="5"/>
  <c r="AG134" i="5"/>
  <c r="AG135" i="5"/>
  <c r="AG136" i="5"/>
  <c r="AG137" i="5"/>
  <c r="AG138" i="5"/>
  <c r="AG139" i="5"/>
  <c r="AG140" i="5"/>
  <c r="AG141" i="5"/>
  <c r="AG142" i="5"/>
  <c r="AG143" i="5"/>
  <c r="AG144" i="5"/>
  <c r="AG145" i="5"/>
  <c r="AG146" i="5"/>
  <c r="AG147" i="5"/>
  <c r="AG148" i="5"/>
  <c r="AG149" i="5"/>
  <c r="AG150" i="5"/>
  <c r="AG151" i="5"/>
  <c r="AG152" i="5"/>
  <c r="AG153" i="5"/>
  <c r="AG154" i="5"/>
  <c r="AG155" i="5"/>
  <c r="AG156" i="5"/>
  <c r="AG157" i="5"/>
  <c r="AG158" i="5"/>
  <c r="AG159" i="5"/>
  <c r="AG160" i="5"/>
  <c r="AG161" i="5"/>
  <c r="AG162" i="5"/>
  <c r="AG163" i="5"/>
  <c r="AG164" i="5"/>
  <c r="AG165" i="5"/>
  <c r="AG166" i="5"/>
  <c r="AG167" i="5"/>
  <c r="AG168" i="5"/>
  <c r="AG169" i="5"/>
  <c r="AG170" i="5"/>
  <c r="AG171" i="5"/>
  <c r="AG172" i="5"/>
  <c r="AG173" i="5"/>
  <c r="AG174" i="5"/>
  <c r="AG175" i="5"/>
  <c r="AG176" i="5"/>
  <c r="AG177" i="5"/>
  <c r="AG178" i="5"/>
  <c r="AG179" i="5"/>
  <c r="AG180" i="5"/>
  <c r="AG181" i="5"/>
  <c r="AG182" i="5"/>
  <c r="AG183" i="5"/>
  <c r="AG184" i="5"/>
  <c r="AG185" i="5"/>
  <c r="AG186" i="5"/>
  <c r="AG187" i="5"/>
  <c r="AG188" i="5"/>
  <c r="AG189" i="5"/>
  <c r="AG190" i="5"/>
  <c r="AG191" i="5"/>
  <c r="AG192" i="5"/>
  <c r="AG193" i="5"/>
  <c r="AG194" i="5"/>
  <c r="AG195" i="5"/>
  <c r="AG196" i="5"/>
  <c r="AG197" i="5"/>
  <c r="AG198" i="5"/>
  <c r="AG199" i="5"/>
  <c r="AG200" i="5"/>
  <c r="AG201" i="5"/>
  <c r="AG202" i="5"/>
  <c r="AG203" i="5"/>
  <c r="AG204" i="5"/>
  <c r="AG205" i="5"/>
  <c r="AG206" i="5"/>
  <c r="AG207" i="5"/>
  <c r="AG208" i="5"/>
  <c r="AG209" i="5"/>
  <c r="AG210" i="5"/>
  <c r="AG211" i="5"/>
  <c r="AG212" i="5"/>
  <c r="AG213" i="5"/>
  <c r="AG214" i="5"/>
  <c r="AG215" i="5"/>
  <c r="AG216" i="5"/>
  <c r="AG217" i="5"/>
  <c r="AG218" i="5"/>
  <c r="AG219" i="5"/>
  <c r="AG220" i="5"/>
  <c r="AG221" i="5"/>
  <c r="AG222" i="5"/>
  <c r="AG223" i="5"/>
  <c r="AG224" i="5"/>
  <c r="AG225" i="5"/>
  <c r="AG226" i="5"/>
  <c r="AG227" i="5"/>
  <c r="AG228" i="5"/>
  <c r="AG229" i="5"/>
  <c r="AG230" i="5"/>
  <c r="AG231" i="5"/>
  <c r="AG232" i="5"/>
  <c r="AG233" i="5"/>
  <c r="AG234" i="5"/>
  <c r="AG235" i="5"/>
  <c r="AG236" i="5"/>
  <c r="AG237" i="5"/>
  <c r="AG238" i="5"/>
  <c r="AG239" i="5"/>
  <c r="AG240" i="5"/>
  <c r="AG241" i="5"/>
  <c r="AG242" i="5"/>
  <c r="AG243" i="5"/>
  <c r="AG244" i="5"/>
  <c r="AG245" i="5"/>
  <c r="AG246" i="5"/>
  <c r="AG247" i="5"/>
  <c r="AG248" i="5"/>
  <c r="AG249" i="5"/>
  <c r="AG250" i="5"/>
  <c r="AG251" i="5"/>
  <c r="AG252" i="5"/>
  <c r="AG253" i="5"/>
  <c r="AG254" i="5"/>
  <c r="AG255" i="5"/>
  <c r="AG256" i="5"/>
  <c r="AG257" i="5"/>
  <c r="AG258" i="5"/>
  <c r="AG259" i="5"/>
  <c r="AG260" i="5"/>
  <c r="AG261" i="5"/>
  <c r="AG262" i="5"/>
  <c r="AG263" i="5"/>
  <c r="AG264" i="5"/>
  <c r="AG265" i="5"/>
  <c r="AG266" i="5"/>
  <c r="AG267" i="5"/>
  <c r="AG268" i="5"/>
  <c r="AG269" i="5"/>
  <c r="AG270" i="5"/>
  <c r="AG271" i="5"/>
  <c r="AG272" i="5"/>
  <c r="AG273" i="5"/>
  <c r="AG274" i="5"/>
  <c r="AG275" i="5"/>
  <c r="AG276" i="5"/>
  <c r="AG277" i="5"/>
  <c r="AG278" i="5"/>
  <c r="AG279" i="5"/>
  <c r="AG280" i="5"/>
  <c r="AG281" i="5"/>
  <c r="AG282" i="5"/>
  <c r="AG283" i="5"/>
  <c r="AG284" i="5"/>
  <c r="AG285" i="5"/>
  <c r="AG286" i="5"/>
  <c r="AG287" i="5"/>
  <c r="AG288" i="5"/>
  <c r="AG289" i="5"/>
  <c r="AG290" i="5"/>
  <c r="AG291" i="5"/>
  <c r="AG292" i="5"/>
  <c r="AG293" i="5"/>
  <c r="AG294" i="5"/>
  <c r="AG295" i="5"/>
  <c r="AG296" i="5"/>
  <c r="AG297" i="5"/>
  <c r="AG298" i="5"/>
  <c r="AG299" i="5"/>
  <c r="AG300" i="5"/>
  <c r="AG301" i="5"/>
  <c r="AG302" i="5"/>
  <c r="AG303" i="5"/>
  <c r="AG304" i="5"/>
  <c r="AG305" i="5"/>
  <c r="AG306" i="5"/>
  <c r="AG307" i="5"/>
  <c r="AG308" i="5"/>
  <c r="AG309" i="5"/>
  <c r="AG310" i="5"/>
  <c r="AG311" i="5"/>
  <c r="AG312" i="5"/>
  <c r="AG313" i="5"/>
  <c r="AG314" i="5"/>
  <c r="AG315" i="5"/>
  <c r="AG316" i="5"/>
  <c r="AG317" i="5"/>
  <c r="AG318" i="5"/>
  <c r="AG319" i="5"/>
  <c r="AG320" i="5"/>
  <c r="AG321" i="5"/>
  <c r="AG322" i="5"/>
  <c r="AG323" i="5"/>
  <c r="AG324" i="5"/>
  <c r="AG325" i="5"/>
  <c r="AG326" i="5"/>
  <c r="AG327" i="5"/>
  <c r="AG328" i="5"/>
  <c r="AG329" i="5"/>
  <c r="AG330" i="5"/>
  <c r="AG331" i="5"/>
  <c r="AG332" i="5"/>
  <c r="AG333" i="5"/>
  <c r="AG334" i="5"/>
  <c r="AG335" i="5"/>
  <c r="AG336" i="5"/>
  <c r="AG337" i="5"/>
  <c r="AG338" i="5"/>
  <c r="AG339" i="5"/>
  <c r="AG340" i="5"/>
  <c r="AG341" i="5"/>
  <c r="AG342" i="5"/>
  <c r="AG343" i="5"/>
  <c r="AG344" i="5"/>
  <c r="AG345" i="5"/>
  <c r="AG346" i="5"/>
  <c r="AG347" i="5"/>
  <c r="AG348" i="5"/>
  <c r="AG349" i="5"/>
  <c r="AG350" i="5"/>
  <c r="AG351" i="5"/>
  <c r="AG352" i="5"/>
  <c r="AG353" i="5"/>
  <c r="AG354" i="5"/>
  <c r="AG355" i="5"/>
  <c r="AG356" i="5"/>
  <c r="AG357" i="5"/>
  <c r="AG358" i="5"/>
  <c r="AG359" i="5"/>
  <c r="AG360" i="5"/>
  <c r="AG361" i="5"/>
  <c r="AG362" i="5"/>
  <c r="AG363" i="5"/>
  <c r="AG364" i="5"/>
  <c r="AG365" i="5"/>
  <c r="AG366" i="5"/>
  <c r="AG367" i="5"/>
  <c r="AG368" i="5"/>
  <c r="AG369" i="5"/>
  <c r="AG370" i="5"/>
  <c r="AG371" i="5"/>
  <c r="AG372" i="5"/>
  <c r="AG373" i="5"/>
  <c r="AG374" i="5"/>
  <c r="AG375" i="5"/>
  <c r="AG376" i="5"/>
  <c r="AG377" i="5"/>
  <c r="AG378" i="5"/>
  <c r="AG379" i="5"/>
  <c r="AG380" i="5"/>
  <c r="AG381" i="5"/>
  <c r="AG382" i="5"/>
  <c r="AG383" i="5"/>
  <c r="AG384" i="5"/>
  <c r="AG385" i="5"/>
  <c r="AG386" i="5"/>
  <c r="AG387" i="5"/>
  <c r="AG388" i="5"/>
  <c r="AG389" i="5"/>
  <c r="AG390" i="5"/>
  <c r="AG391" i="5"/>
  <c r="AG392" i="5"/>
  <c r="AG393" i="5"/>
  <c r="AG394" i="5"/>
  <c r="AG395" i="5"/>
  <c r="AG396" i="5"/>
  <c r="AG397" i="5"/>
  <c r="AG398" i="5"/>
  <c r="AG399" i="5"/>
  <c r="AG400" i="5"/>
  <c r="AG401" i="5"/>
  <c r="AG402" i="5"/>
  <c r="AG403" i="5"/>
  <c r="AG404" i="5"/>
  <c r="AG405" i="5"/>
  <c r="AG406" i="5"/>
  <c r="AG407" i="5"/>
  <c r="AG408" i="5"/>
  <c r="AG409" i="5"/>
  <c r="AG410" i="5"/>
  <c r="AG411" i="5"/>
  <c r="AG412" i="5"/>
  <c r="AG413" i="5"/>
  <c r="AG414" i="5"/>
  <c r="AG415" i="5"/>
  <c r="AG416" i="5"/>
  <c r="AG417" i="5"/>
  <c r="AG418" i="5"/>
  <c r="AG419" i="5"/>
  <c r="AG420" i="5"/>
  <c r="AG421" i="5"/>
  <c r="AG422" i="5"/>
  <c r="AG423" i="5"/>
  <c r="AG424" i="5"/>
  <c r="AG425" i="5"/>
  <c r="AG426" i="5"/>
  <c r="AG427" i="5"/>
  <c r="AG428" i="5"/>
  <c r="AG429" i="5"/>
  <c r="AG430" i="5"/>
  <c r="AG431" i="5"/>
  <c r="AG432" i="5"/>
  <c r="AG433" i="5"/>
  <c r="AG434" i="5"/>
  <c r="AG435" i="5"/>
  <c r="AG436" i="5"/>
  <c r="AG437" i="5"/>
  <c r="AG438" i="5"/>
  <c r="AG439" i="5"/>
  <c r="AG440" i="5"/>
  <c r="AG441" i="5"/>
  <c r="AG442" i="5"/>
  <c r="AG443" i="5"/>
  <c r="AG444" i="5"/>
  <c r="AG445" i="5"/>
  <c r="AG446" i="5"/>
  <c r="AG447" i="5"/>
  <c r="AG448" i="5"/>
  <c r="AG449" i="5"/>
  <c r="AG450" i="5"/>
  <c r="AG451" i="5"/>
  <c r="AG452" i="5"/>
  <c r="AG453" i="5"/>
  <c r="AG454" i="5"/>
  <c r="AG455" i="5"/>
  <c r="AG456" i="5"/>
  <c r="AG457" i="5"/>
  <c r="AG458" i="5"/>
  <c r="AG459" i="5"/>
  <c r="AG460" i="5"/>
  <c r="AG461" i="5"/>
  <c r="AG462" i="5"/>
  <c r="AG463" i="5"/>
  <c r="AG464" i="5"/>
  <c r="AG465" i="5"/>
  <c r="AG466" i="5"/>
  <c r="AG467" i="5"/>
  <c r="AG468" i="5"/>
  <c r="AG469" i="5"/>
  <c r="AG470" i="5"/>
  <c r="AG471" i="5"/>
  <c r="AG472" i="5"/>
  <c r="AG473" i="5"/>
  <c r="AG474" i="5"/>
  <c r="AG475" i="5"/>
  <c r="AG476" i="5"/>
  <c r="AG477" i="5"/>
  <c r="AG478" i="5"/>
  <c r="AG479" i="5"/>
  <c r="AG480" i="5"/>
  <c r="AG481" i="5"/>
  <c r="AG482" i="5"/>
  <c r="AG483" i="5"/>
  <c r="AG484" i="5"/>
  <c r="AG485" i="5"/>
  <c r="AG486" i="5"/>
  <c r="AG487" i="5"/>
  <c r="AG488" i="5"/>
  <c r="AG489" i="5"/>
  <c r="AG490" i="5"/>
  <c r="AG491" i="5"/>
  <c r="AG492" i="5"/>
  <c r="AG493" i="5"/>
  <c r="AG494" i="5"/>
  <c r="AG495" i="5"/>
  <c r="AG496" i="5"/>
  <c r="AG497" i="5"/>
  <c r="AG498" i="5"/>
  <c r="AG499" i="5"/>
  <c r="AG500" i="5"/>
  <c r="AG501" i="5"/>
  <c r="AG502" i="5"/>
  <c r="AG503" i="5"/>
  <c r="AG504" i="5"/>
  <c r="AG505" i="5"/>
  <c r="AG506" i="5"/>
  <c r="AG507" i="5"/>
  <c r="AG508" i="5"/>
  <c r="AG509" i="5"/>
  <c r="AG510" i="5"/>
  <c r="AG511" i="5"/>
  <c r="AG512" i="5"/>
  <c r="AG513" i="5"/>
  <c r="AG514" i="5"/>
  <c r="AG515" i="5"/>
  <c r="AG516" i="5"/>
  <c r="AG517" i="5"/>
  <c r="AG518" i="5"/>
  <c r="AG519" i="5"/>
  <c r="AG520" i="5"/>
  <c r="AG521" i="5"/>
  <c r="AG522" i="5"/>
  <c r="AG523" i="5"/>
  <c r="AG524" i="5"/>
  <c r="AG525" i="5"/>
  <c r="AG526" i="5"/>
  <c r="AG527" i="5"/>
  <c r="AG528" i="5"/>
  <c r="AG529" i="5"/>
  <c r="AG530" i="5"/>
  <c r="AG531" i="5"/>
  <c r="AG532" i="5"/>
  <c r="AG533" i="5"/>
  <c r="AG534" i="5"/>
  <c r="AG535" i="5"/>
  <c r="AG536" i="5"/>
  <c r="AG537" i="5"/>
  <c r="AG538" i="5"/>
  <c r="AG539" i="5"/>
  <c r="AG540" i="5"/>
  <c r="AG541" i="5"/>
  <c r="AG542" i="5"/>
  <c r="AG543" i="5"/>
  <c r="AG544" i="5"/>
  <c r="AG545" i="5"/>
  <c r="AG546" i="5"/>
  <c r="AG547" i="5"/>
  <c r="AG548" i="5"/>
  <c r="AG549" i="5"/>
  <c r="AG550" i="5"/>
  <c r="AG551" i="5"/>
  <c r="AG552" i="5"/>
  <c r="AG553" i="5"/>
  <c r="AG554" i="5"/>
  <c r="AG555" i="5"/>
  <c r="AG556" i="5"/>
  <c r="AG557" i="5"/>
  <c r="AG558" i="5"/>
  <c r="AG559" i="5"/>
  <c r="AG560" i="5"/>
  <c r="AG561" i="5"/>
  <c r="AG562" i="5"/>
  <c r="AG563" i="5"/>
  <c r="AG564" i="5"/>
  <c r="AG565" i="5"/>
  <c r="AG566" i="5"/>
  <c r="AG567" i="5"/>
  <c r="AG568" i="5"/>
  <c r="AG569" i="5"/>
  <c r="AG570" i="5"/>
  <c r="AG571" i="5"/>
  <c r="AG572" i="5"/>
  <c r="AG573" i="5"/>
  <c r="AG574" i="5"/>
  <c r="AG575" i="5"/>
  <c r="AG576" i="5"/>
  <c r="AG577" i="5"/>
  <c r="AG578" i="5"/>
  <c r="AG579" i="5"/>
  <c r="AG580" i="5"/>
  <c r="AG581" i="5"/>
  <c r="AG582" i="5"/>
  <c r="AG583" i="5"/>
  <c r="AG584" i="5"/>
  <c r="AG585" i="5"/>
  <c r="AG586" i="5"/>
  <c r="AG587" i="5"/>
  <c r="AG588" i="5"/>
  <c r="AG589" i="5"/>
  <c r="AG590" i="5"/>
  <c r="AG591" i="5"/>
  <c r="AG592" i="5"/>
  <c r="AG593" i="5"/>
  <c r="AG594" i="5"/>
  <c r="AG595" i="5"/>
  <c r="AG596" i="5"/>
  <c r="AG597" i="5"/>
  <c r="AG598" i="5"/>
  <c r="AG599" i="5"/>
  <c r="AG600" i="5"/>
  <c r="AG601" i="5"/>
  <c r="AG602" i="5"/>
  <c r="AG603" i="5"/>
  <c r="AG604" i="5"/>
  <c r="AG605" i="5"/>
  <c r="AG606" i="5"/>
  <c r="AG607" i="5"/>
  <c r="AG608" i="5"/>
  <c r="AG609" i="5"/>
  <c r="AG610" i="5"/>
  <c r="AG611" i="5"/>
  <c r="AG612" i="5"/>
  <c r="AG613" i="5"/>
  <c r="AG614" i="5"/>
  <c r="AG615" i="5"/>
  <c r="AG616" i="5"/>
  <c r="AG617" i="5"/>
  <c r="AG618" i="5"/>
  <c r="AG619" i="5"/>
  <c r="AG620" i="5"/>
  <c r="AG621" i="5"/>
  <c r="AG622" i="5"/>
  <c r="AG623" i="5"/>
  <c r="AG624" i="5"/>
  <c r="AG625" i="5"/>
  <c r="AG626" i="5"/>
  <c r="AG627" i="5"/>
  <c r="AG628" i="5"/>
  <c r="AG629" i="5"/>
  <c r="AG630" i="5"/>
  <c r="AG631" i="5"/>
  <c r="AG632" i="5"/>
  <c r="AG633" i="5"/>
  <c r="AG634" i="5"/>
  <c r="AG635" i="5"/>
  <c r="AG636" i="5"/>
  <c r="AG637" i="5"/>
  <c r="AG638" i="5"/>
  <c r="AG639" i="5"/>
  <c r="AG640" i="5"/>
  <c r="AG641" i="5"/>
  <c r="AG642" i="5"/>
  <c r="AG643" i="5"/>
  <c r="AG644" i="5"/>
  <c r="AG645" i="5"/>
  <c r="AG646" i="5"/>
  <c r="AG647" i="5"/>
  <c r="AG648" i="5"/>
  <c r="AG649" i="5"/>
  <c r="AG650" i="5"/>
  <c r="AG651" i="5"/>
  <c r="AG652" i="5"/>
  <c r="AG653" i="5"/>
  <c r="AG654" i="5"/>
  <c r="AG655" i="5"/>
  <c r="AG656" i="5"/>
  <c r="AG657" i="5"/>
  <c r="AG658" i="5"/>
  <c r="AG659" i="5"/>
  <c r="AG660" i="5"/>
  <c r="AG661" i="5"/>
  <c r="AG662" i="5"/>
  <c r="AG663" i="5"/>
  <c r="AG664" i="5"/>
  <c r="AG665" i="5"/>
  <c r="AG666" i="5"/>
  <c r="AG667" i="5"/>
  <c r="AG668" i="5"/>
  <c r="AG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102" i="5"/>
  <c r="AD103" i="5"/>
  <c r="AD104" i="5"/>
  <c r="AD105" i="5"/>
  <c r="AD106" i="5"/>
  <c r="AD107" i="5"/>
  <c r="AD108" i="5"/>
  <c r="AD109" i="5"/>
  <c r="AD110" i="5"/>
  <c r="AD111" i="5"/>
  <c r="AD112" i="5"/>
  <c r="AD113" i="5"/>
  <c r="AD114" i="5"/>
  <c r="AD115" i="5"/>
  <c r="AD116" i="5"/>
  <c r="AD117" i="5"/>
  <c r="AD118" i="5"/>
  <c r="AD119" i="5"/>
  <c r="AD120" i="5"/>
  <c r="AD121" i="5"/>
  <c r="AD122" i="5"/>
  <c r="AD123" i="5"/>
  <c r="AD124" i="5"/>
  <c r="AD125" i="5"/>
  <c r="AD126" i="5"/>
  <c r="AD127" i="5"/>
  <c r="AD128" i="5"/>
  <c r="AD129" i="5"/>
  <c r="AD130" i="5"/>
  <c r="AD131" i="5"/>
  <c r="AD132" i="5"/>
  <c r="AD133" i="5"/>
  <c r="AD134" i="5"/>
  <c r="AD135" i="5"/>
  <c r="AD136" i="5"/>
  <c r="AD137" i="5"/>
  <c r="AD138" i="5"/>
  <c r="AD139" i="5"/>
  <c r="AD140" i="5"/>
  <c r="AD141" i="5"/>
  <c r="AD142" i="5"/>
  <c r="AD143" i="5"/>
  <c r="AD144" i="5"/>
  <c r="AD145" i="5"/>
  <c r="AD146" i="5"/>
  <c r="AD147" i="5"/>
  <c r="AD148" i="5"/>
  <c r="AD149" i="5"/>
  <c r="AD150" i="5"/>
  <c r="AD151" i="5"/>
  <c r="AD152" i="5"/>
  <c r="AD153" i="5"/>
  <c r="AD154" i="5"/>
  <c r="AD155" i="5"/>
  <c r="AD156" i="5"/>
  <c r="AD157" i="5"/>
  <c r="AD158" i="5"/>
  <c r="AD159" i="5"/>
  <c r="AD160" i="5"/>
  <c r="AD161" i="5"/>
  <c r="AD162" i="5"/>
  <c r="AD163" i="5"/>
  <c r="AD164" i="5"/>
  <c r="AD165" i="5"/>
  <c r="AD166" i="5"/>
  <c r="AD167" i="5"/>
  <c r="AD168" i="5"/>
  <c r="AD169" i="5"/>
  <c r="AD170" i="5"/>
  <c r="AD171" i="5"/>
  <c r="AD172" i="5"/>
  <c r="AD173" i="5"/>
  <c r="AD174" i="5"/>
  <c r="AD175" i="5"/>
  <c r="AD176" i="5"/>
  <c r="AD177" i="5"/>
  <c r="AD178" i="5"/>
  <c r="AD179" i="5"/>
  <c r="AD180" i="5"/>
  <c r="AD181" i="5"/>
  <c r="AD182" i="5"/>
  <c r="AD183" i="5"/>
  <c r="AD184" i="5"/>
  <c r="AD185" i="5"/>
  <c r="AD186" i="5"/>
  <c r="AD187" i="5"/>
  <c r="AD188" i="5"/>
  <c r="AD189" i="5"/>
  <c r="AD190" i="5"/>
  <c r="AD191" i="5"/>
  <c r="AD192" i="5"/>
  <c r="AD193" i="5"/>
  <c r="AD194" i="5"/>
  <c r="AD195" i="5"/>
  <c r="AD196" i="5"/>
  <c r="AD197" i="5"/>
  <c r="AD198" i="5"/>
  <c r="AD199" i="5"/>
  <c r="AD200" i="5"/>
  <c r="AD201" i="5"/>
  <c r="AD202" i="5"/>
  <c r="AD203" i="5"/>
  <c r="AD204" i="5"/>
  <c r="AD205" i="5"/>
  <c r="AD206" i="5"/>
  <c r="AD207" i="5"/>
  <c r="AD208" i="5"/>
  <c r="AD209" i="5"/>
  <c r="AD210" i="5"/>
  <c r="AD211" i="5"/>
  <c r="AD212" i="5"/>
  <c r="AD213" i="5"/>
  <c r="AD214" i="5"/>
  <c r="AD215" i="5"/>
  <c r="AD216" i="5"/>
  <c r="AD217" i="5"/>
  <c r="AD218" i="5"/>
  <c r="AD219" i="5"/>
  <c r="AD220" i="5"/>
  <c r="AD221" i="5"/>
  <c r="AD222" i="5"/>
  <c r="AD223" i="5"/>
  <c r="AD224" i="5"/>
  <c r="AD225" i="5"/>
  <c r="AD226" i="5"/>
  <c r="AD227" i="5"/>
  <c r="AD228" i="5"/>
  <c r="AD229" i="5"/>
  <c r="AD230" i="5"/>
  <c r="AD231" i="5"/>
  <c r="AD232" i="5"/>
  <c r="AD233" i="5"/>
  <c r="AD234" i="5"/>
  <c r="AD235" i="5"/>
  <c r="AD236" i="5"/>
  <c r="AD237" i="5"/>
  <c r="AD238" i="5"/>
  <c r="AD239" i="5"/>
  <c r="AD240" i="5"/>
  <c r="AD241" i="5"/>
  <c r="AD242" i="5"/>
  <c r="AD243" i="5"/>
  <c r="AD244" i="5"/>
  <c r="AD245" i="5"/>
  <c r="AD246" i="5"/>
  <c r="AD247" i="5"/>
  <c r="AD248" i="5"/>
  <c r="AD249" i="5"/>
  <c r="AD250" i="5"/>
  <c r="AD251" i="5"/>
  <c r="AD252" i="5"/>
  <c r="AD253" i="5"/>
  <c r="AD254" i="5"/>
  <c r="AD255" i="5"/>
  <c r="AD256" i="5"/>
  <c r="AD257" i="5"/>
  <c r="AD258" i="5"/>
  <c r="AD259" i="5"/>
  <c r="AD260" i="5"/>
  <c r="AD261" i="5"/>
  <c r="AD262" i="5"/>
  <c r="AD263" i="5"/>
  <c r="AD264" i="5"/>
  <c r="AD265" i="5"/>
  <c r="AD266" i="5"/>
  <c r="AD267" i="5"/>
  <c r="AD268" i="5"/>
  <c r="AD269" i="5"/>
  <c r="AD270" i="5"/>
  <c r="AD271" i="5"/>
  <c r="AD272" i="5"/>
  <c r="AD273" i="5"/>
  <c r="AD274" i="5"/>
  <c r="AD275" i="5"/>
  <c r="AD276" i="5"/>
  <c r="AD277" i="5"/>
  <c r="AD278" i="5"/>
  <c r="AD279" i="5"/>
  <c r="AD280" i="5"/>
  <c r="AD281" i="5"/>
  <c r="AD282" i="5"/>
  <c r="AD283" i="5"/>
  <c r="AD284" i="5"/>
  <c r="AD285" i="5"/>
  <c r="AD286" i="5"/>
  <c r="AD287" i="5"/>
  <c r="AD288" i="5"/>
  <c r="AD289" i="5"/>
  <c r="AD290" i="5"/>
  <c r="AD291" i="5"/>
  <c r="AD292" i="5"/>
  <c r="AD293" i="5"/>
  <c r="AD294" i="5"/>
  <c r="AD295" i="5"/>
  <c r="AD296" i="5"/>
  <c r="AD297" i="5"/>
  <c r="AD298" i="5"/>
  <c r="AD299" i="5"/>
  <c r="AD300" i="5"/>
  <c r="AD301" i="5"/>
  <c r="AD302" i="5"/>
  <c r="AD303" i="5"/>
  <c r="AD304" i="5"/>
  <c r="AD305" i="5"/>
  <c r="AD306" i="5"/>
  <c r="AD307" i="5"/>
  <c r="AD308" i="5"/>
  <c r="AD309" i="5"/>
  <c r="AD310" i="5"/>
  <c r="AD311" i="5"/>
  <c r="AD312" i="5"/>
  <c r="AD313" i="5"/>
  <c r="AD314" i="5"/>
  <c r="AD315" i="5"/>
  <c r="AD316" i="5"/>
  <c r="AD317" i="5"/>
  <c r="AD318" i="5"/>
  <c r="AD319" i="5"/>
  <c r="AD320" i="5"/>
  <c r="AD321" i="5"/>
  <c r="AD322" i="5"/>
  <c r="AD323" i="5"/>
  <c r="AD324" i="5"/>
  <c r="AD325" i="5"/>
  <c r="AD326" i="5"/>
  <c r="AD327" i="5"/>
  <c r="AD328" i="5"/>
  <c r="AD329" i="5"/>
  <c r="AD330" i="5"/>
  <c r="AD331" i="5"/>
  <c r="AD332" i="5"/>
  <c r="AD333" i="5"/>
  <c r="AD334" i="5"/>
  <c r="AD335" i="5"/>
  <c r="AD336" i="5"/>
  <c r="AD337" i="5"/>
  <c r="AD338" i="5"/>
  <c r="AD339" i="5"/>
  <c r="AD340" i="5"/>
  <c r="AD341" i="5"/>
  <c r="AD342" i="5"/>
  <c r="AD343" i="5"/>
  <c r="AD344" i="5"/>
  <c r="AD345" i="5"/>
  <c r="AD346" i="5"/>
  <c r="AD347" i="5"/>
  <c r="AD348" i="5"/>
  <c r="AD349" i="5"/>
  <c r="AD350" i="5"/>
  <c r="AD351" i="5"/>
  <c r="AD352" i="5"/>
  <c r="AD353" i="5"/>
  <c r="AD354" i="5"/>
  <c r="AD355" i="5"/>
  <c r="AD356" i="5"/>
  <c r="AD357" i="5"/>
  <c r="AD358" i="5"/>
  <c r="AD359" i="5"/>
  <c r="AD360" i="5"/>
  <c r="AD361" i="5"/>
  <c r="AD362" i="5"/>
  <c r="AD363" i="5"/>
  <c r="AD364" i="5"/>
  <c r="AD365" i="5"/>
  <c r="AD366" i="5"/>
  <c r="AD367" i="5"/>
  <c r="AD368" i="5"/>
  <c r="AD369" i="5"/>
  <c r="AD370" i="5"/>
  <c r="AD371" i="5"/>
  <c r="AD372" i="5"/>
  <c r="AD373" i="5"/>
  <c r="AD374" i="5"/>
  <c r="AD375" i="5"/>
  <c r="AD376" i="5"/>
  <c r="AD377" i="5"/>
  <c r="AD378" i="5"/>
  <c r="AD379" i="5"/>
  <c r="AD380" i="5"/>
  <c r="AD381" i="5"/>
  <c r="AD382" i="5"/>
  <c r="AD383" i="5"/>
  <c r="AD384" i="5"/>
  <c r="AD385" i="5"/>
  <c r="AD386" i="5"/>
  <c r="AD387" i="5"/>
  <c r="AD388" i="5"/>
  <c r="AD389" i="5"/>
  <c r="AD390" i="5"/>
  <c r="AD391" i="5"/>
  <c r="AD392" i="5"/>
  <c r="AD393" i="5"/>
  <c r="AD394" i="5"/>
  <c r="AD395" i="5"/>
  <c r="AD396" i="5"/>
  <c r="AD397" i="5"/>
  <c r="AD398" i="5"/>
  <c r="AD399" i="5"/>
  <c r="AD400" i="5"/>
  <c r="AD401" i="5"/>
  <c r="AD402" i="5"/>
  <c r="AD403" i="5"/>
  <c r="AD404" i="5"/>
  <c r="AD405" i="5"/>
  <c r="AD406" i="5"/>
  <c r="AD407" i="5"/>
  <c r="AD408" i="5"/>
  <c r="AD409" i="5"/>
  <c r="AD410" i="5"/>
  <c r="AD411" i="5"/>
  <c r="AD412" i="5"/>
  <c r="AD413" i="5"/>
  <c r="AD414" i="5"/>
  <c r="AD415" i="5"/>
  <c r="AD416" i="5"/>
  <c r="AD417" i="5"/>
  <c r="AD418" i="5"/>
  <c r="AD419" i="5"/>
  <c r="AD420" i="5"/>
  <c r="AD421" i="5"/>
  <c r="AD422" i="5"/>
  <c r="AD423" i="5"/>
  <c r="AD424" i="5"/>
  <c r="AD425" i="5"/>
  <c r="AD426" i="5"/>
  <c r="AD427" i="5"/>
  <c r="AD428" i="5"/>
  <c r="AD429" i="5"/>
  <c r="AD430" i="5"/>
  <c r="AD431" i="5"/>
  <c r="AD432" i="5"/>
  <c r="AD433" i="5"/>
  <c r="AD434" i="5"/>
  <c r="AD435" i="5"/>
  <c r="AD436" i="5"/>
  <c r="AD437" i="5"/>
  <c r="AD438" i="5"/>
  <c r="AD439" i="5"/>
  <c r="AD440" i="5"/>
  <c r="AD441" i="5"/>
  <c r="AD442" i="5"/>
  <c r="AD443" i="5"/>
  <c r="AD444" i="5"/>
  <c r="AD445" i="5"/>
  <c r="AD446" i="5"/>
  <c r="AD447" i="5"/>
  <c r="AD448" i="5"/>
  <c r="AD449" i="5"/>
  <c r="AD450" i="5"/>
  <c r="AD451" i="5"/>
  <c r="AD452" i="5"/>
  <c r="AD453" i="5"/>
  <c r="AD454" i="5"/>
  <c r="AD455" i="5"/>
  <c r="AD456" i="5"/>
  <c r="AD457" i="5"/>
  <c r="AD458" i="5"/>
  <c r="AD459" i="5"/>
  <c r="AD460" i="5"/>
  <c r="AD461" i="5"/>
  <c r="AD462" i="5"/>
  <c r="AD463" i="5"/>
  <c r="AD464" i="5"/>
  <c r="AD465" i="5"/>
  <c r="AD466" i="5"/>
  <c r="AD467" i="5"/>
  <c r="AD468" i="5"/>
  <c r="AD469" i="5"/>
  <c r="AD470" i="5"/>
  <c r="AD471" i="5"/>
  <c r="AD472" i="5"/>
  <c r="AD473" i="5"/>
  <c r="AD474" i="5"/>
  <c r="AD475" i="5"/>
  <c r="AD476" i="5"/>
  <c r="AD477" i="5"/>
  <c r="AD478" i="5"/>
  <c r="AD479" i="5"/>
  <c r="AD480" i="5"/>
  <c r="AD481" i="5"/>
  <c r="AD482" i="5"/>
  <c r="AD483" i="5"/>
  <c r="AD484" i="5"/>
  <c r="AD485" i="5"/>
  <c r="AD486" i="5"/>
  <c r="AD487" i="5"/>
  <c r="AD488" i="5"/>
  <c r="AD489" i="5"/>
  <c r="AD490" i="5"/>
  <c r="AD491" i="5"/>
  <c r="AD492" i="5"/>
  <c r="AD493" i="5"/>
  <c r="AD494" i="5"/>
  <c r="AD495" i="5"/>
  <c r="AD496" i="5"/>
  <c r="AD497" i="5"/>
  <c r="AD498" i="5"/>
  <c r="AD499" i="5"/>
  <c r="AD500" i="5"/>
  <c r="AD501" i="5"/>
  <c r="AD502" i="5"/>
  <c r="AD503" i="5"/>
  <c r="AD504" i="5"/>
  <c r="AD505" i="5"/>
  <c r="AD506" i="5"/>
  <c r="AD507" i="5"/>
  <c r="AD508" i="5"/>
  <c r="AD509" i="5"/>
  <c r="AD510" i="5"/>
  <c r="AD511" i="5"/>
  <c r="AD512" i="5"/>
  <c r="AD513" i="5"/>
  <c r="AD514" i="5"/>
  <c r="AD515" i="5"/>
  <c r="AD516" i="5"/>
  <c r="AD517" i="5"/>
  <c r="AD518" i="5"/>
  <c r="AD519" i="5"/>
  <c r="AD520" i="5"/>
  <c r="AD521" i="5"/>
  <c r="AD522" i="5"/>
  <c r="AD523" i="5"/>
  <c r="AD524" i="5"/>
  <c r="AD525" i="5"/>
  <c r="AD526" i="5"/>
  <c r="AD527" i="5"/>
  <c r="AD528" i="5"/>
  <c r="AD529" i="5"/>
  <c r="AD530" i="5"/>
  <c r="AD531" i="5"/>
  <c r="AD532" i="5"/>
  <c r="AD533" i="5"/>
  <c r="AD534" i="5"/>
  <c r="AD535" i="5"/>
  <c r="AD536" i="5"/>
  <c r="AD537" i="5"/>
  <c r="AD538" i="5"/>
  <c r="AD539" i="5"/>
  <c r="AD540" i="5"/>
  <c r="AD541" i="5"/>
  <c r="AD542" i="5"/>
  <c r="AD543" i="5"/>
  <c r="AD544" i="5"/>
  <c r="AD545" i="5"/>
  <c r="AD546" i="5"/>
  <c r="AD547" i="5"/>
  <c r="AD548" i="5"/>
  <c r="AD549" i="5"/>
  <c r="AD550" i="5"/>
  <c r="AD551" i="5"/>
  <c r="AD552" i="5"/>
  <c r="AD553" i="5"/>
  <c r="AD554" i="5"/>
  <c r="AD555" i="5"/>
  <c r="AD556" i="5"/>
  <c r="AD557" i="5"/>
  <c r="AD558" i="5"/>
  <c r="AD559" i="5"/>
  <c r="AD560" i="5"/>
  <c r="AD561" i="5"/>
  <c r="AD562" i="5"/>
  <c r="AD563" i="5"/>
  <c r="AD564" i="5"/>
  <c r="AD565" i="5"/>
  <c r="AD566" i="5"/>
  <c r="AD567" i="5"/>
  <c r="AD568" i="5"/>
  <c r="AD569" i="5"/>
  <c r="AD570" i="5"/>
  <c r="AD571" i="5"/>
  <c r="AD572" i="5"/>
  <c r="AD573" i="5"/>
  <c r="AD574" i="5"/>
  <c r="AD575" i="5"/>
  <c r="AD576" i="5"/>
  <c r="AD577" i="5"/>
  <c r="AD578" i="5"/>
  <c r="AD579" i="5"/>
  <c r="AD580" i="5"/>
  <c r="AD581" i="5"/>
  <c r="AD582" i="5"/>
  <c r="AD583" i="5"/>
  <c r="AD584" i="5"/>
  <c r="AD585" i="5"/>
  <c r="AD586" i="5"/>
  <c r="AD587" i="5"/>
  <c r="AD588" i="5"/>
  <c r="AD589" i="5"/>
  <c r="AD590" i="5"/>
  <c r="AD591" i="5"/>
  <c r="AD592" i="5"/>
  <c r="AD593" i="5"/>
  <c r="AD594" i="5"/>
  <c r="AD595" i="5"/>
  <c r="AD596" i="5"/>
  <c r="AD597" i="5"/>
  <c r="AD598" i="5"/>
  <c r="AD599" i="5"/>
  <c r="AD600" i="5"/>
  <c r="AD601" i="5"/>
  <c r="AD602" i="5"/>
  <c r="AD603" i="5"/>
  <c r="AD604" i="5"/>
  <c r="AD605" i="5"/>
  <c r="AD606" i="5"/>
  <c r="AD607" i="5"/>
  <c r="AD608" i="5"/>
  <c r="AD609" i="5"/>
  <c r="AD610" i="5"/>
  <c r="AD611" i="5"/>
  <c r="AD612" i="5"/>
  <c r="AD613" i="5"/>
  <c r="AD614" i="5"/>
  <c r="AD615" i="5"/>
  <c r="AD616" i="5"/>
  <c r="AD617" i="5"/>
  <c r="AD618" i="5"/>
  <c r="AD619" i="5"/>
  <c r="AD620" i="5"/>
  <c r="AD621" i="5"/>
  <c r="AD622" i="5"/>
  <c r="AD623" i="5"/>
  <c r="AD624" i="5"/>
  <c r="AD625" i="5"/>
  <c r="AD626" i="5"/>
  <c r="AD627" i="5"/>
  <c r="AD628" i="5"/>
  <c r="AD629" i="5"/>
  <c r="AD630" i="5"/>
  <c r="AD631" i="5"/>
  <c r="AD632" i="5"/>
  <c r="AD633" i="5"/>
  <c r="AD634" i="5"/>
  <c r="AD635" i="5"/>
  <c r="AD636" i="5"/>
  <c r="AD637" i="5"/>
  <c r="AD638" i="5"/>
  <c r="AD639" i="5"/>
  <c r="AD640" i="5"/>
  <c r="AD641" i="5"/>
  <c r="AD642" i="5"/>
  <c r="AD643" i="5"/>
  <c r="AD644" i="5"/>
  <c r="AD645" i="5"/>
  <c r="AD646" i="5"/>
  <c r="AD647" i="5"/>
  <c r="AD648" i="5"/>
  <c r="AD649" i="5"/>
  <c r="AD650" i="5"/>
  <c r="AD651" i="5"/>
  <c r="AD652" i="5"/>
  <c r="AD653" i="5"/>
  <c r="AD654" i="5"/>
  <c r="AD655" i="5"/>
  <c r="AD656" i="5"/>
  <c r="AD657" i="5"/>
  <c r="AD658" i="5"/>
  <c r="AD659" i="5"/>
  <c r="AD660" i="5"/>
  <c r="AD661" i="5"/>
  <c r="AD662" i="5"/>
  <c r="AD663" i="5"/>
  <c r="AD664" i="5"/>
  <c r="AD665" i="5"/>
  <c r="AD666" i="5"/>
  <c r="AD667" i="5"/>
  <c r="AD668" i="5"/>
  <c r="AD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86" i="5"/>
  <c r="AA187" i="5"/>
  <c r="AA188" i="5"/>
  <c r="AA189" i="5"/>
  <c r="AA190" i="5"/>
  <c r="AA191" i="5"/>
  <c r="AA192" i="5"/>
  <c r="AA193" i="5"/>
  <c r="AA194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28" i="5"/>
  <c r="AA229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4" i="5"/>
  <c r="AA245" i="5"/>
  <c r="AA246" i="5"/>
  <c r="AA247" i="5"/>
  <c r="AA248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269" i="5"/>
  <c r="AA270" i="5"/>
  <c r="AA271" i="5"/>
  <c r="AA272" i="5"/>
  <c r="AA273" i="5"/>
  <c r="AA274" i="5"/>
  <c r="AA275" i="5"/>
  <c r="AA276" i="5"/>
  <c r="AA277" i="5"/>
  <c r="AA278" i="5"/>
  <c r="AA279" i="5"/>
  <c r="AA280" i="5"/>
  <c r="AA281" i="5"/>
  <c r="AA282" i="5"/>
  <c r="AA283" i="5"/>
  <c r="AA284" i="5"/>
  <c r="AA285" i="5"/>
  <c r="AA286" i="5"/>
  <c r="AA287" i="5"/>
  <c r="AA288" i="5"/>
  <c r="AA289" i="5"/>
  <c r="AA290" i="5"/>
  <c r="AA291" i="5"/>
  <c r="AA292" i="5"/>
  <c r="AA293" i="5"/>
  <c r="AA294" i="5"/>
  <c r="AA295" i="5"/>
  <c r="AA296" i="5"/>
  <c r="AA297" i="5"/>
  <c r="AA298" i="5"/>
  <c r="AA299" i="5"/>
  <c r="AA300" i="5"/>
  <c r="AA301" i="5"/>
  <c r="AA302" i="5"/>
  <c r="AA303" i="5"/>
  <c r="AA304" i="5"/>
  <c r="AA305" i="5"/>
  <c r="AA306" i="5"/>
  <c r="AA307" i="5"/>
  <c r="AA308" i="5"/>
  <c r="AA309" i="5"/>
  <c r="AA310" i="5"/>
  <c r="AA311" i="5"/>
  <c r="AA312" i="5"/>
  <c r="AA313" i="5"/>
  <c r="AA314" i="5"/>
  <c r="AA315" i="5"/>
  <c r="AA316" i="5"/>
  <c r="AA317" i="5"/>
  <c r="AA318" i="5"/>
  <c r="AA319" i="5"/>
  <c r="AA320" i="5"/>
  <c r="AA321" i="5"/>
  <c r="AA322" i="5"/>
  <c r="AA323" i="5"/>
  <c r="AA324" i="5"/>
  <c r="AA325" i="5"/>
  <c r="AA326" i="5"/>
  <c r="AA327" i="5"/>
  <c r="AA328" i="5"/>
  <c r="AA329" i="5"/>
  <c r="AA330" i="5"/>
  <c r="AA331" i="5"/>
  <c r="AA332" i="5"/>
  <c r="AA333" i="5"/>
  <c r="AA334" i="5"/>
  <c r="AA335" i="5"/>
  <c r="AA336" i="5"/>
  <c r="AA337" i="5"/>
  <c r="AA338" i="5"/>
  <c r="AA339" i="5"/>
  <c r="AA340" i="5"/>
  <c r="AA341" i="5"/>
  <c r="AA342" i="5"/>
  <c r="AA343" i="5"/>
  <c r="AA344" i="5"/>
  <c r="AA345" i="5"/>
  <c r="AA346" i="5"/>
  <c r="AA347" i="5"/>
  <c r="AA348" i="5"/>
  <c r="AA349" i="5"/>
  <c r="AA350" i="5"/>
  <c r="AA351" i="5"/>
  <c r="AA352" i="5"/>
  <c r="AA353" i="5"/>
  <c r="AA354" i="5"/>
  <c r="AA355" i="5"/>
  <c r="AA356" i="5"/>
  <c r="AA357" i="5"/>
  <c r="AA358" i="5"/>
  <c r="AA359" i="5"/>
  <c r="AA360" i="5"/>
  <c r="AA361" i="5"/>
  <c r="AA362" i="5"/>
  <c r="AA363" i="5"/>
  <c r="AA364" i="5"/>
  <c r="AA365" i="5"/>
  <c r="AA366" i="5"/>
  <c r="AA367" i="5"/>
  <c r="AA368" i="5"/>
  <c r="AA369" i="5"/>
  <c r="AA370" i="5"/>
  <c r="AA371" i="5"/>
  <c r="AA372" i="5"/>
  <c r="AA373" i="5"/>
  <c r="AA374" i="5"/>
  <c r="AA375" i="5"/>
  <c r="AA376" i="5"/>
  <c r="AA377" i="5"/>
  <c r="AA378" i="5"/>
  <c r="AA379" i="5"/>
  <c r="AA380" i="5"/>
  <c r="AA381" i="5"/>
  <c r="AA382" i="5"/>
  <c r="AA383" i="5"/>
  <c r="AA384" i="5"/>
  <c r="AA385" i="5"/>
  <c r="AA386" i="5"/>
  <c r="AA387" i="5"/>
  <c r="AA388" i="5"/>
  <c r="AA389" i="5"/>
  <c r="AA390" i="5"/>
  <c r="AA391" i="5"/>
  <c r="AA392" i="5"/>
  <c r="AA393" i="5"/>
  <c r="AA394" i="5"/>
  <c r="AA395" i="5"/>
  <c r="AA396" i="5"/>
  <c r="AA397" i="5"/>
  <c r="AA398" i="5"/>
  <c r="AA399" i="5"/>
  <c r="AA400" i="5"/>
  <c r="AA401" i="5"/>
  <c r="AA402" i="5"/>
  <c r="AA403" i="5"/>
  <c r="AA404" i="5"/>
  <c r="AA405" i="5"/>
  <c r="AA406" i="5"/>
  <c r="AA407" i="5"/>
  <c r="AA408" i="5"/>
  <c r="AA409" i="5"/>
  <c r="AA410" i="5"/>
  <c r="AA411" i="5"/>
  <c r="AA412" i="5"/>
  <c r="AA413" i="5"/>
  <c r="AA414" i="5"/>
  <c r="AA415" i="5"/>
  <c r="AA416" i="5"/>
  <c r="AA417" i="5"/>
  <c r="AA418" i="5"/>
  <c r="AA419" i="5"/>
  <c r="AA420" i="5"/>
  <c r="AA421" i="5"/>
  <c r="AA422" i="5"/>
  <c r="AA423" i="5"/>
  <c r="AA424" i="5"/>
  <c r="AA425" i="5"/>
  <c r="AA426" i="5"/>
  <c r="AA427" i="5"/>
  <c r="AA428" i="5"/>
  <c r="AA429" i="5"/>
  <c r="AA430" i="5"/>
  <c r="AA431" i="5"/>
  <c r="AA432" i="5"/>
  <c r="AA433" i="5"/>
  <c r="AA434" i="5"/>
  <c r="AA435" i="5"/>
  <c r="AA436" i="5"/>
  <c r="AA437" i="5"/>
  <c r="AA438" i="5"/>
  <c r="AA439" i="5"/>
  <c r="AA440" i="5"/>
  <c r="AA441" i="5"/>
  <c r="AA442" i="5"/>
  <c r="AA443" i="5"/>
  <c r="AA444" i="5"/>
  <c r="AA445" i="5"/>
  <c r="AA446" i="5"/>
  <c r="AA447" i="5"/>
  <c r="AA448" i="5"/>
  <c r="AA449" i="5"/>
  <c r="AA450" i="5"/>
  <c r="AA451" i="5"/>
  <c r="AA452" i="5"/>
  <c r="AA453" i="5"/>
  <c r="AA454" i="5"/>
  <c r="AA455" i="5"/>
  <c r="AA456" i="5"/>
  <c r="AA457" i="5"/>
  <c r="AA458" i="5"/>
  <c r="AA459" i="5"/>
  <c r="AA460" i="5"/>
  <c r="AA461" i="5"/>
  <c r="AA462" i="5"/>
  <c r="AA463" i="5"/>
  <c r="AA464" i="5"/>
  <c r="AA465" i="5"/>
  <c r="AA466" i="5"/>
  <c r="AA467" i="5"/>
  <c r="AA468" i="5"/>
  <c r="AA469" i="5"/>
  <c r="AA470" i="5"/>
  <c r="AA471" i="5"/>
  <c r="AA472" i="5"/>
  <c r="AA473" i="5"/>
  <c r="AA474" i="5"/>
  <c r="AA475" i="5"/>
  <c r="AA476" i="5"/>
  <c r="AA477" i="5"/>
  <c r="AA478" i="5"/>
  <c r="AA479" i="5"/>
  <c r="AA480" i="5"/>
  <c r="AA481" i="5"/>
  <c r="AA482" i="5"/>
  <c r="AA483" i="5"/>
  <c r="AA484" i="5"/>
  <c r="AA485" i="5"/>
  <c r="AA486" i="5"/>
  <c r="AA487" i="5"/>
  <c r="AA488" i="5"/>
  <c r="AA489" i="5"/>
  <c r="AA490" i="5"/>
  <c r="AA491" i="5"/>
  <c r="AA492" i="5"/>
  <c r="AA493" i="5"/>
  <c r="AA494" i="5"/>
  <c r="AA495" i="5"/>
  <c r="AA496" i="5"/>
  <c r="AA497" i="5"/>
  <c r="AA498" i="5"/>
  <c r="AA499" i="5"/>
  <c r="AA500" i="5"/>
  <c r="AA501" i="5"/>
  <c r="AA502" i="5"/>
  <c r="AA503" i="5"/>
  <c r="AA504" i="5"/>
  <c r="AA505" i="5"/>
  <c r="AA506" i="5"/>
  <c r="AA507" i="5"/>
  <c r="AA508" i="5"/>
  <c r="AA509" i="5"/>
  <c r="AA510" i="5"/>
  <c r="AA511" i="5"/>
  <c r="AA512" i="5"/>
  <c r="AA513" i="5"/>
  <c r="AA514" i="5"/>
  <c r="AA515" i="5"/>
  <c r="AA516" i="5"/>
  <c r="AA517" i="5"/>
  <c r="AA518" i="5"/>
  <c r="AA519" i="5"/>
  <c r="AA520" i="5"/>
  <c r="AA521" i="5"/>
  <c r="AA522" i="5"/>
  <c r="AA523" i="5"/>
  <c r="AA524" i="5"/>
  <c r="AA525" i="5"/>
  <c r="AA526" i="5"/>
  <c r="AA527" i="5"/>
  <c r="AA528" i="5"/>
  <c r="AA529" i="5"/>
  <c r="AA530" i="5"/>
  <c r="AA531" i="5"/>
  <c r="AA532" i="5"/>
  <c r="AA533" i="5"/>
  <c r="AA534" i="5"/>
  <c r="AA535" i="5"/>
  <c r="AA536" i="5"/>
  <c r="AA537" i="5"/>
  <c r="AA538" i="5"/>
  <c r="AA539" i="5"/>
  <c r="AA540" i="5"/>
  <c r="AA541" i="5"/>
  <c r="AA542" i="5"/>
  <c r="AA543" i="5"/>
  <c r="AA544" i="5"/>
  <c r="AA545" i="5"/>
  <c r="AA546" i="5"/>
  <c r="AA547" i="5"/>
  <c r="AA548" i="5"/>
  <c r="AA549" i="5"/>
  <c r="AA550" i="5"/>
  <c r="AA551" i="5"/>
  <c r="AA552" i="5"/>
  <c r="AA553" i="5"/>
  <c r="AA554" i="5"/>
  <c r="AA555" i="5"/>
  <c r="AA556" i="5"/>
  <c r="AA557" i="5"/>
  <c r="AA558" i="5"/>
  <c r="AA559" i="5"/>
  <c r="AA560" i="5"/>
  <c r="AA561" i="5"/>
  <c r="AA562" i="5"/>
  <c r="AA563" i="5"/>
  <c r="AA564" i="5"/>
  <c r="AA565" i="5"/>
  <c r="AA566" i="5"/>
  <c r="AA567" i="5"/>
  <c r="AA568" i="5"/>
  <c r="AA569" i="5"/>
  <c r="AA570" i="5"/>
  <c r="AA571" i="5"/>
  <c r="AA572" i="5"/>
  <c r="AA573" i="5"/>
  <c r="AA574" i="5"/>
  <c r="AA575" i="5"/>
  <c r="AA576" i="5"/>
  <c r="AA577" i="5"/>
  <c r="AA578" i="5"/>
  <c r="AA579" i="5"/>
  <c r="AA580" i="5"/>
  <c r="AA581" i="5"/>
  <c r="AA582" i="5"/>
  <c r="AA583" i="5"/>
  <c r="AA584" i="5"/>
  <c r="AA585" i="5"/>
  <c r="AA586" i="5"/>
  <c r="AA587" i="5"/>
  <c r="AA588" i="5"/>
  <c r="AA589" i="5"/>
  <c r="AA590" i="5"/>
  <c r="AA591" i="5"/>
  <c r="AA592" i="5"/>
  <c r="AA593" i="5"/>
  <c r="AA594" i="5"/>
  <c r="AA595" i="5"/>
  <c r="AA596" i="5"/>
  <c r="AA597" i="5"/>
  <c r="AA598" i="5"/>
  <c r="AA599" i="5"/>
  <c r="AA600" i="5"/>
  <c r="AA601" i="5"/>
  <c r="AA602" i="5"/>
  <c r="AA603" i="5"/>
  <c r="AA604" i="5"/>
  <c r="AA605" i="5"/>
  <c r="AA606" i="5"/>
  <c r="AA607" i="5"/>
  <c r="AA608" i="5"/>
  <c r="AA609" i="5"/>
  <c r="AA610" i="5"/>
  <c r="AA611" i="5"/>
  <c r="AA612" i="5"/>
  <c r="AA613" i="5"/>
  <c r="AA614" i="5"/>
  <c r="AA615" i="5"/>
  <c r="AA616" i="5"/>
  <c r="AA617" i="5"/>
  <c r="AA618" i="5"/>
  <c r="AA619" i="5"/>
  <c r="AA620" i="5"/>
  <c r="AA621" i="5"/>
  <c r="AA622" i="5"/>
  <c r="AA623" i="5"/>
  <c r="AA624" i="5"/>
  <c r="AA625" i="5"/>
  <c r="AA626" i="5"/>
  <c r="AA627" i="5"/>
  <c r="AA628" i="5"/>
  <c r="AA629" i="5"/>
  <c r="AA630" i="5"/>
  <c r="AA631" i="5"/>
  <c r="AA632" i="5"/>
  <c r="AA633" i="5"/>
  <c r="AA634" i="5"/>
  <c r="AA635" i="5"/>
  <c r="AA636" i="5"/>
  <c r="AA637" i="5"/>
  <c r="AA638" i="5"/>
  <c r="AA639" i="5"/>
  <c r="AA640" i="5"/>
  <c r="AA641" i="5"/>
  <c r="AA642" i="5"/>
  <c r="AA643" i="5"/>
  <c r="AA644" i="5"/>
  <c r="AA645" i="5"/>
  <c r="AA646" i="5"/>
  <c r="AA647" i="5"/>
  <c r="AA648" i="5"/>
  <c r="AA649" i="5"/>
  <c r="AA650" i="5"/>
  <c r="AA651" i="5"/>
  <c r="AA652" i="5"/>
  <c r="AA653" i="5"/>
  <c r="AA654" i="5"/>
  <c r="AA655" i="5"/>
  <c r="AA656" i="5"/>
  <c r="AA657" i="5"/>
  <c r="AA658" i="5"/>
  <c r="AA659" i="5"/>
  <c r="AA660" i="5"/>
  <c r="AA661" i="5"/>
  <c r="AA662" i="5"/>
  <c r="AA663" i="5"/>
  <c r="AA664" i="5"/>
  <c r="AA665" i="5"/>
  <c r="AA666" i="5"/>
  <c r="AA667" i="5"/>
  <c r="AA668" i="5"/>
  <c r="AA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351" i="5"/>
  <c r="X352" i="5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X380" i="5"/>
  <c r="X381" i="5"/>
  <c r="X382" i="5"/>
  <c r="X383" i="5"/>
  <c r="X384" i="5"/>
  <c r="X385" i="5"/>
  <c r="X386" i="5"/>
  <c r="X387" i="5"/>
  <c r="X388" i="5"/>
  <c r="X389" i="5"/>
  <c r="X390" i="5"/>
  <c r="X391" i="5"/>
  <c r="X392" i="5"/>
  <c r="X393" i="5"/>
  <c r="X394" i="5"/>
  <c r="X395" i="5"/>
  <c r="X396" i="5"/>
  <c r="X397" i="5"/>
  <c r="X398" i="5"/>
  <c r="X399" i="5"/>
  <c r="X400" i="5"/>
  <c r="X401" i="5"/>
  <c r="X402" i="5"/>
  <c r="X403" i="5"/>
  <c r="X404" i="5"/>
  <c r="X405" i="5"/>
  <c r="X406" i="5"/>
  <c r="X407" i="5"/>
  <c r="X408" i="5"/>
  <c r="X409" i="5"/>
  <c r="X410" i="5"/>
  <c r="X411" i="5"/>
  <c r="X412" i="5"/>
  <c r="X413" i="5"/>
  <c r="X414" i="5"/>
  <c r="X415" i="5"/>
  <c r="X416" i="5"/>
  <c r="X417" i="5"/>
  <c r="X418" i="5"/>
  <c r="X419" i="5"/>
  <c r="X420" i="5"/>
  <c r="X421" i="5"/>
  <c r="X422" i="5"/>
  <c r="X423" i="5"/>
  <c r="X424" i="5"/>
  <c r="X425" i="5"/>
  <c r="X426" i="5"/>
  <c r="X427" i="5"/>
  <c r="X428" i="5"/>
  <c r="X429" i="5"/>
  <c r="X430" i="5"/>
  <c r="X431" i="5"/>
  <c r="X432" i="5"/>
  <c r="X433" i="5"/>
  <c r="X434" i="5"/>
  <c r="X435" i="5"/>
  <c r="X436" i="5"/>
  <c r="X437" i="5"/>
  <c r="X438" i="5"/>
  <c r="X439" i="5"/>
  <c r="X440" i="5"/>
  <c r="X441" i="5"/>
  <c r="X442" i="5"/>
  <c r="X443" i="5"/>
  <c r="X444" i="5"/>
  <c r="X445" i="5"/>
  <c r="X446" i="5"/>
  <c r="X447" i="5"/>
  <c r="X448" i="5"/>
  <c r="X449" i="5"/>
  <c r="X450" i="5"/>
  <c r="X451" i="5"/>
  <c r="X452" i="5"/>
  <c r="X453" i="5"/>
  <c r="X454" i="5"/>
  <c r="X455" i="5"/>
  <c r="X456" i="5"/>
  <c r="X457" i="5"/>
  <c r="X458" i="5"/>
  <c r="X459" i="5"/>
  <c r="X460" i="5"/>
  <c r="X461" i="5"/>
  <c r="X462" i="5"/>
  <c r="X463" i="5"/>
  <c r="X464" i="5"/>
  <c r="X465" i="5"/>
  <c r="X466" i="5"/>
  <c r="X467" i="5"/>
  <c r="X468" i="5"/>
  <c r="X469" i="5"/>
  <c r="X470" i="5"/>
  <c r="X471" i="5"/>
  <c r="X472" i="5"/>
  <c r="X473" i="5"/>
  <c r="X474" i="5"/>
  <c r="X475" i="5"/>
  <c r="X476" i="5"/>
  <c r="X477" i="5"/>
  <c r="X478" i="5"/>
  <c r="X479" i="5"/>
  <c r="X480" i="5"/>
  <c r="X481" i="5"/>
  <c r="X482" i="5"/>
  <c r="X483" i="5"/>
  <c r="X484" i="5"/>
  <c r="X485" i="5"/>
  <c r="X486" i="5"/>
  <c r="X487" i="5"/>
  <c r="X488" i="5"/>
  <c r="X489" i="5"/>
  <c r="X490" i="5"/>
  <c r="X491" i="5"/>
  <c r="X492" i="5"/>
  <c r="X493" i="5"/>
  <c r="X494" i="5"/>
  <c r="X495" i="5"/>
  <c r="X496" i="5"/>
  <c r="X497" i="5"/>
  <c r="X498" i="5"/>
  <c r="X499" i="5"/>
  <c r="X500" i="5"/>
  <c r="X501" i="5"/>
  <c r="X502" i="5"/>
  <c r="X503" i="5"/>
  <c r="X504" i="5"/>
  <c r="X505" i="5"/>
  <c r="X506" i="5"/>
  <c r="X507" i="5"/>
  <c r="X508" i="5"/>
  <c r="X509" i="5"/>
  <c r="X510" i="5"/>
  <c r="X511" i="5"/>
  <c r="X512" i="5"/>
  <c r="X513" i="5"/>
  <c r="X514" i="5"/>
  <c r="X515" i="5"/>
  <c r="X516" i="5"/>
  <c r="X517" i="5"/>
  <c r="X518" i="5"/>
  <c r="X519" i="5"/>
  <c r="X520" i="5"/>
  <c r="X521" i="5"/>
  <c r="X522" i="5"/>
  <c r="X523" i="5"/>
  <c r="X524" i="5"/>
  <c r="X525" i="5"/>
  <c r="X526" i="5"/>
  <c r="X527" i="5"/>
  <c r="X528" i="5"/>
  <c r="X529" i="5"/>
  <c r="X530" i="5"/>
  <c r="X531" i="5"/>
  <c r="X532" i="5"/>
  <c r="X533" i="5"/>
  <c r="X534" i="5"/>
  <c r="X535" i="5"/>
  <c r="X536" i="5"/>
  <c r="X537" i="5"/>
  <c r="X538" i="5"/>
  <c r="X539" i="5"/>
  <c r="X540" i="5"/>
  <c r="X541" i="5"/>
  <c r="X542" i="5"/>
  <c r="X543" i="5"/>
  <c r="X544" i="5"/>
  <c r="X545" i="5"/>
  <c r="X546" i="5"/>
  <c r="X547" i="5"/>
  <c r="X548" i="5"/>
  <c r="X549" i="5"/>
  <c r="X550" i="5"/>
  <c r="X551" i="5"/>
  <c r="X552" i="5"/>
  <c r="X553" i="5"/>
  <c r="X554" i="5"/>
  <c r="X555" i="5"/>
  <c r="X556" i="5"/>
  <c r="X557" i="5"/>
  <c r="X558" i="5"/>
  <c r="X559" i="5"/>
  <c r="X560" i="5"/>
  <c r="X561" i="5"/>
  <c r="X562" i="5"/>
  <c r="X563" i="5"/>
  <c r="X564" i="5"/>
  <c r="X565" i="5"/>
  <c r="X566" i="5"/>
  <c r="X567" i="5"/>
  <c r="X568" i="5"/>
  <c r="X569" i="5"/>
  <c r="X570" i="5"/>
  <c r="X571" i="5"/>
  <c r="X572" i="5"/>
  <c r="X573" i="5"/>
  <c r="X574" i="5"/>
  <c r="X575" i="5"/>
  <c r="X576" i="5"/>
  <c r="X577" i="5"/>
  <c r="X578" i="5"/>
  <c r="X579" i="5"/>
  <c r="X580" i="5"/>
  <c r="X581" i="5"/>
  <c r="X582" i="5"/>
  <c r="X583" i="5"/>
  <c r="X584" i="5"/>
  <c r="X585" i="5"/>
  <c r="X586" i="5"/>
  <c r="X587" i="5"/>
  <c r="X588" i="5"/>
  <c r="X589" i="5"/>
  <c r="X590" i="5"/>
  <c r="X591" i="5"/>
  <c r="X592" i="5"/>
  <c r="X593" i="5"/>
  <c r="X594" i="5"/>
  <c r="X595" i="5"/>
  <c r="X596" i="5"/>
  <c r="X597" i="5"/>
  <c r="X598" i="5"/>
  <c r="X599" i="5"/>
  <c r="X600" i="5"/>
  <c r="X601" i="5"/>
  <c r="X602" i="5"/>
  <c r="X603" i="5"/>
  <c r="X604" i="5"/>
  <c r="X605" i="5"/>
  <c r="X606" i="5"/>
  <c r="X607" i="5"/>
  <c r="X608" i="5"/>
  <c r="X609" i="5"/>
  <c r="X610" i="5"/>
  <c r="X611" i="5"/>
  <c r="X612" i="5"/>
  <c r="X613" i="5"/>
  <c r="X614" i="5"/>
  <c r="X615" i="5"/>
  <c r="X616" i="5"/>
  <c r="X617" i="5"/>
  <c r="X618" i="5"/>
  <c r="X619" i="5"/>
  <c r="X620" i="5"/>
  <c r="X621" i="5"/>
  <c r="X622" i="5"/>
  <c r="X623" i="5"/>
  <c r="X624" i="5"/>
  <c r="X625" i="5"/>
  <c r="X626" i="5"/>
  <c r="X627" i="5"/>
  <c r="X628" i="5"/>
  <c r="X629" i="5"/>
  <c r="X630" i="5"/>
  <c r="X631" i="5"/>
  <c r="X632" i="5"/>
  <c r="X633" i="5"/>
  <c r="X634" i="5"/>
  <c r="X635" i="5"/>
  <c r="X636" i="5"/>
  <c r="X637" i="5"/>
  <c r="X638" i="5"/>
  <c r="X639" i="5"/>
  <c r="X640" i="5"/>
  <c r="X641" i="5"/>
  <c r="X642" i="5"/>
  <c r="X643" i="5"/>
  <c r="X644" i="5"/>
  <c r="X645" i="5"/>
  <c r="X646" i="5"/>
  <c r="X647" i="5"/>
  <c r="X648" i="5"/>
  <c r="X649" i="5"/>
  <c r="X650" i="5"/>
  <c r="X651" i="5"/>
  <c r="X652" i="5"/>
  <c r="X653" i="5"/>
  <c r="X654" i="5"/>
  <c r="X655" i="5"/>
  <c r="X656" i="5"/>
  <c r="X657" i="5"/>
  <c r="X658" i="5"/>
  <c r="X659" i="5"/>
  <c r="X660" i="5"/>
  <c r="X661" i="5"/>
  <c r="X662" i="5"/>
  <c r="X663" i="5"/>
  <c r="X664" i="5"/>
  <c r="X665" i="5"/>
  <c r="X666" i="5"/>
  <c r="X667" i="5"/>
  <c r="X668" i="5"/>
  <c r="X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U302" i="5"/>
  <c r="U303" i="5"/>
  <c r="U304" i="5"/>
  <c r="U305" i="5"/>
  <c r="U306" i="5"/>
  <c r="U307" i="5"/>
  <c r="U308" i="5"/>
  <c r="U309" i="5"/>
  <c r="U310" i="5"/>
  <c r="U311" i="5"/>
  <c r="U312" i="5"/>
  <c r="U313" i="5"/>
  <c r="U314" i="5"/>
  <c r="U315" i="5"/>
  <c r="U316" i="5"/>
  <c r="U317" i="5"/>
  <c r="U318" i="5"/>
  <c r="U319" i="5"/>
  <c r="U320" i="5"/>
  <c r="U321" i="5"/>
  <c r="U322" i="5"/>
  <c r="U323" i="5"/>
  <c r="U324" i="5"/>
  <c r="U325" i="5"/>
  <c r="U326" i="5"/>
  <c r="U327" i="5"/>
  <c r="U328" i="5"/>
  <c r="U329" i="5"/>
  <c r="U330" i="5"/>
  <c r="U331" i="5"/>
  <c r="U332" i="5"/>
  <c r="U333" i="5"/>
  <c r="U334" i="5"/>
  <c r="U335" i="5"/>
  <c r="U336" i="5"/>
  <c r="U337" i="5"/>
  <c r="U338" i="5"/>
  <c r="U339" i="5"/>
  <c r="U340" i="5"/>
  <c r="U341" i="5"/>
  <c r="U342" i="5"/>
  <c r="U343" i="5"/>
  <c r="U344" i="5"/>
  <c r="U345" i="5"/>
  <c r="U346" i="5"/>
  <c r="U347" i="5"/>
  <c r="U348" i="5"/>
  <c r="U349" i="5"/>
  <c r="U350" i="5"/>
  <c r="U351" i="5"/>
  <c r="U352" i="5"/>
  <c r="U353" i="5"/>
  <c r="U354" i="5"/>
  <c r="U355" i="5"/>
  <c r="U356" i="5"/>
  <c r="U357" i="5"/>
  <c r="U358" i="5"/>
  <c r="U359" i="5"/>
  <c r="U360" i="5"/>
  <c r="U361" i="5"/>
  <c r="U362" i="5"/>
  <c r="U363" i="5"/>
  <c r="U364" i="5"/>
  <c r="U365" i="5"/>
  <c r="U366" i="5"/>
  <c r="U367" i="5"/>
  <c r="U368" i="5"/>
  <c r="U369" i="5"/>
  <c r="U370" i="5"/>
  <c r="U371" i="5"/>
  <c r="U372" i="5"/>
  <c r="U373" i="5"/>
  <c r="U374" i="5"/>
  <c r="U375" i="5"/>
  <c r="U376" i="5"/>
  <c r="U377" i="5"/>
  <c r="U378" i="5"/>
  <c r="U379" i="5"/>
  <c r="U380" i="5"/>
  <c r="U381" i="5"/>
  <c r="U382" i="5"/>
  <c r="U383" i="5"/>
  <c r="U384" i="5"/>
  <c r="U385" i="5"/>
  <c r="U386" i="5"/>
  <c r="U387" i="5"/>
  <c r="U388" i="5"/>
  <c r="U389" i="5"/>
  <c r="U390" i="5"/>
  <c r="U391" i="5"/>
  <c r="U392" i="5"/>
  <c r="U393" i="5"/>
  <c r="U394" i="5"/>
  <c r="U395" i="5"/>
  <c r="U396" i="5"/>
  <c r="U397" i="5"/>
  <c r="U398" i="5"/>
  <c r="U399" i="5"/>
  <c r="U400" i="5"/>
  <c r="U401" i="5"/>
  <c r="U402" i="5"/>
  <c r="U403" i="5"/>
  <c r="U404" i="5"/>
  <c r="U405" i="5"/>
  <c r="U406" i="5"/>
  <c r="U407" i="5"/>
  <c r="U408" i="5"/>
  <c r="U409" i="5"/>
  <c r="U410" i="5"/>
  <c r="U411" i="5"/>
  <c r="U412" i="5"/>
  <c r="U413" i="5"/>
  <c r="U414" i="5"/>
  <c r="U415" i="5"/>
  <c r="U416" i="5"/>
  <c r="U417" i="5"/>
  <c r="U418" i="5"/>
  <c r="U419" i="5"/>
  <c r="U420" i="5"/>
  <c r="U421" i="5"/>
  <c r="U422" i="5"/>
  <c r="U423" i="5"/>
  <c r="U424" i="5"/>
  <c r="U425" i="5"/>
  <c r="U426" i="5"/>
  <c r="U427" i="5"/>
  <c r="U428" i="5"/>
  <c r="U429" i="5"/>
  <c r="U430" i="5"/>
  <c r="U431" i="5"/>
  <c r="U432" i="5"/>
  <c r="U433" i="5"/>
  <c r="U434" i="5"/>
  <c r="U435" i="5"/>
  <c r="U436" i="5"/>
  <c r="U437" i="5"/>
  <c r="U438" i="5"/>
  <c r="U439" i="5"/>
  <c r="U440" i="5"/>
  <c r="U441" i="5"/>
  <c r="U442" i="5"/>
  <c r="U443" i="5"/>
  <c r="U444" i="5"/>
  <c r="U445" i="5"/>
  <c r="U446" i="5"/>
  <c r="U447" i="5"/>
  <c r="U448" i="5"/>
  <c r="U449" i="5"/>
  <c r="U450" i="5"/>
  <c r="U451" i="5"/>
  <c r="U452" i="5"/>
  <c r="U453" i="5"/>
  <c r="U454" i="5"/>
  <c r="U455" i="5"/>
  <c r="U456" i="5"/>
  <c r="U457" i="5"/>
  <c r="U458" i="5"/>
  <c r="U459" i="5"/>
  <c r="U460" i="5"/>
  <c r="U461" i="5"/>
  <c r="U462" i="5"/>
  <c r="U463" i="5"/>
  <c r="U464" i="5"/>
  <c r="U465" i="5"/>
  <c r="U466" i="5"/>
  <c r="U467" i="5"/>
  <c r="U468" i="5"/>
  <c r="U469" i="5"/>
  <c r="U470" i="5"/>
  <c r="U471" i="5"/>
  <c r="U472" i="5"/>
  <c r="U473" i="5"/>
  <c r="U474" i="5"/>
  <c r="U475" i="5"/>
  <c r="U476" i="5"/>
  <c r="U477" i="5"/>
  <c r="U478" i="5"/>
  <c r="U479" i="5"/>
  <c r="U480" i="5"/>
  <c r="U481" i="5"/>
  <c r="U482" i="5"/>
  <c r="U483" i="5"/>
  <c r="U484" i="5"/>
  <c r="U485" i="5"/>
  <c r="U486" i="5"/>
  <c r="U487" i="5"/>
  <c r="U488" i="5"/>
  <c r="U489" i="5"/>
  <c r="U490" i="5"/>
  <c r="U491" i="5"/>
  <c r="U492" i="5"/>
  <c r="U493" i="5"/>
  <c r="U494" i="5"/>
  <c r="U495" i="5"/>
  <c r="U496" i="5"/>
  <c r="U497" i="5"/>
  <c r="U498" i="5"/>
  <c r="U499" i="5"/>
  <c r="U500" i="5"/>
  <c r="U501" i="5"/>
  <c r="U502" i="5"/>
  <c r="U503" i="5"/>
  <c r="U504" i="5"/>
  <c r="U505" i="5"/>
  <c r="U506" i="5"/>
  <c r="U507" i="5"/>
  <c r="U508" i="5"/>
  <c r="U509" i="5"/>
  <c r="U510" i="5"/>
  <c r="U511" i="5"/>
  <c r="U512" i="5"/>
  <c r="U513" i="5"/>
  <c r="U514" i="5"/>
  <c r="U515" i="5"/>
  <c r="U516" i="5"/>
  <c r="U517" i="5"/>
  <c r="U518" i="5"/>
  <c r="U519" i="5"/>
  <c r="U520" i="5"/>
  <c r="U521" i="5"/>
  <c r="U522" i="5"/>
  <c r="U523" i="5"/>
  <c r="U524" i="5"/>
  <c r="U525" i="5"/>
  <c r="U526" i="5"/>
  <c r="U527" i="5"/>
  <c r="U528" i="5"/>
  <c r="U529" i="5"/>
  <c r="U530" i="5"/>
  <c r="U531" i="5"/>
  <c r="U532" i="5"/>
  <c r="U533" i="5"/>
  <c r="U534" i="5"/>
  <c r="U535" i="5"/>
  <c r="U536" i="5"/>
  <c r="U537" i="5"/>
  <c r="U538" i="5"/>
  <c r="U539" i="5"/>
  <c r="U540" i="5"/>
  <c r="U541" i="5"/>
  <c r="U542" i="5"/>
  <c r="U543" i="5"/>
  <c r="U544" i="5"/>
  <c r="U545" i="5"/>
  <c r="U546" i="5"/>
  <c r="U547" i="5"/>
  <c r="U548" i="5"/>
  <c r="U549" i="5"/>
  <c r="U550" i="5"/>
  <c r="U551" i="5"/>
  <c r="U552" i="5"/>
  <c r="U553" i="5"/>
  <c r="U554" i="5"/>
  <c r="U555" i="5"/>
  <c r="U556" i="5"/>
  <c r="U557" i="5"/>
  <c r="U558" i="5"/>
  <c r="U559" i="5"/>
  <c r="U560" i="5"/>
  <c r="U561" i="5"/>
  <c r="U562" i="5"/>
  <c r="U563" i="5"/>
  <c r="U564" i="5"/>
  <c r="U565" i="5"/>
  <c r="U566" i="5"/>
  <c r="U567" i="5"/>
  <c r="U568" i="5"/>
  <c r="U569" i="5"/>
  <c r="U570" i="5"/>
  <c r="U571" i="5"/>
  <c r="U572" i="5"/>
  <c r="U573" i="5"/>
  <c r="U574" i="5"/>
  <c r="U575" i="5"/>
  <c r="U576" i="5"/>
  <c r="U577" i="5"/>
  <c r="U578" i="5"/>
  <c r="U579" i="5"/>
  <c r="U580" i="5"/>
  <c r="U581" i="5"/>
  <c r="U582" i="5"/>
  <c r="U583" i="5"/>
  <c r="U584" i="5"/>
  <c r="U585" i="5"/>
  <c r="U586" i="5"/>
  <c r="U587" i="5"/>
  <c r="U588" i="5"/>
  <c r="U589" i="5"/>
  <c r="U590" i="5"/>
  <c r="U591" i="5"/>
  <c r="U592" i="5"/>
  <c r="U593" i="5"/>
  <c r="U594" i="5"/>
  <c r="U595" i="5"/>
  <c r="U596" i="5"/>
  <c r="U597" i="5"/>
  <c r="U598" i="5"/>
  <c r="U599" i="5"/>
  <c r="U600" i="5"/>
  <c r="U601" i="5"/>
  <c r="U602" i="5"/>
  <c r="U603" i="5"/>
  <c r="U604" i="5"/>
  <c r="U605" i="5"/>
  <c r="U606" i="5"/>
  <c r="U607" i="5"/>
  <c r="U608" i="5"/>
  <c r="U609" i="5"/>
  <c r="U610" i="5"/>
  <c r="U611" i="5"/>
  <c r="U612" i="5"/>
  <c r="U613" i="5"/>
  <c r="U614" i="5"/>
  <c r="U615" i="5"/>
  <c r="U616" i="5"/>
  <c r="U617" i="5"/>
  <c r="U618" i="5"/>
  <c r="U619" i="5"/>
  <c r="U620" i="5"/>
  <c r="U621" i="5"/>
  <c r="U622" i="5"/>
  <c r="U623" i="5"/>
  <c r="U624" i="5"/>
  <c r="U625" i="5"/>
  <c r="U626" i="5"/>
  <c r="U627" i="5"/>
  <c r="U628" i="5"/>
  <c r="U629" i="5"/>
  <c r="U630" i="5"/>
  <c r="U631" i="5"/>
  <c r="U632" i="5"/>
  <c r="U633" i="5"/>
  <c r="U634" i="5"/>
  <c r="U635" i="5"/>
  <c r="U636" i="5"/>
  <c r="U637" i="5"/>
  <c r="U638" i="5"/>
  <c r="U639" i="5"/>
  <c r="U640" i="5"/>
  <c r="U641" i="5"/>
  <c r="U642" i="5"/>
  <c r="U643" i="5"/>
  <c r="U644" i="5"/>
  <c r="U645" i="5"/>
  <c r="U646" i="5"/>
  <c r="U647" i="5"/>
  <c r="U648" i="5"/>
  <c r="U649" i="5"/>
  <c r="U650" i="5"/>
  <c r="U651" i="5"/>
  <c r="U652" i="5"/>
  <c r="U653" i="5"/>
  <c r="U654" i="5"/>
  <c r="U655" i="5"/>
  <c r="U656" i="5"/>
  <c r="U657" i="5"/>
  <c r="U658" i="5"/>
  <c r="U659" i="5"/>
  <c r="U660" i="5"/>
  <c r="U661" i="5"/>
  <c r="U662" i="5"/>
  <c r="U663" i="5"/>
  <c r="U664" i="5"/>
  <c r="U665" i="5"/>
  <c r="U666" i="5"/>
  <c r="U667" i="5"/>
  <c r="U668" i="5"/>
  <c r="U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10" i="5"/>
  <c r="B10" i="5"/>
  <c r="C494" i="5"/>
  <c r="C486" i="5"/>
  <c r="C495" i="5"/>
  <c r="C304" i="5"/>
  <c r="C227" i="5"/>
  <c r="C537" i="5"/>
  <c r="C101" i="5"/>
  <c r="C64" i="5"/>
  <c r="C38" i="5"/>
  <c r="C120" i="5"/>
  <c r="C134" i="5"/>
  <c r="C311" i="5"/>
  <c r="C117" i="5"/>
  <c r="C35" i="5"/>
  <c r="C375" i="5"/>
  <c r="C353" i="5"/>
  <c r="C376" i="5"/>
  <c r="C126" i="5"/>
  <c r="B461" i="5"/>
  <c r="C18" i="5"/>
  <c r="C288" i="5"/>
  <c r="C449" i="5"/>
  <c r="C386" i="5"/>
  <c r="C378" i="5"/>
  <c r="C272" i="5"/>
  <c r="C262" i="5"/>
  <c r="C431" i="5"/>
  <c r="B320" i="5"/>
  <c r="C553" i="5"/>
  <c r="C203" i="5"/>
  <c r="V8" i="5"/>
  <c r="C113" i="5"/>
  <c r="C350" i="5"/>
  <c r="C209" i="5"/>
  <c r="C585" i="5"/>
  <c r="C223" i="5"/>
  <c r="B48" i="5"/>
  <c r="C156" i="5"/>
  <c r="B393" i="5"/>
  <c r="C58" i="5"/>
  <c r="C577" i="5"/>
  <c r="C479" i="5"/>
  <c r="C430" i="5"/>
  <c r="C264" i="5"/>
  <c r="C603" i="5"/>
  <c r="C651" i="5"/>
  <c r="C633" i="5"/>
  <c r="D9" i="5"/>
  <c r="O9" i="5"/>
  <c r="C658" i="5"/>
  <c r="C13" i="5"/>
  <c r="B530" i="5"/>
  <c r="C455" i="5"/>
  <c r="C115" i="5"/>
  <c r="C31" i="5"/>
  <c r="C254" i="5"/>
  <c r="C520" i="5"/>
  <c r="C163" i="5"/>
  <c r="C600" i="5"/>
  <c r="C637" i="5"/>
  <c r="C539" i="5"/>
  <c r="C289" i="5"/>
  <c r="C139" i="5"/>
  <c r="C530" i="5"/>
  <c r="C213" i="5"/>
  <c r="C371" i="5"/>
  <c r="C331" i="5"/>
  <c r="C295" i="5"/>
  <c r="C325" i="5"/>
  <c r="C92" i="5"/>
  <c r="C107" i="5"/>
  <c r="C538" i="5"/>
  <c r="C347" i="5"/>
  <c r="C566" i="5"/>
  <c r="B146" i="5"/>
  <c r="C579" i="5"/>
  <c r="C602" i="5"/>
  <c r="C356" i="5"/>
  <c r="C104" i="5"/>
  <c r="C152" i="5"/>
  <c r="C514" i="5"/>
  <c r="C315" i="5"/>
  <c r="C150" i="5"/>
  <c r="C235" i="5"/>
  <c r="C155" i="5"/>
  <c r="C488" i="5"/>
  <c r="C276" i="5"/>
  <c r="C546" i="5"/>
  <c r="C626" i="5"/>
  <c r="C360" i="5"/>
  <c r="C128" i="5"/>
  <c r="C99" i="5"/>
  <c r="C576" i="5"/>
  <c r="C438" i="5"/>
  <c r="C244" i="5"/>
  <c r="C452" i="5"/>
  <c r="C617" i="5"/>
  <c r="C143" i="5"/>
  <c r="C619" i="5"/>
  <c r="C20" i="5"/>
  <c r="C557" i="5"/>
  <c r="C496" i="5"/>
  <c r="B275" i="5"/>
  <c r="C236" i="5"/>
  <c r="AE8" i="5"/>
  <c r="B663" i="5"/>
  <c r="C11" i="5"/>
  <c r="C505" i="5"/>
  <c r="C590" i="5"/>
  <c r="C267" i="5"/>
  <c r="C612" i="5"/>
  <c r="C533" i="5"/>
  <c r="C344" i="5"/>
  <c r="C345" i="5"/>
  <c r="C515" i="5"/>
  <c r="C439" i="5"/>
  <c r="C146" i="5"/>
  <c r="C200" i="5"/>
  <c r="C67" i="5"/>
  <c r="C558" i="5"/>
  <c r="C521" i="5"/>
  <c r="B197" i="5"/>
  <c r="C323" i="5"/>
  <c r="C563" i="5"/>
  <c r="C182" i="5"/>
  <c r="B574" i="5"/>
  <c r="C328" i="5"/>
  <c r="C218" i="5"/>
  <c r="C427" i="5"/>
  <c r="C447" i="5"/>
  <c r="C582" i="5"/>
  <c r="C334" i="5"/>
  <c r="C382" i="5"/>
  <c r="B187" i="5"/>
  <c r="C164" i="5"/>
  <c r="B209" i="5"/>
  <c r="C436" i="5"/>
  <c r="B385" i="5"/>
  <c r="C133" i="5"/>
  <c r="C105" i="5"/>
  <c r="C604" i="5"/>
  <c r="C167" i="5"/>
  <c r="C503" i="5"/>
  <c r="B331" i="5"/>
  <c r="C330" i="5"/>
  <c r="C491" i="5"/>
  <c r="C369" i="5"/>
  <c r="B231" i="5"/>
  <c r="C425" i="5"/>
  <c r="C591" i="5"/>
  <c r="C373" i="5"/>
  <c r="C534" i="5"/>
  <c r="C51" i="5"/>
  <c r="C294" i="5"/>
  <c r="C599" i="5"/>
  <c r="C501" i="5"/>
  <c r="C463" i="5"/>
  <c r="AG9" i="5"/>
  <c r="C10" i="5"/>
  <c r="C665" i="5"/>
  <c r="C14" i="5"/>
  <c r="C648" i="5"/>
  <c r="C238" i="5"/>
  <c r="C627" i="5"/>
  <c r="V9" i="5"/>
  <c r="C265" i="5"/>
  <c r="C239" i="5"/>
  <c r="C374" i="5"/>
  <c r="C65" i="5"/>
  <c r="AF9" i="5"/>
  <c r="I9" i="5"/>
  <c r="C293" i="5"/>
  <c r="C147" i="5"/>
  <c r="B98" i="5"/>
  <c r="C462" i="5"/>
  <c r="C589" i="5"/>
  <c r="C388" i="5"/>
  <c r="C275" i="5"/>
  <c r="C638" i="5"/>
  <c r="C662" i="5"/>
  <c r="C121" i="5"/>
  <c r="C201" i="5"/>
  <c r="C357" i="5"/>
  <c r="C464" i="5"/>
  <c r="C211" i="5"/>
  <c r="C79" i="5"/>
  <c r="C310" i="5"/>
  <c r="C15" i="5"/>
  <c r="C610" i="5"/>
  <c r="C326" i="5"/>
  <c r="C103" i="5"/>
  <c r="Y8" i="5"/>
  <c r="B653" i="5"/>
  <c r="Z9" i="5"/>
  <c r="C418" i="5"/>
  <c r="C202" i="5"/>
  <c r="C55" i="5"/>
  <c r="C148" i="5"/>
  <c r="C387" i="5"/>
  <c r="AA9" i="5"/>
  <c r="C458" i="5"/>
  <c r="C639" i="5"/>
  <c r="C253" i="5"/>
  <c r="C529" i="5"/>
  <c r="C613" i="5"/>
  <c r="C66" i="5"/>
  <c r="C429" i="5"/>
  <c r="C298" i="5"/>
  <c r="C102" i="5"/>
  <c r="C122" i="5"/>
  <c r="C97" i="5"/>
  <c r="C550" i="5"/>
  <c r="B166" i="5"/>
  <c r="C567" i="5"/>
  <c r="C189" i="5"/>
  <c r="C327" i="5"/>
  <c r="C320" i="5"/>
  <c r="C109" i="5"/>
  <c r="C500" i="5"/>
  <c r="C69" i="5"/>
  <c r="B615" i="5"/>
  <c r="C608" i="5"/>
  <c r="C174" i="5"/>
  <c r="C135" i="5"/>
  <c r="B554" i="5"/>
  <c r="C266" i="5"/>
  <c r="C625" i="5"/>
  <c r="C90" i="5"/>
  <c r="C476" i="5"/>
  <c r="C584" i="5"/>
  <c r="C397" i="5"/>
  <c r="C377" i="5"/>
  <c r="C195" i="5"/>
  <c r="C556" i="5"/>
  <c r="C499" i="5"/>
  <c r="C343" i="5"/>
  <c r="C459" i="5"/>
  <c r="C415" i="5"/>
  <c r="C302" i="5"/>
  <c r="C653" i="5"/>
  <c r="M9" i="5"/>
  <c r="Q9" i="5"/>
  <c r="C339" i="5"/>
  <c r="C428" i="5"/>
  <c r="C335" i="5"/>
  <c r="C230" i="5"/>
  <c r="C196" i="5"/>
  <c r="C465" i="5"/>
  <c r="C191" i="5"/>
  <c r="C466" i="5"/>
  <c r="C296" i="5"/>
  <c r="C647" i="5"/>
  <c r="C77" i="5"/>
  <c r="C412" i="5"/>
  <c r="B488" i="5"/>
  <c r="P9" i="5"/>
  <c r="C657" i="5"/>
  <c r="C112" i="5"/>
  <c r="C440" i="5"/>
  <c r="C365" i="5"/>
  <c r="H9" i="5"/>
  <c r="C401" i="5"/>
  <c r="C490" i="5"/>
  <c r="C225" i="5"/>
  <c r="C358" i="5"/>
  <c r="C480" i="5"/>
  <c r="C290" i="5"/>
  <c r="C270" i="5"/>
  <c r="C297" i="5"/>
  <c r="C100" i="5"/>
  <c r="C523" i="5"/>
  <c r="C332" i="5"/>
  <c r="C352" i="5"/>
  <c r="C554" i="5"/>
  <c r="C151" i="5"/>
  <c r="C395" i="5"/>
  <c r="B83" i="5"/>
  <c r="C419" i="5"/>
  <c r="B289" i="5"/>
  <c r="C421" i="5"/>
  <c r="C25" i="5"/>
  <c r="C300" i="5"/>
  <c r="C512" i="5"/>
  <c r="C403" i="5"/>
  <c r="C366" i="5"/>
  <c r="C611" i="5"/>
  <c r="C208" i="5"/>
  <c r="C398" i="5"/>
  <c r="C424" i="5"/>
  <c r="C207" i="5"/>
  <c r="B210" i="5"/>
  <c r="C250" i="5"/>
  <c r="C492" i="5"/>
  <c r="AE9" i="5"/>
  <c r="B639" i="5"/>
  <c r="C341" i="5"/>
  <c r="C396" i="5"/>
  <c r="C451" i="5"/>
  <c r="C531" i="5"/>
  <c r="C508" i="5"/>
  <c r="C28" i="5"/>
  <c r="C176" i="5"/>
  <c r="C536" i="5"/>
  <c r="C663" i="5"/>
  <c r="C367" i="5"/>
  <c r="C70" i="5"/>
  <c r="C485" i="5"/>
  <c r="C125" i="5"/>
  <c r="C516" i="5"/>
  <c r="C497" i="5"/>
  <c r="C522" i="5"/>
  <c r="C87" i="5"/>
  <c r="C168" i="5"/>
  <c r="C559" i="5"/>
  <c r="C578" i="5"/>
  <c r="C271" i="5"/>
  <c r="C381" i="5"/>
  <c r="Y9" i="5"/>
  <c r="C313" i="5"/>
  <c r="B586" i="5"/>
  <c r="C598" i="5"/>
  <c r="C337" i="5"/>
  <c r="C580" i="5"/>
  <c r="U9" i="5"/>
  <c r="C402" i="5"/>
  <c r="C519" i="5"/>
  <c r="C138" i="5"/>
  <c r="B630" i="5"/>
  <c r="C592" i="5"/>
  <c r="C621" i="5"/>
  <c r="C23" i="5"/>
  <c r="C84" i="5"/>
  <c r="C177" i="5"/>
  <c r="C165" i="5"/>
  <c r="C317" i="5"/>
  <c r="C269" i="5"/>
  <c r="C562" i="5"/>
  <c r="B595" i="5"/>
  <c r="C216" i="5"/>
  <c r="C178" i="5"/>
  <c r="B425" i="5"/>
  <c r="C231" i="5"/>
  <c r="B439" i="5"/>
  <c r="C454" i="5"/>
  <c r="C260" i="5"/>
  <c r="C221" i="5"/>
  <c r="C420" i="5"/>
  <c r="C93" i="5"/>
  <c r="C110" i="5"/>
  <c r="C502" i="5"/>
  <c r="B522" i="5"/>
  <c r="M8" i="5"/>
  <c r="C641" i="5"/>
  <c r="L9" i="5"/>
  <c r="C646" i="5"/>
  <c r="C656" i="5"/>
  <c r="C82" i="5"/>
  <c r="C469" i="5"/>
  <c r="C487" i="5"/>
  <c r="C44" i="5"/>
  <c r="C574" i="5"/>
  <c r="C632" i="5"/>
  <c r="B510" i="5"/>
  <c r="C586" i="5"/>
  <c r="C242" i="5"/>
  <c r="C597" i="5"/>
  <c r="C56" i="5"/>
  <c r="C446" i="5"/>
  <c r="C219" i="5"/>
  <c r="C572" i="5"/>
  <c r="C569" i="5"/>
  <c r="C605" i="5"/>
  <c r="C321" i="5"/>
  <c r="C478" i="5"/>
  <c r="W9" i="5"/>
  <c r="S8" i="5"/>
  <c r="B311" i="5"/>
  <c r="C123" i="5"/>
  <c r="B420" i="5"/>
  <c r="B127" i="5"/>
  <c r="C355" i="5"/>
  <c r="C132" i="5"/>
  <c r="C287" i="5"/>
  <c r="C342" i="5"/>
  <c r="C318" i="5"/>
  <c r="C510" i="5"/>
  <c r="B176" i="5"/>
  <c r="AC9" i="5"/>
  <c r="C243" i="5"/>
  <c r="C607" i="5"/>
  <c r="C63" i="5"/>
  <c r="C540" i="5"/>
  <c r="C292" i="5"/>
  <c r="C470" i="5"/>
  <c r="C622" i="5"/>
  <c r="C210" i="5"/>
  <c r="C220" i="5"/>
  <c r="C273" i="5"/>
  <c r="C435" i="5"/>
  <c r="B369" i="5"/>
  <c r="C175" i="5"/>
  <c r="C194" i="5"/>
  <c r="C581" i="5"/>
  <c r="C551" i="5"/>
  <c r="C71" i="5"/>
  <c r="C380" i="5"/>
  <c r="C22" i="5"/>
  <c r="C493" i="5"/>
  <c r="C329" i="5"/>
  <c r="C192" i="5"/>
  <c r="B301" i="5"/>
  <c r="C445" i="5"/>
  <c r="C408" i="5"/>
  <c r="B68" i="5"/>
  <c r="C460" i="5"/>
  <c r="C450" i="5"/>
  <c r="C336" i="5"/>
  <c r="C324" i="5"/>
  <c r="C340" i="5"/>
  <c r="C118" i="5"/>
  <c r="B563" i="5"/>
  <c r="C642" i="5"/>
  <c r="G9" i="5"/>
  <c r="E9" i="5"/>
  <c r="C660" i="5"/>
  <c r="N9" i="5"/>
  <c r="C279" i="5"/>
  <c r="D8" i="5"/>
  <c r="C643" i="5"/>
  <c r="C256" i="5"/>
  <c r="C131" i="5"/>
  <c r="C489" i="5"/>
  <c r="C368" i="5"/>
  <c r="C149" i="5"/>
  <c r="C524" i="5"/>
  <c r="C528" i="5"/>
  <c r="C252" i="5"/>
  <c r="C411" i="5"/>
  <c r="C237" i="5"/>
  <c r="C456" i="5"/>
  <c r="C261" i="5"/>
  <c r="C661" i="5"/>
  <c r="C319" i="5"/>
  <c r="C525" i="5"/>
  <c r="C587" i="5"/>
  <c r="C159" i="5"/>
  <c r="C41" i="5"/>
  <c r="B221" i="5"/>
  <c r="B625" i="5"/>
  <c r="B263" i="5"/>
  <c r="P8" i="5"/>
  <c r="C258" i="5"/>
  <c r="C549" i="5"/>
  <c r="C72" i="5"/>
  <c r="C81" i="5"/>
  <c r="C441" i="5"/>
  <c r="C561" i="5"/>
  <c r="B351" i="5"/>
  <c r="J9" i="5"/>
  <c r="B556" i="5"/>
  <c r="C362" i="5"/>
  <c r="C212" i="5"/>
  <c r="C629" i="5"/>
  <c r="C544" i="5"/>
  <c r="C68" i="5"/>
  <c r="C405" i="5"/>
  <c r="C17" i="5"/>
  <c r="C144" i="5"/>
  <c r="C45" i="5"/>
  <c r="C39" i="5"/>
  <c r="C513" i="5"/>
  <c r="C518" i="5"/>
  <c r="C361" i="5"/>
  <c r="B60" i="5"/>
  <c r="C385" i="5"/>
  <c r="C137" i="5"/>
  <c r="B500" i="5"/>
  <c r="C257" i="5"/>
  <c r="C624" i="5"/>
  <c r="C404" i="5"/>
  <c r="C423" i="5"/>
  <c r="C60" i="5"/>
  <c r="C62" i="5"/>
  <c r="C301" i="5"/>
  <c r="C606" i="5"/>
  <c r="C422" i="5"/>
  <c r="C47" i="5"/>
  <c r="C169" i="5"/>
  <c r="C394" i="5"/>
  <c r="C181" i="5"/>
  <c r="C575" i="5"/>
  <c r="C570" i="5"/>
  <c r="C299" i="5"/>
  <c r="C75" i="5"/>
  <c r="C312" i="5"/>
  <c r="C224" i="5"/>
  <c r="C618" i="5"/>
  <c r="B515" i="5"/>
  <c r="B417" i="5"/>
  <c r="AB9" i="5"/>
  <c r="C527" i="5"/>
  <c r="C348" i="5"/>
  <c r="C667" i="5"/>
  <c r="C12" i="5"/>
  <c r="C635" i="5"/>
  <c r="C249" i="5"/>
  <c r="C111" i="5"/>
  <c r="C173" i="5"/>
  <c r="C630" i="5"/>
  <c r="C40" i="5"/>
  <c r="C437" i="5"/>
  <c r="X9" i="5"/>
  <c r="C222" i="5"/>
  <c r="C442" i="5"/>
  <c r="C251" i="5"/>
  <c r="C241" i="5"/>
  <c r="C477" i="5"/>
  <c r="C645" i="5"/>
  <c r="C186" i="5"/>
  <c r="B25" i="5"/>
  <c r="C158" i="5"/>
  <c r="C384" i="5"/>
  <c r="C541" i="5"/>
  <c r="B604" i="5"/>
  <c r="C255" i="5"/>
  <c r="C588" i="5"/>
  <c r="C199" i="5"/>
  <c r="C283" i="5"/>
  <c r="C88" i="5"/>
  <c r="B300" i="5"/>
  <c r="C471" i="5"/>
  <c r="C21" i="5"/>
  <c r="C130" i="5"/>
  <c r="C48" i="5"/>
  <c r="C391" i="5"/>
  <c r="C240" i="5"/>
  <c r="C166" i="5"/>
  <c r="C399" i="5"/>
  <c r="C217" i="5"/>
  <c r="C305" i="5"/>
  <c r="C453" i="5"/>
  <c r="C281" i="5"/>
  <c r="C650" i="5"/>
  <c r="G8" i="5"/>
  <c r="C233" i="5"/>
  <c r="C277" i="5"/>
  <c r="C108" i="5"/>
  <c r="B476" i="5"/>
  <c r="C594" i="5"/>
  <c r="C247" i="5"/>
  <c r="B38" i="5"/>
  <c r="C197" i="5"/>
  <c r="C96" i="5"/>
  <c r="C467" i="5"/>
  <c r="C640" i="5"/>
  <c r="C448" i="5"/>
  <c r="C284" i="5"/>
  <c r="C426" i="5"/>
  <c r="C314" i="5"/>
  <c r="B448" i="5"/>
  <c r="J8" i="5"/>
  <c r="C346" i="5"/>
  <c r="C215" i="5"/>
  <c r="C483" i="5"/>
  <c r="C232" i="5"/>
  <c r="B431" i="5"/>
  <c r="C29" i="5"/>
  <c r="C274" i="5"/>
  <c r="C482" i="5"/>
  <c r="B6" i="5"/>
  <c r="C180" i="5"/>
  <c r="C57" i="5"/>
  <c r="C583" i="5"/>
  <c r="C461" i="5"/>
  <c r="C416" i="5"/>
  <c r="C154" i="5"/>
  <c r="C545" i="5"/>
  <c r="B401" i="5"/>
  <c r="C504" i="5"/>
  <c r="S9" i="5"/>
  <c r="B362" i="5"/>
  <c r="C145" i="5"/>
  <c r="AD9" i="5"/>
  <c r="C229" i="5"/>
  <c r="C620" i="5"/>
  <c r="C432" i="5"/>
  <c r="B109" i="5"/>
  <c r="C568" i="5"/>
  <c r="C468" i="5"/>
  <c r="C389" i="5"/>
  <c r="C351" i="5"/>
  <c r="C140" i="5"/>
  <c r="C474" i="5"/>
  <c r="C32" i="5"/>
  <c r="C142" i="5"/>
  <c r="C623" i="5"/>
  <c r="C187" i="5"/>
  <c r="C46" i="5"/>
  <c r="C33" i="5"/>
  <c r="C543" i="5"/>
  <c r="B467" i="5"/>
  <c r="C114" i="5"/>
  <c r="B645" i="5"/>
  <c r="C91" i="5"/>
  <c r="C573" i="5"/>
  <c r="C506" i="5"/>
  <c r="B377" i="5"/>
  <c r="C198" i="5"/>
  <c r="C282" i="5"/>
  <c r="C86" i="5"/>
  <c r="C481" i="5"/>
  <c r="C161" i="5"/>
  <c r="B242" i="5"/>
  <c r="C234" i="5"/>
  <c r="C393" i="5"/>
  <c r="C204" i="5"/>
  <c r="C601" i="5"/>
  <c r="C94" i="5"/>
  <c r="C457" i="5"/>
  <c r="C106" i="5"/>
  <c r="C76" i="5"/>
  <c r="C338" i="5"/>
  <c r="C444" i="5"/>
  <c r="C124" i="5"/>
  <c r="C615" i="5"/>
  <c r="B578" i="5"/>
  <c r="C370" i="5"/>
  <c r="B119" i="5"/>
  <c r="B36" i="5"/>
  <c r="C359" i="5"/>
  <c r="C555" i="5"/>
  <c r="C417" i="5"/>
  <c r="C49" i="5"/>
  <c r="C50" i="5"/>
  <c r="C280" i="5"/>
  <c r="C98" i="5"/>
  <c r="C542" i="5"/>
  <c r="C372" i="5"/>
  <c r="C291" i="5"/>
  <c r="C42" i="5"/>
  <c r="C498" i="5"/>
  <c r="B406" i="5"/>
  <c r="C526" i="5"/>
  <c r="C484" i="5"/>
  <c r="C333" i="5"/>
  <c r="C43" i="5"/>
  <c r="C248" i="5"/>
  <c r="C507" i="5"/>
  <c r="C184" i="5"/>
  <c r="B177" i="5"/>
  <c r="C30" i="5"/>
  <c r="F9" i="5"/>
  <c r="C652" i="5"/>
  <c r="C644" i="5"/>
  <c r="C664" i="5"/>
  <c r="C80" i="5"/>
  <c r="C400" i="5"/>
  <c r="C616" i="5"/>
  <c r="B3" i="5"/>
  <c r="C74" i="5"/>
  <c r="C548" i="5"/>
  <c r="AB8" i="5"/>
  <c r="C185" i="5"/>
  <c r="C509" i="5"/>
  <c r="C73" i="5"/>
  <c r="C571" i="5"/>
  <c r="C308" i="5"/>
  <c r="C228" i="5"/>
  <c r="B462" i="5"/>
  <c r="C309" i="5"/>
  <c r="C306" i="5"/>
  <c r="C89" i="5"/>
  <c r="B325" i="5"/>
  <c r="C129" i="5"/>
  <c r="C78" i="5"/>
  <c r="C263" i="5"/>
  <c r="C565" i="5"/>
  <c r="C286" i="5"/>
  <c r="C354" i="5"/>
  <c r="C160" i="5"/>
  <c r="C179" i="5"/>
  <c r="C596" i="5"/>
  <c r="C349" i="5"/>
  <c r="C54" i="5"/>
  <c r="C472" i="5"/>
  <c r="C153" i="5"/>
  <c r="C532" i="5"/>
  <c r="C26" i="5"/>
  <c r="B156" i="5"/>
  <c r="B338" i="5"/>
  <c r="C85" i="5"/>
  <c r="C193" i="5"/>
  <c r="C183" i="5"/>
  <c r="C517" i="5"/>
  <c r="C19" i="5"/>
  <c r="C141" i="5"/>
  <c r="B134" i="5"/>
  <c r="B89" i="5"/>
  <c r="C226" i="5"/>
  <c r="C560" i="5"/>
  <c r="C61" i="5"/>
  <c r="C475" i="5"/>
  <c r="C564" i="5"/>
  <c r="C171" i="5"/>
  <c r="C406" i="5"/>
  <c r="C34" i="5"/>
  <c r="C649" i="5"/>
  <c r="C655" i="5"/>
  <c r="C16" i="5"/>
  <c r="C668" i="5"/>
  <c r="C511" i="5"/>
  <c r="C593" i="5"/>
  <c r="C307" i="5"/>
  <c r="C434" i="5"/>
  <c r="C654" i="5"/>
  <c r="C53" i="5"/>
  <c r="C410" i="5"/>
  <c r="B253" i="5"/>
  <c r="C172" i="5"/>
  <c r="C595" i="5"/>
  <c r="C303" i="5"/>
  <c r="C285" i="5"/>
  <c r="T9" i="5"/>
  <c r="C214" i="5"/>
  <c r="C379" i="5"/>
  <c r="C136" i="5"/>
  <c r="C547" i="5"/>
  <c r="C278" i="5"/>
  <c r="C552" i="5"/>
  <c r="C116" i="5"/>
  <c r="C535" i="5"/>
  <c r="C407" i="5"/>
  <c r="C414" i="5"/>
  <c r="C259" i="5"/>
  <c r="C609" i="5"/>
  <c r="C390" i="5"/>
  <c r="C409" i="5"/>
  <c r="C83" i="5"/>
  <c r="B77" i="5"/>
  <c r="C363" i="5"/>
  <c r="C246" i="5"/>
  <c r="C383" i="5"/>
  <c r="C188" i="5"/>
  <c r="B543" i="5"/>
  <c r="C614" i="5"/>
  <c r="C59" i="5"/>
  <c r="C316" i="5"/>
  <c r="C628" i="5"/>
  <c r="C413" i="5"/>
  <c r="C162" i="5"/>
  <c r="C36" i="5"/>
  <c r="C127" i="5"/>
  <c r="C364" i="5"/>
  <c r="C190" i="5"/>
  <c r="B455" i="5"/>
  <c r="C205" i="5"/>
  <c r="C37" i="5"/>
  <c r="C206" i="5"/>
  <c r="C52" i="5"/>
  <c r="C157" i="5"/>
  <c r="C322" i="5"/>
  <c r="C24" i="5"/>
  <c r="C636" i="5"/>
  <c r="K9" i="5"/>
  <c r="C666" i="5"/>
  <c r="C634" i="5"/>
  <c r="C443" i="5"/>
  <c r="C95" i="5"/>
  <c r="C473" i="5"/>
  <c r="C245" i="5"/>
  <c r="C392" i="5"/>
  <c r="C433" i="5"/>
  <c r="C659" i="5"/>
  <c r="C268" i="5"/>
  <c r="C27" i="5"/>
  <c r="C631" i="5"/>
  <c r="C119" i="5"/>
  <c r="C170" i="5"/>
  <c r="R9" i="5"/>
  <c r="B22" i="5"/>
</calcChain>
</file>

<file path=xl/sharedStrings.xml><?xml version="1.0" encoding="utf-8"?>
<sst xmlns="http://schemas.openxmlformats.org/spreadsheetml/2006/main" count="80" uniqueCount="80">
  <si>
    <t>1000AC0501</t>
  </si>
  <si>
    <t>1000AC0502</t>
  </si>
  <si>
    <t>1000AC0512</t>
  </si>
  <si>
    <t>1000AC0518</t>
  </si>
  <si>
    <t>1000AC0523</t>
  </si>
  <si>
    <t>1000AC0504</t>
  </si>
  <si>
    <t>1000AC0505</t>
  </si>
  <si>
    <t>1000AC0506</t>
  </si>
  <si>
    <t>1000AC0519</t>
  </si>
  <si>
    <t>1000AC0521</t>
  </si>
  <si>
    <t>1000AC0522</t>
  </si>
  <si>
    <t>1000AC0525</t>
  </si>
  <si>
    <t>1000AC0530</t>
  </si>
  <si>
    <t>1000AC0531</t>
  </si>
  <si>
    <t>1000AC0540</t>
  </si>
  <si>
    <t>1000AC7012</t>
  </si>
  <si>
    <t>1000AC7013</t>
  </si>
  <si>
    <t>1000AC7015</t>
  </si>
  <si>
    <t>1000AC0511</t>
  </si>
  <si>
    <t>1000AC0515</t>
  </si>
  <si>
    <t>1000AC0508</t>
  </si>
  <si>
    <t>1000AC3002</t>
  </si>
  <si>
    <t>1000AC3001</t>
  </si>
  <si>
    <t>1000AC3010</t>
  </si>
  <si>
    <t>1000AC0516</t>
  </si>
  <si>
    <t>1000AC3501</t>
  </si>
  <si>
    <t>1000AC3502</t>
  </si>
  <si>
    <t>1000AC3503</t>
  </si>
  <si>
    <t>1000AC3504</t>
  </si>
  <si>
    <t>1000AC3505</t>
  </si>
  <si>
    <t>1000AC3506</t>
  </si>
  <si>
    <t>1000AC3509</t>
  </si>
  <si>
    <t>1000AC3512</t>
  </si>
  <si>
    <t>1000AC3513</t>
  </si>
  <si>
    <t>1000AC3515</t>
  </si>
  <si>
    <t>1000AC3516</t>
  </si>
  <si>
    <t>1000AC3530</t>
  </si>
  <si>
    <t>1000AC3531</t>
  </si>
  <si>
    <t>1000AC3508</t>
  </si>
  <si>
    <t>1000AC4001</t>
  </si>
  <si>
    <t>1000AC4002</t>
  </si>
  <si>
    <t>1000AC4003</t>
  </si>
  <si>
    <t>1000AC4004</t>
  </si>
  <si>
    <t>1000AC4005</t>
  </si>
  <si>
    <t>1000AC4006</t>
  </si>
  <si>
    <t>1000AC4007</t>
  </si>
  <si>
    <t>1000AC4008</t>
  </si>
  <si>
    <t>1000AC4009</t>
  </si>
  <si>
    <t>1000AC4010</t>
  </si>
  <si>
    <t>1000AC4011</t>
  </si>
  <si>
    <t>1000AC4012</t>
  </si>
  <si>
    <t>1000AC4013</t>
  </si>
  <si>
    <t>1000AC4014</t>
  </si>
  <si>
    <t>1000AC4015</t>
  </si>
  <si>
    <t>1000AC4016</t>
  </si>
  <si>
    <t>1000AC4017</t>
  </si>
  <si>
    <t>1000AC4018</t>
  </si>
  <si>
    <t>1000AC4501</t>
  </si>
  <si>
    <t>1000AC4502</t>
  </si>
  <si>
    <t>1000AC4503</t>
  </si>
  <si>
    <t>1000AC4505</t>
  </si>
  <si>
    <t>1000AC4507</t>
  </si>
  <si>
    <t>1000AC4508</t>
  </si>
  <si>
    <t>1000AC5501</t>
  </si>
  <si>
    <t>1000AC5502</t>
  </si>
  <si>
    <t>1000AC5503</t>
  </si>
  <si>
    <t>1000AC5504</t>
  </si>
  <si>
    <t>1000AC6001</t>
  </si>
  <si>
    <t>1000AC0520</t>
  </si>
  <si>
    <t>1000AC0509</t>
  </si>
  <si>
    <t>1000AC0510</t>
  </si>
  <si>
    <t>1000AC0513</t>
  </si>
  <si>
    <t>1000AC0514</t>
  </si>
  <si>
    <t>1000AC7010</t>
  </si>
  <si>
    <t>1000AC7014</t>
  </si>
  <si>
    <t>1000AC7016</t>
  </si>
  <si>
    <t>1000AC4504</t>
  </si>
  <si>
    <t>1000AC4506</t>
  </si>
  <si>
    <t>1000AC5001</t>
  </si>
  <si>
    <t>1000AC7201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</si>
</sst>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3.emf"/><Relationship Id="rId1" Type="http://schemas.openxmlformats.org/officeDocument/2006/relationships/image" Target="../media/image4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0</xdr:colOff>
          <xdr:row>0</xdr:row>
          <xdr:rowOff>0</xdr:rowOff>
        </xdr:to>
        <xdr:sp macro="" textlink="">
          <xdr:nvSpPr>
            <xdr:cNvPr id="5121" name="FPMExcelClientSheetOptionstb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0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0</xdr:colOff>
          <xdr:row>0</xdr:row>
          <xdr:rowOff>0</xdr:rowOff>
        </xdr:to>
        <xdr:sp macro="" textlink="">
          <xdr:nvSpPr>
            <xdr:cNvPr id="5122" name="ConnectionDescriptorsInfotb1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0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0</xdr:colOff>
          <xdr:row>0</xdr:row>
          <xdr:rowOff>0</xdr:rowOff>
        </xdr:to>
        <xdr:sp macro="" textlink="">
          <xdr:nvSpPr>
            <xdr:cNvPr id="5123" name="MultipleReportManagerInfotb1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0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0</xdr:colOff>
          <xdr:row>0</xdr:row>
          <xdr:rowOff>0</xdr:rowOff>
        </xdr:to>
        <xdr:sp macro="" textlink="">
          <xdr:nvSpPr>
            <xdr:cNvPr id="5124" name="AnalyzerDynReport000tb1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0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4974F59-2F8C-46C8-A045-174A274D1002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ccf73959-6d07-4120-9195-a038753cc5d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.xml"/><Relationship Id="rId13" Type="http://schemas.openxmlformats.org/officeDocument/2006/relationships/image" Target="../media/image4.emf"/><Relationship Id="rId3" Type="http://schemas.openxmlformats.org/officeDocument/2006/relationships/customProperty" Target="../customProperty3.bin"/><Relationship Id="rId7" Type="http://schemas.openxmlformats.org/officeDocument/2006/relationships/image" Target="../media/image1.emf"/><Relationship Id="rId12" Type="http://schemas.openxmlformats.org/officeDocument/2006/relationships/control" Target="../activeX/activeX4.xml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ontrol" Target="../activeX/activeX1.xml"/><Relationship Id="rId11" Type="http://schemas.openxmlformats.org/officeDocument/2006/relationships/image" Target="../media/image3.emf"/><Relationship Id="rId5" Type="http://schemas.openxmlformats.org/officeDocument/2006/relationships/vmlDrawing" Target="../drawings/vmlDrawing1.vml"/><Relationship Id="rId10" Type="http://schemas.openxmlformats.org/officeDocument/2006/relationships/control" Target="../activeX/activeX3.xml"/><Relationship Id="rId4" Type="http://schemas.openxmlformats.org/officeDocument/2006/relationships/drawing" Target="../drawings/drawing1.xml"/><Relationship Id="rId9" Type="http://schemas.openxmlformats.org/officeDocument/2006/relationships/image" Target="../media/image2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8BB29-F73A-4388-8492-97F6B7EE351B}">
  <sheetPr codeName="Hoja4"/>
  <dimension ref="A3:AH670"/>
  <sheetViews>
    <sheetView showGridLines="0" tabSelected="1" topLeftCell="A211" zoomScale="70" zoomScaleNormal="70" workbookViewId="0">
      <selection activeCell="B10" sqref="B10"/>
    </sheetView>
  </sheetViews>
  <sheetFormatPr baseColWidth="10" defaultRowHeight="13.8" x14ac:dyDescent="0.3"/>
  <cols>
    <col min="2" max="2" width="26.44140625" bestFit="1" customWidth="1"/>
    <col min="3" max="3" width="19.33203125" bestFit="1" customWidth="1"/>
    <col min="4" max="4" width="10.44140625" bestFit="1" customWidth="1"/>
    <col min="5" max="5" width="9.33203125" bestFit="1" customWidth="1"/>
    <col min="6" max="6" width="9.77734375" bestFit="1" customWidth="1"/>
    <col min="7" max="7" width="10.44140625" bestFit="1" customWidth="1"/>
    <col min="8" max="8" width="9.33203125" bestFit="1" customWidth="1"/>
    <col min="9" max="9" width="9.77734375" bestFit="1" customWidth="1"/>
    <col min="10" max="10" width="10.44140625" bestFit="1" customWidth="1"/>
    <col min="11" max="11" width="9.33203125" bestFit="1" customWidth="1"/>
    <col min="12" max="12" width="9.77734375" bestFit="1" customWidth="1"/>
    <col min="13" max="13" width="10.44140625" bestFit="1" customWidth="1"/>
    <col min="14" max="14" width="10.21875" bestFit="1" customWidth="1"/>
    <col min="15" max="15" width="9.77734375" bestFit="1" customWidth="1"/>
    <col min="16" max="17" width="9.33203125" bestFit="1" customWidth="1"/>
    <col min="18" max="18" width="7.77734375" bestFit="1" customWidth="1"/>
    <col min="19" max="20" width="9.33203125" bestFit="1" customWidth="1"/>
    <col min="21" max="21" width="8.33203125" bestFit="1" customWidth="1"/>
    <col min="22" max="23" width="10.21875" bestFit="1" customWidth="1"/>
    <col min="24" max="24" width="9.21875" bestFit="1" customWidth="1"/>
    <col min="25" max="26" width="9.33203125" bestFit="1" customWidth="1"/>
    <col min="27" max="27" width="8.33203125" bestFit="1" customWidth="1"/>
    <col min="28" max="29" width="9.33203125" bestFit="1" customWidth="1"/>
    <col min="30" max="30" width="8.33203125" bestFit="1" customWidth="1"/>
    <col min="31" max="31" width="10.44140625" bestFit="1" customWidth="1"/>
    <col min="32" max="32" width="10.21875" bestFit="1" customWidth="1"/>
    <col min="33" max="34" width="9.21875" bestFit="1" customWidth="1"/>
  </cols>
  <sheetData>
    <row r="3" spans="1:33" x14ac:dyDescent="0.3">
      <c r="B3" t="str">
        <f xml:space="preserve"> _xll.EPMOlapMemberO("[CEBE].[PARENTH1].[B1000CP000]","","B1000CP000 - Amsa Corporativo","","000")</f>
        <v>B1000CP000 - Amsa Corporativo</v>
      </c>
    </row>
    <row r="6" spans="1:33" x14ac:dyDescent="0.3">
      <c r="B6" t="str">
        <f xml:space="preserve"> _xll.EPMOlapMemberO("[ENTITY].[PARENTH1].[1000]","","1000 - Antofagasta Minerals S.A.","","000")</f>
        <v>1000 - Antofagasta Minerals S.A.</v>
      </c>
    </row>
    <row r="8" spans="1:33" s="1" customFormat="1" x14ac:dyDescent="0.3">
      <c r="D8" s="1" t="str">
        <f xml:space="preserve"> _xll.EPMOlapMemberO("[TIME].[PARENTH1].[2022.TOTAL]","","2022.TOTAL","","000")</f>
        <v>2022.TOTAL</v>
      </c>
      <c r="G8" s="1" t="str">
        <f xml:space="preserve"> _xll.EPMOlapMemberO("[TIME].[PARENTH1].[2023.TOTAL]","","2023.TOTAL","","000")</f>
        <v>2023.TOTAL</v>
      </c>
      <c r="J8" s="1" t="str">
        <f xml:space="preserve"> _xll.EPMOlapMemberO("[TIME].[PARENTH1].[2024.TOTAL]","","2024.TOTAL","","000")</f>
        <v>2024.TOTAL</v>
      </c>
      <c r="M8" s="1" t="str">
        <f xml:space="preserve"> _xll.EPMOlapMemberO("[TIME].[PARENTH1].[2025.TOTAL]","","2025.TOTAL","","000")</f>
        <v>2025.TOTAL</v>
      </c>
      <c r="P8" s="1" t="str">
        <f xml:space="preserve"> _xll.EPMOlapMemberO("[TIME].[PARENTH1].[2026.05]","","2026.05","","000")</f>
        <v>2026.05</v>
      </c>
      <c r="S8" s="1" t="str">
        <f xml:space="preserve"> _xll.EPMOlapMemberO("[TIME].[PARENTH1].[2026.04]","","2026.04","","000")</f>
        <v>2026.04</v>
      </c>
      <c r="V8" s="1" t="str">
        <f xml:space="preserve"> _xll.EPMOlapMemberO("[TIME].[PARENTH1].[2026.03]","","2026.03","","000")</f>
        <v>2026.03</v>
      </c>
      <c r="Y8" s="1" t="str">
        <f xml:space="preserve"> _xll.EPMOlapMemberO("[TIME].[PARENTH1].[2026.02]","","2026.02","","000")</f>
        <v>2026.02</v>
      </c>
      <c r="AB8" s="1" t="str">
        <f xml:space="preserve"> _xll.EPMOlapMemberO("[TIME].[PARENTH1].[2026.01]","","2026.01","","000")</f>
        <v>2026.01</v>
      </c>
      <c r="AE8" s="1" t="str">
        <f xml:space="preserve"> _xll.EPMOlapMemberO("[TIME].[PARENTH1].[2026.TOTAL]","","2026.TOTAL","","000")</f>
        <v>2026.TOTAL</v>
      </c>
    </row>
    <row r="9" spans="1:33" s="1" customFormat="1" x14ac:dyDescent="0.3">
      <c r="D9" s="1" t="str">
        <f xml:space="preserve"> _xll.EPMOlapMemberO("[CATEGORY].[].[REAL]","","Real - Real","","000")</f>
        <v>Real - Real</v>
      </c>
      <c r="E9" s="1" t="str">
        <f xml:space="preserve"> _xll.EPMOlapMemberO("[CATEGORY].[].[PLAN]","","Plan - Plan","","000")</f>
        <v>Plan - Plan</v>
      </c>
      <c r="F9" s="1" t="str">
        <f xml:space="preserve"> _xll.FPMXLClient.TechnicalCategory.EPMLocalMember("VAR","000","000")</f>
        <v>VAR</v>
      </c>
      <c r="G9" s="1" t="str">
        <f xml:space="preserve"> _xll.EPMOlapMemberO("[CATEGORY].[].[REAL]","","Real - Real","","000")</f>
        <v>Real - Real</v>
      </c>
      <c r="H9" s="1" t="str">
        <f xml:space="preserve"> _xll.EPMOlapMemberO("[CATEGORY].[].[PLAN]","","Plan - Plan","","000")</f>
        <v>Plan - Plan</v>
      </c>
      <c r="I9" s="1" t="str">
        <f xml:space="preserve"> _xll.FPMXLClient.TechnicalCategory.EPMLocalMember("VAR","000","000")</f>
        <v>VAR</v>
      </c>
      <c r="J9" s="1" t="str">
        <f xml:space="preserve"> _xll.EPMOlapMemberO("[CATEGORY].[].[REAL]","","Real - Real","","000")</f>
        <v>Real - Real</v>
      </c>
      <c r="K9" s="1" t="str">
        <f xml:space="preserve"> _xll.EPMOlapMemberO("[CATEGORY].[].[PLAN]","","Plan - Plan","","000")</f>
        <v>Plan - Plan</v>
      </c>
      <c r="L9" s="1" t="str">
        <f xml:space="preserve"> _xll.FPMXLClient.TechnicalCategory.EPMLocalMember("VAR","000","000")</f>
        <v>VAR</v>
      </c>
      <c r="M9" s="1" t="str">
        <f xml:space="preserve"> _xll.EPMOlapMemberO("[CATEGORY].[].[REAL]","","Real - Real","","000")</f>
        <v>Real - Real</v>
      </c>
      <c r="N9" s="1" t="str">
        <f xml:space="preserve"> _xll.EPMOlapMemberO("[CATEGORY].[].[PLAN]","","Plan - Plan","","000")</f>
        <v>Plan - Plan</v>
      </c>
      <c r="O9" s="1" t="str">
        <f xml:space="preserve"> _xll.FPMXLClient.TechnicalCategory.EPMLocalMember("VAR","000","000")</f>
        <v>VAR</v>
      </c>
      <c r="P9" s="1" t="str">
        <f xml:space="preserve"> _xll.EPMOlapMemberO("[CATEGORY].[].[REAL]","","Real - Real","","000")</f>
        <v>Real - Real</v>
      </c>
      <c r="Q9" s="1" t="str">
        <f xml:space="preserve"> _xll.EPMOlapMemberO("[CATEGORY].[].[PLAN]","","Plan - Plan","","000")</f>
        <v>Plan - Plan</v>
      </c>
      <c r="R9" s="1" t="str">
        <f xml:space="preserve"> _xll.FPMXLClient.TechnicalCategory.EPMLocalMember("VAR","000","000")</f>
        <v>VAR</v>
      </c>
      <c r="S9" s="1" t="str">
        <f xml:space="preserve"> _xll.EPMOlapMemberO("[CATEGORY].[].[REAL]","","Real - Real","","000")</f>
        <v>Real - Real</v>
      </c>
      <c r="T9" s="1" t="str">
        <f xml:space="preserve"> _xll.EPMOlapMemberO("[CATEGORY].[].[PLAN]","","Plan - Plan","","000")</f>
        <v>Plan - Plan</v>
      </c>
      <c r="U9" s="1" t="str">
        <f xml:space="preserve"> _xll.FPMXLClient.TechnicalCategory.EPMLocalMember("VAR","000","000")</f>
        <v>VAR</v>
      </c>
      <c r="V9" s="1" t="str">
        <f xml:space="preserve"> _xll.EPMOlapMemberO("[CATEGORY].[].[REAL]","","Real - Real","","000")</f>
        <v>Real - Real</v>
      </c>
      <c r="W9" s="1" t="str">
        <f xml:space="preserve"> _xll.EPMOlapMemberO("[CATEGORY].[].[PLAN]","","Plan - Plan","","000")</f>
        <v>Plan - Plan</v>
      </c>
      <c r="X9" s="1" t="str">
        <f xml:space="preserve"> _xll.FPMXLClient.TechnicalCategory.EPMLocalMember("VAR","000","000")</f>
        <v>VAR</v>
      </c>
      <c r="Y9" s="1" t="str">
        <f xml:space="preserve"> _xll.EPMOlapMemberO("[CATEGORY].[].[REAL]","","Real - Real","","000")</f>
        <v>Real - Real</v>
      </c>
      <c r="Z9" s="1" t="str">
        <f xml:space="preserve"> _xll.EPMOlapMemberO("[CATEGORY].[].[PLAN]","","Plan - Plan","","000")</f>
        <v>Plan - Plan</v>
      </c>
      <c r="AA9" s="1" t="str">
        <f xml:space="preserve"> _xll.FPMXLClient.TechnicalCategory.EPMLocalMember("VAR","000","000")</f>
        <v>VAR</v>
      </c>
      <c r="AB9" s="1" t="str">
        <f xml:space="preserve"> _xll.EPMOlapMemberO("[CATEGORY].[].[REAL]","","Real - Real","","000")</f>
        <v>Real - Real</v>
      </c>
      <c r="AC9" s="1" t="str">
        <f xml:space="preserve"> _xll.EPMOlapMemberO("[CATEGORY].[].[PLAN]","","Plan - Plan","","000")</f>
        <v>Plan - Plan</v>
      </c>
      <c r="AD9" s="1" t="str">
        <f xml:space="preserve"> _xll.FPMXLClient.TechnicalCategory.EPMLocalMember("VAR","000","000")</f>
        <v>VAR</v>
      </c>
      <c r="AE9" s="1" t="str">
        <f xml:space="preserve"> _xll.EPMOlapMemberO("[CATEGORY].[].[REAL]","","Real - Real","","000")</f>
        <v>Real - Real</v>
      </c>
      <c r="AF9" s="1" t="str">
        <f xml:space="preserve"> _xll.EPMOlapMemberO("[CATEGORY].[].[PLAN]","","Plan - Plan","","000")</f>
        <v>Plan - Plan</v>
      </c>
      <c r="AG9" s="1" t="str">
        <f xml:space="preserve"> _xll.FPMXLClient.TechnicalCategory.EPMLocalMember("VAR","000","000")</f>
        <v>VAR</v>
      </c>
    </row>
    <row r="10" spans="1:33" x14ac:dyDescent="0.3">
      <c r="A10" t="s">
        <v>0</v>
      </c>
      <c r="B10" s="3" t="str">
        <f xml:space="preserve"> _xll.EPMOlapMemberO("[CECO].[PARENTH3].[AMSA1000AC0501]","","VP Desarrollo","","000")</f>
        <v>VP Desarrollo</v>
      </c>
      <c r="C10" t="str">
        <f xml:space="preserve"> _xll.EPMOlapMemberO("[CLACO].[PARENTH1].[AMSAREMUNERACI.EE]","","Remuneraciones emple","","000")</f>
        <v>Remuneraciones emple</v>
      </c>
      <c r="D10" s="2"/>
      <c r="E10" s="2"/>
      <c r="F10" s="2">
        <f>+E10-D10</f>
        <v>0</v>
      </c>
      <c r="G10" s="2"/>
      <c r="H10" s="2"/>
      <c r="I10" s="2">
        <f>+H10-G10</f>
        <v>0</v>
      </c>
      <c r="J10" s="2">
        <v>-305.88</v>
      </c>
      <c r="K10" s="2"/>
      <c r="L10" s="2">
        <f>+K10-J10</f>
        <v>305.88</v>
      </c>
      <c r="M10" s="2">
        <v>-1731.37</v>
      </c>
      <c r="N10" s="2"/>
      <c r="O10" s="2">
        <f>+N10-M10</f>
        <v>1731.37</v>
      </c>
      <c r="P10" s="2"/>
      <c r="Q10" s="2"/>
      <c r="R10" s="2">
        <f>+Q10-P10</f>
        <v>0</v>
      </c>
      <c r="S10" s="2"/>
      <c r="T10" s="2"/>
      <c r="U10" s="2">
        <f>+T10-S10</f>
        <v>0</v>
      </c>
      <c r="V10" s="2"/>
      <c r="W10" s="2"/>
      <c r="X10" s="2">
        <f>+W10-V10</f>
        <v>0</v>
      </c>
      <c r="Y10" s="2"/>
      <c r="Z10" s="2"/>
      <c r="AA10" s="2">
        <f>+Z10-Y10</f>
        <v>0</v>
      </c>
      <c r="AB10" s="2"/>
      <c r="AC10" s="2"/>
      <c r="AD10" s="2">
        <f>+AC10-AB10</f>
        <v>0</v>
      </c>
      <c r="AE10" s="2"/>
      <c r="AF10" s="2"/>
      <c r="AG10" s="2">
        <f>+AF10-AE10</f>
        <v>0</v>
      </c>
    </row>
    <row r="11" spans="1:33" x14ac:dyDescent="0.3">
      <c r="B11" s="3"/>
      <c r="C11" t="str">
        <f xml:space="preserve"> _xll.EPMOlapMemberO("[CLACO].[PARENTH1].[AMSAREMUNERACI.SS]","","Remuneraciones Super","","000")</f>
        <v>Remuneraciones Super</v>
      </c>
      <c r="D11" s="2">
        <v>1587681.04</v>
      </c>
      <c r="E11" s="2">
        <v>1436207.06</v>
      </c>
      <c r="F11" s="2">
        <f t="shared" ref="F11:F74" si="0">+E11-D11</f>
        <v>-151473.97999999998</v>
      </c>
      <c r="G11" s="2">
        <v>1757138.01</v>
      </c>
      <c r="H11" s="2">
        <v>1594625.18</v>
      </c>
      <c r="I11" s="2">
        <f t="shared" ref="I11:I74" si="1">+H11-G11</f>
        <v>-162512.83000000007</v>
      </c>
      <c r="J11" s="2">
        <v>2013251.05</v>
      </c>
      <c r="K11" s="2">
        <v>1613357.16</v>
      </c>
      <c r="L11" s="2">
        <f t="shared" ref="L11:L74" si="2">+K11-J11</f>
        <v>-399893.89000000013</v>
      </c>
      <c r="M11" s="2">
        <v>4275114.66</v>
      </c>
      <c r="N11" s="2">
        <v>1717356.71</v>
      </c>
      <c r="O11" s="2">
        <f t="shared" ref="O11:O74" si="3">+N11-M11</f>
        <v>-2557757.9500000002</v>
      </c>
      <c r="P11" s="2">
        <v>156093</v>
      </c>
      <c r="Q11" s="2">
        <v>326351.73</v>
      </c>
      <c r="R11" s="2">
        <f t="shared" ref="R11:R74" si="4">+Q11-P11</f>
        <v>170258.72999999998</v>
      </c>
      <c r="S11" s="2">
        <v>247012.68</v>
      </c>
      <c r="T11" s="2">
        <v>351242.79</v>
      </c>
      <c r="U11" s="2">
        <f t="shared" ref="U11:U74" si="5">+T11-S11</f>
        <v>104230.10999999999</v>
      </c>
      <c r="V11" s="2">
        <v>210631.2</v>
      </c>
      <c r="W11" s="2">
        <v>322538.32</v>
      </c>
      <c r="X11" s="2">
        <f t="shared" ref="X11:X74" si="6">+W11-V11</f>
        <v>111907.12</v>
      </c>
      <c r="Y11" s="2">
        <v>398265.99</v>
      </c>
      <c r="Z11" s="2">
        <v>338486.03</v>
      </c>
      <c r="AA11" s="2">
        <f t="shared" ref="AA11:AA74" si="7">+Z11-Y11</f>
        <v>-59779.959999999963</v>
      </c>
      <c r="AB11" s="2">
        <v>340145.47</v>
      </c>
      <c r="AC11" s="2">
        <v>321923.39</v>
      </c>
      <c r="AD11" s="2">
        <f t="shared" ref="AD11:AD74" si="8">+AC11-AB11</f>
        <v>-18222.079999999958</v>
      </c>
      <c r="AE11" s="2">
        <v>1353364.52</v>
      </c>
      <c r="AF11" s="2">
        <v>3989633.73</v>
      </c>
      <c r="AG11" s="2">
        <f t="shared" ref="AG11:AG74" si="9">+AF11-AE11</f>
        <v>2636269.21</v>
      </c>
    </row>
    <row r="12" spans="1:33" x14ac:dyDescent="0.3">
      <c r="B12" s="3"/>
      <c r="C12" t="str">
        <f xml:space="preserve"> _xll.EPMOlapMemberO("[CLACO].[PARENTH1].[AMSAMAT_Y_REP.2]","","Materiales y repuest","","000")</f>
        <v>Materiales y repuest</v>
      </c>
      <c r="D12" s="2"/>
      <c r="E12" s="2"/>
      <c r="F12" s="2">
        <f t="shared" si="0"/>
        <v>0</v>
      </c>
      <c r="G12" s="2">
        <v>0</v>
      </c>
      <c r="H12" s="2"/>
      <c r="I12" s="2">
        <f t="shared" si="1"/>
        <v>0</v>
      </c>
      <c r="J12" s="2"/>
      <c r="K12" s="2"/>
      <c r="L12" s="2">
        <f t="shared" si="2"/>
        <v>0</v>
      </c>
      <c r="M12" s="2"/>
      <c r="N12" s="2"/>
      <c r="O12" s="2">
        <f t="shared" si="3"/>
        <v>0</v>
      </c>
      <c r="P12" s="2"/>
      <c r="Q12" s="2"/>
      <c r="R12" s="2">
        <f t="shared" si="4"/>
        <v>0</v>
      </c>
      <c r="S12" s="2">
        <v>63.55</v>
      </c>
      <c r="T12" s="2"/>
      <c r="U12" s="2">
        <f t="shared" si="5"/>
        <v>-63.55</v>
      </c>
      <c r="V12" s="2"/>
      <c r="W12" s="2"/>
      <c r="X12" s="2">
        <f t="shared" si="6"/>
        <v>0</v>
      </c>
      <c r="Y12" s="2"/>
      <c r="Z12" s="2"/>
      <c r="AA12" s="2">
        <f t="shared" si="7"/>
        <v>0</v>
      </c>
      <c r="AB12" s="2"/>
      <c r="AC12" s="2"/>
      <c r="AD12" s="2">
        <f t="shared" si="8"/>
        <v>0</v>
      </c>
      <c r="AE12" s="2">
        <v>63.55</v>
      </c>
      <c r="AF12" s="2"/>
      <c r="AG12" s="2">
        <f t="shared" si="9"/>
        <v>-63.55</v>
      </c>
    </row>
    <row r="13" spans="1:33" x14ac:dyDescent="0.3">
      <c r="B13" s="3"/>
      <c r="C13" t="str">
        <f xml:space="preserve"> _xll.EPMOlapMemberO("[CLACO].[PARENTH1].[AMSAADM_PERSON]","","Administración Perso","","000")</f>
        <v>Administración Perso</v>
      </c>
      <c r="D13" s="2">
        <v>-289.22000000000003</v>
      </c>
      <c r="E13" s="2"/>
      <c r="F13" s="2">
        <f t="shared" si="0"/>
        <v>289.22000000000003</v>
      </c>
      <c r="G13" s="2"/>
      <c r="H13" s="2"/>
      <c r="I13" s="2">
        <f t="shared" si="1"/>
        <v>0</v>
      </c>
      <c r="J13" s="2">
        <v>142.82</v>
      </c>
      <c r="K13" s="2"/>
      <c r="L13" s="2">
        <f t="shared" si="2"/>
        <v>-142.82</v>
      </c>
      <c r="M13" s="2">
        <v>-705.93</v>
      </c>
      <c r="N13" s="2"/>
      <c r="O13" s="2">
        <f t="shared" si="3"/>
        <v>705.93</v>
      </c>
      <c r="P13" s="2"/>
      <c r="Q13" s="2"/>
      <c r="R13" s="2">
        <f t="shared" si="4"/>
        <v>0</v>
      </c>
      <c r="S13" s="2"/>
      <c r="T13" s="2"/>
      <c r="U13" s="2">
        <f t="shared" si="5"/>
        <v>0</v>
      </c>
      <c r="V13" s="2"/>
      <c r="W13" s="2"/>
      <c r="X13" s="2">
        <f t="shared" si="6"/>
        <v>0</v>
      </c>
      <c r="Y13" s="2"/>
      <c r="Z13" s="2"/>
      <c r="AA13" s="2">
        <f t="shared" si="7"/>
        <v>0</v>
      </c>
      <c r="AB13" s="2"/>
      <c r="AC13" s="2"/>
      <c r="AD13" s="2">
        <f t="shared" si="8"/>
        <v>0</v>
      </c>
      <c r="AE13" s="2"/>
      <c r="AF13" s="2"/>
      <c r="AG13" s="2">
        <f t="shared" si="9"/>
        <v>0</v>
      </c>
    </row>
    <row r="14" spans="1:33" x14ac:dyDescent="0.3">
      <c r="B14" s="3"/>
      <c r="C14" t="str">
        <f xml:space="preserve"> _xll.EPMOlapMemberO("[CLACO].[PARENTH1].[AMSAENTRENAMI]","","Entrenamiento","","000")</f>
        <v>Entrenamiento</v>
      </c>
      <c r="D14" s="2"/>
      <c r="E14" s="2"/>
      <c r="F14" s="2">
        <f t="shared" si="0"/>
        <v>0</v>
      </c>
      <c r="G14" s="2"/>
      <c r="H14" s="2"/>
      <c r="I14" s="2">
        <f t="shared" si="1"/>
        <v>0</v>
      </c>
      <c r="J14" s="2">
        <v>0</v>
      </c>
      <c r="K14" s="2"/>
      <c r="L14" s="2">
        <f t="shared" si="2"/>
        <v>0</v>
      </c>
      <c r="M14" s="2"/>
      <c r="N14" s="2"/>
      <c r="O14" s="2">
        <f t="shared" si="3"/>
        <v>0</v>
      </c>
      <c r="P14" s="2"/>
      <c r="Q14" s="2"/>
      <c r="R14" s="2">
        <f t="shared" si="4"/>
        <v>0</v>
      </c>
      <c r="S14" s="2"/>
      <c r="T14" s="2"/>
      <c r="U14" s="2">
        <f t="shared" si="5"/>
        <v>0</v>
      </c>
      <c r="V14" s="2"/>
      <c r="W14" s="2"/>
      <c r="X14" s="2">
        <f t="shared" si="6"/>
        <v>0</v>
      </c>
      <c r="Y14" s="2"/>
      <c r="Z14" s="2"/>
      <c r="AA14" s="2">
        <f t="shared" si="7"/>
        <v>0</v>
      </c>
      <c r="AB14" s="2"/>
      <c r="AC14" s="2"/>
      <c r="AD14" s="2">
        <f t="shared" si="8"/>
        <v>0</v>
      </c>
      <c r="AE14" s="2"/>
      <c r="AF14" s="2"/>
      <c r="AG14" s="2">
        <f t="shared" si="9"/>
        <v>0</v>
      </c>
    </row>
    <row r="15" spans="1:33" x14ac:dyDescent="0.3">
      <c r="B15" s="3"/>
      <c r="C15" t="str">
        <f xml:space="preserve"> _xll.EPMOlapMemberO("[CLACO].[PARENTH1].[AMSAASESORIAS]","","Asesorías y Consulto","","000")</f>
        <v>Asesorías y Consulto</v>
      </c>
      <c r="D15" s="2">
        <v>304073.99</v>
      </c>
      <c r="E15" s="2">
        <v>358349.63</v>
      </c>
      <c r="F15" s="2">
        <f t="shared" si="0"/>
        <v>54275.640000000014</v>
      </c>
      <c r="G15" s="2">
        <v>356884.22</v>
      </c>
      <c r="H15" s="2">
        <v>336104.7</v>
      </c>
      <c r="I15" s="2">
        <f t="shared" si="1"/>
        <v>-20779.51999999996</v>
      </c>
      <c r="J15" s="2">
        <v>325848.34999999998</v>
      </c>
      <c r="K15" s="2">
        <v>371268.63</v>
      </c>
      <c r="L15" s="2">
        <f t="shared" si="2"/>
        <v>45420.280000000028</v>
      </c>
      <c r="M15" s="2">
        <v>336660.05</v>
      </c>
      <c r="N15" s="2">
        <v>362838.63</v>
      </c>
      <c r="O15" s="2">
        <f t="shared" si="3"/>
        <v>26178.580000000016</v>
      </c>
      <c r="P15" s="2">
        <v>32853.65</v>
      </c>
      <c r="Q15" s="2">
        <v>33442.14</v>
      </c>
      <c r="R15" s="2">
        <f t="shared" si="4"/>
        <v>588.48999999999796</v>
      </c>
      <c r="S15" s="2">
        <v>33802.85</v>
      </c>
      <c r="T15" s="2">
        <v>33348.71</v>
      </c>
      <c r="U15" s="2">
        <f t="shared" si="5"/>
        <v>-454.13999999999942</v>
      </c>
      <c r="V15" s="2">
        <v>32549.57</v>
      </c>
      <c r="W15" s="2">
        <v>33255.279999999999</v>
      </c>
      <c r="X15" s="2">
        <f t="shared" si="6"/>
        <v>705.70999999999913</v>
      </c>
      <c r="Y15" s="2"/>
      <c r="Z15" s="2"/>
      <c r="AA15" s="2">
        <f t="shared" si="7"/>
        <v>0</v>
      </c>
      <c r="AB15" s="2">
        <v>33519.839999999997</v>
      </c>
      <c r="AC15" s="2">
        <v>33071.43</v>
      </c>
      <c r="AD15" s="2">
        <f t="shared" si="8"/>
        <v>-448.40999999999622</v>
      </c>
      <c r="AE15" s="2">
        <v>132725.91</v>
      </c>
      <c r="AF15" s="2">
        <v>373085.54</v>
      </c>
      <c r="AG15" s="2">
        <f t="shared" si="9"/>
        <v>240359.62999999998</v>
      </c>
    </row>
    <row r="16" spans="1:33" x14ac:dyDescent="0.3">
      <c r="B16" s="3"/>
      <c r="C16" t="str">
        <f xml:space="preserve"> _xll.EPMOlapMemberO("[CLACO].[PARENTH1].[AMSASERVICIOS]","","Servicios","","000")</f>
        <v>Servicios</v>
      </c>
      <c r="D16" s="2">
        <v>2618</v>
      </c>
      <c r="E16" s="2"/>
      <c r="F16" s="2">
        <f t="shared" si="0"/>
        <v>-2618</v>
      </c>
      <c r="G16" s="2">
        <v>103.08</v>
      </c>
      <c r="H16" s="2"/>
      <c r="I16" s="2">
        <f t="shared" si="1"/>
        <v>-103.08</v>
      </c>
      <c r="J16" s="2">
        <v>50.76</v>
      </c>
      <c r="K16" s="2"/>
      <c r="L16" s="2">
        <f t="shared" si="2"/>
        <v>-50.76</v>
      </c>
      <c r="M16" s="2">
        <v>8.64</v>
      </c>
      <c r="N16" s="2"/>
      <c r="O16" s="2">
        <f t="shared" si="3"/>
        <v>-8.64</v>
      </c>
      <c r="P16" s="2"/>
      <c r="Q16" s="2"/>
      <c r="R16" s="2">
        <f t="shared" si="4"/>
        <v>0</v>
      </c>
      <c r="S16" s="2"/>
      <c r="T16" s="2"/>
      <c r="U16" s="2">
        <f t="shared" si="5"/>
        <v>0</v>
      </c>
      <c r="V16" s="2"/>
      <c r="W16" s="2"/>
      <c r="X16" s="2">
        <f t="shared" si="6"/>
        <v>0</v>
      </c>
      <c r="Y16" s="2"/>
      <c r="Z16" s="2"/>
      <c r="AA16" s="2">
        <f t="shared" si="7"/>
        <v>0</v>
      </c>
      <c r="AB16" s="2">
        <v>402.16</v>
      </c>
      <c r="AC16" s="2"/>
      <c r="AD16" s="2">
        <f t="shared" si="8"/>
        <v>-402.16</v>
      </c>
      <c r="AE16" s="2">
        <v>402.16</v>
      </c>
      <c r="AF16" s="2"/>
      <c r="AG16" s="2">
        <f t="shared" si="9"/>
        <v>-402.16</v>
      </c>
    </row>
    <row r="17" spans="1:33" x14ac:dyDescent="0.3">
      <c r="B17" s="3"/>
      <c r="C17" t="str">
        <f xml:space="preserve"> _xll.EPMOlapMemberO("[CLACO].[PARENTH1].[AMSASERMANTO.REPA]","","Servicios Mantenimie","","000")</f>
        <v>Servicios Mantenimie</v>
      </c>
      <c r="D17" s="2"/>
      <c r="E17" s="2"/>
      <c r="F17" s="2">
        <f t="shared" si="0"/>
        <v>0</v>
      </c>
      <c r="G17" s="2"/>
      <c r="H17" s="2"/>
      <c r="I17" s="2">
        <f t="shared" si="1"/>
        <v>0</v>
      </c>
      <c r="J17" s="2"/>
      <c r="K17" s="2"/>
      <c r="L17" s="2">
        <f t="shared" si="2"/>
        <v>0</v>
      </c>
      <c r="M17" s="2"/>
      <c r="N17" s="2"/>
      <c r="O17" s="2">
        <f t="shared" si="3"/>
        <v>0</v>
      </c>
      <c r="P17" s="2"/>
      <c r="Q17" s="2"/>
      <c r="R17" s="2">
        <f t="shared" si="4"/>
        <v>0</v>
      </c>
      <c r="S17" s="2">
        <v>-41.22</v>
      </c>
      <c r="T17" s="2"/>
      <c r="U17" s="2">
        <f t="shared" si="5"/>
        <v>41.22</v>
      </c>
      <c r="V17" s="2"/>
      <c r="W17" s="2"/>
      <c r="X17" s="2">
        <f t="shared" si="6"/>
        <v>0</v>
      </c>
      <c r="Y17" s="2">
        <v>655.78</v>
      </c>
      <c r="Z17" s="2"/>
      <c r="AA17" s="2">
        <f t="shared" si="7"/>
        <v>-655.78</v>
      </c>
      <c r="AB17" s="2"/>
      <c r="AC17" s="2"/>
      <c r="AD17" s="2">
        <f t="shared" si="8"/>
        <v>0</v>
      </c>
      <c r="AE17" s="2">
        <v>614.55999999999995</v>
      </c>
      <c r="AF17" s="2"/>
      <c r="AG17" s="2">
        <f t="shared" si="9"/>
        <v>-614.55999999999995</v>
      </c>
    </row>
    <row r="18" spans="1:33" x14ac:dyDescent="0.3">
      <c r="B18" s="3"/>
      <c r="C18" t="str">
        <f xml:space="preserve"> _xll.EPMOlapMemberO("[CLACO].[PARENTH1].[AMSAINFORMATIC]","","Informática y Comuni","","000")</f>
        <v>Informática y Comuni</v>
      </c>
      <c r="D18" s="2">
        <v>460158.73</v>
      </c>
      <c r="E18" s="2">
        <v>474449.02</v>
      </c>
      <c r="F18" s="2">
        <f t="shared" si="0"/>
        <v>14290.290000000037</v>
      </c>
      <c r="G18" s="2">
        <v>476593.66</v>
      </c>
      <c r="H18" s="2">
        <v>479409.69</v>
      </c>
      <c r="I18" s="2">
        <f t="shared" si="1"/>
        <v>2816.0300000000279</v>
      </c>
      <c r="J18" s="2">
        <v>354210.73</v>
      </c>
      <c r="K18" s="2">
        <v>487509.6</v>
      </c>
      <c r="L18" s="2">
        <f t="shared" si="2"/>
        <v>133298.87</v>
      </c>
      <c r="M18" s="2">
        <v>495428.54</v>
      </c>
      <c r="N18" s="2">
        <v>533846.19999999995</v>
      </c>
      <c r="O18" s="2">
        <f t="shared" si="3"/>
        <v>38417.659999999974</v>
      </c>
      <c r="P18" s="2">
        <v>326.8</v>
      </c>
      <c r="Q18" s="2">
        <v>11374.66</v>
      </c>
      <c r="R18" s="2">
        <f t="shared" si="4"/>
        <v>11047.86</v>
      </c>
      <c r="S18" s="2">
        <v>-584.69000000000005</v>
      </c>
      <c r="T18" s="2">
        <v>4055.13</v>
      </c>
      <c r="U18" s="2">
        <f t="shared" si="5"/>
        <v>4639.82</v>
      </c>
      <c r="V18" s="2">
        <v>214735</v>
      </c>
      <c r="W18" s="2">
        <v>33082.699999999997</v>
      </c>
      <c r="X18" s="2">
        <f t="shared" si="6"/>
        <v>-181652.3</v>
      </c>
      <c r="Y18" s="2">
        <v>67868.960000000006</v>
      </c>
      <c r="Z18" s="2">
        <v>260618.08</v>
      </c>
      <c r="AA18" s="2">
        <f t="shared" si="7"/>
        <v>192749.12</v>
      </c>
      <c r="AB18" s="2">
        <v>148738.42000000001</v>
      </c>
      <c r="AC18" s="2">
        <v>153721.79999999999</v>
      </c>
      <c r="AD18" s="2">
        <f t="shared" si="8"/>
        <v>4983.3799999999756</v>
      </c>
      <c r="AE18" s="2">
        <v>425935.87</v>
      </c>
      <c r="AF18" s="2">
        <v>611090.18999999994</v>
      </c>
      <c r="AG18" s="2">
        <f t="shared" si="9"/>
        <v>185154.31999999995</v>
      </c>
    </row>
    <row r="19" spans="1:33" x14ac:dyDescent="0.3">
      <c r="B19" s="3"/>
      <c r="C19" t="str">
        <f xml:space="preserve"> _xll.EPMOlapMemberO("[CLACO].[PARENTH1].[AMSAG_VIAJES]","","Gastos de Viajes","","000")</f>
        <v>Gastos de Viajes</v>
      </c>
      <c r="D19" s="2">
        <v>139135.42000000001</v>
      </c>
      <c r="E19" s="2">
        <v>144933.10999999999</v>
      </c>
      <c r="F19" s="2">
        <f t="shared" si="0"/>
        <v>5797.6899999999732</v>
      </c>
      <c r="G19" s="2">
        <v>98666.73</v>
      </c>
      <c r="H19" s="2">
        <v>189486.78</v>
      </c>
      <c r="I19" s="2">
        <f t="shared" si="1"/>
        <v>90820.05</v>
      </c>
      <c r="J19" s="2">
        <v>441018.67</v>
      </c>
      <c r="K19" s="2">
        <v>189632.86</v>
      </c>
      <c r="L19" s="2">
        <f t="shared" si="2"/>
        <v>-251385.81</v>
      </c>
      <c r="M19" s="2">
        <v>350766.83</v>
      </c>
      <c r="N19" s="2">
        <v>368552.65</v>
      </c>
      <c r="O19" s="2">
        <f t="shared" si="3"/>
        <v>17785.820000000007</v>
      </c>
      <c r="P19" s="2">
        <v>-2.2000000000000002</v>
      </c>
      <c r="Q19" s="2">
        <v>43724.77</v>
      </c>
      <c r="R19" s="2">
        <f t="shared" si="4"/>
        <v>43726.969999999994</v>
      </c>
      <c r="S19" s="2">
        <v>-80291.990000000005</v>
      </c>
      <c r="T19" s="2">
        <v>59.78</v>
      </c>
      <c r="U19" s="2">
        <f t="shared" si="5"/>
        <v>80351.77</v>
      </c>
      <c r="V19" s="2">
        <v>40438.28</v>
      </c>
      <c r="W19" s="2">
        <v>65156.98</v>
      </c>
      <c r="X19" s="2">
        <f t="shared" si="6"/>
        <v>24718.700000000004</v>
      </c>
      <c r="Y19" s="2">
        <v>-1972.59</v>
      </c>
      <c r="Z19" s="2">
        <v>27022.09</v>
      </c>
      <c r="AA19" s="2">
        <f t="shared" si="7"/>
        <v>28994.68</v>
      </c>
      <c r="AB19" s="2">
        <v>11705.31</v>
      </c>
      <c r="AC19" s="2">
        <v>17313.32</v>
      </c>
      <c r="AD19" s="2">
        <f t="shared" si="8"/>
        <v>5608.01</v>
      </c>
      <c r="AE19" s="2">
        <v>-30123.19</v>
      </c>
      <c r="AF19" s="2">
        <v>348972.49</v>
      </c>
      <c r="AG19" s="2">
        <f t="shared" si="9"/>
        <v>379095.68</v>
      </c>
    </row>
    <row r="20" spans="1:33" x14ac:dyDescent="0.3">
      <c r="B20" s="3"/>
      <c r="C20" t="str">
        <f xml:space="preserve"> _xll.EPMOlapMemberO("[CLACO].[PARENTH1].[AMSAIMP_PATEN]","","Impuestos / Patentes","","000")</f>
        <v>Impuestos / Patentes</v>
      </c>
      <c r="D20" s="2"/>
      <c r="E20" s="2"/>
      <c r="F20" s="2">
        <f t="shared" si="0"/>
        <v>0</v>
      </c>
      <c r="G20" s="2"/>
      <c r="H20" s="2"/>
      <c r="I20" s="2">
        <f t="shared" si="1"/>
        <v>0</v>
      </c>
      <c r="J20" s="2"/>
      <c r="K20" s="2"/>
      <c r="L20" s="2">
        <f t="shared" si="2"/>
        <v>0</v>
      </c>
      <c r="M20" s="2">
        <v>0</v>
      </c>
      <c r="N20" s="2"/>
      <c r="O20" s="2">
        <f t="shared" si="3"/>
        <v>0</v>
      </c>
      <c r="P20" s="2"/>
      <c r="Q20" s="2"/>
      <c r="R20" s="2">
        <f t="shared" si="4"/>
        <v>0</v>
      </c>
      <c r="S20" s="2"/>
      <c r="T20" s="2"/>
      <c r="U20" s="2">
        <f t="shared" si="5"/>
        <v>0</v>
      </c>
      <c r="V20" s="2"/>
      <c r="W20" s="2"/>
      <c r="X20" s="2">
        <f t="shared" si="6"/>
        <v>0</v>
      </c>
      <c r="Y20" s="2"/>
      <c r="Z20" s="2"/>
      <c r="AA20" s="2">
        <f t="shared" si="7"/>
        <v>0</v>
      </c>
      <c r="AB20" s="2"/>
      <c r="AC20" s="2"/>
      <c r="AD20" s="2">
        <f t="shared" si="8"/>
        <v>0</v>
      </c>
      <c r="AE20" s="2"/>
      <c r="AF20" s="2"/>
      <c r="AG20" s="2">
        <f t="shared" si="9"/>
        <v>0</v>
      </c>
    </row>
    <row r="21" spans="1:33" x14ac:dyDescent="0.3">
      <c r="B21" s="3"/>
      <c r="C21" t="str">
        <f xml:space="preserve"> _xll.EPMOlapMemberO("[CLACO].[PARENTH1].[AMSAGGENERALES.2]","","Otros Gastos","","000")</f>
        <v>Otros Gastos</v>
      </c>
      <c r="D21" s="2">
        <v>6968</v>
      </c>
      <c r="E21" s="2">
        <v>18048.830000000002</v>
      </c>
      <c r="F21" s="2">
        <f t="shared" si="0"/>
        <v>11080.830000000002</v>
      </c>
      <c r="G21" s="2">
        <v>35471.03</v>
      </c>
      <c r="H21" s="2">
        <v>16124.31</v>
      </c>
      <c r="I21" s="2">
        <f t="shared" si="1"/>
        <v>-19346.72</v>
      </c>
      <c r="J21" s="2">
        <v>33428.76</v>
      </c>
      <c r="K21" s="2">
        <v>16906.95</v>
      </c>
      <c r="L21" s="2">
        <f t="shared" si="2"/>
        <v>-16521.810000000001</v>
      </c>
      <c r="M21" s="2">
        <v>69783.55</v>
      </c>
      <c r="N21" s="2">
        <v>74726.720000000001</v>
      </c>
      <c r="O21" s="2">
        <f t="shared" si="3"/>
        <v>4943.1699999999983</v>
      </c>
      <c r="P21" s="2">
        <v>3.71</v>
      </c>
      <c r="Q21" s="2">
        <v>10706.97</v>
      </c>
      <c r="R21" s="2">
        <f t="shared" si="4"/>
        <v>10703.26</v>
      </c>
      <c r="S21" s="2">
        <v>5424.57</v>
      </c>
      <c r="T21" s="2">
        <v>620.97</v>
      </c>
      <c r="U21" s="2">
        <f t="shared" si="5"/>
        <v>-4803.5999999999995</v>
      </c>
      <c r="V21" s="2">
        <v>-5624.17</v>
      </c>
      <c r="W21" s="2">
        <v>770.78</v>
      </c>
      <c r="X21" s="2">
        <f t="shared" si="6"/>
        <v>6394.95</v>
      </c>
      <c r="Y21" s="2">
        <v>8.2799999999999994</v>
      </c>
      <c r="Z21" s="2">
        <v>617.49</v>
      </c>
      <c r="AA21" s="2">
        <f t="shared" si="7"/>
        <v>609.21</v>
      </c>
      <c r="AB21" s="2">
        <v>-4849.43</v>
      </c>
      <c r="AC21" s="2">
        <v>615.79999999999995</v>
      </c>
      <c r="AD21" s="2">
        <f t="shared" si="8"/>
        <v>5465.2300000000005</v>
      </c>
      <c r="AE21" s="2">
        <v>-11311.21</v>
      </c>
      <c r="AF21" s="2">
        <v>74533.91</v>
      </c>
      <c r="AG21" s="2">
        <f t="shared" si="9"/>
        <v>85845.119999999995</v>
      </c>
    </row>
    <row r="22" spans="1:33" x14ac:dyDescent="0.3">
      <c r="A22" t="s">
        <v>1</v>
      </c>
      <c r="B22" s="3" t="str">
        <f xml:space="preserve"> _xll.EPMOlapMemberO("[CECO].[PARENTH3].[AMSA1000AC0502]","","Gcia de Desarrollo","","000")</f>
        <v>Gcia de Desarrollo</v>
      </c>
      <c r="C22" t="str">
        <f xml:space="preserve"> _xll.EPMOlapMemberO("[CLACO].[PARENTH1].[AMSAINFORMATIC]","","Informática y Comuni","","000")</f>
        <v>Informática y Comuni</v>
      </c>
      <c r="D22" s="2">
        <v>3791.7</v>
      </c>
      <c r="E22" s="2"/>
      <c r="F22" s="2">
        <f t="shared" si="0"/>
        <v>-3791.7</v>
      </c>
      <c r="G22" s="2">
        <v>1999.86</v>
      </c>
      <c r="H22" s="2"/>
      <c r="I22" s="2">
        <f t="shared" si="1"/>
        <v>-1999.86</v>
      </c>
      <c r="J22" s="2">
        <v>2589.6999999999998</v>
      </c>
      <c r="K22" s="2"/>
      <c r="L22" s="2">
        <f t="shared" si="2"/>
        <v>-2589.6999999999998</v>
      </c>
      <c r="M22" s="2">
        <v>0</v>
      </c>
      <c r="N22" s="2"/>
      <c r="O22" s="2">
        <f t="shared" si="3"/>
        <v>0</v>
      </c>
      <c r="P22" s="2"/>
      <c r="Q22" s="2"/>
      <c r="R22" s="2">
        <f t="shared" si="4"/>
        <v>0</v>
      </c>
      <c r="S22" s="2"/>
      <c r="T22" s="2"/>
      <c r="U22" s="2">
        <f t="shared" si="5"/>
        <v>0</v>
      </c>
      <c r="V22" s="2"/>
      <c r="W22" s="2"/>
      <c r="X22" s="2">
        <f t="shared" si="6"/>
        <v>0</v>
      </c>
      <c r="Y22" s="2"/>
      <c r="Z22" s="2"/>
      <c r="AA22" s="2">
        <f t="shared" si="7"/>
        <v>0</v>
      </c>
      <c r="AB22" s="2"/>
      <c r="AC22" s="2"/>
      <c r="AD22" s="2">
        <f t="shared" si="8"/>
        <v>0</v>
      </c>
      <c r="AE22" s="2"/>
      <c r="AF22" s="2"/>
      <c r="AG22" s="2">
        <f t="shared" si="9"/>
        <v>0</v>
      </c>
    </row>
    <row r="23" spans="1:33" x14ac:dyDescent="0.3">
      <c r="B23" s="3"/>
      <c r="C23" t="str">
        <f xml:space="preserve"> _xll.EPMOlapMemberO("[CLACO].[PARENTH1].[AMSAG_VIAJES]","","Gastos de Viajes","","000")</f>
        <v>Gastos de Viajes</v>
      </c>
      <c r="D23" s="2"/>
      <c r="E23" s="2"/>
      <c r="F23" s="2">
        <f t="shared" si="0"/>
        <v>0</v>
      </c>
      <c r="G23" s="2">
        <v>510.82</v>
      </c>
      <c r="H23" s="2"/>
      <c r="I23" s="2">
        <f t="shared" si="1"/>
        <v>-510.82</v>
      </c>
      <c r="J23" s="2">
        <v>459.19</v>
      </c>
      <c r="K23" s="2"/>
      <c r="L23" s="2">
        <f t="shared" si="2"/>
        <v>-459.19</v>
      </c>
      <c r="M23" s="2">
        <v>7530.39</v>
      </c>
      <c r="N23" s="2"/>
      <c r="O23" s="2">
        <f t="shared" si="3"/>
        <v>-7530.39</v>
      </c>
      <c r="P23" s="2"/>
      <c r="Q23" s="2"/>
      <c r="R23" s="2">
        <f t="shared" si="4"/>
        <v>0</v>
      </c>
      <c r="S23" s="2"/>
      <c r="T23" s="2"/>
      <c r="U23" s="2">
        <f t="shared" si="5"/>
        <v>0</v>
      </c>
      <c r="V23" s="2"/>
      <c r="W23" s="2"/>
      <c r="X23" s="2">
        <f t="shared" si="6"/>
        <v>0</v>
      </c>
      <c r="Y23" s="2"/>
      <c r="Z23" s="2"/>
      <c r="AA23" s="2">
        <f t="shared" si="7"/>
        <v>0</v>
      </c>
      <c r="AB23" s="2"/>
      <c r="AC23" s="2"/>
      <c r="AD23" s="2">
        <f t="shared" si="8"/>
        <v>0</v>
      </c>
      <c r="AE23" s="2"/>
      <c r="AF23" s="2"/>
      <c r="AG23" s="2">
        <f t="shared" si="9"/>
        <v>0</v>
      </c>
    </row>
    <row r="24" spans="1:33" x14ac:dyDescent="0.3">
      <c r="B24" s="3"/>
      <c r="C24" t="str">
        <f xml:space="preserve"> _xll.EPMOlapMemberO("[CLACO].[PARENTH1].[AMSAGGENERALES.2]","","Otros Gastos","","000")</f>
        <v>Otros Gastos</v>
      </c>
      <c r="D24" s="2"/>
      <c r="E24" s="2"/>
      <c r="F24" s="2">
        <f t="shared" si="0"/>
        <v>0</v>
      </c>
      <c r="G24" s="2"/>
      <c r="H24" s="2"/>
      <c r="I24" s="2">
        <f t="shared" si="1"/>
        <v>0</v>
      </c>
      <c r="J24" s="2"/>
      <c r="K24" s="2"/>
      <c r="L24" s="2">
        <f t="shared" si="2"/>
        <v>0</v>
      </c>
      <c r="M24" s="2"/>
      <c r="N24" s="2"/>
      <c r="O24" s="2">
        <f t="shared" si="3"/>
        <v>0</v>
      </c>
      <c r="P24" s="2"/>
      <c r="Q24" s="2"/>
      <c r="R24" s="2">
        <f t="shared" si="4"/>
        <v>0</v>
      </c>
      <c r="S24" s="2"/>
      <c r="T24" s="2"/>
      <c r="U24" s="2">
        <f t="shared" si="5"/>
        <v>0</v>
      </c>
      <c r="V24" s="2">
        <v>40.340000000000003</v>
      </c>
      <c r="W24" s="2"/>
      <c r="X24" s="2">
        <f t="shared" si="6"/>
        <v>-40.340000000000003</v>
      </c>
      <c r="Y24" s="2"/>
      <c r="Z24" s="2"/>
      <c r="AA24" s="2">
        <f t="shared" si="7"/>
        <v>0</v>
      </c>
      <c r="AB24" s="2"/>
      <c r="AC24" s="2"/>
      <c r="AD24" s="2">
        <f t="shared" si="8"/>
        <v>0</v>
      </c>
      <c r="AE24" s="2">
        <v>0</v>
      </c>
      <c r="AF24" s="2"/>
      <c r="AG24" s="2">
        <f t="shared" si="9"/>
        <v>0</v>
      </c>
    </row>
    <row r="25" spans="1:33" x14ac:dyDescent="0.3">
      <c r="A25" t="s">
        <v>2</v>
      </c>
      <c r="B25" s="3" t="str">
        <f xml:space="preserve"> _xll.EPMOlapMemberO("[CECO].[PARENTH3].[AMSA1000AC0512]","","Evaluación Recursos","","000")</f>
        <v>Evaluación Recursos</v>
      </c>
      <c r="C25" t="str">
        <f xml:space="preserve"> _xll.EPMOlapMemberO("[CLACO].[PARENTH1].[AMSAMAT_Y_REP.2]","","Materiales y repuest","","000")</f>
        <v>Materiales y repuest</v>
      </c>
      <c r="D25" s="2">
        <v>-118.38</v>
      </c>
      <c r="E25" s="2">
        <v>18381.52</v>
      </c>
      <c r="F25" s="2">
        <f t="shared" si="0"/>
        <v>18499.900000000001</v>
      </c>
      <c r="G25" s="2">
        <v>0</v>
      </c>
      <c r="H25" s="2">
        <v>18308.8</v>
      </c>
      <c r="I25" s="2">
        <f t="shared" si="1"/>
        <v>18308.8</v>
      </c>
      <c r="J25" s="2">
        <v>5432.78</v>
      </c>
      <c r="K25" s="2">
        <v>11105</v>
      </c>
      <c r="L25" s="2">
        <f t="shared" si="2"/>
        <v>5672.22</v>
      </c>
      <c r="M25" s="2">
        <v>9951.06</v>
      </c>
      <c r="N25" s="2">
        <v>16153.33</v>
      </c>
      <c r="O25" s="2">
        <f t="shared" si="3"/>
        <v>6202.27</v>
      </c>
      <c r="P25" s="2"/>
      <c r="Q25" s="2">
        <v>5042.13</v>
      </c>
      <c r="R25" s="2">
        <f t="shared" si="4"/>
        <v>5042.13</v>
      </c>
      <c r="S25" s="2"/>
      <c r="T25" s="2"/>
      <c r="U25" s="2">
        <f t="shared" si="5"/>
        <v>0</v>
      </c>
      <c r="V25" s="2"/>
      <c r="W25" s="2"/>
      <c r="X25" s="2">
        <f t="shared" si="6"/>
        <v>0</v>
      </c>
      <c r="Y25" s="2"/>
      <c r="Z25" s="2">
        <v>4010.81</v>
      </c>
      <c r="AA25" s="2">
        <f t="shared" si="7"/>
        <v>4010.81</v>
      </c>
      <c r="AB25" s="2"/>
      <c r="AC25" s="2"/>
      <c r="AD25" s="2">
        <f t="shared" si="8"/>
        <v>0</v>
      </c>
      <c r="AE25" s="2"/>
      <c r="AF25" s="2">
        <v>13109.66</v>
      </c>
      <c r="AG25" s="2">
        <f t="shared" si="9"/>
        <v>13109.66</v>
      </c>
    </row>
    <row r="26" spans="1:33" x14ac:dyDescent="0.3">
      <c r="B26" s="3"/>
      <c r="C26" t="str">
        <f xml:space="preserve"> _xll.EPMOlapMemberO("[CLACO].[PARENTH1].[AMSACOMBUSTIBL]","","Combustibles  / Lubr","","000")</f>
        <v>Combustibles  / Lubr</v>
      </c>
      <c r="D26" s="2"/>
      <c r="E26" s="2"/>
      <c r="F26" s="2">
        <f t="shared" si="0"/>
        <v>0</v>
      </c>
      <c r="G26" s="2">
        <v>41.82</v>
      </c>
      <c r="H26" s="2"/>
      <c r="I26" s="2">
        <f t="shared" si="1"/>
        <v>-41.82</v>
      </c>
      <c r="J26" s="2"/>
      <c r="K26" s="2"/>
      <c r="L26" s="2">
        <f t="shared" si="2"/>
        <v>0</v>
      </c>
      <c r="M26" s="2"/>
      <c r="N26" s="2"/>
      <c r="O26" s="2">
        <f t="shared" si="3"/>
        <v>0</v>
      </c>
      <c r="P26" s="2"/>
      <c r="Q26" s="2"/>
      <c r="R26" s="2">
        <f t="shared" si="4"/>
        <v>0</v>
      </c>
      <c r="S26" s="2"/>
      <c r="T26" s="2"/>
      <c r="U26" s="2">
        <f t="shared" si="5"/>
        <v>0</v>
      </c>
      <c r="V26" s="2"/>
      <c r="W26" s="2"/>
      <c r="X26" s="2">
        <f t="shared" si="6"/>
        <v>0</v>
      </c>
      <c r="Y26" s="2"/>
      <c r="Z26" s="2"/>
      <c r="AA26" s="2">
        <f t="shared" si="7"/>
        <v>0</v>
      </c>
      <c r="AB26" s="2"/>
      <c r="AC26" s="2"/>
      <c r="AD26" s="2">
        <f t="shared" si="8"/>
        <v>0</v>
      </c>
      <c r="AE26" s="2"/>
      <c r="AF26" s="2"/>
      <c r="AG26" s="2">
        <f t="shared" si="9"/>
        <v>0</v>
      </c>
    </row>
    <row r="27" spans="1:33" x14ac:dyDescent="0.3">
      <c r="B27" s="3"/>
      <c r="C27" t="str">
        <f xml:space="preserve"> _xll.EPMOlapMemberO("[CLACO].[PARENTH1].[AMSAADM_PERSON]","","Administración Perso","","000")</f>
        <v>Administración Perso</v>
      </c>
      <c r="D27" s="2">
        <v>84.7</v>
      </c>
      <c r="E27" s="2"/>
      <c r="F27" s="2">
        <f t="shared" si="0"/>
        <v>-84.7</v>
      </c>
      <c r="G27" s="2"/>
      <c r="H27" s="2"/>
      <c r="I27" s="2">
        <f t="shared" si="1"/>
        <v>0</v>
      </c>
      <c r="J27" s="2"/>
      <c r="K27" s="2"/>
      <c r="L27" s="2">
        <f t="shared" si="2"/>
        <v>0</v>
      </c>
      <c r="M27" s="2"/>
      <c r="N27" s="2"/>
      <c r="O27" s="2">
        <f t="shared" si="3"/>
        <v>0</v>
      </c>
      <c r="P27" s="2"/>
      <c r="Q27" s="2"/>
      <c r="R27" s="2">
        <f t="shared" si="4"/>
        <v>0</v>
      </c>
      <c r="S27" s="2"/>
      <c r="T27" s="2"/>
      <c r="U27" s="2">
        <f t="shared" si="5"/>
        <v>0</v>
      </c>
      <c r="V27" s="2">
        <v>156.33000000000001</v>
      </c>
      <c r="W27" s="2"/>
      <c r="X27" s="2">
        <f t="shared" si="6"/>
        <v>-156.33000000000001</v>
      </c>
      <c r="Y27" s="2"/>
      <c r="Z27" s="2"/>
      <c r="AA27" s="2">
        <f t="shared" si="7"/>
        <v>0</v>
      </c>
      <c r="AB27" s="2"/>
      <c r="AC27" s="2"/>
      <c r="AD27" s="2">
        <f t="shared" si="8"/>
        <v>0</v>
      </c>
      <c r="AE27" s="2">
        <v>156.33000000000001</v>
      </c>
      <c r="AF27" s="2"/>
      <c r="AG27" s="2">
        <f t="shared" si="9"/>
        <v>-156.33000000000001</v>
      </c>
    </row>
    <row r="28" spans="1:33" x14ac:dyDescent="0.3">
      <c r="B28" s="3"/>
      <c r="C28" t="str">
        <f xml:space="preserve"> _xll.EPMOlapMemberO("[CLACO].[PARENTH1].[AMSAENTRENAMI]","","Entrenamiento","","000")</f>
        <v>Entrenamiento</v>
      </c>
      <c r="D28" s="2">
        <v>12180.73</v>
      </c>
      <c r="E28" s="2">
        <v>30089.43</v>
      </c>
      <c r="F28" s="2">
        <f t="shared" si="0"/>
        <v>17908.7</v>
      </c>
      <c r="G28" s="2">
        <v>8827.66</v>
      </c>
      <c r="H28" s="2">
        <v>31675.43</v>
      </c>
      <c r="I28" s="2">
        <f t="shared" si="1"/>
        <v>22847.77</v>
      </c>
      <c r="J28" s="2">
        <v>7613.03</v>
      </c>
      <c r="K28" s="2">
        <v>34681.47</v>
      </c>
      <c r="L28" s="2">
        <f t="shared" si="2"/>
        <v>27068.440000000002</v>
      </c>
      <c r="M28" s="2">
        <v>19421.62</v>
      </c>
      <c r="N28" s="2">
        <v>34902.83</v>
      </c>
      <c r="O28" s="2">
        <f t="shared" si="3"/>
        <v>15481.210000000003</v>
      </c>
      <c r="P28" s="2"/>
      <c r="Q28" s="2">
        <v>2644.76</v>
      </c>
      <c r="R28" s="2">
        <f t="shared" si="4"/>
        <v>2644.76</v>
      </c>
      <c r="S28" s="2"/>
      <c r="T28" s="2">
        <v>8052.06</v>
      </c>
      <c r="U28" s="2">
        <f t="shared" si="5"/>
        <v>8052.06</v>
      </c>
      <c r="V28" s="2"/>
      <c r="W28" s="2"/>
      <c r="X28" s="2">
        <f t="shared" si="6"/>
        <v>0</v>
      </c>
      <c r="Y28" s="2"/>
      <c r="Z28" s="2"/>
      <c r="AA28" s="2">
        <f t="shared" si="7"/>
        <v>0</v>
      </c>
      <c r="AB28" s="2"/>
      <c r="AC28" s="2"/>
      <c r="AD28" s="2">
        <f t="shared" si="8"/>
        <v>0</v>
      </c>
      <c r="AE28" s="2"/>
      <c r="AF28" s="2">
        <v>21349.86</v>
      </c>
      <c r="AG28" s="2">
        <f t="shared" si="9"/>
        <v>21349.86</v>
      </c>
    </row>
    <row r="29" spans="1:33" x14ac:dyDescent="0.3">
      <c r="B29" s="3"/>
      <c r="C29" t="str">
        <f xml:space="preserve"> _xll.EPMOlapMemberO("[CLACO].[PARENTH1].[AMSAASESORIAS]","","Asesorías y Consulto","","000")</f>
        <v>Asesorías y Consulto</v>
      </c>
      <c r="D29" s="2">
        <v>32913.1</v>
      </c>
      <c r="E29" s="2">
        <v>93455.96</v>
      </c>
      <c r="F29" s="2">
        <f t="shared" si="0"/>
        <v>60542.860000000008</v>
      </c>
      <c r="G29" s="2">
        <v>136319.29</v>
      </c>
      <c r="H29" s="2">
        <v>61353.51</v>
      </c>
      <c r="I29" s="2">
        <f t="shared" si="1"/>
        <v>-74965.78</v>
      </c>
      <c r="J29" s="2">
        <v>45823.78</v>
      </c>
      <c r="K29" s="2">
        <v>69974.81</v>
      </c>
      <c r="L29" s="2">
        <f t="shared" si="2"/>
        <v>24151.03</v>
      </c>
      <c r="M29" s="2">
        <v>-4436.99</v>
      </c>
      <c r="N29" s="2">
        <v>42440.58</v>
      </c>
      <c r="O29" s="2">
        <f t="shared" si="3"/>
        <v>46877.57</v>
      </c>
      <c r="P29" s="2"/>
      <c r="Q29" s="2"/>
      <c r="R29" s="2">
        <f t="shared" si="4"/>
        <v>0</v>
      </c>
      <c r="S29" s="2"/>
      <c r="T29" s="2">
        <v>8791.33</v>
      </c>
      <c r="U29" s="2">
        <f t="shared" si="5"/>
        <v>8791.33</v>
      </c>
      <c r="V29" s="2"/>
      <c r="W29" s="2"/>
      <c r="X29" s="2">
        <f t="shared" si="6"/>
        <v>0</v>
      </c>
      <c r="Y29" s="2"/>
      <c r="Z29" s="2"/>
      <c r="AA29" s="2">
        <f t="shared" si="7"/>
        <v>0</v>
      </c>
      <c r="AB29" s="2"/>
      <c r="AC29" s="2"/>
      <c r="AD29" s="2">
        <f t="shared" si="8"/>
        <v>0</v>
      </c>
      <c r="AE29" s="2"/>
      <c r="AF29" s="2">
        <v>35461.160000000003</v>
      </c>
      <c r="AG29" s="2">
        <f t="shared" si="9"/>
        <v>35461.160000000003</v>
      </c>
    </row>
    <row r="30" spans="1:33" x14ac:dyDescent="0.3">
      <c r="B30" s="3"/>
      <c r="C30" t="str">
        <f xml:space="preserve"> _xll.EPMOlapMemberO("[CLACO].[PARENTH1].[AMSAARRIENDOS]","","Arriendos","","000")</f>
        <v>Arriendos</v>
      </c>
      <c r="D30" s="2">
        <v>3976.05</v>
      </c>
      <c r="E30" s="2">
        <v>9904.49</v>
      </c>
      <c r="F30" s="2">
        <f t="shared" si="0"/>
        <v>5928.44</v>
      </c>
      <c r="G30" s="2">
        <v>3214.21</v>
      </c>
      <c r="H30" s="2">
        <v>9940.06</v>
      </c>
      <c r="I30" s="2">
        <f t="shared" si="1"/>
        <v>6725.8499999999995</v>
      </c>
      <c r="J30" s="2">
        <v>3632.09</v>
      </c>
      <c r="K30" s="2">
        <v>11179.58</v>
      </c>
      <c r="L30" s="2">
        <f t="shared" si="2"/>
        <v>7547.49</v>
      </c>
      <c r="M30" s="2">
        <v>2408.04</v>
      </c>
      <c r="N30" s="2">
        <v>10933.48</v>
      </c>
      <c r="O30" s="2">
        <f t="shared" si="3"/>
        <v>8525.4399999999987</v>
      </c>
      <c r="P30" s="2"/>
      <c r="Q30" s="2">
        <v>842.71</v>
      </c>
      <c r="R30" s="2">
        <f t="shared" si="4"/>
        <v>842.71</v>
      </c>
      <c r="S30" s="2">
        <v>162.02000000000001</v>
      </c>
      <c r="T30" s="2">
        <v>840.52</v>
      </c>
      <c r="U30" s="2">
        <f t="shared" si="5"/>
        <v>678.5</v>
      </c>
      <c r="V30" s="2">
        <v>324.5</v>
      </c>
      <c r="W30" s="2">
        <v>838.35</v>
      </c>
      <c r="X30" s="2">
        <f t="shared" si="6"/>
        <v>513.85</v>
      </c>
      <c r="Y30" s="2">
        <v>172.06</v>
      </c>
      <c r="Z30" s="2">
        <v>836.18</v>
      </c>
      <c r="AA30" s="2">
        <f t="shared" si="7"/>
        <v>664.11999999999989</v>
      </c>
      <c r="AB30" s="2">
        <v>165.33</v>
      </c>
      <c r="AC30" s="2">
        <v>834.01</v>
      </c>
      <c r="AD30" s="2">
        <f t="shared" si="8"/>
        <v>668.68</v>
      </c>
      <c r="AE30" s="2">
        <v>1320.52</v>
      </c>
      <c r="AF30" s="2">
        <v>10152.32</v>
      </c>
      <c r="AG30" s="2">
        <f t="shared" si="9"/>
        <v>8831.7999999999993</v>
      </c>
    </row>
    <row r="31" spans="1:33" x14ac:dyDescent="0.3">
      <c r="B31" s="3"/>
      <c r="C31" t="str">
        <f xml:space="preserve"> _xll.EPMOlapMemberO("[CLACO].[PARENTH1].[AMSASERVICIOS]","","Servicios","","000")</f>
        <v>Servicios</v>
      </c>
      <c r="D31" s="2">
        <v>76885.990000000005</v>
      </c>
      <c r="E31" s="2">
        <v>109356.89</v>
      </c>
      <c r="F31" s="2">
        <f t="shared" si="0"/>
        <v>32470.899999999994</v>
      </c>
      <c r="G31" s="2">
        <v>148750.69</v>
      </c>
      <c r="H31" s="2">
        <v>126844.69</v>
      </c>
      <c r="I31" s="2">
        <f t="shared" si="1"/>
        <v>-21906</v>
      </c>
      <c r="J31" s="2">
        <v>136336.24</v>
      </c>
      <c r="K31" s="2">
        <v>142411.19</v>
      </c>
      <c r="L31" s="2">
        <f t="shared" si="2"/>
        <v>6074.9500000000116</v>
      </c>
      <c r="M31" s="2">
        <v>175489.29</v>
      </c>
      <c r="N31" s="2">
        <v>127306.17</v>
      </c>
      <c r="O31" s="2">
        <f t="shared" si="3"/>
        <v>-48183.12000000001</v>
      </c>
      <c r="P31" s="2">
        <v>14556.6</v>
      </c>
      <c r="Q31" s="2">
        <v>15457.08</v>
      </c>
      <c r="R31" s="2">
        <f t="shared" si="4"/>
        <v>900.47999999999956</v>
      </c>
      <c r="S31" s="2">
        <v>15007.86</v>
      </c>
      <c r="T31" s="2">
        <v>14307.89</v>
      </c>
      <c r="U31" s="2">
        <f t="shared" si="5"/>
        <v>-699.97000000000116</v>
      </c>
      <c r="V31" s="2">
        <v>15706.21</v>
      </c>
      <c r="W31" s="2">
        <v>15373.13</v>
      </c>
      <c r="X31" s="2">
        <f t="shared" si="6"/>
        <v>-333.07999999999993</v>
      </c>
      <c r="Y31" s="2">
        <v>14099.48</v>
      </c>
      <c r="Z31" s="2">
        <v>14250.23</v>
      </c>
      <c r="AA31" s="2">
        <f t="shared" si="7"/>
        <v>150.75</v>
      </c>
      <c r="AB31" s="2">
        <v>14121.67</v>
      </c>
      <c r="AC31" s="2">
        <v>14210.58</v>
      </c>
      <c r="AD31" s="2">
        <f t="shared" si="8"/>
        <v>88.909999999999854</v>
      </c>
      <c r="AE31" s="2">
        <v>59544.39</v>
      </c>
      <c r="AF31" s="2">
        <v>176799.44</v>
      </c>
      <c r="AG31" s="2">
        <f t="shared" si="9"/>
        <v>117255.05</v>
      </c>
    </row>
    <row r="32" spans="1:33" x14ac:dyDescent="0.3">
      <c r="B32" s="3"/>
      <c r="C32" t="str">
        <f xml:space="preserve"> _xll.EPMOlapMemberO("[CLACO].[PARENTH1].[AMSAINFORMATIC]","","Informática y Comuni","","000")</f>
        <v>Informática y Comuni</v>
      </c>
      <c r="D32" s="2">
        <v>53802.29</v>
      </c>
      <c r="E32" s="2">
        <v>39838.67</v>
      </c>
      <c r="F32" s="2">
        <f t="shared" si="0"/>
        <v>-13963.620000000003</v>
      </c>
      <c r="G32" s="2">
        <v>70765</v>
      </c>
      <c r="H32" s="2">
        <v>44402.54</v>
      </c>
      <c r="I32" s="2">
        <f t="shared" si="1"/>
        <v>-26362.46</v>
      </c>
      <c r="J32" s="2">
        <v>51854.98</v>
      </c>
      <c r="K32" s="2">
        <v>47383.56</v>
      </c>
      <c r="L32" s="2">
        <f t="shared" si="2"/>
        <v>-4471.4200000000055</v>
      </c>
      <c r="M32" s="2">
        <v>102881.27</v>
      </c>
      <c r="N32" s="2">
        <v>76870.91</v>
      </c>
      <c r="O32" s="2">
        <f t="shared" si="3"/>
        <v>-26010.36</v>
      </c>
      <c r="P32" s="2">
        <v>6187.27</v>
      </c>
      <c r="Q32" s="2">
        <v>2815.53</v>
      </c>
      <c r="R32" s="2">
        <f t="shared" si="4"/>
        <v>-3371.7400000000002</v>
      </c>
      <c r="S32" s="2">
        <v>1633.72</v>
      </c>
      <c r="T32" s="2">
        <v>2810.17</v>
      </c>
      <c r="U32" s="2">
        <f t="shared" si="5"/>
        <v>1176.45</v>
      </c>
      <c r="V32" s="2">
        <v>25396.39</v>
      </c>
      <c r="W32" s="2">
        <v>2804.81</v>
      </c>
      <c r="X32" s="2">
        <f t="shared" si="6"/>
        <v>-22591.579999999998</v>
      </c>
      <c r="Y32" s="2">
        <v>-556.85</v>
      </c>
      <c r="Z32" s="2">
        <v>2799.55</v>
      </c>
      <c r="AA32" s="2">
        <f t="shared" si="7"/>
        <v>3356.4</v>
      </c>
      <c r="AB32" s="2">
        <v>1709.39</v>
      </c>
      <c r="AC32" s="2">
        <v>2794.27</v>
      </c>
      <c r="AD32" s="2">
        <f t="shared" si="8"/>
        <v>1084.8799999999999</v>
      </c>
      <c r="AE32" s="2">
        <v>33920.6</v>
      </c>
      <c r="AF32" s="2">
        <v>64193.33</v>
      </c>
      <c r="AG32" s="2">
        <f t="shared" si="9"/>
        <v>30272.730000000003</v>
      </c>
    </row>
    <row r="33" spans="1:33" x14ac:dyDescent="0.3">
      <c r="B33" s="3"/>
      <c r="C33" t="str">
        <f xml:space="preserve"> _xll.EPMOlapMemberO("[CLACO].[PARENTH1].[AMSAG_VIAJES]","","Gastos de Viajes","","000")</f>
        <v>Gastos de Viajes</v>
      </c>
      <c r="D33" s="2">
        <v>33340.19</v>
      </c>
      <c r="E33" s="2">
        <v>90868.35</v>
      </c>
      <c r="F33" s="2">
        <f t="shared" si="0"/>
        <v>57528.160000000003</v>
      </c>
      <c r="G33" s="2">
        <v>53844.25</v>
      </c>
      <c r="H33" s="2">
        <v>131621.96</v>
      </c>
      <c r="I33" s="2">
        <f t="shared" si="1"/>
        <v>77777.709999999992</v>
      </c>
      <c r="J33" s="2">
        <v>46636.78</v>
      </c>
      <c r="K33" s="2">
        <v>107470.39</v>
      </c>
      <c r="L33" s="2">
        <f t="shared" si="2"/>
        <v>60833.61</v>
      </c>
      <c r="M33" s="2">
        <v>51252.3</v>
      </c>
      <c r="N33" s="2">
        <v>89625.27</v>
      </c>
      <c r="O33" s="2">
        <f t="shared" si="3"/>
        <v>38372.97</v>
      </c>
      <c r="P33" s="2">
        <v>501.83</v>
      </c>
      <c r="Q33" s="2">
        <v>3592</v>
      </c>
      <c r="R33" s="2">
        <f t="shared" si="4"/>
        <v>3090.17</v>
      </c>
      <c r="S33" s="2">
        <v>1720.86</v>
      </c>
      <c r="T33" s="2">
        <v>3585.19</v>
      </c>
      <c r="U33" s="2">
        <f t="shared" si="5"/>
        <v>1864.3300000000002</v>
      </c>
      <c r="V33" s="2">
        <v>352.64</v>
      </c>
      <c r="W33" s="2">
        <v>9103.58</v>
      </c>
      <c r="X33" s="2">
        <f t="shared" si="6"/>
        <v>8750.94</v>
      </c>
      <c r="Y33" s="2">
        <v>1334.35</v>
      </c>
      <c r="Z33" s="2">
        <v>20196.419999999998</v>
      </c>
      <c r="AA33" s="2">
        <f t="shared" si="7"/>
        <v>18862.07</v>
      </c>
      <c r="AB33" s="2">
        <v>1481.46</v>
      </c>
      <c r="AC33" s="2">
        <v>1843.51</v>
      </c>
      <c r="AD33" s="2">
        <f t="shared" si="8"/>
        <v>362.04999999999995</v>
      </c>
      <c r="AE33" s="2">
        <v>5802.45</v>
      </c>
      <c r="AF33" s="2">
        <v>110241.73</v>
      </c>
      <c r="AG33" s="2">
        <f t="shared" si="9"/>
        <v>104439.28</v>
      </c>
    </row>
    <row r="34" spans="1:33" x14ac:dyDescent="0.3">
      <c r="B34" s="3"/>
      <c r="C34" t="str">
        <f xml:space="preserve"> _xll.EPMOlapMemberO("[CLACO].[PARENTH1].[AMSAIMP_PATEN]","","Impuestos / Patentes","","000")</f>
        <v>Impuestos / Patentes</v>
      </c>
      <c r="D34" s="2"/>
      <c r="E34" s="2"/>
      <c r="F34" s="2">
        <f t="shared" si="0"/>
        <v>0</v>
      </c>
      <c r="G34" s="2"/>
      <c r="H34" s="2"/>
      <c r="I34" s="2">
        <f t="shared" si="1"/>
        <v>0</v>
      </c>
      <c r="J34" s="2"/>
      <c r="K34" s="2"/>
      <c r="L34" s="2">
        <f t="shared" si="2"/>
        <v>0</v>
      </c>
      <c r="M34" s="2">
        <v>49.63</v>
      </c>
      <c r="N34" s="2"/>
      <c r="O34" s="2">
        <f t="shared" si="3"/>
        <v>-49.63</v>
      </c>
      <c r="P34" s="2"/>
      <c r="Q34" s="2"/>
      <c r="R34" s="2">
        <f t="shared" si="4"/>
        <v>0</v>
      </c>
      <c r="S34" s="2"/>
      <c r="T34" s="2"/>
      <c r="U34" s="2">
        <f t="shared" si="5"/>
        <v>0</v>
      </c>
      <c r="V34" s="2"/>
      <c r="W34" s="2"/>
      <c r="X34" s="2">
        <f t="shared" si="6"/>
        <v>0</v>
      </c>
      <c r="Y34" s="2"/>
      <c r="Z34" s="2"/>
      <c r="AA34" s="2">
        <f t="shared" si="7"/>
        <v>0</v>
      </c>
      <c r="AB34" s="2"/>
      <c r="AC34" s="2"/>
      <c r="AD34" s="2">
        <f t="shared" si="8"/>
        <v>0</v>
      </c>
      <c r="AE34" s="2"/>
      <c r="AF34" s="2"/>
      <c r="AG34" s="2">
        <f t="shared" si="9"/>
        <v>0</v>
      </c>
    </row>
    <row r="35" spans="1:33" x14ac:dyDescent="0.3">
      <c r="B35" s="3"/>
      <c r="C35" t="str">
        <f xml:space="preserve"> _xll.EPMOlapMemberO("[CLACO].[PARENTH1].[AMSAGGENERALES.2]","","Otros Gastos","","000")</f>
        <v>Otros Gastos</v>
      </c>
      <c r="D35" s="2">
        <v>5854.83</v>
      </c>
      <c r="E35" s="2">
        <v>3327.44</v>
      </c>
      <c r="F35" s="2">
        <f t="shared" si="0"/>
        <v>-2527.39</v>
      </c>
      <c r="G35" s="2">
        <v>1404.45</v>
      </c>
      <c r="H35" s="2">
        <v>3310.59</v>
      </c>
      <c r="I35" s="2">
        <f t="shared" si="1"/>
        <v>1906.14</v>
      </c>
      <c r="J35" s="2">
        <v>11601.43</v>
      </c>
      <c r="K35" s="2">
        <v>4206.1099999999997</v>
      </c>
      <c r="L35" s="2">
        <f t="shared" si="2"/>
        <v>-7395.3200000000006</v>
      </c>
      <c r="M35" s="2">
        <v>1752.8</v>
      </c>
      <c r="N35" s="2">
        <v>4087.18</v>
      </c>
      <c r="O35" s="2">
        <f t="shared" si="3"/>
        <v>2334.38</v>
      </c>
      <c r="P35" s="2">
        <v>96.42</v>
      </c>
      <c r="Q35" s="2">
        <v>132.24</v>
      </c>
      <c r="R35" s="2">
        <f t="shared" si="4"/>
        <v>35.820000000000007</v>
      </c>
      <c r="S35" s="2">
        <v>93.75</v>
      </c>
      <c r="T35" s="2">
        <v>131.87</v>
      </c>
      <c r="U35" s="2">
        <f t="shared" si="5"/>
        <v>38.120000000000005</v>
      </c>
      <c r="V35" s="2">
        <v>59.04</v>
      </c>
      <c r="W35" s="2">
        <v>131.5</v>
      </c>
      <c r="X35" s="2">
        <f t="shared" si="6"/>
        <v>72.460000000000008</v>
      </c>
      <c r="Y35" s="2">
        <v>32.229999999999997</v>
      </c>
      <c r="Z35" s="2">
        <v>2753.88</v>
      </c>
      <c r="AA35" s="2">
        <f t="shared" si="7"/>
        <v>2721.65</v>
      </c>
      <c r="AB35" s="2">
        <v>36.090000000000003</v>
      </c>
      <c r="AC35" s="2">
        <v>130.77000000000001</v>
      </c>
      <c r="AD35" s="2">
        <f t="shared" si="8"/>
        <v>94.68</v>
      </c>
      <c r="AE35" s="2">
        <v>318.66000000000003</v>
      </c>
      <c r="AF35" s="2">
        <v>4216.32</v>
      </c>
      <c r="AG35" s="2">
        <f t="shared" si="9"/>
        <v>3897.66</v>
      </c>
    </row>
    <row r="36" spans="1:33" x14ac:dyDescent="0.3">
      <c r="A36" t="s">
        <v>3</v>
      </c>
      <c r="B36" s="3" t="str">
        <f xml:space="preserve"> _xll.EPMOlapMemberO("[CECO].[PARENTH3].[AMSA1000AC0518]","","Geología Corporativa","","000")</f>
        <v>Geología Corporativa</v>
      </c>
      <c r="C36" t="str">
        <f xml:space="preserve"> _xll.EPMOlapMemberO("[CLACO].[PARENTH1].[AMSAINFORMATIC]","","Informática y Comuni","","000")</f>
        <v>Informática y Comuni</v>
      </c>
      <c r="D36" s="2">
        <v>0</v>
      </c>
      <c r="E36" s="2"/>
      <c r="F36" s="2">
        <f t="shared" si="0"/>
        <v>0</v>
      </c>
      <c r="G36" s="2"/>
      <c r="H36" s="2"/>
      <c r="I36" s="2">
        <f t="shared" si="1"/>
        <v>0</v>
      </c>
      <c r="J36" s="2">
        <v>0</v>
      </c>
      <c r="K36" s="2"/>
      <c r="L36" s="2">
        <f t="shared" si="2"/>
        <v>0</v>
      </c>
      <c r="M36" s="2"/>
      <c r="N36" s="2"/>
      <c r="O36" s="2">
        <f t="shared" si="3"/>
        <v>0</v>
      </c>
      <c r="P36" s="2"/>
      <c r="Q36" s="2"/>
      <c r="R36" s="2">
        <f t="shared" si="4"/>
        <v>0</v>
      </c>
      <c r="S36" s="2"/>
      <c r="T36" s="2"/>
      <c r="U36" s="2">
        <f t="shared" si="5"/>
        <v>0</v>
      </c>
      <c r="V36" s="2"/>
      <c r="W36" s="2"/>
      <c r="X36" s="2">
        <f t="shared" si="6"/>
        <v>0</v>
      </c>
      <c r="Y36" s="2"/>
      <c r="Z36" s="2"/>
      <c r="AA36" s="2">
        <f t="shared" si="7"/>
        <v>0</v>
      </c>
      <c r="AB36" s="2"/>
      <c r="AC36" s="2"/>
      <c r="AD36" s="2">
        <f t="shared" si="8"/>
        <v>0</v>
      </c>
      <c r="AE36" s="2"/>
      <c r="AF36" s="2"/>
      <c r="AG36" s="2">
        <f t="shared" si="9"/>
        <v>0</v>
      </c>
    </row>
    <row r="37" spans="1:33" x14ac:dyDescent="0.3">
      <c r="B37" s="3"/>
      <c r="C37" t="str">
        <f xml:space="preserve"> _xll.EPMOlapMemberO("[CLACO].[PARENTH1].[AMSAGGENERALES.2]","","Otros Gastos","","000")</f>
        <v>Otros Gastos</v>
      </c>
      <c r="D37" s="2"/>
      <c r="E37" s="2"/>
      <c r="F37" s="2">
        <f t="shared" si="0"/>
        <v>0</v>
      </c>
      <c r="G37" s="2"/>
      <c r="H37" s="2"/>
      <c r="I37" s="2">
        <f t="shared" si="1"/>
        <v>0</v>
      </c>
      <c r="J37" s="2">
        <v>0.08</v>
      </c>
      <c r="K37" s="2"/>
      <c r="L37" s="2">
        <f t="shared" si="2"/>
        <v>-0.08</v>
      </c>
      <c r="M37" s="2">
        <v>0.85</v>
      </c>
      <c r="N37" s="2"/>
      <c r="O37" s="2">
        <f t="shared" si="3"/>
        <v>-0.85</v>
      </c>
      <c r="P37" s="2"/>
      <c r="Q37" s="2"/>
      <c r="R37" s="2">
        <f t="shared" si="4"/>
        <v>0</v>
      </c>
      <c r="S37" s="2"/>
      <c r="T37" s="2"/>
      <c r="U37" s="2">
        <f t="shared" si="5"/>
        <v>0</v>
      </c>
      <c r="V37" s="2"/>
      <c r="W37" s="2"/>
      <c r="X37" s="2">
        <f t="shared" si="6"/>
        <v>0</v>
      </c>
      <c r="Y37" s="2"/>
      <c r="Z37" s="2"/>
      <c r="AA37" s="2">
        <f t="shared" si="7"/>
        <v>0</v>
      </c>
      <c r="AB37" s="2"/>
      <c r="AC37" s="2"/>
      <c r="AD37" s="2">
        <f t="shared" si="8"/>
        <v>0</v>
      </c>
      <c r="AE37" s="2"/>
      <c r="AF37" s="2"/>
      <c r="AG37" s="2">
        <f t="shared" si="9"/>
        <v>0</v>
      </c>
    </row>
    <row r="38" spans="1:33" x14ac:dyDescent="0.3">
      <c r="A38" t="s">
        <v>4</v>
      </c>
      <c r="B38" s="3" t="str">
        <f xml:space="preserve"> _xll.EPMOlapMemberO("[CECO].[PARENTH3].[AMSA1000AC0523]","","Gcia de Sustentab","","000")</f>
        <v>Gcia de Sustentab</v>
      </c>
      <c r="C38" t="str">
        <f xml:space="preserve"> _xll.EPMOlapMemberO("[CLACO].[PARENTH1].[AMSAREMUNERACI.SS]","","Remuneraciones Super","","000")</f>
        <v>Remuneraciones Super</v>
      </c>
      <c r="D38" s="2"/>
      <c r="E38" s="2"/>
      <c r="F38" s="2">
        <f t="shared" si="0"/>
        <v>0</v>
      </c>
      <c r="G38" s="2"/>
      <c r="H38" s="2"/>
      <c r="I38" s="2">
        <f t="shared" si="1"/>
        <v>0</v>
      </c>
      <c r="J38" s="2"/>
      <c r="K38" s="2"/>
      <c r="L38" s="2">
        <f t="shared" si="2"/>
        <v>0</v>
      </c>
      <c r="M38" s="2"/>
      <c r="N38" s="2">
        <v>646381.4</v>
      </c>
      <c r="O38" s="2">
        <f t="shared" si="3"/>
        <v>646381.4</v>
      </c>
      <c r="P38" s="2"/>
      <c r="Q38" s="2"/>
      <c r="R38" s="2">
        <f t="shared" si="4"/>
        <v>0</v>
      </c>
      <c r="S38" s="2"/>
      <c r="T38" s="2"/>
      <c r="U38" s="2">
        <f t="shared" si="5"/>
        <v>0</v>
      </c>
      <c r="V38" s="2"/>
      <c r="W38" s="2"/>
      <c r="X38" s="2">
        <f t="shared" si="6"/>
        <v>0</v>
      </c>
      <c r="Y38" s="2"/>
      <c r="Z38" s="2"/>
      <c r="AA38" s="2">
        <f t="shared" si="7"/>
        <v>0</v>
      </c>
      <c r="AB38" s="2"/>
      <c r="AC38" s="2"/>
      <c r="AD38" s="2">
        <f t="shared" si="8"/>
        <v>0</v>
      </c>
      <c r="AE38" s="2"/>
      <c r="AF38" s="2"/>
      <c r="AG38" s="2">
        <f t="shared" si="9"/>
        <v>0</v>
      </c>
    </row>
    <row r="39" spans="1:33" x14ac:dyDescent="0.3">
      <c r="B39" s="3"/>
      <c r="C39" t="str">
        <f xml:space="preserve"> _xll.EPMOlapMemberO("[CLACO].[PARENTH1].[AMSAMAT_Y_REP.2]","","Materiales y repuest","","000")</f>
        <v>Materiales y repuest</v>
      </c>
      <c r="D39" s="2"/>
      <c r="E39" s="2"/>
      <c r="F39" s="2">
        <f t="shared" si="0"/>
        <v>0</v>
      </c>
      <c r="G39" s="2"/>
      <c r="H39" s="2"/>
      <c r="I39" s="2">
        <f t="shared" si="1"/>
        <v>0</v>
      </c>
      <c r="J39" s="2"/>
      <c r="K39" s="2"/>
      <c r="L39" s="2">
        <f t="shared" si="2"/>
        <v>0</v>
      </c>
      <c r="M39" s="2">
        <v>1313.52</v>
      </c>
      <c r="N39" s="2"/>
      <c r="O39" s="2">
        <f t="shared" si="3"/>
        <v>-1313.52</v>
      </c>
      <c r="P39" s="2"/>
      <c r="Q39" s="2"/>
      <c r="R39" s="2">
        <f t="shared" si="4"/>
        <v>0</v>
      </c>
      <c r="S39" s="2"/>
      <c r="T39" s="2"/>
      <c r="U39" s="2">
        <f t="shared" si="5"/>
        <v>0</v>
      </c>
      <c r="V39" s="2"/>
      <c r="W39" s="2"/>
      <c r="X39" s="2">
        <f t="shared" si="6"/>
        <v>0</v>
      </c>
      <c r="Y39" s="2"/>
      <c r="Z39" s="2"/>
      <c r="AA39" s="2">
        <f t="shared" si="7"/>
        <v>0</v>
      </c>
      <c r="AB39" s="2">
        <v>1317.26</v>
      </c>
      <c r="AC39" s="2"/>
      <c r="AD39" s="2">
        <f t="shared" si="8"/>
        <v>-1317.26</v>
      </c>
      <c r="AE39" s="2">
        <v>1317.26</v>
      </c>
      <c r="AF39" s="2"/>
      <c r="AG39" s="2">
        <f t="shared" si="9"/>
        <v>-1317.26</v>
      </c>
    </row>
    <row r="40" spans="1:33" x14ac:dyDescent="0.3">
      <c r="B40" s="3"/>
      <c r="C40" t="str">
        <f xml:space="preserve"> _xll.EPMOlapMemberO("[CLACO].[PARENTH1].[AMSAENTRENAMI]","","Entrenamiento","","000")</f>
        <v>Entrenamiento</v>
      </c>
      <c r="D40" s="2"/>
      <c r="E40" s="2"/>
      <c r="F40" s="2">
        <f t="shared" si="0"/>
        <v>0</v>
      </c>
      <c r="G40" s="2"/>
      <c r="H40" s="2"/>
      <c r="I40" s="2">
        <f t="shared" si="1"/>
        <v>0</v>
      </c>
      <c r="J40" s="2"/>
      <c r="K40" s="2"/>
      <c r="L40" s="2">
        <f t="shared" si="2"/>
        <v>0</v>
      </c>
      <c r="M40" s="2">
        <v>0</v>
      </c>
      <c r="N40" s="2">
        <v>14476.54</v>
      </c>
      <c r="O40" s="2">
        <f t="shared" si="3"/>
        <v>14476.54</v>
      </c>
      <c r="P40" s="2"/>
      <c r="Q40" s="2"/>
      <c r="R40" s="2">
        <f t="shared" si="4"/>
        <v>0</v>
      </c>
      <c r="S40" s="2"/>
      <c r="T40" s="2"/>
      <c r="U40" s="2">
        <f t="shared" si="5"/>
        <v>0</v>
      </c>
      <c r="V40" s="2"/>
      <c r="W40" s="2">
        <v>3066.65</v>
      </c>
      <c r="X40" s="2">
        <f t="shared" si="6"/>
        <v>3066.65</v>
      </c>
      <c r="Y40" s="2"/>
      <c r="Z40" s="2"/>
      <c r="AA40" s="2">
        <f t="shared" si="7"/>
        <v>0</v>
      </c>
      <c r="AB40" s="2"/>
      <c r="AC40" s="2"/>
      <c r="AD40" s="2">
        <f t="shared" si="8"/>
        <v>0</v>
      </c>
      <c r="AE40" s="2"/>
      <c r="AF40" s="2">
        <v>14921.87</v>
      </c>
      <c r="AG40" s="2">
        <f t="shared" si="9"/>
        <v>14921.87</v>
      </c>
    </row>
    <row r="41" spans="1:33" x14ac:dyDescent="0.3">
      <c r="B41" s="3"/>
      <c r="C41" t="str">
        <f xml:space="preserve"> _xll.EPMOlapMemberO("[CLACO].[PARENTH1].[AMSAARRIENDOS]","","Arriendos","","000")</f>
        <v>Arriendos</v>
      </c>
      <c r="D41" s="2"/>
      <c r="E41" s="2"/>
      <c r="F41" s="2">
        <f t="shared" si="0"/>
        <v>0</v>
      </c>
      <c r="G41" s="2"/>
      <c r="H41" s="2"/>
      <c r="I41" s="2">
        <f t="shared" si="1"/>
        <v>0</v>
      </c>
      <c r="J41" s="2"/>
      <c r="K41" s="2"/>
      <c r="L41" s="2">
        <f t="shared" si="2"/>
        <v>0</v>
      </c>
      <c r="M41" s="2">
        <v>1369.86</v>
      </c>
      <c r="N41" s="2"/>
      <c r="O41" s="2">
        <f t="shared" si="3"/>
        <v>-1369.86</v>
      </c>
      <c r="P41" s="2"/>
      <c r="Q41" s="2"/>
      <c r="R41" s="2">
        <f t="shared" si="4"/>
        <v>0</v>
      </c>
      <c r="S41" s="2">
        <v>247.55</v>
      </c>
      <c r="T41" s="2"/>
      <c r="U41" s="2">
        <f t="shared" si="5"/>
        <v>-247.55</v>
      </c>
      <c r="V41" s="2">
        <v>72.39</v>
      </c>
      <c r="W41" s="2"/>
      <c r="X41" s="2">
        <f t="shared" si="6"/>
        <v>-72.39</v>
      </c>
      <c r="Y41" s="2"/>
      <c r="Z41" s="2"/>
      <c r="AA41" s="2">
        <f t="shared" si="7"/>
        <v>0</v>
      </c>
      <c r="AB41" s="2"/>
      <c r="AC41" s="2"/>
      <c r="AD41" s="2">
        <f t="shared" si="8"/>
        <v>0</v>
      </c>
      <c r="AE41" s="2">
        <v>319.94</v>
      </c>
      <c r="AF41" s="2"/>
      <c r="AG41" s="2">
        <f t="shared" si="9"/>
        <v>-319.94</v>
      </c>
    </row>
    <row r="42" spans="1:33" x14ac:dyDescent="0.3">
      <c r="B42" s="3"/>
      <c r="C42" t="str">
        <f xml:space="preserve"> _xll.EPMOlapMemberO("[CLACO].[PARENTH1].[AMSASERVICIOS]","","Servicios","","000")</f>
        <v>Servicios</v>
      </c>
      <c r="D42" s="2"/>
      <c r="E42" s="2"/>
      <c r="F42" s="2">
        <f t="shared" si="0"/>
        <v>0</v>
      </c>
      <c r="G42" s="2"/>
      <c r="H42" s="2"/>
      <c r="I42" s="2">
        <f t="shared" si="1"/>
        <v>0</v>
      </c>
      <c r="J42" s="2">
        <v>0.15</v>
      </c>
      <c r="K42" s="2"/>
      <c r="L42" s="2">
        <f t="shared" si="2"/>
        <v>-0.15</v>
      </c>
      <c r="M42" s="2">
        <v>2029.64</v>
      </c>
      <c r="N42" s="2">
        <v>12848.77</v>
      </c>
      <c r="O42" s="2">
        <f t="shared" si="3"/>
        <v>10819.130000000001</v>
      </c>
      <c r="P42" s="2"/>
      <c r="Q42" s="2"/>
      <c r="R42" s="2">
        <f t="shared" si="4"/>
        <v>0</v>
      </c>
      <c r="S42" s="2"/>
      <c r="T42" s="2"/>
      <c r="U42" s="2">
        <f t="shared" si="5"/>
        <v>0</v>
      </c>
      <c r="V42" s="2">
        <v>1109.8</v>
      </c>
      <c r="W42" s="2"/>
      <c r="X42" s="2">
        <f t="shared" si="6"/>
        <v>-1109.8</v>
      </c>
      <c r="Y42" s="2"/>
      <c r="Z42" s="2">
        <v>724.14</v>
      </c>
      <c r="AA42" s="2">
        <f t="shared" si="7"/>
        <v>724.14</v>
      </c>
      <c r="AB42" s="2">
        <v>971</v>
      </c>
      <c r="AC42" s="2">
        <v>988.1</v>
      </c>
      <c r="AD42" s="2">
        <f t="shared" si="8"/>
        <v>17.100000000000023</v>
      </c>
      <c r="AE42" s="2">
        <v>2080.8000000000002</v>
      </c>
      <c r="AF42" s="2">
        <v>12826.02</v>
      </c>
      <c r="AG42" s="2">
        <f t="shared" si="9"/>
        <v>10745.220000000001</v>
      </c>
    </row>
    <row r="43" spans="1:33" x14ac:dyDescent="0.3">
      <c r="B43" s="3"/>
      <c r="C43" t="str">
        <f xml:space="preserve"> _xll.EPMOlapMemberO("[CLACO].[PARENTH1].[AMSASERMANTO.REPA]","","Servicios Mantenimie","","000")</f>
        <v>Servicios Mantenimie</v>
      </c>
      <c r="D43" s="2"/>
      <c r="E43" s="2"/>
      <c r="F43" s="2">
        <f t="shared" si="0"/>
        <v>0</v>
      </c>
      <c r="G43" s="2"/>
      <c r="H43" s="2"/>
      <c r="I43" s="2">
        <f t="shared" si="1"/>
        <v>0</v>
      </c>
      <c r="J43" s="2"/>
      <c r="K43" s="2"/>
      <c r="L43" s="2">
        <f t="shared" si="2"/>
        <v>0</v>
      </c>
      <c r="M43" s="2">
        <v>5.29</v>
      </c>
      <c r="N43" s="2"/>
      <c r="O43" s="2">
        <f t="shared" si="3"/>
        <v>-5.29</v>
      </c>
      <c r="P43" s="2"/>
      <c r="Q43" s="2"/>
      <c r="R43" s="2">
        <f t="shared" si="4"/>
        <v>0</v>
      </c>
      <c r="S43" s="2"/>
      <c r="T43" s="2"/>
      <c r="U43" s="2">
        <f t="shared" si="5"/>
        <v>0</v>
      </c>
      <c r="V43" s="2"/>
      <c r="W43" s="2"/>
      <c r="X43" s="2">
        <f t="shared" si="6"/>
        <v>0</v>
      </c>
      <c r="Y43" s="2"/>
      <c r="Z43" s="2"/>
      <c r="AA43" s="2">
        <f t="shared" si="7"/>
        <v>0</v>
      </c>
      <c r="AB43" s="2"/>
      <c r="AC43" s="2"/>
      <c r="AD43" s="2">
        <f t="shared" si="8"/>
        <v>0</v>
      </c>
      <c r="AE43" s="2"/>
      <c r="AF43" s="2"/>
      <c r="AG43" s="2">
        <f t="shared" si="9"/>
        <v>0</v>
      </c>
    </row>
    <row r="44" spans="1:33" x14ac:dyDescent="0.3">
      <c r="B44" s="3"/>
      <c r="C44" t="str">
        <f xml:space="preserve"> _xll.EPMOlapMemberO("[CLACO].[PARENTH1].[AMSAINFORMATIC]","","Informática y Comuni","","000")</f>
        <v>Informática y Comuni</v>
      </c>
      <c r="D44" s="2"/>
      <c r="E44" s="2"/>
      <c r="F44" s="2">
        <f t="shared" si="0"/>
        <v>0</v>
      </c>
      <c r="G44" s="2"/>
      <c r="H44" s="2"/>
      <c r="I44" s="2">
        <f t="shared" si="1"/>
        <v>0</v>
      </c>
      <c r="J44" s="2">
        <v>-0.28999999999999998</v>
      </c>
      <c r="K44" s="2"/>
      <c r="L44" s="2">
        <f t="shared" si="2"/>
        <v>0.28999999999999998</v>
      </c>
      <c r="M44" s="2">
        <v>3184.07</v>
      </c>
      <c r="N44" s="2">
        <v>400.94</v>
      </c>
      <c r="O44" s="2">
        <f t="shared" si="3"/>
        <v>-2783.13</v>
      </c>
      <c r="P44" s="2"/>
      <c r="Q44" s="2">
        <v>33.28</v>
      </c>
      <c r="R44" s="2">
        <f t="shared" si="4"/>
        <v>33.28</v>
      </c>
      <c r="S44" s="2">
        <v>80.14</v>
      </c>
      <c r="T44" s="2">
        <v>33.21</v>
      </c>
      <c r="U44" s="2">
        <f t="shared" si="5"/>
        <v>-46.93</v>
      </c>
      <c r="V44" s="2">
        <v>37.97</v>
      </c>
      <c r="W44" s="2">
        <v>33.15</v>
      </c>
      <c r="X44" s="2">
        <f t="shared" si="6"/>
        <v>-4.82</v>
      </c>
      <c r="Y44" s="2">
        <v>111.68</v>
      </c>
      <c r="Z44" s="2">
        <v>33.090000000000003</v>
      </c>
      <c r="AA44" s="2">
        <f t="shared" si="7"/>
        <v>-78.59</v>
      </c>
      <c r="AB44" s="2">
        <v>38.69</v>
      </c>
      <c r="AC44" s="2">
        <v>33.03</v>
      </c>
      <c r="AD44" s="2">
        <f t="shared" si="8"/>
        <v>-5.6599999999999966</v>
      </c>
      <c r="AE44" s="2">
        <v>307.33999999999997</v>
      </c>
      <c r="AF44" s="2">
        <v>400.47</v>
      </c>
      <c r="AG44" s="2">
        <f t="shared" si="9"/>
        <v>93.130000000000052</v>
      </c>
    </row>
    <row r="45" spans="1:33" x14ac:dyDescent="0.3">
      <c r="B45" s="3"/>
      <c r="C45" t="str">
        <f xml:space="preserve"> _xll.EPMOlapMemberO("[CLACO].[PARENTH1].[AMSAG_VIAJES]","","Gastos de Viajes","","000")</f>
        <v>Gastos de Viajes</v>
      </c>
      <c r="D45" s="2"/>
      <c r="E45" s="2"/>
      <c r="F45" s="2">
        <f t="shared" si="0"/>
        <v>0</v>
      </c>
      <c r="G45" s="2"/>
      <c r="H45" s="2"/>
      <c r="I45" s="2">
        <f t="shared" si="1"/>
        <v>0</v>
      </c>
      <c r="J45" s="2">
        <v>0</v>
      </c>
      <c r="K45" s="2"/>
      <c r="L45" s="2">
        <f t="shared" si="2"/>
        <v>0</v>
      </c>
      <c r="M45" s="2">
        <v>24221.31</v>
      </c>
      <c r="N45" s="2">
        <v>38006.53</v>
      </c>
      <c r="O45" s="2">
        <f t="shared" si="3"/>
        <v>13785.219999999998</v>
      </c>
      <c r="P45" s="2">
        <v>-211.7</v>
      </c>
      <c r="Q45" s="2">
        <v>272.27</v>
      </c>
      <c r="R45" s="2">
        <f t="shared" si="4"/>
        <v>483.96999999999997</v>
      </c>
      <c r="S45" s="2">
        <v>5099.97</v>
      </c>
      <c r="T45" s="2"/>
      <c r="U45" s="2">
        <f t="shared" si="5"/>
        <v>-5099.97</v>
      </c>
      <c r="V45" s="2">
        <v>700.58</v>
      </c>
      <c r="W45" s="2">
        <v>17098.099999999999</v>
      </c>
      <c r="X45" s="2">
        <f t="shared" si="6"/>
        <v>16397.519999999997</v>
      </c>
      <c r="Y45" s="2">
        <v>1590.31</v>
      </c>
      <c r="Z45" s="2"/>
      <c r="AA45" s="2">
        <f t="shared" si="7"/>
        <v>-1590.31</v>
      </c>
      <c r="AB45" s="2">
        <v>1502.91</v>
      </c>
      <c r="AC45" s="2"/>
      <c r="AD45" s="2">
        <f t="shared" si="8"/>
        <v>-1502.91</v>
      </c>
      <c r="AE45" s="2">
        <v>8682.07</v>
      </c>
      <c r="AF45" s="2">
        <v>41755.24</v>
      </c>
      <c r="AG45" s="2">
        <f t="shared" si="9"/>
        <v>33073.17</v>
      </c>
    </row>
    <row r="46" spans="1:33" x14ac:dyDescent="0.3">
      <c r="B46" s="3"/>
      <c r="C46" t="str">
        <f xml:space="preserve"> _xll.EPMOlapMemberO("[CLACO].[PARENTH1].[AMSAIMP_PATEN]","","Impuestos / Patentes","","000")</f>
        <v>Impuestos / Patentes</v>
      </c>
      <c r="D46" s="2"/>
      <c r="E46" s="2"/>
      <c r="F46" s="2">
        <f t="shared" si="0"/>
        <v>0</v>
      </c>
      <c r="G46" s="2"/>
      <c r="H46" s="2"/>
      <c r="I46" s="2">
        <f t="shared" si="1"/>
        <v>0</v>
      </c>
      <c r="J46" s="2"/>
      <c r="K46" s="2"/>
      <c r="L46" s="2">
        <f t="shared" si="2"/>
        <v>0</v>
      </c>
      <c r="M46" s="2">
        <v>0.31</v>
      </c>
      <c r="N46" s="2"/>
      <c r="O46" s="2">
        <f t="shared" si="3"/>
        <v>-0.31</v>
      </c>
      <c r="P46" s="2"/>
      <c r="Q46" s="2"/>
      <c r="R46" s="2">
        <f t="shared" si="4"/>
        <v>0</v>
      </c>
      <c r="S46" s="2"/>
      <c r="T46" s="2"/>
      <c r="U46" s="2">
        <f t="shared" si="5"/>
        <v>0</v>
      </c>
      <c r="V46" s="2"/>
      <c r="W46" s="2"/>
      <c r="X46" s="2">
        <f t="shared" si="6"/>
        <v>0</v>
      </c>
      <c r="Y46" s="2"/>
      <c r="Z46" s="2"/>
      <c r="AA46" s="2">
        <f t="shared" si="7"/>
        <v>0</v>
      </c>
      <c r="AB46" s="2"/>
      <c r="AC46" s="2"/>
      <c r="AD46" s="2">
        <f t="shared" si="8"/>
        <v>0</v>
      </c>
      <c r="AE46" s="2"/>
      <c r="AF46" s="2"/>
      <c r="AG46" s="2">
        <f t="shared" si="9"/>
        <v>0</v>
      </c>
    </row>
    <row r="47" spans="1:33" x14ac:dyDescent="0.3">
      <c r="B47" s="3"/>
      <c r="C47" t="str">
        <f xml:space="preserve"> _xll.EPMOlapMemberO("[CLACO].[PARENTH1].[AMSAGGENERALES.2]","","Otros Gastos","","000")</f>
        <v>Otros Gastos</v>
      </c>
      <c r="D47" s="2"/>
      <c r="E47" s="2"/>
      <c r="F47" s="2">
        <f t="shared" si="0"/>
        <v>0</v>
      </c>
      <c r="G47" s="2"/>
      <c r="H47" s="2"/>
      <c r="I47" s="2">
        <f t="shared" si="1"/>
        <v>0</v>
      </c>
      <c r="J47" s="2">
        <v>0</v>
      </c>
      <c r="K47" s="2"/>
      <c r="L47" s="2">
        <f t="shared" si="2"/>
        <v>0</v>
      </c>
      <c r="M47" s="2">
        <v>2237.92</v>
      </c>
      <c r="N47" s="2"/>
      <c r="O47" s="2">
        <f t="shared" si="3"/>
        <v>-2237.92</v>
      </c>
      <c r="P47" s="2">
        <v>0.75</v>
      </c>
      <c r="Q47" s="2"/>
      <c r="R47" s="2">
        <f t="shared" si="4"/>
        <v>-0.75</v>
      </c>
      <c r="S47" s="2">
        <v>625.91999999999996</v>
      </c>
      <c r="T47" s="2"/>
      <c r="U47" s="2">
        <f t="shared" si="5"/>
        <v>-625.91999999999996</v>
      </c>
      <c r="V47" s="2">
        <v>42.03</v>
      </c>
      <c r="W47" s="2"/>
      <c r="X47" s="2">
        <f t="shared" si="6"/>
        <v>-42.03</v>
      </c>
      <c r="Y47" s="2">
        <v>0.74</v>
      </c>
      <c r="Z47" s="2"/>
      <c r="AA47" s="2">
        <f t="shared" si="7"/>
        <v>-0.74</v>
      </c>
      <c r="AB47" s="2">
        <v>0.22</v>
      </c>
      <c r="AC47" s="2"/>
      <c r="AD47" s="2">
        <f t="shared" si="8"/>
        <v>-0.22</v>
      </c>
      <c r="AE47" s="2">
        <v>669.67</v>
      </c>
      <c r="AF47" s="2"/>
      <c r="AG47" s="2">
        <f t="shared" si="9"/>
        <v>-669.67</v>
      </c>
    </row>
    <row r="48" spans="1:33" x14ac:dyDescent="0.3">
      <c r="A48" t="s">
        <v>5</v>
      </c>
      <c r="B48" s="3" t="str">
        <f xml:space="preserve"> _xll.EPMOlapMemberO("[CECO].[PARENTH3].[AMSA1000AC0504]","","VP Plani y Serv Tecn","","000")</f>
        <v>VP Plani y Serv Tecn</v>
      </c>
      <c r="C48" t="str">
        <f xml:space="preserve"> _xll.EPMOlapMemberO("[CLACO].[PARENTH1].[AMSAREMUNERACI.EE]","","Remuneraciones emple","","000")</f>
        <v>Remuneraciones emple</v>
      </c>
      <c r="D48" s="2"/>
      <c r="E48" s="2"/>
      <c r="F48" s="2">
        <f t="shared" si="0"/>
        <v>0</v>
      </c>
      <c r="G48" s="2"/>
      <c r="H48" s="2"/>
      <c r="I48" s="2">
        <f t="shared" si="1"/>
        <v>0</v>
      </c>
      <c r="J48" s="2">
        <v>-887.85</v>
      </c>
      <c r="K48" s="2"/>
      <c r="L48" s="2">
        <f t="shared" si="2"/>
        <v>887.85</v>
      </c>
      <c r="M48" s="2">
        <v>-3133.5</v>
      </c>
      <c r="N48" s="2"/>
      <c r="O48" s="2">
        <f t="shared" si="3"/>
        <v>3133.5</v>
      </c>
      <c r="P48" s="2"/>
      <c r="Q48" s="2"/>
      <c r="R48" s="2">
        <f t="shared" si="4"/>
        <v>0</v>
      </c>
      <c r="S48" s="2"/>
      <c r="T48" s="2"/>
      <c r="U48" s="2">
        <f t="shared" si="5"/>
        <v>0</v>
      </c>
      <c r="V48" s="2"/>
      <c r="W48" s="2"/>
      <c r="X48" s="2">
        <f t="shared" si="6"/>
        <v>0</v>
      </c>
      <c r="Y48" s="2"/>
      <c r="Z48" s="2"/>
      <c r="AA48" s="2">
        <f t="shared" si="7"/>
        <v>0</v>
      </c>
      <c r="AB48" s="2"/>
      <c r="AC48" s="2"/>
      <c r="AD48" s="2">
        <f t="shared" si="8"/>
        <v>0</v>
      </c>
      <c r="AE48" s="2"/>
      <c r="AF48" s="2"/>
      <c r="AG48" s="2">
        <f t="shared" si="9"/>
        <v>0</v>
      </c>
    </row>
    <row r="49" spans="1:33" x14ac:dyDescent="0.3">
      <c r="B49" s="3"/>
      <c r="C49" t="str">
        <f xml:space="preserve"> _xll.EPMOlapMemberO("[CLACO].[PARENTH1].[AMSAREMUNERACI.SS]","","Remuneraciones Super","","000")</f>
        <v>Remuneraciones Super</v>
      </c>
      <c r="D49" s="2">
        <v>2938175.72</v>
      </c>
      <c r="E49" s="2">
        <v>1395036.79</v>
      </c>
      <c r="F49" s="2">
        <f t="shared" si="0"/>
        <v>-1543138.9300000002</v>
      </c>
      <c r="G49" s="2">
        <v>3145580.83</v>
      </c>
      <c r="H49" s="2">
        <v>1463809.25</v>
      </c>
      <c r="I49" s="2">
        <f t="shared" si="1"/>
        <v>-1681771.58</v>
      </c>
      <c r="J49" s="2">
        <v>5112215.26</v>
      </c>
      <c r="K49" s="2">
        <v>2552821.04</v>
      </c>
      <c r="L49" s="2">
        <f t="shared" si="2"/>
        <v>-2559394.2199999997</v>
      </c>
      <c r="M49" s="2">
        <v>8052561.5099999998</v>
      </c>
      <c r="N49" s="2">
        <v>4054391.51</v>
      </c>
      <c r="O49" s="2">
        <f t="shared" si="3"/>
        <v>-3998170</v>
      </c>
      <c r="P49" s="2">
        <v>556831.03</v>
      </c>
      <c r="Q49" s="2">
        <v>555104.82999999996</v>
      </c>
      <c r="R49" s="2">
        <f t="shared" si="4"/>
        <v>-1726.2000000000698</v>
      </c>
      <c r="S49" s="2">
        <v>1045104.57</v>
      </c>
      <c r="T49" s="2">
        <v>571853.68999999994</v>
      </c>
      <c r="U49" s="2">
        <f t="shared" si="5"/>
        <v>-473250.88</v>
      </c>
      <c r="V49" s="2">
        <v>568840.68000000005</v>
      </c>
      <c r="W49" s="2">
        <v>558922.29</v>
      </c>
      <c r="X49" s="2">
        <f t="shared" si="6"/>
        <v>-9918.390000000014</v>
      </c>
      <c r="Y49" s="2">
        <v>683853.24</v>
      </c>
      <c r="Z49" s="2">
        <v>564898.06999999995</v>
      </c>
      <c r="AA49" s="2">
        <f t="shared" si="7"/>
        <v>-118955.17000000004</v>
      </c>
      <c r="AB49" s="2">
        <v>630756.91</v>
      </c>
      <c r="AC49" s="2">
        <v>559287.27</v>
      </c>
      <c r="AD49" s="2">
        <f t="shared" si="8"/>
        <v>-71469.640000000014</v>
      </c>
      <c r="AE49" s="2">
        <v>3487551.88</v>
      </c>
      <c r="AF49" s="2">
        <v>6733901.29</v>
      </c>
      <c r="AG49" s="2">
        <f t="shared" si="9"/>
        <v>3246349.41</v>
      </c>
    </row>
    <row r="50" spans="1:33" x14ac:dyDescent="0.3">
      <c r="B50" s="3"/>
      <c r="C50" t="str">
        <f xml:space="preserve"> _xll.EPMOlapMemberO("[CLACO].[PARENTH1].[AMSAMAT_Y_REP.2]","","Materiales y repuest","","000")</f>
        <v>Materiales y repuest</v>
      </c>
      <c r="D50" s="2"/>
      <c r="E50" s="2"/>
      <c r="F50" s="2">
        <f t="shared" si="0"/>
        <v>0</v>
      </c>
      <c r="G50" s="2">
        <v>0</v>
      </c>
      <c r="H50" s="2"/>
      <c r="I50" s="2">
        <f t="shared" si="1"/>
        <v>0</v>
      </c>
      <c r="J50" s="2"/>
      <c r="K50" s="2"/>
      <c r="L50" s="2">
        <f t="shared" si="2"/>
        <v>0</v>
      </c>
      <c r="M50" s="2"/>
      <c r="N50" s="2"/>
      <c r="O50" s="2">
        <f t="shared" si="3"/>
        <v>0</v>
      </c>
      <c r="P50" s="2"/>
      <c r="Q50" s="2"/>
      <c r="R50" s="2">
        <f t="shared" si="4"/>
        <v>0</v>
      </c>
      <c r="S50" s="2"/>
      <c r="T50" s="2"/>
      <c r="U50" s="2">
        <f t="shared" si="5"/>
        <v>0</v>
      </c>
      <c r="V50" s="2"/>
      <c r="W50" s="2"/>
      <c r="X50" s="2">
        <f t="shared" si="6"/>
        <v>0</v>
      </c>
      <c r="Y50" s="2"/>
      <c r="Z50" s="2"/>
      <c r="AA50" s="2">
        <f t="shared" si="7"/>
        <v>0</v>
      </c>
      <c r="AB50" s="2"/>
      <c r="AC50" s="2"/>
      <c r="AD50" s="2">
        <f t="shared" si="8"/>
        <v>0</v>
      </c>
      <c r="AE50" s="2"/>
      <c r="AF50" s="2"/>
      <c r="AG50" s="2">
        <f t="shared" si="9"/>
        <v>0</v>
      </c>
    </row>
    <row r="51" spans="1:33" x14ac:dyDescent="0.3">
      <c r="B51" s="3"/>
      <c r="C51" t="str">
        <f xml:space="preserve"> _xll.EPMOlapMemberO("[CLACO].[PARENTH1].[AMSAADM_PERSON]","","Administración Perso","","000")</f>
        <v>Administración Perso</v>
      </c>
      <c r="D51" s="2">
        <v>89924.92</v>
      </c>
      <c r="E51" s="2"/>
      <c r="F51" s="2">
        <f t="shared" si="0"/>
        <v>-89924.92</v>
      </c>
      <c r="G51" s="2">
        <v>234061.68</v>
      </c>
      <c r="H51" s="2"/>
      <c r="I51" s="2">
        <f t="shared" si="1"/>
        <v>-234061.68</v>
      </c>
      <c r="J51" s="2">
        <v>39630.68</v>
      </c>
      <c r="K51" s="2"/>
      <c r="L51" s="2">
        <f t="shared" si="2"/>
        <v>-39630.68</v>
      </c>
      <c r="M51" s="2"/>
      <c r="N51" s="2"/>
      <c r="O51" s="2">
        <f t="shared" si="3"/>
        <v>0</v>
      </c>
      <c r="P51" s="2"/>
      <c r="Q51" s="2"/>
      <c r="R51" s="2">
        <f t="shared" si="4"/>
        <v>0</v>
      </c>
      <c r="S51" s="2"/>
      <c r="T51" s="2"/>
      <c r="U51" s="2">
        <f t="shared" si="5"/>
        <v>0</v>
      </c>
      <c r="V51" s="2"/>
      <c r="W51" s="2"/>
      <c r="X51" s="2">
        <f t="shared" si="6"/>
        <v>0</v>
      </c>
      <c r="Y51" s="2"/>
      <c r="Z51" s="2"/>
      <c r="AA51" s="2">
        <f t="shared" si="7"/>
        <v>0</v>
      </c>
      <c r="AB51" s="2"/>
      <c r="AC51" s="2"/>
      <c r="AD51" s="2">
        <f t="shared" si="8"/>
        <v>0</v>
      </c>
      <c r="AE51" s="2"/>
      <c r="AF51" s="2"/>
      <c r="AG51" s="2">
        <f t="shared" si="9"/>
        <v>0</v>
      </c>
    </row>
    <row r="52" spans="1:33" x14ac:dyDescent="0.3">
      <c r="B52" s="3"/>
      <c r="C52" t="str">
        <f xml:space="preserve"> _xll.EPMOlapMemberO("[CLACO].[PARENTH1].[AMSAENTRENAMI]","","Entrenamiento","","000")</f>
        <v>Entrenamiento</v>
      </c>
      <c r="D52" s="2">
        <v>4852.2</v>
      </c>
      <c r="E52" s="2">
        <v>10294.85</v>
      </c>
      <c r="F52" s="2">
        <f t="shared" si="0"/>
        <v>5442.6500000000005</v>
      </c>
      <c r="G52" s="2">
        <v>8554.9</v>
      </c>
      <c r="H52" s="2">
        <v>9999.98</v>
      </c>
      <c r="I52" s="2">
        <f t="shared" si="1"/>
        <v>1445.08</v>
      </c>
      <c r="J52" s="2">
        <v>94305.02</v>
      </c>
      <c r="K52" s="2">
        <v>14999.99</v>
      </c>
      <c r="L52" s="2">
        <f t="shared" si="2"/>
        <v>-79305.03</v>
      </c>
      <c r="M52" s="2">
        <v>14069.21</v>
      </c>
      <c r="N52" s="2">
        <v>15000.02</v>
      </c>
      <c r="O52" s="2">
        <f t="shared" si="3"/>
        <v>930.81000000000131</v>
      </c>
      <c r="P52" s="2"/>
      <c r="Q52" s="2">
        <v>241.37</v>
      </c>
      <c r="R52" s="2">
        <f t="shared" si="4"/>
        <v>241.37</v>
      </c>
      <c r="S52" s="2"/>
      <c r="T52" s="2">
        <v>241.45</v>
      </c>
      <c r="U52" s="2">
        <f t="shared" si="5"/>
        <v>241.45</v>
      </c>
      <c r="V52" s="2"/>
      <c r="W52" s="2">
        <v>241.57</v>
      </c>
      <c r="X52" s="2">
        <f t="shared" si="6"/>
        <v>241.57</v>
      </c>
      <c r="Y52" s="2"/>
      <c r="Z52" s="2">
        <v>241.67</v>
      </c>
      <c r="AA52" s="2">
        <f t="shared" si="7"/>
        <v>241.67</v>
      </c>
      <c r="AB52" s="2"/>
      <c r="AC52" s="2"/>
      <c r="AD52" s="2">
        <f t="shared" si="8"/>
        <v>0</v>
      </c>
      <c r="AE52" s="2"/>
      <c r="AF52" s="2">
        <v>12942.64</v>
      </c>
      <c r="AG52" s="2">
        <f t="shared" si="9"/>
        <v>12942.64</v>
      </c>
    </row>
    <row r="53" spans="1:33" x14ac:dyDescent="0.3">
      <c r="B53" s="3"/>
      <c r="C53" t="str">
        <f xml:space="preserve"> _xll.EPMOlapMemberO("[CLACO].[PARENTH1].[AMSAASESORIAS]","","Asesorías y Consulto","","000")</f>
        <v>Asesorías y Consulto</v>
      </c>
      <c r="D53" s="2">
        <v>216880.12</v>
      </c>
      <c r="E53" s="2">
        <v>294946.65999999997</v>
      </c>
      <c r="F53" s="2">
        <f t="shared" si="0"/>
        <v>78066.539999999979</v>
      </c>
      <c r="G53" s="2">
        <v>518874.5</v>
      </c>
      <c r="H53" s="2">
        <v>291985.09000000003</v>
      </c>
      <c r="I53" s="2">
        <f t="shared" si="1"/>
        <v>-226889.40999999997</v>
      </c>
      <c r="J53" s="2">
        <v>230653.67</v>
      </c>
      <c r="K53" s="2">
        <v>250000</v>
      </c>
      <c r="L53" s="2">
        <f t="shared" si="2"/>
        <v>19346.329999999987</v>
      </c>
      <c r="M53" s="2">
        <v>129250.79</v>
      </c>
      <c r="N53" s="2">
        <v>180005.82</v>
      </c>
      <c r="O53" s="2">
        <f t="shared" si="3"/>
        <v>50755.030000000013</v>
      </c>
      <c r="P53" s="2">
        <v>37.79</v>
      </c>
      <c r="Q53" s="2"/>
      <c r="R53" s="2">
        <f t="shared" si="4"/>
        <v>-37.79</v>
      </c>
      <c r="S53" s="2">
        <v>-0.37</v>
      </c>
      <c r="T53" s="2"/>
      <c r="U53" s="2">
        <f t="shared" si="5"/>
        <v>0.37</v>
      </c>
      <c r="V53" s="2">
        <v>2216.5</v>
      </c>
      <c r="W53" s="2">
        <v>68397.06</v>
      </c>
      <c r="X53" s="2">
        <f t="shared" si="6"/>
        <v>66180.56</v>
      </c>
      <c r="Y53" s="2"/>
      <c r="Z53" s="2"/>
      <c r="AA53" s="2">
        <f t="shared" si="7"/>
        <v>0</v>
      </c>
      <c r="AB53" s="2">
        <v>1089.9100000000001</v>
      </c>
      <c r="AC53" s="2"/>
      <c r="AD53" s="2">
        <f t="shared" si="8"/>
        <v>-1089.9100000000001</v>
      </c>
      <c r="AE53" s="2">
        <v>4085.9</v>
      </c>
      <c r="AF53" s="2">
        <v>182030.51</v>
      </c>
      <c r="AG53" s="2">
        <f t="shared" si="9"/>
        <v>177944.61000000002</v>
      </c>
    </row>
    <row r="54" spans="1:33" x14ac:dyDescent="0.3">
      <c r="B54" s="3"/>
      <c r="C54" t="str">
        <f xml:space="preserve"> _xll.EPMOlapMemberO("[CLACO].[PARENTH1].[AMSAARRIENDOS]","","Arriendos","","000")</f>
        <v>Arriendos</v>
      </c>
      <c r="D54" s="2"/>
      <c r="E54" s="2"/>
      <c r="F54" s="2">
        <f t="shared" si="0"/>
        <v>0</v>
      </c>
      <c r="G54" s="2"/>
      <c r="H54" s="2"/>
      <c r="I54" s="2">
        <f t="shared" si="1"/>
        <v>0</v>
      </c>
      <c r="J54" s="2"/>
      <c r="K54" s="2"/>
      <c r="L54" s="2">
        <f t="shared" si="2"/>
        <v>0</v>
      </c>
      <c r="M54" s="2">
        <v>158.4</v>
      </c>
      <c r="N54" s="2"/>
      <c r="O54" s="2">
        <f t="shared" si="3"/>
        <v>-158.4</v>
      </c>
      <c r="P54" s="2"/>
      <c r="Q54" s="2"/>
      <c r="R54" s="2">
        <f t="shared" si="4"/>
        <v>0</v>
      </c>
      <c r="S54" s="2"/>
      <c r="T54" s="2"/>
      <c r="U54" s="2">
        <f t="shared" si="5"/>
        <v>0</v>
      </c>
      <c r="V54" s="2"/>
      <c r="W54" s="2"/>
      <c r="X54" s="2">
        <f t="shared" si="6"/>
        <v>0</v>
      </c>
      <c r="Y54" s="2"/>
      <c r="Z54" s="2"/>
      <c r="AA54" s="2">
        <f t="shared" si="7"/>
        <v>0</v>
      </c>
      <c r="AB54" s="2"/>
      <c r="AC54" s="2"/>
      <c r="AD54" s="2">
        <f t="shared" si="8"/>
        <v>0</v>
      </c>
      <c r="AE54" s="2"/>
      <c r="AF54" s="2"/>
      <c r="AG54" s="2">
        <f t="shared" si="9"/>
        <v>0</v>
      </c>
    </row>
    <row r="55" spans="1:33" x14ac:dyDescent="0.3">
      <c r="B55" s="3"/>
      <c r="C55" t="str">
        <f xml:space="preserve"> _xll.EPMOlapMemberO("[CLACO].[PARENTH1].[AMSASERVICIOS]","","Servicios","","000")</f>
        <v>Servicios</v>
      </c>
      <c r="D55" s="2"/>
      <c r="E55" s="2"/>
      <c r="F55" s="2">
        <f t="shared" si="0"/>
        <v>0</v>
      </c>
      <c r="G55" s="2">
        <v>89.07</v>
      </c>
      <c r="H55" s="2"/>
      <c r="I55" s="2">
        <f t="shared" si="1"/>
        <v>-89.07</v>
      </c>
      <c r="J55" s="2">
        <v>41342.83</v>
      </c>
      <c r="K55" s="2"/>
      <c r="L55" s="2">
        <f t="shared" si="2"/>
        <v>-41342.83</v>
      </c>
      <c r="M55" s="2">
        <v>117696.06</v>
      </c>
      <c r="N55" s="2">
        <v>8757.66</v>
      </c>
      <c r="O55" s="2">
        <f t="shared" si="3"/>
        <v>-108938.4</v>
      </c>
      <c r="P55" s="2">
        <v>449.34</v>
      </c>
      <c r="Q55" s="2">
        <v>1461.41</v>
      </c>
      <c r="R55" s="2">
        <f t="shared" si="4"/>
        <v>1012.0700000000002</v>
      </c>
      <c r="S55" s="2">
        <v>466.33</v>
      </c>
      <c r="T55" s="2">
        <v>1457.68</v>
      </c>
      <c r="U55" s="2">
        <f t="shared" si="5"/>
        <v>991.35000000000014</v>
      </c>
      <c r="V55" s="2">
        <v>1212.2</v>
      </c>
      <c r="W55" s="2">
        <v>1453.95</v>
      </c>
      <c r="X55" s="2">
        <f t="shared" si="6"/>
        <v>241.75</v>
      </c>
      <c r="Y55" s="2">
        <v>1260.1099999999999</v>
      </c>
      <c r="Z55" s="2">
        <v>1450.27</v>
      </c>
      <c r="AA55" s="2">
        <f t="shared" si="7"/>
        <v>190.16000000000008</v>
      </c>
      <c r="AB55" s="2">
        <v>1332.54</v>
      </c>
      <c r="AC55" s="2">
        <v>1446.59</v>
      </c>
      <c r="AD55" s="2">
        <f t="shared" si="8"/>
        <v>114.04999999999995</v>
      </c>
      <c r="AE55" s="2">
        <v>4784.46</v>
      </c>
      <c r="AF55" s="2">
        <v>8735.0400000000009</v>
      </c>
      <c r="AG55" s="2">
        <f t="shared" si="9"/>
        <v>3950.5800000000008</v>
      </c>
    </row>
    <row r="56" spans="1:33" x14ac:dyDescent="0.3">
      <c r="B56" s="3"/>
      <c r="C56" t="str">
        <f xml:space="preserve"> _xll.EPMOlapMemberO("[CLACO].[PARENTH1].[AMSASERMANTO.REPA]","","Servicios Mantenimie","","000")</f>
        <v>Servicios Mantenimie</v>
      </c>
      <c r="D56" s="2">
        <v>55.64</v>
      </c>
      <c r="E56" s="2"/>
      <c r="F56" s="2">
        <f t="shared" si="0"/>
        <v>-55.64</v>
      </c>
      <c r="G56" s="2"/>
      <c r="H56" s="2"/>
      <c r="I56" s="2">
        <f t="shared" si="1"/>
        <v>0</v>
      </c>
      <c r="J56" s="2"/>
      <c r="K56" s="2"/>
      <c r="L56" s="2">
        <f t="shared" si="2"/>
        <v>0</v>
      </c>
      <c r="M56" s="2">
        <v>41643.269999999997</v>
      </c>
      <c r="N56" s="2"/>
      <c r="O56" s="2">
        <f t="shared" si="3"/>
        <v>-41643.269999999997</v>
      </c>
      <c r="P56" s="2"/>
      <c r="Q56" s="2"/>
      <c r="R56" s="2">
        <f t="shared" si="4"/>
        <v>0</v>
      </c>
      <c r="S56" s="2">
        <v>-0.89</v>
      </c>
      <c r="T56" s="2"/>
      <c r="U56" s="2">
        <f t="shared" si="5"/>
        <v>0.89</v>
      </c>
      <c r="V56" s="2">
        <v>173.51</v>
      </c>
      <c r="W56" s="2"/>
      <c r="X56" s="2">
        <f t="shared" si="6"/>
        <v>-173.51</v>
      </c>
      <c r="Y56" s="2"/>
      <c r="Z56" s="2"/>
      <c r="AA56" s="2">
        <f t="shared" si="7"/>
        <v>0</v>
      </c>
      <c r="AB56" s="2"/>
      <c r="AC56" s="2"/>
      <c r="AD56" s="2">
        <f t="shared" si="8"/>
        <v>0</v>
      </c>
      <c r="AE56" s="2">
        <v>428.09</v>
      </c>
      <c r="AF56" s="2"/>
      <c r="AG56" s="2">
        <f t="shared" si="9"/>
        <v>-428.09</v>
      </c>
    </row>
    <row r="57" spans="1:33" x14ac:dyDescent="0.3">
      <c r="B57" s="3"/>
      <c r="C57" t="str">
        <f xml:space="preserve"> _xll.EPMOlapMemberO("[CLACO].[PARENTH1].[AMSAINFORMATIC]","","Informática y Comuni","","000")</f>
        <v>Informática y Comuni</v>
      </c>
      <c r="D57" s="2">
        <v>15660.59</v>
      </c>
      <c r="E57" s="2">
        <v>5147.45</v>
      </c>
      <c r="F57" s="2">
        <f t="shared" si="0"/>
        <v>-10513.14</v>
      </c>
      <c r="G57" s="2">
        <v>67259.5</v>
      </c>
      <c r="H57" s="2">
        <v>4999.99</v>
      </c>
      <c r="I57" s="2">
        <f t="shared" si="1"/>
        <v>-62259.51</v>
      </c>
      <c r="J57" s="2">
        <v>16206.79</v>
      </c>
      <c r="K57" s="2">
        <v>6000</v>
      </c>
      <c r="L57" s="2">
        <f t="shared" si="2"/>
        <v>-10206.790000000001</v>
      </c>
      <c r="M57" s="2">
        <v>48851.05</v>
      </c>
      <c r="N57" s="2">
        <v>6000.06</v>
      </c>
      <c r="O57" s="2">
        <f t="shared" si="3"/>
        <v>-42850.990000000005</v>
      </c>
      <c r="P57" s="2">
        <v>2517.0100000000002</v>
      </c>
      <c r="Q57" s="2">
        <v>249.19</v>
      </c>
      <c r="R57" s="2">
        <f t="shared" si="4"/>
        <v>-2267.8200000000002</v>
      </c>
      <c r="S57" s="2">
        <v>427.89</v>
      </c>
      <c r="T57" s="2">
        <v>249.29</v>
      </c>
      <c r="U57" s="2">
        <f t="shared" si="5"/>
        <v>-178.6</v>
      </c>
      <c r="V57" s="2">
        <v>656.25</v>
      </c>
      <c r="W57" s="2">
        <v>249.41</v>
      </c>
      <c r="X57" s="2">
        <f t="shared" si="6"/>
        <v>-406.84000000000003</v>
      </c>
      <c r="Y57" s="2">
        <v>3097.4</v>
      </c>
      <c r="Z57" s="2">
        <v>249.51</v>
      </c>
      <c r="AA57" s="2">
        <f t="shared" si="7"/>
        <v>-2847.8900000000003</v>
      </c>
      <c r="AB57" s="2">
        <v>3996.8</v>
      </c>
      <c r="AC57" s="2">
        <v>249.63</v>
      </c>
      <c r="AD57" s="2">
        <f t="shared" si="8"/>
        <v>-3747.17</v>
      </c>
      <c r="AE57" s="2">
        <v>11022.36</v>
      </c>
      <c r="AF57" s="2">
        <v>2491.5300000000002</v>
      </c>
      <c r="AG57" s="2">
        <f t="shared" si="9"/>
        <v>-8530.83</v>
      </c>
    </row>
    <row r="58" spans="1:33" x14ac:dyDescent="0.3">
      <c r="B58" s="3"/>
      <c r="C58" t="str">
        <f xml:space="preserve"> _xll.EPMOlapMemberO("[CLACO].[PARENTH1].[AMSAG_VIAJES]","","Gastos de Viajes","","000")</f>
        <v>Gastos de Viajes</v>
      </c>
      <c r="D58" s="2">
        <v>24758.18</v>
      </c>
      <c r="E58" s="2">
        <v>49789.54</v>
      </c>
      <c r="F58" s="2">
        <f t="shared" si="0"/>
        <v>25031.360000000001</v>
      </c>
      <c r="G58" s="2">
        <v>50889</v>
      </c>
      <c r="H58" s="2">
        <v>47687.3</v>
      </c>
      <c r="I58" s="2">
        <f t="shared" si="1"/>
        <v>-3201.6999999999971</v>
      </c>
      <c r="J58" s="2">
        <v>15650.11</v>
      </c>
      <c r="K58" s="2">
        <v>36896.019999999997</v>
      </c>
      <c r="L58" s="2">
        <f t="shared" si="2"/>
        <v>21245.909999999996</v>
      </c>
      <c r="M58" s="2">
        <v>36279.97</v>
      </c>
      <c r="N58" s="2">
        <v>36896.17</v>
      </c>
      <c r="O58" s="2">
        <f t="shared" si="3"/>
        <v>616.19999999999709</v>
      </c>
      <c r="P58" s="2">
        <v>621.74</v>
      </c>
      <c r="Q58" s="2">
        <v>2089.4</v>
      </c>
      <c r="R58" s="2">
        <f t="shared" si="4"/>
        <v>1467.66</v>
      </c>
      <c r="S58" s="2">
        <v>4766.5600000000004</v>
      </c>
      <c r="T58" s="2">
        <v>973.29</v>
      </c>
      <c r="U58" s="2">
        <f t="shared" si="5"/>
        <v>-3793.2700000000004</v>
      </c>
      <c r="V58" s="2">
        <v>261.11</v>
      </c>
      <c r="W58" s="2">
        <v>726.34</v>
      </c>
      <c r="X58" s="2">
        <f t="shared" si="6"/>
        <v>465.23</v>
      </c>
      <c r="Y58" s="2">
        <v>1375.9</v>
      </c>
      <c r="Z58" s="2">
        <v>11890.59</v>
      </c>
      <c r="AA58" s="2">
        <f t="shared" si="7"/>
        <v>10514.69</v>
      </c>
      <c r="AB58" s="2">
        <v>1667</v>
      </c>
      <c r="AC58" s="2">
        <v>726.96</v>
      </c>
      <c r="AD58" s="2">
        <f t="shared" si="8"/>
        <v>-940.04</v>
      </c>
      <c r="AE58" s="2">
        <v>9160.4699999999993</v>
      </c>
      <c r="AF58" s="2">
        <v>29129.39</v>
      </c>
      <c r="AG58" s="2">
        <f t="shared" si="9"/>
        <v>19968.919999999998</v>
      </c>
    </row>
    <row r="59" spans="1:33" x14ac:dyDescent="0.3">
      <c r="B59" s="3"/>
      <c r="C59" t="str">
        <f xml:space="preserve"> _xll.EPMOlapMemberO("[CLACO].[PARENTH1].[AMSAGGENERALES.2]","","Otros Gastos","","000")</f>
        <v>Otros Gastos</v>
      </c>
      <c r="D59" s="2">
        <v>1115.03</v>
      </c>
      <c r="E59" s="2">
        <v>7824.09</v>
      </c>
      <c r="F59" s="2">
        <f t="shared" si="0"/>
        <v>6709.06</v>
      </c>
      <c r="G59" s="2">
        <v>10312.450000000001</v>
      </c>
      <c r="H59" s="2">
        <v>7599.99</v>
      </c>
      <c r="I59" s="2">
        <f t="shared" si="1"/>
        <v>-2712.4600000000009</v>
      </c>
      <c r="J59" s="2">
        <v>6273.4</v>
      </c>
      <c r="K59" s="2">
        <v>9800</v>
      </c>
      <c r="L59" s="2">
        <f t="shared" si="2"/>
        <v>3526.6000000000004</v>
      </c>
      <c r="M59" s="2">
        <v>22271.77</v>
      </c>
      <c r="N59" s="2">
        <v>9800.1200000000008</v>
      </c>
      <c r="O59" s="2">
        <f t="shared" si="3"/>
        <v>-12471.65</v>
      </c>
      <c r="P59" s="2">
        <v>693.16</v>
      </c>
      <c r="Q59" s="2">
        <v>927.01</v>
      </c>
      <c r="R59" s="2">
        <f t="shared" si="4"/>
        <v>233.85000000000002</v>
      </c>
      <c r="S59" s="2">
        <v>846.01</v>
      </c>
      <c r="T59" s="2">
        <v>927.36</v>
      </c>
      <c r="U59" s="2">
        <f t="shared" si="5"/>
        <v>81.350000000000023</v>
      </c>
      <c r="V59" s="2">
        <v>1435.78</v>
      </c>
      <c r="W59" s="2">
        <v>927.82</v>
      </c>
      <c r="X59" s="2">
        <f t="shared" si="6"/>
        <v>-507.95999999999992</v>
      </c>
      <c r="Y59" s="2">
        <v>528.22</v>
      </c>
      <c r="Z59" s="2">
        <v>928.21</v>
      </c>
      <c r="AA59" s="2">
        <f t="shared" si="7"/>
        <v>399.99</v>
      </c>
      <c r="AB59" s="2">
        <v>354.55</v>
      </c>
      <c r="AC59" s="2">
        <v>928.6</v>
      </c>
      <c r="AD59" s="2">
        <f t="shared" si="8"/>
        <v>574.04999999999995</v>
      </c>
      <c r="AE59" s="2">
        <v>3859.44</v>
      </c>
      <c r="AF59" s="2">
        <v>9765.68</v>
      </c>
      <c r="AG59" s="2">
        <f t="shared" si="9"/>
        <v>5906.24</v>
      </c>
    </row>
    <row r="60" spans="1:33" x14ac:dyDescent="0.3">
      <c r="A60" t="s">
        <v>6</v>
      </c>
      <c r="B60" s="3" t="str">
        <f xml:space="preserve"> _xll.EPMOlapMemberO("[CECO].[PARENTH3].[AMSA1000AC0505]","","Gerencia Minería","","000")</f>
        <v>Gerencia Minería</v>
      </c>
      <c r="C60" t="str">
        <f xml:space="preserve"> _xll.EPMOlapMemberO("[CLACO].[PARENTH1].[AMSAREMUNERACI.SS]","","Remuneraciones Super","","000")</f>
        <v>Remuneraciones Super</v>
      </c>
      <c r="D60" s="2"/>
      <c r="E60" s="2"/>
      <c r="F60" s="2">
        <f t="shared" si="0"/>
        <v>0</v>
      </c>
      <c r="G60" s="2"/>
      <c r="H60" s="2"/>
      <c r="I60" s="2">
        <f t="shared" si="1"/>
        <v>0</v>
      </c>
      <c r="J60" s="2">
        <v>822715.22</v>
      </c>
      <c r="K60" s="2">
        <v>1522863.44</v>
      </c>
      <c r="L60" s="2">
        <f t="shared" si="2"/>
        <v>700148.22</v>
      </c>
      <c r="M60" s="2">
        <v>896453.89</v>
      </c>
      <c r="N60" s="2">
        <v>1132113.8400000001</v>
      </c>
      <c r="O60" s="2">
        <f t="shared" si="3"/>
        <v>235659.95000000007</v>
      </c>
      <c r="P60" s="2">
        <v>39569.32</v>
      </c>
      <c r="Q60" s="2">
        <v>66966.69</v>
      </c>
      <c r="R60" s="2">
        <f t="shared" si="4"/>
        <v>27397.370000000003</v>
      </c>
      <c r="S60" s="2">
        <v>46016.05</v>
      </c>
      <c r="T60" s="2">
        <v>73719.570000000007</v>
      </c>
      <c r="U60" s="2">
        <f t="shared" si="5"/>
        <v>27703.520000000004</v>
      </c>
      <c r="V60" s="2">
        <v>47343.65</v>
      </c>
      <c r="W60" s="2">
        <v>66951.75</v>
      </c>
      <c r="X60" s="2">
        <f t="shared" si="6"/>
        <v>19608.099999999999</v>
      </c>
      <c r="Y60" s="2">
        <v>88778.6</v>
      </c>
      <c r="Z60" s="2">
        <v>72869.17</v>
      </c>
      <c r="AA60" s="2">
        <f t="shared" si="7"/>
        <v>-15909.430000000008</v>
      </c>
      <c r="AB60" s="2">
        <v>112441.43</v>
      </c>
      <c r="AC60" s="2">
        <v>66101.38</v>
      </c>
      <c r="AD60" s="2">
        <f t="shared" si="8"/>
        <v>-46340.049999999988</v>
      </c>
      <c r="AE60" s="2">
        <v>334149.05</v>
      </c>
      <c r="AF60" s="2">
        <v>829950.98</v>
      </c>
      <c r="AG60" s="2">
        <f t="shared" si="9"/>
        <v>495801.93</v>
      </c>
    </row>
    <row r="61" spans="1:33" x14ac:dyDescent="0.3">
      <c r="B61" s="3"/>
      <c r="C61" t="str">
        <f xml:space="preserve"> _xll.EPMOlapMemberO("[CLACO].[PARENTH1].[AMSAENTRENAMI]","","Entrenamiento","","000")</f>
        <v>Entrenamiento</v>
      </c>
      <c r="D61" s="2"/>
      <c r="E61" s="2"/>
      <c r="F61" s="2">
        <f t="shared" si="0"/>
        <v>0</v>
      </c>
      <c r="G61" s="2"/>
      <c r="H61" s="2"/>
      <c r="I61" s="2">
        <f t="shared" si="1"/>
        <v>0</v>
      </c>
      <c r="J61" s="2">
        <v>185.85</v>
      </c>
      <c r="K61" s="2"/>
      <c r="L61" s="2">
        <f t="shared" si="2"/>
        <v>-185.85</v>
      </c>
      <c r="M61" s="2">
        <v>12969.14</v>
      </c>
      <c r="N61" s="2"/>
      <c r="O61" s="2">
        <f t="shared" si="3"/>
        <v>-12969.14</v>
      </c>
      <c r="P61" s="2">
        <v>1586.5</v>
      </c>
      <c r="Q61" s="2"/>
      <c r="R61" s="2">
        <f t="shared" si="4"/>
        <v>-1586.5</v>
      </c>
      <c r="S61" s="2">
        <v>20128.46</v>
      </c>
      <c r="T61" s="2"/>
      <c r="U61" s="2">
        <f t="shared" si="5"/>
        <v>-20128.46</v>
      </c>
      <c r="V61" s="2">
        <v>5234.7</v>
      </c>
      <c r="W61" s="2">
        <v>14964.08</v>
      </c>
      <c r="X61" s="2">
        <f t="shared" si="6"/>
        <v>9729.380000000001</v>
      </c>
      <c r="Y61" s="2"/>
      <c r="Z61" s="2"/>
      <c r="AA61" s="2">
        <f t="shared" si="7"/>
        <v>0</v>
      </c>
      <c r="AB61" s="2"/>
      <c r="AC61" s="2"/>
      <c r="AD61" s="2">
        <f t="shared" si="8"/>
        <v>0</v>
      </c>
      <c r="AE61" s="2">
        <v>26949.66</v>
      </c>
      <c r="AF61" s="2">
        <v>14964.08</v>
      </c>
      <c r="AG61" s="2">
        <f t="shared" si="9"/>
        <v>-11985.58</v>
      </c>
    </row>
    <row r="62" spans="1:33" x14ac:dyDescent="0.3">
      <c r="B62" s="3"/>
      <c r="C62" t="str">
        <f xml:space="preserve"> _xll.EPMOlapMemberO("[CLACO].[PARENTH1].[AMSAASESORIAS]","","Asesorías y Consulto","","000")</f>
        <v>Asesorías y Consulto</v>
      </c>
      <c r="D62" s="2">
        <v>-12064.4</v>
      </c>
      <c r="E62" s="2"/>
      <c r="F62" s="2">
        <f t="shared" si="0"/>
        <v>12064.4</v>
      </c>
      <c r="G62" s="2"/>
      <c r="H62" s="2"/>
      <c r="I62" s="2">
        <f t="shared" si="1"/>
        <v>0</v>
      </c>
      <c r="J62" s="2"/>
      <c r="K62" s="2">
        <v>80000</v>
      </c>
      <c r="L62" s="2">
        <f t="shared" si="2"/>
        <v>80000</v>
      </c>
      <c r="M62" s="2">
        <v>158644.01</v>
      </c>
      <c r="N62" s="2"/>
      <c r="O62" s="2">
        <f t="shared" si="3"/>
        <v>-158644.01</v>
      </c>
      <c r="P62" s="2"/>
      <c r="Q62" s="2"/>
      <c r="R62" s="2">
        <f t="shared" si="4"/>
        <v>0</v>
      </c>
      <c r="S62" s="2"/>
      <c r="T62" s="2"/>
      <c r="U62" s="2">
        <f t="shared" si="5"/>
        <v>0</v>
      </c>
      <c r="V62" s="2"/>
      <c r="W62" s="2"/>
      <c r="X62" s="2">
        <f t="shared" si="6"/>
        <v>0</v>
      </c>
      <c r="Y62" s="2">
        <v>8898.6299999999992</v>
      </c>
      <c r="Z62" s="2"/>
      <c r="AA62" s="2">
        <f t="shared" si="7"/>
        <v>-8898.6299999999992</v>
      </c>
      <c r="AB62" s="2">
        <v>15840</v>
      </c>
      <c r="AC62" s="2"/>
      <c r="AD62" s="2">
        <f t="shared" si="8"/>
        <v>-15840</v>
      </c>
      <c r="AE62" s="2">
        <v>34090.49</v>
      </c>
      <c r="AF62" s="2"/>
      <c r="AG62" s="2">
        <f t="shared" si="9"/>
        <v>-34090.49</v>
      </c>
    </row>
    <row r="63" spans="1:33" x14ac:dyDescent="0.3">
      <c r="B63" s="3"/>
      <c r="C63" t="str">
        <f xml:space="preserve"> _xll.EPMOlapMemberO("[CLACO].[PARENTH1].[AMSASERVICIOS]","","Servicios","","000")</f>
        <v>Servicios</v>
      </c>
      <c r="D63" s="2"/>
      <c r="E63" s="2"/>
      <c r="F63" s="2">
        <f t="shared" si="0"/>
        <v>0</v>
      </c>
      <c r="G63" s="2">
        <v>146.77000000000001</v>
      </c>
      <c r="H63" s="2"/>
      <c r="I63" s="2">
        <f t="shared" si="1"/>
        <v>-146.77000000000001</v>
      </c>
      <c r="J63" s="2">
        <v>276987.78000000003</v>
      </c>
      <c r="K63" s="2">
        <v>280000.02</v>
      </c>
      <c r="L63" s="2">
        <f t="shared" si="2"/>
        <v>3012.2399999999907</v>
      </c>
      <c r="M63" s="2">
        <v>261428.34</v>
      </c>
      <c r="N63" s="2">
        <v>280005.11</v>
      </c>
      <c r="O63" s="2">
        <f t="shared" si="3"/>
        <v>18576.76999999999</v>
      </c>
      <c r="P63" s="2">
        <v>8679.02</v>
      </c>
      <c r="Q63" s="2">
        <v>84129.58</v>
      </c>
      <c r="R63" s="2">
        <f t="shared" si="4"/>
        <v>75450.559999999998</v>
      </c>
      <c r="S63" s="2">
        <v>-4.3899999999999997</v>
      </c>
      <c r="T63" s="2">
        <v>109093.65</v>
      </c>
      <c r="U63" s="2">
        <f t="shared" si="5"/>
        <v>109098.04</v>
      </c>
      <c r="V63" s="2">
        <v>30756.93</v>
      </c>
      <c r="W63" s="2">
        <v>64245.79</v>
      </c>
      <c r="X63" s="2">
        <f t="shared" si="6"/>
        <v>33488.86</v>
      </c>
      <c r="Y63" s="2">
        <v>34413.01</v>
      </c>
      <c r="Z63" s="2">
        <v>4391.3900000000003</v>
      </c>
      <c r="AA63" s="2">
        <f t="shared" si="7"/>
        <v>-30021.620000000003</v>
      </c>
      <c r="AB63" s="2">
        <v>64113.67</v>
      </c>
      <c r="AC63" s="2">
        <v>4393.33</v>
      </c>
      <c r="AD63" s="2">
        <f t="shared" si="8"/>
        <v>-59720.34</v>
      </c>
      <c r="AE63" s="2">
        <v>158731.29</v>
      </c>
      <c r="AF63" s="2">
        <v>501027.93</v>
      </c>
      <c r="AG63" s="2">
        <f t="shared" si="9"/>
        <v>342296.64</v>
      </c>
    </row>
    <row r="64" spans="1:33" x14ac:dyDescent="0.3">
      <c r="B64" s="3"/>
      <c r="C64" t="str">
        <f xml:space="preserve"> _xll.EPMOlapMemberO("[CLACO].[PARENTH1].[AMSASERMANTO.REPA]","","Servicios Mantenimie","","000")</f>
        <v>Servicios Mantenimie</v>
      </c>
      <c r="D64" s="2"/>
      <c r="E64" s="2"/>
      <c r="F64" s="2">
        <f t="shared" si="0"/>
        <v>0</v>
      </c>
      <c r="G64" s="2"/>
      <c r="H64" s="2"/>
      <c r="I64" s="2">
        <f t="shared" si="1"/>
        <v>0</v>
      </c>
      <c r="J64" s="2"/>
      <c r="K64" s="2"/>
      <c r="L64" s="2">
        <f t="shared" si="2"/>
        <v>0</v>
      </c>
      <c r="M64" s="2"/>
      <c r="N64" s="2"/>
      <c r="O64" s="2">
        <f t="shared" si="3"/>
        <v>0</v>
      </c>
      <c r="P64" s="2"/>
      <c r="Q64" s="2"/>
      <c r="R64" s="2">
        <f t="shared" si="4"/>
        <v>0</v>
      </c>
      <c r="S64" s="2"/>
      <c r="T64" s="2"/>
      <c r="U64" s="2">
        <f t="shared" si="5"/>
        <v>0</v>
      </c>
      <c r="V64" s="2"/>
      <c r="W64" s="2"/>
      <c r="X64" s="2">
        <f t="shared" si="6"/>
        <v>0</v>
      </c>
      <c r="Y64" s="2"/>
      <c r="Z64" s="2"/>
      <c r="AA64" s="2">
        <f t="shared" si="7"/>
        <v>0</v>
      </c>
      <c r="AB64" s="2">
        <v>2275.08</v>
      </c>
      <c r="AC64" s="2"/>
      <c r="AD64" s="2">
        <f t="shared" si="8"/>
        <v>-2275.08</v>
      </c>
      <c r="AE64" s="2">
        <v>2275.08</v>
      </c>
      <c r="AF64" s="2"/>
      <c r="AG64" s="2">
        <f t="shared" si="9"/>
        <v>-2275.08</v>
      </c>
    </row>
    <row r="65" spans="1:33" x14ac:dyDescent="0.3">
      <c r="B65" s="3"/>
      <c r="C65" t="str">
        <f xml:space="preserve"> _xll.EPMOlapMemberO("[CLACO].[PARENTH1].[AMSAINFORMATIC]","","Informática y Comuni","","000")</f>
        <v>Informática y Comuni</v>
      </c>
      <c r="D65" s="2">
        <v>0</v>
      </c>
      <c r="E65" s="2"/>
      <c r="F65" s="2">
        <f t="shared" si="0"/>
        <v>0</v>
      </c>
      <c r="G65" s="2">
        <v>369.9</v>
      </c>
      <c r="H65" s="2"/>
      <c r="I65" s="2">
        <f t="shared" si="1"/>
        <v>-369.9</v>
      </c>
      <c r="J65" s="2">
        <v>160374.48000000001</v>
      </c>
      <c r="K65" s="2">
        <v>60999.99</v>
      </c>
      <c r="L65" s="2">
        <f t="shared" si="2"/>
        <v>-99374.49000000002</v>
      </c>
      <c r="M65" s="2">
        <v>253373.88</v>
      </c>
      <c r="N65" s="2">
        <v>153001.04999999999</v>
      </c>
      <c r="O65" s="2">
        <f t="shared" si="3"/>
        <v>-100372.83000000002</v>
      </c>
      <c r="P65" s="2">
        <v>18728.580000000002</v>
      </c>
      <c r="Q65" s="2">
        <v>159.47999999999999</v>
      </c>
      <c r="R65" s="2">
        <f t="shared" si="4"/>
        <v>-18569.100000000002</v>
      </c>
      <c r="S65" s="2">
        <v>12236.69</v>
      </c>
      <c r="T65" s="2">
        <v>7574.73</v>
      </c>
      <c r="U65" s="2">
        <f t="shared" si="5"/>
        <v>-4661.9600000000009</v>
      </c>
      <c r="V65" s="2">
        <v>17154.650000000001</v>
      </c>
      <c r="W65" s="2">
        <v>159.62</v>
      </c>
      <c r="X65" s="2">
        <f t="shared" si="6"/>
        <v>-16995.030000000002</v>
      </c>
      <c r="Y65" s="2">
        <v>99929.81</v>
      </c>
      <c r="Z65" s="2">
        <v>35091.230000000003</v>
      </c>
      <c r="AA65" s="2">
        <f t="shared" si="7"/>
        <v>-64838.579999999994</v>
      </c>
      <c r="AB65" s="2">
        <v>136424.51999999999</v>
      </c>
      <c r="AC65" s="2">
        <v>207345.23</v>
      </c>
      <c r="AD65" s="2">
        <f t="shared" si="8"/>
        <v>70920.710000000021</v>
      </c>
      <c r="AE65" s="2">
        <v>284513.11</v>
      </c>
      <c r="AF65" s="2">
        <v>301264.62</v>
      </c>
      <c r="AG65" s="2">
        <f t="shared" si="9"/>
        <v>16751.510000000009</v>
      </c>
    </row>
    <row r="66" spans="1:33" x14ac:dyDescent="0.3">
      <c r="B66" s="3"/>
      <c r="C66" t="str">
        <f xml:space="preserve"> _xll.EPMOlapMemberO("[CLACO].[PARENTH1].[AMSAG_VIAJES]","","Gastos de Viajes","","000")</f>
        <v>Gastos de Viajes</v>
      </c>
      <c r="D66" s="2"/>
      <c r="E66" s="2"/>
      <c r="F66" s="2">
        <f t="shared" si="0"/>
        <v>0</v>
      </c>
      <c r="G66" s="2">
        <v>2554.16</v>
      </c>
      <c r="H66" s="2"/>
      <c r="I66" s="2">
        <f t="shared" si="1"/>
        <v>-2554.16</v>
      </c>
      <c r="J66" s="2">
        <v>19465.27</v>
      </c>
      <c r="K66" s="2">
        <v>52412.01</v>
      </c>
      <c r="L66" s="2">
        <f t="shared" si="2"/>
        <v>32946.740000000005</v>
      </c>
      <c r="M66" s="2">
        <v>35049.4</v>
      </c>
      <c r="N66" s="2">
        <v>41388.36</v>
      </c>
      <c r="O66" s="2">
        <f t="shared" si="3"/>
        <v>6338.9599999999991</v>
      </c>
      <c r="P66" s="2">
        <v>86.7</v>
      </c>
      <c r="Q66" s="2">
        <v>4248.3500000000004</v>
      </c>
      <c r="R66" s="2">
        <f t="shared" si="4"/>
        <v>4161.6500000000005</v>
      </c>
      <c r="S66" s="2">
        <v>998.16</v>
      </c>
      <c r="T66" s="2">
        <v>2326.4699999999998</v>
      </c>
      <c r="U66" s="2">
        <f t="shared" si="5"/>
        <v>1328.31</v>
      </c>
      <c r="V66" s="2">
        <v>1784.15</v>
      </c>
      <c r="W66" s="2">
        <v>5198.53</v>
      </c>
      <c r="X66" s="2">
        <f t="shared" si="6"/>
        <v>3414.3799999999997</v>
      </c>
      <c r="Y66" s="2">
        <v>1782.07</v>
      </c>
      <c r="Z66" s="2">
        <v>2328.44</v>
      </c>
      <c r="AA66" s="2">
        <f t="shared" si="7"/>
        <v>546.37000000000012</v>
      </c>
      <c r="AB66" s="2">
        <v>383.17</v>
      </c>
      <c r="AC66" s="2">
        <v>5203.1000000000004</v>
      </c>
      <c r="AD66" s="2">
        <f t="shared" si="8"/>
        <v>4819.93</v>
      </c>
      <c r="AE66" s="2">
        <v>5999.89</v>
      </c>
      <c r="AF66" s="2">
        <v>50012.04</v>
      </c>
      <c r="AG66" s="2">
        <f t="shared" si="9"/>
        <v>44012.15</v>
      </c>
    </row>
    <row r="67" spans="1:33" x14ac:dyDescent="0.3">
      <c r="B67" s="3"/>
      <c r="C67" t="str">
        <f xml:space="preserve"> _xll.EPMOlapMemberO("[CLACO].[PARENTH1].[AMSAGGENERALES.2]","","Otros Gastos","","000")</f>
        <v>Otros Gastos</v>
      </c>
      <c r="D67" s="2">
        <v>13.7</v>
      </c>
      <c r="E67" s="2"/>
      <c r="F67" s="2">
        <f t="shared" si="0"/>
        <v>-13.7</v>
      </c>
      <c r="G67" s="2">
        <v>630.19000000000005</v>
      </c>
      <c r="H67" s="2"/>
      <c r="I67" s="2">
        <f t="shared" si="1"/>
        <v>-630.19000000000005</v>
      </c>
      <c r="J67" s="2">
        <v>4</v>
      </c>
      <c r="K67" s="2">
        <v>3000</v>
      </c>
      <c r="L67" s="2">
        <f t="shared" si="2"/>
        <v>2996</v>
      </c>
      <c r="M67" s="2">
        <v>6244.43</v>
      </c>
      <c r="N67" s="2">
        <v>53001.71</v>
      </c>
      <c r="O67" s="2">
        <f t="shared" si="3"/>
        <v>46757.279999999999</v>
      </c>
      <c r="P67" s="2">
        <v>4.96</v>
      </c>
      <c r="Q67" s="2">
        <v>199.36</v>
      </c>
      <c r="R67" s="2">
        <f t="shared" si="4"/>
        <v>194.4</v>
      </c>
      <c r="S67" s="2">
        <v>145.78</v>
      </c>
      <c r="T67" s="2">
        <v>199.44</v>
      </c>
      <c r="U67" s="2">
        <f t="shared" si="5"/>
        <v>53.66</v>
      </c>
      <c r="V67" s="2">
        <v>227.82</v>
      </c>
      <c r="W67" s="2">
        <v>12669.59</v>
      </c>
      <c r="X67" s="2">
        <f t="shared" si="6"/>
        <v>12441.77</v>
      </c>
      <c r="Y67" s="2">
        <v>10.58</v>
      </c>
      <c r="Z67" s="2">
        <v>1696.67</v>
      </c>
      <c r="AA67" s="2">
        <f t="shared" si="7"/>
        <v>1686.0900000000001</v>
      </c>
      <c r="AB67" s="2">
        <v>8.94</v>
      </c>
      <c r="AC67" s="2">
        <v>199.69</v>
      </c>
      <c r="AD67" s="2">
        <f t="shared" si="8"/>
        <v>190.75</v>
      </c>
      <c r="AE67" s="2">
        <v>398.16</v>
      </c>
      <c r="AF67" s="2">
        <v>43726.01</v>
      </c>
      <c r="AG67" s="2">
        <f t="shared" si="9"/>
        <v>43327.85</v>
      </c>
    </row>
    <row r="68" spans="1:33" x14ac:dyDescent="0.3">
      <c r="A68" t="s">
        <v>7</v>
      </c>
      <c r="B68" s="3" t="str">
        <f xml:space="preserve"> _xll.EPMOlapMemberO("[CECO].[PARENTH3].[AMSA1000AC0506]","","Gerencia Procesos","","000")</f>
        <v>Gerencia Procesos</v>
      </c>
      <c r="C68" t="str">
        <f xml:space="preserve"> _xll.EPMOlapMemberO("[CLACO].[PARENTH1].[AMSAREMUNERACI.SS]","","Remuneraciones Super","","000")</f>
        <v>Remuneraciones Super</v>
      </c>
      <c r="D68" s="2">
        <v>11132.17</v>
      </c>
      <c r="E68" s="2"/>
      <c r="F68" s="2">
        <f t="shared" si="0"/>
        <v>-11132.17</v>
      </c>
      <c r="G68" s="2"/>
      <c r="H68" s="2"/>
      <c r="I68" s="2">
        <f t="shared" si="1"/>
        <v>0</v>
      </c>
      <c r="J68" s="2">
        <v>286072.02</v>
      </c>
      <c r="K68" s="2">
        <v>729530.15</v>
      </c>
      <c r="L68" s="2">
        <f t="shared" si="2"/>
        <v>443458.13</v>
      </c>
      <c r="M68" s="2">
        <v>675720.85</v>
      </c>
      <c r="N68" s="2">
        <v>875803.88</v>
      </c>
      <c r="O68" s="2">
        <f t="shared" si="3"/>
        <v>200083.03000000003</v>
      </c>
      <c r="P68" s="2">
        <v>50255.63</v>
      </c>
      <c r="Q68" s="2">
        <v>92900.96</v>
      </c>
      <c r="R68" s="2">
        <f t="shared" si="4"/>
        <v>42645.330000000009</v>
      </c>
      <c r="S68" s="2">
        <v>55342.86</v>
      </c>
      <c r="T68" s="2">
        <v>105115.06</v>
      </c>
      <c r="U68" s="2">
        <f t="shared" si="5"/>
        <v>49772.2</v>
      </c>
      <c r="V68" s="2">
        <v>48201.82</v>
      </c>
      <c r="W68" s="2">
        <v>92872.56</v>
      </c>
      <c r="X68" s="2">
        <f t="shared" si="6"/>
        <v>44670.74</v>
      </c>
      <c r="Y68" s="2">
        <v>51910.37</v>
      </c>
      <c r="Z68" s="2">
        <v>103931.19</v>
      </c>
      <c r="AA68" s="2">
        <f t="shared" si="7"/>
        <v>52020.82</v>
      </c>
      <c r="AB68" s="2">
        <v>-273664.37</v>
      </c>
      <c r="AC68" s="2">
        <v>92284.53</v>
      </c>
      <c r="AD68" s="2">
        <f t="shared" si="8"/>
        <v>365948.9</v>
      </c>
      <c r="AE68" s="2">
        <v>-67704.929999999993</v>
      </c>
      <c r="AF68" s="2">
        <v>1161911.3</v>
      </c>
      <c r="AG68" s="2">
        <f t="shared" si="9"/>
        <v>1229616.23</v>
      </c>
    </row>
    <row r="69" spans="1:33" x14ac:dyDescent="0.3">
      <c r="B69" s="3"/>
      <c r="C69" t="str">
        <f xml:space="preserve"> _xll.EPMOlapMemberO("[CLACO].[PARENTH1].[AMSAMAT_Y_REP.2]","","Materiales y repuest","","000")</f>
        <v>Materiales y repuest</v>
      </c>
      <c r="D69" s="2"/>
      <c r="E69" s="2"/>
      <c r="F69" s="2">
        <f t="shared" si="0"/>
        <v>0</v>
      </c>
      <c r="G69" s="2">
        <v>0</v>
      </c>
      <c r="H69" s="2"/>
      <c r="I69" s="2">
        <f t="shared" si="1"/>
        <v>0</v>
      </c>
      <c r="J69" s="2"/>
      <c r="K69" s="2"/>
      <c r="L69" s="2">
        <f t="shared" si="2"/>
        <v>0</v>
      </c>
      <c r="M69" s="2"/>
      <c r="N69" s="2"/>
      <c r="O69" s="2">
        <f t="shared" si="3"/>
        <v>0</v>
      </c>
      <c r="P69" s="2"/>
      <c r="Q69" s="2"/>
      <c r="R69" s="2">
        <f t="shared" si="4"/>
        <v>0</v>
      </c>
      <c r="S69" s="2"/>
      <c r="T69" s="2"/>
      <c r="U69" s="2">
        <f t="shared" si="5"/>
        <v>0</v>
      </c>
      <c r="V69" s="2"/>
      <c r="W69" s="2"/>
      <c r="X69" s="2">
        <f t="shared" si="6"/>
        <v>0</v>
      </c>
      <c r="Y69" s="2"/>
      <c r="Z69" s="2"/>
      <c r="AA69" s="2">
        <f t="shared" si="7"/>
        <v>0</v>
      </c>
      <c r="AB69" s="2"/>
      <c r="AC69" s="2"/>
      <c r="AD69" s="2">
        <f t="shared" si="8"/>
        <v>0</v>
      </c>
      <c r="AE69" s="2"/>
      <c r="AF69" s="2"/>
      <c r="AG69" s="2">
        <f t="shared" si="9"/>
        <v>0</v>
      </c>
    </row>
    <row r="70" spans="1:33" x14ac:dyDescent="0.3">
      <c r="B70" s="3"/>
      <c r="C70" t="str">
        <f xml:space="preserve"> _xll.EPMOlapMemberO("[CLACO].[PARENTH1].[AMSAENTRENAMI]","","Entrenamiento","","000")</f>
        <v>Entrenamiento</v>
      </c>
      <c r="D70" s="2"/>
      <c r="E70" s="2"/>
      <c r="F70" s="2">
        <f t="shared" si="0"/>
        <v>0</v>
      </c>
      <c r="G70" s="2"/>
      <c r="H70" s="2"/>
      <c r="I70" s="2">
        <f t="shared" si="1"/>
        <v>0</v>
      </c>
      <c r="J70" s="2"/>
      <c r="K70" s="2">
        <v>8000</v>
      </c>
      <c r="L70" s="2">
        <f t="shared" si="2"/>
        <v>8000</v>
      </c>
      <c r="M70" s="2">
        <v>25439.06</v>
      </c>
      <c r="N70" s="2"/>
      <c r="O70" s="2">
        <f t="shared" si="3"/>
        <v>-25439.06</v>
      </c>
      <c r="P70" s="2"/>
      <c r="Q70" s="2"/>
      <c r="R70" s="2">
        <f t="shared" si="4"/>
        <v>0</v>
      </c>
      <c r="S70" s="2">
        <v>27.56</v>
      </c>
      <c r="T70" s="2"/>
      <c r="U70" s="2">
        <f t="shared" si="5"/>
        <v>-27.56</v>
      </c>
      <c r="V70" s="2"/>
      <c r="W70" s="2"/>
      <c r="X70" s="2">
        <f t="shared" si="6"/>
        <v>0</v>
      </c>
      <c r="Y70" s="2"/>
      <c r="Z70" s="2"/>
      <c r="AA70" s="2">
        <f t="shared" si="7"/>
        <v>0</v>
      </c>
      <c r="AB70" s="2"/>
      <c r="AC70" s="2"/>
      <c r="AD70" s="2">
        <f t="shared" si="8"/>
        <v>0</v>
      </c>
      <c r="AE70" s="2">
        <v>27.56</v>
      </c>
      <c r="AF70" s="2"/>
      <c r="AG70" s="2">
        <f t="shared" si="9"/>
        <v>-27.56</v>
      </c>
    </row>
    <row r="71" spans="1:33" x14ac:dyDescent="0.3">
      <c r="B71" s="3"/>
      <c r="C71" t="str">
        <f xml:space="preserve"> _xll.EPMOlapMemberO("[CLACO].[PARENTH1].[AMSAASESORIAS]","","Asesorías y Consulto","","000")</f>
        <v>Asesorías y Consulto</v>
      </c>
      <c r="D71" s="2">
        <v>49714.64</v>
      </c>
      <c r="E71" s="2"/>
      <c r="F71" s="2">
        <f t="shared" si="0"/>
        <v>-49714.64</v>
      </c>
      <c r="G71" s="2"/>
      <c r="H71" s="2"/>
      <c r="I71" s="2">
        <f t="shared" si="1"/>
        <v>0</v>
      </c>
      <c r="J71" s="2"/>
      <c r="K71" s="2"/>
      <c r="L71" s="2">
        <f t="shared" si="2"/>
        <v>0</v>
      </c>
      <c r="M71" s="2">
        <v>5960.69</v>
      </c>
      <c r="N71" s="2"/>
      <c r="O71" s="2">
        <f t="shared" si="3"/>
        <v>-5960.69</v>
      </c>
      <c r="P71" s="2">
        <v>30549.15</v>
      </c>
      <c r="Q71" s="2"/>
      <c r="R71" s="2">
        <f t="shared" si="4"/>
        <v>-30549.15</v>
      </c>
      <c r="S71" s="2"/>
      <c r="T71" s="2"/>
      <c r="U71" s="2">
        <f t="shared" si="5"/>
        <v>0</v>
      </c>
      <c r="V71" s="2"/>
      <c r="W71" s="2"/>
      <c r="X71" s="2">
        <f t="shared" si="6"/>
        <v>0</v>
      </c>
      <c r="Y71" s="2"/>
      <c r="Z71" s="2"/>
      <c r="AA71" s="2">
        <f t="shared" si="7"/>
        <v>0</v>
      </c>
      <c r="AB71" s="2"/>
      <c r="AC71" s="2"/>
      <c r="AD71" s="2">
        <f t="shared" si="8"/>
        <v>0</v>
      </c>
      <c r="AE71" s="2">
        <v>100873.83</v>
      </c>
      <c r="AF71" s="2"/>
      <c r="AG71" s="2">
        <f t="shared" si="9"/>
        <v>-100873.83</v>
      </c>
    </row>
    <row r="72" spans="1:33" x14ac:dyDescent="0.3">
      <c r="B72" s="3"/>
      <c r="C72" t="str">
        <f xml:space="preserve"> _xll.EPMOlapMemberO("[CLACO].[PARENTH1].[AMSASERVICIOS]","","Servicios","","000")</f>
        <v>Servicios</v>
      </c>
      <c r="D72" s="2"/>
      <c r="E72" s="2"/>
      <c r="F72" s="2">
        <f t="shared" si="0"/>
        <v>0</v>
      </c>
      <c r="G72" s="2"/>
      <c r="H72" s="2"/>
      <c r="I72" s="2">
        <f t="shared" si="1"/>
        <v>0</v>
      </c>
      <c r="J72" s="2">
        <v>9414.83</v>
      </c>
      <c r="K72" s="2">
        <v>150000</v>
      </c>
      <c r="L72" s="2">
        <f t="shared" si="2"/>
        <v>140585.17000000001</v>
      </c>
      <c r="M72" s="2">
        <v>17936.05</v>
      </c>
      <c r="N72" s="2">
        <v>46710.36</v>
      </c>
      <c r="O72" s="2">
        <f t="shared" si="3"/>
        <v>28774.31</v>
      </c>
      <c r="P72" s="2">
        <v>88.56</v>
      </c>
      <c r="Q72" s="2">
        <v>61839.16</v>
      </c>
      <c r="R72" s="2">
        <f t="shared" si="4"/>
        <v>61750.600000000006</v>
      </c>
      <c r="S72" s="2">
        <v>-0.73</v>
      </c>
      <c r="T72" s="2">
        <v>9972</v>
      </c>
      <c r="U72" s="2">
        <f t="shared" si="5"/>
        <v>9972.73</v>
      </c>
      <c r="V72" s="2">
        <v>4877.3</v>
      </c>
      <c r="W72" s="2">
        <v>38133.910000000003</v>
      </c>
      <c r="X72" s="2">
        <f t="shared" si="6"/>
        <v>33256.61</v>
      </c>
      <c r="Y72" s="2">
        <v>2004.11</v>
      </c>
      <c r="Z72" s="2">
        <v>28664.799999999999</v>
      </c>
      <c r="AA72" s="2">
        <f t="shared" si="7"/>
        <v>26660.69</v>
      </c>
      <c r="AB72" s="2">
        <v>1324.69</v>
      </c>
      <c r="AC72" s="2">
        <v>11694.29</v>
      </c>
      <c r="AD72" s="2">
        <f t="shared" si="8"/>
        <v>10369.6</v>
      </c>
      <c r="AE72" s="2">
        <v>8293.93</v>
      </c>
      <c r="AF72" s="2">
        <v>435473.18</v>
      </c>
      <c r="AG72" s="2">
        <f t="shared" si="9"/>
        <v>427179.25</v>
      </c>
    </row>
    <row r="73" spans="1:33" x14ac:dyDescent="0.3">
      <c r="B73" s="3"/>
      <c r="C73" t="str">
        <f xml:space="preserve"> _xll.EPMOlapMemberO("[CLACO].[PARENTH1].[AMSASERMANTO.REPA]","","Servicios Mantenimie","","000")</f>
        <v>Servicios Mantenimie</v>
      </c>
      <c r="D73" s="2"/>
      <c r="E73" s="2"/>
      <c r="F73" s="2">
        <f t="shared" si="0"/>
        <v>0</v>
      </c>
      <c r="G73" s="2">
        <v>559.53</v>
      </c>
      <c r="H73" s="2"/>
      <c r="I73" s="2">
        <f t="shared" si="1"/>
        <v>-559.53</v>
      </c>
      <c r="J73" s="2"/>
      <c r="K73" s="2"/>
      <c r="L73" s="2">
        <f t="shared" si="2"/>
        <v>0</v>
      </c>
      <c r="M73" s="2">
        <v>4702.91</v>
      </c>
      <c r="N73" s="2"/>
      <c r="O73" s="2">
        <f t="shared" si="3"/>
        <v>-4702.91</v>
      </c>
      <c r="P73" s="2"/>
      <c r="Q73" s="2"/>
      <c r="R73" s="2">
        <f t="shared" si="4"/>
        <v>0</v>
      </c>
      <c r="S73" s="2"/>
      <c r="T73" s="2"/>
      <c r="U73" s="2">
        <f t="shared" si="5"/>
        <v>0</v>
      </c>
      <c r="V73" s="2"/>
      <c r="W73" s="2"/>
      <c r="X73" s="2">
        <f t="shared" si="6"/>
        <v>0</v>
      </c>
      <c r="Y73" s="2"/>
      <c r="Z73" s="2"/>
      <c r="AA73" s="2">
        <f t="shared" si="7"/>
        <v>0</v>
      </c>
      <c r="AB73" s="2"/>
      <c r="AC73" s="2"/>
      <c r="AD73" s="2">
        <f t="shared" si="8"/>
        <v>0</v>
      </c>
      <c r="AE73" s="2"/>
      <c r="AF73" s="2"/>
      <c r="AG73" s="2">
        <f t="shared" si="9"/>
        <v>0</v>
      </c>
    </row>
    <row r="74" spans="1:33" x14ac:dyDescent="0.3">
      <c r="B74" s="3"/>
      <c r="C74" t="str">
        <f xml:space="preserve"> _xll.EPMOlapMemberO("[CLACO].[PARENTH1].[AMSAINFORMATIC]","","Informática y Comuni","","000")</f>
        <v>Informática y Comuni</v>
      </c>
      <c r="D74" s="2">
        <v>1434.58</v>
      </c>
      <c r="E74" s="2"/>
      <c r="F74" s="2">
        <f t="shared" si="0"/>
        <v>-1434.58</v>
      </c>
      <c r="G74" s="2">
        <v>4464.2</v>
      </c>
      <c r="H74" s="2"/>
      <c r="I74" s="2">
        <f t="shared" si="1"/>
        <v>-4464.2</v>
      </c>
      <c r="J74" s="2">
        <v>273657.37</v>
      </c>
      <c r="K74" s="2">
        <v>42999.98</v>
      </c>
      <c r="L74" s="2">
        <f t="shared" si="2"/>
        <v>-230657.38999999998</v>
      </c>
      <c r="M74" s="2">
        <v>86540.36</v>
      </c>
      <c r="N74" s="2">
        <v>28000.86</v>
      </c>
      <c r="O74" s="2">
        <f t="shared" si="3"/>
        <v>-58539.5</v>
      </c>
      <c r="P74" s="2">
        <v>1841.65</v>
      </c>
      <c r="Q74" s="2">
        <v>182.74</v>
      </c>
      <c r="R74" s="2">
        <f t="shared" si="4"/>
        <v>-1658.91</v>
      </c>
      <c r="S74" s="2">
        <v>12313.68</v>
      </c>
      <c r="T74" s="2">
        <v>83.1</v>
      </c>
      <c r="U74" s="2">
        <f t="shared" si="5"/>
        <v>-12230.58</v>
      </c>
      <c r="V74" s="2">
        <v>13389.16</v>
      </c>
      <c r="W74" s="2">
        <v>182.9</v>
      </c>
      <c r="X74" s="2">
        <f t="shared" si="6"/>
        <v>-13206.26</v>
      </c>
      <c r="Y74" s="2">
        <v>12783.68</v>
      </c>
      <c r="Z74" s="2">
        <v>4324.8599999999997</v>
      </c>
      <c r="AA74" s="2">
        <f t="shared" si="7"/>
        <v>-8458.82</v>
      </c>
      <c r="AB74" s="2">
        <v>13629.7</v>
      </c>
      <c r="AC74" s="2">
        <v>83.22</v>
      </c>
      <c r="AD74" s="2">
        <f t="shared" si="8"/>
        <v>-13546.480000000001</v>
      </c>
      <c r="AE74" s="2">
        <v>54451.19</v>
      </c>
      <c r="AF74" s="2">
        <v>8919.34</v>
      </c>
      <c r="AG74" s="2">
        <f t="shared" si="9"/>
        <v>-45531.850000000006</v>
      </c>
    </row>
    <row r="75" spans="1:33" x14ac:dyDescent="0.3">
      <c r="B75" s="3"/>
      <c r="C75" t="str">
        <f xml:space="preserve"> _xll.EPMOlapMemberO("[CLACO].[PARENTH1].[AMSAG_VIAJES]","","Gastos de Viajes","","000")</f>
        <v>Gastos de Viajes</v>
      </c>
      <c r="D75" s="2"/>
      <c r="E75" s="2"/>
      <c r="F75" s="2">
        <f t="shared" ref="F75:F138" si="10">+E75-D75</f>
        <v>0</v>
      </c>
      <c r="G75" s="2"/>
      <c r="H75" s="2"/>
      <c r="I75" s="2">
        <f t="shared" ref="I75:I138" si="11">+H75-G75</f>
        <v>0</v>
      </c>
      <c r="J75" s="2">
        <v>8126.64</v>
      </c>
      <c r="K75" s="2">
        <v>49218</v>
      </c>
      <c r="L75" s="2">
        <f t="shared" ref="L75:L138" si="12">+K75-J75</f>
        <v>41091.360000000001</v>
      </c>
      <c r="M75" s="2">
        <v>13933.78</v>
      </c>
      <c r="N75" s="2"/>
      <c r="O75" s="2">
        <f t="shared" ref="O75:O138" si="13">+N75-M75</f>
        <v>-13933.78</v>
      </c>
      <c r="P75" s="2">
        <v>67.42</v>
      </c>
      <c r="Q75" s="2">
        <v>1664.65</v>
      </c>
      <c r="R75" s="2">
        <f t="shared" ref="R75:R138" si="14">+Q75-P75</f>
        <v>1597.23</v>
      </c>
      <c r="S75" s="2">
        <v>1892.91</v>
      </c>
      <c r="T75" s="2">
        <v>1969.47</v>
      </c>
      <c r="U75" s="2">
        <f t="shared" ref="U75:U138" si="15">+T75-S75</f>
        <v>76.559999999999945</v>
      </c>
      <c r="V75" s="2"/>
      <c r="W75" s="2">
        <v>1666</v>
      </c>
      <c r="X75" s="2">
        <f t="shared" ref="X75:X138" si="16">+W75-V75</f>
        <v>1666</v>
      </c>
      <c r="Y75" s="2">
        <v>1150.22</v>
      </c>
      <c r="Z75" s="2">
        <v>1666.73</v>
      </c>
      <c r="AA75" s="2">
        <f t="shared" ref="AA75:AA138" si="17">+Z75-Y75</f>
        <v>516.51</v>
      </c>
      <c r="AB75" s="2"/>
      <c r="AC75" s="2">
        <v>1667.46</v>
      </c>
      <c r="AD75" s="2">
        <f t="shared" ref="AD75:AD138" si="18">+AC75-AB75</f>
        <v>1667.46</v>
      </c>
      <c r="AE75" s="2">
        <v>5064.0600000000004</v>
      </c>
      <c r="AF75" s="2">
        <v>24557.5</v>
      </c>
      <c r="AG75" s="2">
        <f t="shared" ref="AG75:AG138" si="19">+AF75-AE75</f>
        <v>19493.439999999999</v>
      </c>
    </row>
    <row r="76" spans="1:33" x14ac:dyDescent="0.3">
      <c r="B76" s="3"/>
      <c r="C76" t="str">
        <f xml:space="preserve"> _xll.EPMOlapMemberO("[CLACO].[PARENTH1].[AMSAGGENERALES.2]","","Otros Gastos","","000")</f>
        <v>Otros Gastos</v>
      </c>
      <c r="D76" s="2">
        <v>422.92</v>
      </c>
      <c r="E76" s="2"/>
      <c r="F76" s="2">
        <f t="shared" si="10"/>
        <v>-422.92</v>
      </c>
      <c r="G76" s="2">
        <v>4.6500000000000004</v>
      </c>
      <c r="H76" s="2"/>
      <c r="I76" s="2">
        <f t="shared" si="11"/>
        <v>-4.6500000000000004</v>
      </c>
      <c r="J76" s="2">
        <v>289.87</v>
      </c>
      <c r="K76" s="2">
        <v>3499.97</v>
      </c>
      <c r="L76" s="2">
        <f t="shared" si="12"/>
        <v>3210.1</v>
      </c>
      <c r="M76" s="2">
        <v>2873.85</v>
      </c>
      <c r="N76" s="2">
        <v>3500.05</v>
      </c>
      <c r="O76" s="2">
        <f t="shared" si="13"/>
        <v>626.20000000000027</v>
      </c>
      <c r="P76" s="2">
        <v>84.16</v>
      </c>
      <c r="Q76" s="2">
        <v>456.86</v>
      </c>
      <c r="R76" s="2">
        <f t="shared" si="14"/>
        <v>372.70000000000005</v>
      </c>
      <c r="S76" s="2">
        <v>22.97</v>
      </c>
      <c r="T76" s="2">
        <v>457.05</v>
      </c>
      <c r="U76" s="2">
        <f t="shared" si="15"/>
        <v>434.08000000000004</v>
      </c>
      <c r="V76" s="2">
        <v>150.55000000000001</v>
      </c>
      <c r="W76" s="2">
        <v>457.25</v>
      </c>
      <c r="X76" s="2">
        <f t="shared" si="16"/>
        <v>306.7</v>
      </c>
      <c r="Y76" s="2">
        <v>105.14</v>
      </c>
      <c r="Z76" s="2">
        <v>457.44</v>
      </c>
      <c r="AA76" s="2">
        <f t="shared" si="17"/>
        <v>352.3</v>
      </c>
      <c r="AB76" s="2">
        <v>120.04</v>
      </c>
      <c r="AC76" s="2">
        <v>457.66</v>
      </c>
      <c r="AD76" s="2">
        <f t="shared" si="18"/>
        <v>337.62</v>
      </c>
      <c r="AE76" s="2">
        <v>484.16</v>
      </c>
      <c r="AF76" s="2">
        <v>5479.2</v>
      </c>
      <c r="AG76" s="2">
        <f t="shared" si="19"/>
        <v>4995.04</v>
      </c>
    </row>
    <row r="77" spans="1:33" x14ac:dyDescent="0.3">
      <c r="A77" t="s">
        <v>8</v>
      </c>
      <c r="B77" s="3" t="str">
        <f xml:space="preserve"> _xll.EPMOlapMemberO("[CECO].[PARENTH3].[AMSA1000AC0519]","","Inteligencia Minera","","000")</f>
        <v>Inteligencia Minera</v>
      </c>
      <c r="C77" t="str">
        <f xml:space="preserve"> _xll.EPMOlapMemberO("[CLACO].[PARENTH1].[AMSAENTRENAMI]","","Entrenamiento","","000")</f>
        <v>Entrenamiento</v>
      </c>
      <c r="D77" s="2"/>
      <c r="E77" s="2">
        <v>2054.17</v>
      </c>
      <c r="F77" s="2">
        <f t="shared" si="10"/>
        <v>2054.17</v>
      </c>
      <c r="G77" s="2"/>
      <c r="H77" s="2">
        <v>2059.13</v>
      </c>
      <c r="I77" s="2">
        <f t="shared" si="11"/>
        <v>2059.13</v>
      </c>
      <c r="J77" s="2"/>
      <c r="K77" s="2">
        <v>2015</v>
      </c>
      <c r="L77" s="2">
        <f t="shared" si="12"/>
        <v>2015</v>
      </c>
      <c r="M77" s="2"/>
      <c r="N77" s="2">
        <v>2011.5</v>
      </c>
      <c r="O77" s="2">
        <f t="shared" si="13"/>
        <v>2011.5</v>
      </c>
      <c r="P77" s="2"/>
      <c r="Q77" s="2"/>
      <c r="R77" s="2">
        <f t="shared" si="14"/>
        <v>0</v>
      </c>
      <c r="S77" s="2"/>
      <c r="T77" s="2"/>
      <c r="U77" s="2">
        <f t="shared" si="15"/>
        <v>0</v>
      </c>
      <c r="V77" s="2"/>
      <c r="W77" s="2">
        <v>2009.18</v>
      </c>
      <c r="X77" s="2">
        <f t="shared" si="16"/>
        <v>2009.18</v>
      </c>
      <c r="Y77" s="2"/>
      <c r="Z77" s="2"/>
      <c r="AA77" s="2">
        <f t="shared" si="17"/>
        <v>0</v>
      </c>
      <c r="AB77" s="2"/>
      <c r="AC77" s="2"/>
      <c r="AD77" s="2">
        <f t="shared" si="18"/>
        <v>0</v>
      </c>
      <c r="AE77" s="2"/>
      <c r="AF77" s="2">
        <v>2009.18</v>
      </c>
      <c r="AG77" s="2">
        <f t="shared" si="19"/>
        <v>2009.18</v>
      </c>
    </row>
    <row r="78" spans="1:33" x14ac:dyDescent="0.3">
      <c r="B78" s="3"/>
      <c r="C78" t="str">
        <f xml:space="preserve"> _xll.EPMOlapMemberO("[CLACO].[PARENTH1].[AMSAARRIENDOS]","","Arriendos","","000")</f>
        <v>Arriendos</v>
      </c>
      <c r="D78" s="2"/>
      <c r="E78" s="2"/>
      <c r="F78" s="2">
        <f t="shared" si="10"/>
        <v>0</v>
      </c>
      <c r="G78" s="2"/>
      <c r="H78" s="2"/>
      <c r="I78" s="2">
        <f t="shared" si="11"/>
        <v>0</v>
      </c>
      <c r="J78" s="2"/>
      <c r="K78" s="2"/>
      <c r="L78" s="2">
        <f t="shared" si="12"/>
        <v>0</v>
      </c>
      <c r="M78" s="2">
        <v>225.61</v>
      </c>
      <c r="N78" s="2"/>
      <c r="O78" s="2">
        <f t="shared" si="13"/>
        <v>-225.61</v>
      </c>
      <c r="P78" s="2"/>
      <c r="Q78" s="2"/>
      <c r="R78" s="2">
        <f t="shared" si="14"/>
        <v>0</v>
      </c>
      <c r="S78" s="2"/>
      <c r="T78" s="2"/>
      <c r="U78" s="2">
        <f t="shared" si="15"/>
        <v>0</v>
      </c>
      <c r="V78" s="2"/>
      <c r="W78" s="2"/>
      <c r="X78" s="2">
        <f t="shared" si="16"/>
        <v>0</v>
      </c>
      <c r="Y78" s="2"/>
      <c r="Z78" s="2"/>
      <c r="AA78" s="2">
        <f t="shared" si="17"/>
        <v>0</v>
      </c>
      <c r="AB78" s="2"/>
      <c r="AC78" s="2"/>
      <c r="AD78" s="2">
        <f t="shared" si="18"/>
        <v>0</v>
      </c>
      <c r="AE78" s="2"/>
      <c r="AF78" s="2"/>
      <c r="AG78" s="2">
        <f t="shared" si="19"/>
        <v>0</v>
      </c>
    </row>
    <row r="79" spans="1:33" x14ac:dyDescent="0.3">
      <c r="B79" s="3"/>
      <c r="C79" t="str">
        <f xml:space="preserve"> _xll.EPMOlapMemberO("[CLACO].[PARENTH1].[AMSASERVICIOS]","","Servicios","","000")</f>
        <v>Servicios</v>
      </c>
      <c r="D79" s="2">
        <v>9261.08</v>
      </c>
      <c r="E79" s="2"/>
      <c r="F79" s="2">
        <f t="shared" si="10"/>
        <v>-9261.08</v>
      </c>
      <c r="G79" s="2">
        <v>22816.51</v>
      </c>
      <c r="H79" s="2"/>
      <c r="I79" s="2">
        <f t="shared" si="11"/>
        <v>-22816.51</v>
      </c>
      <c r="J79" s="2">
        <v>-2850.97</v>
      </c>
      <c r="K79" s="2">
        <v>39877.019999999997</v>
      </c>
      <c r="L79" s="2">
        <f t="shared" si="12"/>
        <v>42727.99</v>
      </c>
      <c r="M79" s="2">
        <v>46756.65</v>
      </c>
      <c r="N79" s="2">
        <v>34412.75</v>
      </c>
      <c r="O79" s="2">
        <f t="shared" si="13"/>
        <v>-12343.900000000001</v>
      </c>
      <c r="P79" s="2"/>
      <c r="Q79" s="2">
        <v>2944.5</v>
      </c>
      <c r="R79" s="2">
        <f t="shared" si="14"/>
        <v>2944.5</v>
      </c>
      <c r="S79" s="2"/>
      <c r="T79" s="2">
        <v>2936.3</v>
      </c>
      <c r="U79" s="2">
        <f t="shared" si="15"/>
        <v>2936.3</v>
      </c>
      <c r="V79" s="2"/>
      <c r="W79" s="2">
        <v>2928.13</v>
      </c>
      <c r="X79" s="2">
        <f t="shared" si="16"/>
        <v>2928.13</v>
      </c>
      <c r="Y79" s="2"/>
      <c r="Z79" s="2">
        <v>2919.99</v>
      </c>
      <c r="AA79" s="2">
        <f t="shared" si="17"/>
        <v>2919.99</v>
      </c>
      <c r="AB79" s="2"/>
      <c r="AC79" s="2">
        <v>2911.86</v>
      </c>
      <c r="AD79" s="2">
        <f t="shared" si="18"/>
        <v>2911.86</v>
      </c>
      <c r="AE79" s="2"/>
      <c r="AF79" s="2">
        <v>35483.57</v>
      </c>
      <c r="AG79" s="2">
        <f t="shared" si="19"/>
        <v>35483.57</v>
      </c>
    </row>
    <row r="80" spans="1:33" x14ac:dyDescent="0.3">
      <c r="B80" s="3"/>
      <c r="C80" t="str">
        <f xml:space="preserve"> _xll.EPMOlapMemberO("[CLACO].[PARENTH1].[AMSAINFORMATIC]","","Informática y Comuni","","000")</f>
        <v>Informática y Comuni</v>
      </c>
      <c r="D80" s="2"/>
      <c r="E80" s="2">
        <v>14807.51</v>
      </c>
      <c r="F80" s="2">
        <f t="shared" si="10"/>
        <v>14807.51</v>
      </c>
      <c r="G80" s="2">
        <v>122.75</v>
      </c>
      <c r="H80" s="2">
        <v>14863.84</v>
      </c>
      <c r="I80" s="2">
        <f t="shared" si="11"/>
        <v>14741.09</v>
      </c>
      <c r="J80" s="2">
        <v>35177</v>
      </c>
      <c r="K80" s="2">
        <v>14634</v>
      </c>
      <c r="L80" s="2">
        <f t="shared" si="12"/>
        <v>-20543</v>
      </c>
      <c r="M80" s="2">
        <v>1231.2</v>
      </c>
      <c r="N80" s="2">
        <v>14579.4</v>
      </c>
      <c r="O80" s="2">
        <f t="shared" si="13"/>
        <v>13348.199999999999</v>
      </c>
      <c r="P80" s="2"/>
      <c r="Q80" s="2">
        <v>1210.1099999999999</v>
      </c>
      <c r="R80" s="2">
        <f t="shared" si="14"/>
        <v>1210.1099999999999</v>
      </c>
      <c r="S80" s="2"/>
      <c r="T80" s="2">
        <v>1207.81</v>
      </c>
      <c r="U80" s="2">
        <f t="shared" si="15"/>
        <v>1207.81</v>
      </c>
      <c r="V80" s="2"/>
      <c r="W80" s="2">
        <v>1205.51</v>
      </c>
      <c r="X80" s="2">
        <f t="shared" si="16"/>
        <v>1205.51</v>
      </c>
      <c r="Y80" s="2"/>
      <c r="Z80" s="2">
        <v>1203.24</v>
      </c>
      <c r="AA80" s="2">
        <f t="shared" si="17"/>
        <v>1203.24</v>
      </c>
      <c r="AB80" s="2"/>
      <c r="AC80" s="2">
        <v>1200.98</v>
      </c>
      <c r="AD80" s="2">
        <f t="shared" si="18"/>
        <v>1200.98</v>
      </c>
      <c r="AE80" s="2"/>
      <c r="AF80" s="2">
        <v>14562.91</v>
      </c>
      <c r="AG80" s="2">
        <f t="shared" si="19"/>
        <v>14562.91</v>
      </c>
    </row>
    <row r="81" spans="1:33" x14ac:dyDescent="0.3">
      <c r="B81" s="3"/>
      <c r="C81" t="str">
        <f xml:space="preserve"> _xll.EPMOlapMemberO("[CLACO].[PARENTH1].[AMSAG_VIAJES]","","Gastos de Viajes","","000")</f>
        <v>Gastos de Viajes</v>
      </c>
      <c r="D81" s="2">
        <v>964.46</v>
      </c>
      <c r="E81" s="2">
        <v>14572.82</v>
      </c>
      <c r="F81" s="2">
        <f t="shared" si="10"/>
        <v>13608.36</v>
      </c>
      <c r="G81" s="2">
        <v>2634.91</v>
      </c>
      <c r="H81" s="2">
        <v>18375.84</v>
      </c>
      <c r="I81" s="2">
        <f t="shared" si="11"/>
        <v>15740.93</v>
      </c>
      <c r="J81" s="2">
        <v>4845.21</v>
      </c>
      <c r="K81" s="2">
        <v>16484.509999999998</v>
      </c>
      <c r="L81" s="2">
        <f t="shared" si="12"/>
        <v>11639.3</v>
      </c>
      <c r="M81" s="2">
        <v>7968.18</v>
      </c>
      <c r="N81" s="2">
        <v>18609.41</v>
      </c>
      <c r="O81" s="2">
        <f t="shared" si="13"/>
        <v>10641.23</v>
      </c>
      <c r="P81" s="2"/>
      <c r="Q81" s="2">
        <v>919.69</v>
      </c>
      <c r="R81" s="2">
        <f t="shared" si="14"/>
        <v>919.69</v>
      </c>
      <c r="S81" s="2"/>
      <c r="T81" s="2">
        <v>917.94</v>
      </c>
      <c r="U81" s="2">
        <f t="shared" si="15"/>
        <v>917.94</v>
      </c>
      <c r="V81" s="2"/>
      <c r="W81" s="2">
        <v>11805.92</v>
      </c>
      <c r="X81" s="2">
        <f t="shared" si="16"/>
        <v>11805.92</v>
      </c>
      <c r="Y81" s="2"/>
      <c r="Z81" s="2">
        <v>914.46</v>
      </c>
      <c r="AA81" s="2">
        <f t="shared" si="17"/>
        <v>914.46</v>
      </c>
      <c r="AB81" s="2"/>
      <c r="AC81" s="2">
        <v>912.75</v>
      </c>
      <c r="AD81" s="2">
        <f t="shared" si="18"/>
        <v>912.75</v>
      </c>
      <c r="AE81" s="2"/>
      <c r="AF81" s="2">
        <v>21957.53</v>
      </c>
      <c r="AG81" s="2">
        <f t="shared" si="19"/>
        <v>21957.53</v>
      </c>
    </row>
    <row r="82" spans="1:33" x14ac:dyDescent="0.3">
      <c r="B82" s="3"/>
      <c r="C82" t="str">
        <f xml:space="preserve"> _xll.EPMOlapMemberO("[CLACO].[PARENTH1].[AMSAGGENERALES.2]","","Otros Gastos","","000")</f>
        <v>Otros Gastos</v>
      </c>
      <c r="D82" s="2">
        <v>12.03</v>
      </c>
      <c r="E82" s="2"/>
      <c r="F82" s="2">
        <f t="shared" si="10"/>
        <v>-12.03</v>
      </c>
      <c r="G82" s="2">
        <v>0.54</v>
      </c>
      <c r="H82" s="2"/>
      <c r="I82" s="2">
        <f t="shared" si="11"/>
        <v>-0.54</v>
      </c>
      <c r="J82" s="2">
        <v>0.82</v>
      </c>
      <c r="K82" s="2"/>
      <c r="L82" s="2">
        <f t="shared" si="12"/>
        <v>-0.82</v>
      </c>
      <c r="M82" s="2">
        <v>1.39</v>
      </c>
      <c r="N82" s="2"/>
      <c r="O82" s="2">
        <f t="shared" si="13"/>
        <v>-1.39</v>
      </c>
      <c r="P82" s="2"/>
      <c r="Q82" s="2"/>
      <c r="R82" s="2">
        <f t="shared" si="14"/>
        <v>0</v>
      </c>
      <c r="S82" s="2"/>
      <c r="T82" s="2"/>
      <c r="U82" s="2">
        <f t="shared" si="15"/>
        <v>0</v>
      </c>
      <c r="V82" s="2"/>
      <c r="W82" s="2"/>
      <c r="X82" s="2">
        <f t="shared" si="16"/>
        <v>0</v>
      </c>
      <c r="Y82" s="2"/>
      <c r="Z82" s="2"/>
      <c r="AA82" s="2">
        <f t="shared" si="17"/>
        <v>0</v>
      </c>
      <c r="AB82" s="2"/>
      <c r="AC82" s="2"/>
      <c r="AD82" s="2">
        <f t="shared" si="18"/>
        <v>0</v>
      </c>
      <c r="AE82" s="2"/>
      <c r="AF82" s="2"/>
      <c r="AG82" s="2">
        <f t="shared" si="19"/>
        <v>0</v>
      </c>
    </row>
    <row r="83" spans="1:33" x14ac:dyDescent="0.3">
      <c r="A83" t="s">
        <v>9</v>
      </c>
      <c r="B83" s="3" t="str">
        <f xml:space="preserve"> _xll.EPMOlapMemberO("[CECO].[PARENTH3].[AMSA1000AC0521]","","MIC Costa","","000")</f>
        <v>MIC Costa</v>
      </c>
      <c r="C83" t="str">
        <f xml:space="preserve"> _xll.EPMOlapMemberO("[CLACO].[PARENTH1].[AMSAREMUNERACI.SS]","","Remuneraciones Super","","000")</f>
        <v>Remuneraciones Super</v>
      </c>
      <c r="D83" s="2">
        <v>593044.36</v>
      </c>
      <c r="E83" s="2">
        <v>621886.55000000005</v>
      </c>
      <c r="F83" s="2">
        <f t="shared" si="10"/>
        <v>28842.190000000061</v>
      </c>
      <c r="G83" s="2">
        <v>664274.98</v>
      </c>
      <c r="H83" s="2">
        <v>623570.68000000005</v>
      </c>
      <c r="I83" s="2">
        <f t="shared" si="11"/>
        <v>-40704.29999999993</v>
      </c>
      <c r="J83" s="2">
        <v>560880.72</v>
      </c>
      <c r="K83" s="2">
        <v>602559.59</v>
      </c>
      <c r="L83" s="2">
        <f t="shared" si="12"/>
        <v>41678.869999999995</v>
      </c>
      <c r="M83" s="2">
        <v>489183.63</v>
      </c>
      <c r="N83" s="2">
        <v>648857.39</v>
      </c>
      <c r="O83" s="2">
        <f t="shared" si="13"/>
        <v>159673.76</v>
      </c>
      <c r="P83" s="2">
        <v>40226.400000000001</v>
      </c>
      <c r="Q83" s="2">
        <v>41342.33</v>
      </c>
      <c r="R83" s="2">
        <f t="shared" si="14"/>
        <v>1115.9300000000003</v>
      </c>
      <c r="S83" s="2">
        <v>40542.32</v>
      </c>
      <c r="T83" s="2">
        <v>44469.22</v>
      </c>
      <c r="U83" s="2">
        <f t="shared" si="15"/>
        <v>3926.9000000000015</v>
      </c>
      <c r="V83" s="2">
        <v>38295.339999999997</v>
      </c>
      <c r="W83" s="2">
        <v>41332.800000000003</v>
      </c>
      <c r="X83" s="2">
        <f t="shared" si="16"/>
        <v>3037.4600000000064</v>
      </c>
      <c r="Y83" s="2">
        <v>40645.17</v>
      </c>
      <c r="Z83" s="2">
        <v>43962.22</v>
      </c>
      <c r="AA83" s="2">
        <f t="shared" si="17"/>
        <v>3317.0500000000029</v>
      </c>
      <c r="AB83" s="2">
        <v>42793.62</v>
      </c>
      <c r="AC83" s="2">
        <v>40825.83</v>
      </c>
      <c r="AD83" s="2">
        <f t="shared" si="18"/>
        <v>-1967.7900000000009</v>
      </c>
      <c r="AE83" s="2">
        <v>202737.9</v>
      </c>
      <c r="AF83" s="2">
        <v>508868.45</v>
      </c>
      <c r="AG83" s="2">
        <f t="shared" si="19"/>
        <v>306130.55000000005</v>
      </c>
    </row>
    <row r="84" spans="1:33" x14ac:dyDescent="0.3">
      <c r="B84" s="3"/>
      <c r="C84" t="str">
        <f xml:space="preserve"> _xll.EPMOlapMemberO("[CLACO].[PARENTH1].[AMSAMAT_Y_REP.2]","","Materiales y repuest","","000")</f>
        <v>Materiales y repuest</v>
      </c>
      <c r="D84" s="2"/>
      <c r="E84" s="2"/>
      <c r="F84" s="2">
        <f t="shared" si="10"/>
        <v>0</v>
      </c>
      <c r="G84" s="2">
        <v>0</v>
      </c>
      <c r="H84" s="2"/>
      <c r="I84" s="2">
        <f t="shared" si="11"/>
        <v>0</v>
      </c>
      <c r="J84" s="2"/>
      <c r="K84" s="2"/>
      <c r="L84" s="2">
        <f t="shared" si="12"/>
        <v>0</v>
      </c>
      <c r="M84" s="2"/>
      <c r="N84" s="2"/>
      <c r="O84" s="2">
        <f t="shared" si="13"/>
        <v>0</v>
      </c>
      <c r="P84" s="2"/>
      <c r="Q84" s="2"/>
      <c r="R84" s="2">
        <f t="shared" si="14"/>
        <v>0</v>
      </c>
      <c r="S84" s="2"/>
      <c r="T84" s="2"/>
      <c r="U84" s="2">
        <f t="shared" si="15"/>
        <v>0</v>
      </c>
      <c r="V84" s="2"/>
      <c r="W84" s="2"/>
      <c r="X84" s="2">
        <f t="shared" si="16"/>
        <v>0</v>
      </c>
      <c r="Y84" s="2"/>
      <c r="Z84" s="2"/>
      <c r="AA84" s="2">
        <f t="shared" si="17"/>
        <v>0</v>
      </c>
      <c r="AB84" s="2"/>
      <c r="AC84" s="2"/>
      <c r="AD84" s="2">
        <f t="shared" si="18"/>
        <v>0</v>
      </c>
      <c r="AE84" s="2"/>
      <c r="AF84" s="2"/>
      <c r="AG84" s="2">
        <f t="shared" si="19"/>
        <v>0</v>
      </c>
    </row>
    <row r="85" spans="1:33" x14ac:dyDescent="0.3">
      <c r="B85" s="3"/>
      <c r="C85" t="str">
        <f xml:space="preserve"> _xll.EPMOlapMemberO("[CLACO].[PARENTH1].[AMSASERVICIOS]","","Servicios","","000")</f>
        <v>Servicios</v>
      </c>
      <c r="D85" s="2"/>
      <c r="E85" s="2"/>
      <c r="F85" s="2">
        <f t="shared" si="10"/>
        <v>0</v>
      </c>
      <c r="G85" s="2"/>
      <c r="H85" s="2"/>
      <c r="I85" s="2">
        <f t="shared" si="11"/>
        <v>0</v>
      </c>
      <c r="J85" s="2"/>
      <c r="K85" s="2"/>
      <c r="L85" s="2">
        <f t="shared" si="12"/>
        <v>0</v>
      </c>
      <c r="M85" s="2">
        <v>10651.6</v>
      </c>
      <c r="N85" s="2"/>
      <c r="O85" s="2">
        <f t="shared" si="13"/>
        <v>-10651.6</v>
      </c>
      <c r="P85" s="2">
        <v>-9729.75</v>
      </c>
      <c r="Q85" s="2"/>
      <c r="R85" s="2">
        <f t="shared" si="14"/>
        <v>9729.75</v>
      </c>
      <c r="S85" s="2">
        <v>5071.74</v>
      </c>
      <c r="T85" s="2"/>
      <c r="U85" s="2">
        <f t="shared" si="15"/>
        <v>-5071.74</v>
      </c>
      <c r="V85" s="2">
        <v>4845.95</v>
      </c>
      <c r="W85" s="2"/>
      <c r="X85" s="2">
        <f t="shared" si="16"/>
        <v>-4845.95</v>
      </c>
      <c r="Y85" s="2">
        <v>305.41000000000003</v>
      </c>
      <c r="Z85" s="2"/>
      <c r="AA85" s="2">
        <f t="shared" si="17"/>
        <v>-305.41000000000003</v>
      </c>
      <c r="AB85" s="2">
        <v>0</v>
      </c>
      <c r="AC85" s="2"/>
      <c r="AD85" s="2">
        <f t="shared" si="18"/>
        <v>0</v>
      </c>
      <c r="AE85" s="2">
        <v>375.43</v>
      </c>
      <c r="AF85" s="2"/>
      <c r="AG85" s="2">
        <f t="shared" si="19"/>
        <v>-375.43</v>
      </c>
    </row>
    <row r="86" spans="1:33" x14ac:dyDescent="0.3">
      <c r="B86" s="3"/>
      <c r="C86" t="str">
        <f xml:space="preserve"> _xll.EPMOlapMemberO("[CLACO].[PARENTH1].[AMSAINFORMATIC]","","Informática y Comuni","","000")</f>
        <v>Informática y Comuni</v>
      </c>
      <c r="D86" s="2">
        <v>775.14</v>
      </c>
      <c r="E86" s="2">
        <v>42159.41</v>
      </c>
      <c r="F86" s="2">
        <f t="shared" si="10"/>
        <v>41384.270000000004</v>
      </c>
      <c r="G86" s="2">
        <v>1301.32</v>
      </c>
      <c r="H86" s="2">
        <v>20515.310000000001</v>
      </c>
      <c r="I86" s="2">
        <f t="shared" si="11"/>
        <v>19213.990000000002</v>
      </c>
      <c r="J86" s="2">
        <v>7836.51</v>
      </c>
      <c r="K86" s="2">
        <v>15338.03</v>
      </c>
      <c r="L86" s="2">
        <f t="shared" si="12"/>
        <v>7501.52</v>
      </c>
      <c r="M86" s="2">
        <v>6021.01</v>
      </c>
      <c r="N86" s="2">
        <v>9327.75</v>
      </c>
      <c r="O86" s="2">
        <f t="shared" si="13"/>
        <v>3306.74</v>
      </c>
      <c r="P86" s="2">
        <v>438.34</v>
      </c>
      <c r="Q86" s="2">
        <v>1344.57</v>
      </c>
      <c r="R86" s="2">
        <f t="shared" si="14"/>
        <v>906.23</v>
      </c>
      <c r="S86" s="2">
        <v>114.47</v>
      </c>
      <c r="T86" s="2">
        <v>234.73</v>
      </c>
      <c r="U86" s="2">
        <f t="shared" si="15"/>
        <v>120.25999999999999</v>
      </c>
      <c r="V86" s="2">
        <v>113.92</v>
      </c>
      <c r="W86" s="2">
        <v>5257.11</v>
      </c>
      <c r="X86" s="2">
        <f t="shared" si="16"/>
        <v>5143.1899999999996</v>
      </c>
      <c r="Y86" s="2">
        <v>252.38</v>
      </c>
      <c r="Z86" s="2">
        <v>233.6</v>
      </c>
      <c r="AA86" s="2">
        <f t="shared" si="17"/>
        <v>-18.78</v>
      </c>
      <c r="AB86" s="2">
        <v>116.07</v>
      </c>
      <c r="AC86" s="2">
        <v>233.05</v>
      </c>
      <c r="AD86" s="2">
        <f t="shared" si="18"/>
        <v>116.98000000000002</v>
      </c>
      <c r="AE86" s="2">
        <v>1151.76</v>
      </c>
      <c r="AF86" s="2">
        <v>9306.02</v>
      </c>
      <c r="AG86" s="2">
        <f t="shared" si="19"/>
        <v>8154.26</v>
      </c>
    </row>
    <row r="87" spans="1:33" x14ac:dyDescent="0.3">
      <c r="B87" s="3"/>
      <c r="C87" t="str">
        <f xml:space="preserve"> _xll.EPMOlapMemberO("[CLACO].[PARENTH1].[AMSAG_VIAJES]","","Gastos de Viajes","","000")</f>
        <v>Gastos de Viajes</v>
      </c>
      <c r="D87" s="2"/>
      <c r="E87" s="2"/>
      <c r="F87" s="2">
        <f t="shared" si="10"/>
        <v>0</v>
      </c>
      <c r="G87" s="2">
        <v>0.46</v>
      </c>
      <c r="H87" s="2"/>
      <c r="I87" s="2">
        <f t="shared" si="11"/>
        <v>-0.46</v>
      </c>
      <c r="J87" s="2"/>
      <c r="K87" s="2"/>
      <c r="L87" s="2">
        <f t="shared" si="12"/>
        <v>0</v>
      </c>
      <c r="M87" s="2">
        <v>774.16</v>
      </c>
      <c r="N87" s="2"/>
      <c r="O87" s="2">
        <f t="shared" si="13"/>
        <v>-774.16</v>
      </c>
      <c r="P87" s="2">
        <v>-11.3</v>
      </c>
      <c r="Q87" s="2"/>
      <c r="R87" s="2">
        <f t="shared" si="14"/>
        <v>11.3</v>
      </c>
      <c r="S87" s="2">
        <v>683.61</v>
      </c>
      <c r="T87" s="2"/>
      <c r="U87" s="2">
        <f t="shared" si="15"/>
        <v>-683.61</v>
      </c>
      <c r="V87" s="2"/>
      <c r="W87" s="2"/>
      <c r="X87" s="2">
        <f t="shared" si="16"/>
        <v>0</v>
      </c>
      <c r="Y87" s="2">
        <v>194.63</v>
      </c>
      <c r="Z87" s="2"/>
      <c r="AA87" s="2">
        <f t="shared" si="17"/>
        <v>-194.63</v>
      </c>
      <c r="AB87" s="2"/>
      <c r="AC87" s="2"/>
      <c r="AD87" s="2">
        <f t="shared" si="18"/>
        <v>0</v>
      </c>
      <c r="AE87" s="2">
        <v>866.94</v>
      </c>
      <c r="AF87" s="2"/>
      <c r="AG87" s="2">
        <f t="shared" si="19"/>
        <v>-866.94</v>
      </c>
    </row>
    <row r="88" spans="1:33" x14ac:dyDescent="0.3">
      <c r="B88" s="3"/>
      <c r="C88" t="str">
        <f xml:space="preserve"> _xll.EPMOlapMemberO("[CLACO].[PARENTH1].[AMSAGGENERALES.2]","","Otros Gastos","","000")</f>
        <v>Otros Gastos</v>
      </c>
      <c r="D88" s="2">
        <v>2994.6</v>
      </c>
      <c r="E88" s="2">
        <v>5817.22</v>
      </c>
      <c r="F88" s="2">
        <f t="shared" si="10"/>
        <v>2822.6200000000003</v>
      </c>
      <c r="G88" s="2">
        <v>3251.01</v>
      </c>
      <c r="H88" s="2">
        <v>5760.38</v>
      </c>
      <c r="I88" s="2">
        <f t="shared" si="11"/>
        <v>2509.37</v>
      </c>
      <c r="J88" s="2">
        <v>1830.88</v>
      </c>
      <c r="K88" s="2">
        <v>5779.76</v>
      </c>
      <c r="L88" s="2">
        <f t="shared" si="12"/>
        <v>3948.88</v>
      </c>
      <c r="M88" s="2">
        <v>1974.55</v>
      </c>
      <c r="N88" s="2">
        <v>4494.6899999999996</v>
      </c>
      <c r="O88" s="2">
        <f t="shared" si="13"/>
        <v>2520.1399999999994</v>
      </c>
      <c r="P88" s="2">
        <v>153.80000000000001</v>
      </c>
      <c r="Q88" s="2">
        <v>302.52999999999997</v>
      </c>
      <c r="R88" s="2">
        <f t="shared" si="14"/>
        <v>148.72999999999996</v>
      </c>
      <c r="S88" s="2">
        <v>162.04</v>
      </c>
      <c r="T88" s="2">
        <v>301.95</v>
      </c>
      <c r="U88" s="2">
        <f t="shared" si="15"/>
        <v>139.91</v>
      </c>
      <c r="V88" s="2">
        <v>160.49</v>
      </c>
      <c r="W88" s="2">
        <v>635.65</v>
      </c>
      <c r="X88" s="2">
        <f t="shared" si="16"/>
        <v>475.15999999999997</v>
      </c>
      <c r="Y88" s="2">
        <v>162.31</v>
      </c>
      <c r="Z88" s="2">
        <v>300.81</v>
      </c>
      <c r="AA88" s="2">
        <f t="shared" si="17"/>
        <v>138.5</v>
      </c>
      <c r="AB88" s="2">
        <v>159.88999999999999</v>
      </c>
      <c r="AC88" s="2">
        <v>300.24</v>
      </c>
      <c r="AD88" s="2">
        <f t="shared" si="18"/>
        <v>140.35000000000002</v>
      </c>
      <c r="AE88" s="2">
        <v>800.96</v>
      </c>
      <c r="AF88" s="2">
        <v>4484.8599999999997</v>
      </c>
      <c r="AG88" s="2">
        <f t="shared" si="19"/>
        <v>3683.8999999999996</v>
      </c>
    </row>
    <row r="89" spans="1:33" x14ac:dyDescent="0.3">
      <c r="A89" t="s">
        <v>10</v>
      </c>
      <c r="B89" s="3" t="str">
        <f xml:space="preserve"> _xll.EPMOlapMemberO("[CECO].[PARENTH3].[AMSA1000AC0522]","","Gcia Téc d Min y Pro","","000")</f>
        <v>Gcia Téc d Min y Pro</v>
      </c>
      <c r="C89" t="str">
        <f xml:space="preserve"> _xll.EPMOlapMemberO("[CLACO].[PARENTH1].[AMSAREMUNERACI.SS]","","Remuneraciones Super","","000")</f>
        <v>Remuneraciones Super</v>
      </c>
      <c r="D89" s="2">
        <v>1092345.25</v>
      </c>
      <c r="E89" s="2">
        <v>1127123.24</v>
      </c>
      <c r="F89" s="2">
        <f t="shared" si="10"/>
        <v>34777.989999999991</v>
      </c>
      <c r="G89" s="2">
        <v>1411128.04</v>
      </c>
      <c r="H89" s="2">
        <v>1378903.82</v>
      </c>
      <c r="I89" s="2">
        <f t="shared" si="11"/>
        <v>-32224.219999999972</v>
      </c>
      <c r="J89" s="2">
        <v>0</v>
      </c>
      <c r="K89" s="2"/>
      <c r="L89" s="2">
        <f t="shared" si="12"/>
        <v>0</v>
      </c>
      <c r="M89" s="2"/>
      <c r="N89" s="2"/>
      <c r="O89" s="2">
        <f t="shared" si="13"/>
        <v>0</v>
      </c>
      <c r="P89" s="2"/>
      <c r="Q89" s="2"/>
      <c r="R89" s="2">
        <f t="shared" si="14"/>
        <v>0</v>
      </c>
      <c r="S89" s="2"/>
      <c r="T89" s="2"/>
      <c r="U89" s="2">
        <f t="shared" si="15"/>
        <v>0</v>
      </c>
      <c r="V89" s="2"/>
      <c r="W89" s="2"/>
      <c r="X89" s="2">
        <f t="shared" si="16"/>
        <v>0</v>
      </c>
      <c r="Y89" s="2"/>
      <c r="Z89" s="2"/>
      <c r="AA89" s="2">
        <f t="shared" si="17"/>
        <v>0</v>
      </c>
      <c r="AB89" s="2"/>
      <c r="AC89" s="2"/>
      <c r="AD89" s="2">
        <f t="shared" si="18"/>
        <v>0</v>
      </c>
      <c r="AE89" s="2"/>
      <c r="AF89" s="2"/>
      <c r="AG89" s="2">
        <f t="shared" si="19"/>
        <v>0</v>
      </c>
    </row>
    <row r="90" spans="1:33" x14ac:dyDescent="0.3">
      <c r="B90" s="3"/>
      <c r="C90" t="str">
        <f xml:space="preserve"> _xll.EPMOlapMemberO("[CLACO].[PARENTH1].[AMSAMAT_Y_REP.2]","","Materiales y repuest","","000")</f>
        <v>Materiales y repuest</v>
      </c>
      <c r="D90" s="2"/>
      <c r="E90" s="2"/>
      <c r="F90" s="2">
        <f t="shared" si="10"/>
        <v>0</v>
      </c>
      <c r="G90" s="2">
        <v>0</v>
      </c>
      <c r="H90" s="2"/>
      <c r="I90" s="2">
        <f t="shared" si="11"/>
        <v>0</v>
      </c>
      <c r="J90" s="2"/>
      <c r="K90" s="2"/>
      <c r="L90" s="2">
        <f t="shared" si="12"/>
        <v>0</v>
      </c>
      <c r="M90" s="2"/>
      <c r="N90" s="2"/>
      <c r="O90" s="2">
        <f t="shared" si="13"/>
        <v>0</v>
      </c>
      <c r="P90" s="2"/>
      <c r="Q90" s="2"/>
      <c r="R90" s="2">
        <f t="shared" si="14"/>
        <v>0</v>
      </c>
      <c r="S90" s="2"/>
      <c r="T90" s="2"/>
      <c r="U90" s="2">
        <f t="shared" si="15"/>
        <v>0</v>
      </c>
      <c r="V90" s="2"/>
      <c r="W90" s="2"/>
      <c r="X90" s="2">
        <f t="shared" si="16"/>
        <v>0</v>
      </c>
      <c r="Y90" s="2"/>
      <c r="Z90" s="2"/>
      <c r="AA90" s="2">
        <f t="shared" si="17"/>
        <v>0</v>
      </c>
      <c r="AB90" s="2"/>
      <c r="AC90" s="2"/>
      <c r="AD90" s="2">
        <f t="shared" si="18"/>
        <v>0</v>
      </c>
      <c r="AE90" s="2"/>
      <c r="AF90" s="2"/>
      <c r="AG90" s="2">
        <f t="shared" si="19"/>
        <v>0</v>
      </c>
    </row>
    <row r="91" spans="1:33" x14ac:dyDescent="0.3">
      <c r="B91" s="3"/>
      <c r="C91" t="str">
        <f xml:space="preserve"> _xll.EPMOlapMemberO("[CLACO].[PARENTH1].[AMSAENTRENAMI]","","Entrenamiento","","000")</f>
        <v>Entrenamiento</v>
      </c>
      <c r="D91" s="2">
        <v>5910.8</v>
      </c>
      <c r="E91" s="2">
        <v>9550.4699999999993</v>
      </c>
      <c r="F91" s="2">
        <f t="shared" si="10"/>
        <v>3639.6699999999992</v>
      </c>
      <c r="G91" s="2">
        <v>26818.13</v>
      </c>
      <c r="H91" s="2">
        <v>25499.97</v>
      </c>
      <c r="I91" s="2">
        <f t="shared" si="11"/>
        <v>-1318.1599999999999</v>
      </c>
      <c r="J91" s="2"/>
      <c r="K91" s="2"/>
      <c r="L91" s="2">
        <f t="shared" si="12"/>
        <v>0</v>
      </c>
      <c r="M91" s="2"/>
      <c r="N91" s="2"/>
      <c r="O91" s="2">
        <f t="shared" si="13"/>
        <v>0</v>
      </c>
      <c r="P91" s="2"/>
      <c r="Q91" s="2"/>
      <c r="R91" s="2">
        <f t="shared" si="14"/>
        <v>0</v>
      </c>
      <c r="S91" s="2"/>
      <c r="T91" s="2"/>
      <c r="U91" s="2">
        <f t="shared" si="15"/>
        <v>0</v>
      </c>
      <c r="V91" s="2"/>
      <c r="W91" s="2"/>
      <c r="X91" s="2">
        <f t="shared" si="16"/>
        <v>0</v>
      </c>
      <c r="Y91" s="2"/>
      <c r="Z91" s="2"/>
      <c r="AA91" s="2">
        <f t="shared" si="17"/>
        <v>0</v>
      </c>
      <c r="AB91" s="2"/>
      <c r="AC91" s="2"/>
      <c r="AD91" s="2">
        <f t="shared" si="18"/>
        <v>0</v>
      </c>
      <c r="AE91" s="2"/>
      <c r="AF91" s="2"/>
      <c r="AG91" s="2">
        <f t="shared" si="19"/>
        <v>0</v>
      </c>
    </row>
    <row r="92" spans="1:33" x14ac:dyDescent="0.3">
      <c r="B92" s="3"/>
      <c r="C92" t="str">
        <f xml:space="preserve"> _xll.EPMOlapMemberO("[CLACO].[PARENTH1].[AMSAASESORIAS]","","Asesorías y Consulto","","000")</f>
        <v>Asesorías y Consulto</v>
      </c>
      <c r="D92" s="2">
        <v>415663.42</v>
      </c>
      <c r="E92" s="2">
        <v>361348.26</v>
      </c>
      <c r="F92" s="2">
        <f t="shared" si="10"/>
        <v>-54315.159999999974</v>
      </c>
      <c r="G92" s="2">
        <v>460805.71</v>
      </c>
      <c r="H92" s="2">
        <v>430000.01</v>
      </c>
      <c r="I92" s="2">
        <f t="shared" si="11"/>
        <v>-30805.700000000012</v>
      </c>
      <c r="J92" s="2">
        <v>18041.560000000001</v>
      </c>
      <c r="K92" s="2"/>
      <c r="L92" s="2">
        <f t="shared" si="12"/>
        <v>-18041.560000000001</v>
      </c>
      <c r="M92" s="2"/>
      <c r="N92" s="2"/>
      <c r="O92" s="2">
        <f t="shared" si="13"/>
        <v>0</v>
      </c>
      <c r="P92" s="2"/>
      <c r="Q92" s="2"/>
      <c r="R92" s="2">
        <f t="shared" si="14"/>
        <v>0</v>
      </c>
      <c r="S92" s="2"/>
      <c r="T92" s="2"/>
      <c r="U92" s="2">
        <f t="shared" si="15"/>
        <v>0</v>
      </c>
      <c r="V92" s="2"/>
      <c r="W92" s="2"/>
      <c r="X92" s="2">
        <f t="shared" si="16"/>
        <v>0</v>
      </c>
      <c r="Y92" s="2"/>
      <c r="Z92" s="2"/>
      <c r="AA92" s="2">
        <f t="shared" si="17"/>
        <v>0</v>
      </c>
      <c r="AB92" s="2"/>
      <c r="AC92" s="2"/>
      <c r="AD92" s="2">
        <f t="shared" si="18"/>
        <v>0</v>
      </c>
      <c r="AE92" s="2"/>
      <c r="AF92" s="2"/>
      <c r="AG92" s="2">
        <f t="shared" si="19"/>
        <v>0</v>
      </c>
    </row>
    <row r="93" spans="1:33" x14ac:dyDescent="0.3">
      <c r="B93" s="3"/>
      <c r="C93" t="str">
        <f xml:space="preserve"> _xll.EPMOlapMemberO("[CLACO].[PARENTH1].[AMSASERVICIOS]","","Servicios","","000")</f>
        <v>Servicios</v>
      </c>
      <c r="D93" s="2"/>
      <c r="E93" s="2"/>
      <c r="F93" s="2">
        <f t="shared" si="10"/>
        <v>0</v>
      </c>
      <c r="G93" s="2">
        <v>2736.43</v>
      </c>
      <c r="H93" s="2"/>
      <c r="I93" s="2">
        <f t="shared" si="11"/>
        <v>-2736.43</v>
      </c>
      <c r="J93" s="2">
        <v>27144.41</v>
      </c>
      <c r="K93" s="2"/>
      <c r="L93" s="2">
        <f t="shared" si="12"/>
        <v>-27144.41</v>
      </c>
      <c r="M93" s="2">
        <v>848.94</v>
      </c>
      <c r="N93" s="2"/>
      <c r="O93" s="2">
        <f t="shared" si="13"/>
        <v>-848.94</v>
      </c>
      <c r="P93" s="2"/>
      <c r="Q93" s="2"/>
      <c r="R93" s="2">
        <f t="shared" si="14"/>
        <v>0</v>
      </c>
      <c r="S93" s="2"/>
      <c r="T93" s="2"/>
      <c r="U93" s="2">
        <f t="shared" si="15"/>
        <v>0</v>
      </c>
      <c r="V93" s="2"/>
      <c r="W93" s="2"/>
      <c r="X93" s="2">
        <f t="shared" si="16"/>
        <v>0</v>
      </c>
      <c r="Y93" s="2"/>
      <c r="Z93" s="2"/>
      <c r="AA93" s="2">
        <f t="shared" si="17"/>
        <v>0</v>
      </c>
      <c r="AB93" s="2"/>
      <c r="AC93" s="2"/>
      <c r="AD93" s="2">
        <f t="shared" si="18"/>
        <v>0</v>
      </c>
      <c r="AE93" s="2"/>
      <c r="AF93" s="2"/>
      <c r="AG93" s="2">
        <f t="shared" si="19"/>
        <v>0</v>
      </c>
    </row>
    <row r="94" spans="1:33" x14ac:dyDescent="0.3">
      <c r="B94" s="3"/>
      <c r="C94" t="str">
        <f xml:space="preserve"> _xll.EPMOlapMemberO("[CLACO].[PARENTH1].[AMSASERMANTO.REPA]","","Servicios Mantenimie","","000")</f>
        <v>Servicios Mantenimie</v>
      </c>
      <c r="D94" s="2"/>
      <c r="E94" s="2"/>
      <c r="F94" s="2">
        <f t="shared" si="10"/>
        <v>0</v>
      </c>
      <c r="G94" s="2">
        <v>1119.06</v>
      </c>
      <c r="H94" s="2"/>
      <c r="I94" s="2">
        <f t="shared" si="11"/>
        <v>-1119.06</v>
      </c>
      <c r="J94" s="2"/>
      <c r="K94" s="2"/>
      <c r="L94" s="2">
        <f t="shared" si="12"/>
        <v>0</v>
      </c>
      <c r="M94" s="2"/>
      <c r="N94" s="2"/>
      <c r="O94" s="2">
        <f t="shared" si="13"/>
        <v>0</v>
      </c>
      <c r="P94" s="2"/>
      <c r="Q94" s="2"/>
      <c r="R94" s="2">
        <f t="shared" si="14"/>
        <v>0</v>
      </c>
      <c r="S94" s="2"/>
      <c r="T94" s="2"/>
      <c r="U94" s="2">
        <f t="shared" si="15"/>
        <v>0</v>
      </c>
      <c r="V94" s="2"/>
      <c r="W94" s="2"/>
      <c r="X94" s="2">
        <f t="shared" si="16"/>
        <v>0</v>
      </c>
      <c r="Y94" s="2"/>
      <c r="Z94" s="2"/>
      <c r="AA94" s="2">
        <f t="shared" si="17"/>
        <v>0</v>
      </c>
      <c r="AB94" s="2"/>
      <c r="AC94" s="2"/>
      <c r="AD94" s="2">
        <f t="shared" si="18"/>
        <v>0</v>
      </c>
      <c r="AE94" s="2"/>
      <c r="AF94" s="2"/>
      <c r="AG94" s="2">
        <f t="shared" si="19"/>
        <v>0</v>
      </c>
    </row>
    <row r="95" spans="1:33" x14ac:dyDescent="0.3">
      <c r="B95" s="3"/>
      <c r="C95" t="str">
        <f xml:space="preserve"> _xll.EPMOlapMemberO("[CLACO].[PARENTH1].[AMSAINFORMATIC]","","Informática y Comuni","","000")</f>
        <v>Informática y Comuni</v>
      </c>
      <c r="D95" s="2">
        <v>37604.68</v>
      </c>
      <c r="E95" s="2">
        <v>54871.45</v>
      </c>
      <c r="F95" s="2">
        <f t="shared" si="10"/>
        <v>17266.769999999997</v>
      </c>
      <c r="G95" s="2">
        <v>125662.96</v>
      </c>
      <c r="H95" s="2">
        <v>53200.08</v>
      </c>
      <c r="I95" s="2">
        <f t="shared" si="11"/>
        <v>-72462.880000000005</v>
      </c>
      <c r="J95" s="2">
        <v>42973.74</v>
      </c>
      <c r="K95" s="2"/>
      <c r="L95" s="2">
        <f t="shared" si="12"/>
        <v>-42973.74</v>
      </c>
      <c r="M95" s="2">
        <v>-13485.83</v>
      </c>
      <c r="N95" s="2"/>
      <c r="O95" s="2">
        <f t="shared" si="13"/>
        <v>13485.83</v>
      </c>
      <c r="P95" s="2"/>
      <c r="Q95" s="2"/>
      <c r="R95" s="2">
        <f t="shared" si="14"/>
        <v>0</v>
      </c>
      <c r="S95" s="2">
        <v>68.8</v>
      </c>
      <c r="T95" s="2"/>
      <c r="U95" s="2">
        <f t="shared" si="15"/>
        <v>-68.8</v>
      </c>
      <c r="V95" s="2">
        <v>389.95</v>
      </c>
      <c r="W95" s="2"/>
      <c r="X95" s="2">
        <f t="shared" si="16"/>
        <v>-389.95</v>
      </c>
      <c r="Y95" s="2">
        <v>81.239999999999995</v>
      </c>
      <c r="Z95" s="2"/>
      <c r="AA95" s="2">
        <f t="shared" si="17"/>
        <v>-81.239999999999995</v>
      </c>
      <c r="AB95" s="2">
        <v>77.38</v>
      </c>
      <c r="AC95" s="2"/>
      <c r="AD95" s="2">
        <f t="shared" si="18"/>
        <v>-77.38</v>
      </c>
      <c r="AE95" s="2">
        <v>656.23</v>
      </c>
      <c r="AF95" s="2"/>
      <c r="AG95" s="2">
        <f t="shared" si="19"/>
        <v>-656.23</v>
      </c>
    </row>
    <row r="96" spans="1:33" x14ac:dyDescent="0.3">
      <c r="B96" s="3"/>
      <c r="C96" t="str">
        <f xml:space="preserve"> _xll.EPMOlapMemberO("[CLACO].[PARENTH1].[AMSAG_VIAJES]","","Gastos de Viajes","","000")</f>
        <v>Gastos de Viajes</v>
      </c>
      <c r="D96" s="2">
        <v>55167.49</v>
      </c>
      <c r="E96" s="2">
        <v>80918.52</v>
      </c>
      <c r="F96" s="2">
        <f t="shared" si="10"/>
        <v>25751.030000000006</v>
      </c>
      <c r="G96" s="2">
        <v>43688.23</v>
      </c>
      <c r="H96" s="2">
        <v>84708.24</v>
      </c>
      <c r="I96" s="2">
        <f t="shared" si="11"/>
        <v>41020.01</v>
      </c>
      <c r="J96" s="2">
        <v>8596.93</v>
      </c>
      <c r="K96" s="2"/>
      <c r="L96" s="2">
        <f t="shared" si="12"/>
        <v>-8596.93</v>
      </c>
      <c r="M96" s="2"/>
      <c r="N96" s="2"/>
      <c r="O96" s="2">
        <f t="shared" si="13"/>
        <v>0</v>
      </c>
      <c r="P96" s="2"/>
      <c r="Q96" s="2"/>
      <c r="R96" s="2">
        <f t="shared" si="14"/>
        <v>0</v>
      </c>
      <c r="S96" s="2"/>
      <c r="T96" s="2"/>
      <c r="U96" s="2">
        <f t="shared" si="15"/>
        <v>0</v>
      </c>
      <c r="V96" s="2"/>
      <c r="W96" s="2"/>
      <c r="X96" s="2">
        <f t="shared" si="16"/>
        <v>0</v>
      </c>
      <c r="Y96" s="2"/>
      <c r="Z96" s="2"/>
      <c r="AA96" s="2">
        <f t="shared" si="17"/>
        <v>0</v>
      </c>
      <c r="AB96" s="2"/>
      <c r="AC96" s="2"/>
      <c r="AD96" s="2">
        <f t="shared" si="18"/>
        <v>0</v>
      </c>
      <c r="AE96" s="2"/>
      <c r="AF96" s="2"/>
      <c r="AG96" s="2">
        <f t="shared" si="19"/>
        <v>0</v>
      </c>
    </row>
    <row r="97" spans="1:33" x14ac:dyDescent="0.3">
      <c r="B97" s="3"/>
      <c r="C97" t="str">
        <f xml:space="preserve"> _xll.EPMOlapMemberO("[CLACO].[PARENTH1].[AMSAGGENERALES.2]","","Otros Gastos","","000")</f>
        <v>Otros Gastos</v>
      </c>
      <c r="D97" s="2">
        <v>2957.17</v>
      </c>
      <c r="E97" s="2">
        <v>3294.32</v>
      </c>
      <c r="F97" s="2">
        <f t="shared" si="10"/>
        <v>337.15000000000009</v>
      </c>
      <c r="G97" s="2">
        <v>2842.87</v>
      </c>
      <c r="H97" s="2">
        <v>3500.01</v>
      </c>
      <c r="I97" s="2">
        <f t="shared" si="11"/>
        <v>657.14000000000033</v>
      </c>
      <c r="J97" s="2">
        <v>619.13</v>
      </c>
      <c r="K97" s="2"/>
      <c r="L97" s="2">
        <f t="shared" si="12"/>
        <v>-619.13</v>
      </c>
      <c r="M97" s="2">
        <v>91.76</v>
      </c>
      <c r="N97" s="2"/>
      <c r="O97" s="2">
        <f t="shared" si="13"/>
        <v>-91.76</v>
      </c>
      <c r="P97" s="2">
        <v>14.03</v>
      </c>
      <c r="Q97" s="2"/>
      <c r="R97" s="2">
        <f t="shared" si="14"/>
        <v>-14.03</v>
      </c>
      <c r="S97" s="2">
        <v>0.65</v>
      </c>
      <c r="T97" s="2"/>
      <c r="U97" s="2">
        <f t="shared" si="15"/>
        <v>-0.65</v>
      </c>
      <c r="V97" s="2"/>
      <c r="W97" s="2"/>
      <c r="X97" s="2">
        <f t="shared" si="16"/>
        <v>0</v>
      </c>
      <c r="Y97" s="2">
        <v>0.46</v>
      </c>
      <c r="Z97" s="2"/>
      <c r="AA97" s="2">
        <f t="shared" si="17"/>
        <v>-0.46</v>
      </c>
      <c r="AB97" s="2">
        <v>1.53</v>
      </c>
      <c r="AC97" s="2"/>
      <c r="AD97" s="2">
        <f t="shared" si="18"/>
        <v>-1.53</v>
      </c>
      <c r="AE97" s="2">
        <v>16.88</v>
      </c>
      <c r="AF97" s="2"/>
      <c r="AG97" s="2">
        <f t="shared" si="19"/>
        <v>-16.88</v>
      </c>
    </row>
    <row r="98" spans="1:33" x14ac:dyDescent="0.3">
      <c r="A98" t="s">
        <v>11</v>
      </c>
      <c r="B98" s="3" t="str">
        <f xml:space="preserve"> _xll.EPMOlapMemberO("[CECO].[PARENTH3].[AMSA1000AC0525]","","Gerencia Relaves","","000")</f>
        <v>Gerencia Relaves</v>
      </c>
      <c r="C98" t="str">
        <f xml:space="preserve"> _xll.EPMOlapMemberO("[CLACO].[PARENTH1].[AMSAREMUNERACI.SS]","","Remuneraciones Super","","000")</f>
        <v>Remuneraciones Super</v>
      </c>
      <c r="D98" s="2">
        <v>703682.92</v>
      </c>
      <c r="E98" s="2">
        <v>688530.36</v>
      </c>
      <c r="F98" s="2">
        <f t="shared" si="10"/>
        <v>-15152.560000000056</v>
      </c>
      <c r="G98" s="2">
        <v>950194.85</v>
      </c>
      <c r="H98" s="2">
        <v>886256.68</v>
      </c>
      <c r="I98" s="2">
        <f t="shared" si="11"/>
        <v>-63938.169999999925</v>
      </c>
      <c r="J98" s="2">
        <v>508830.26</v>
      </c>
      <c r="K98" s="2">
        <v>1093855.8500000001</v>
      </c>
      <c r="L98" s="2">
        <f t="shared" si="12"/>
        <v>585025.59000000008</v>
      </c>
      <c r="M98" s="2">
        <v>736740.42</v>
      </c>
      <c r="N98" s="2">
        <v>1064388.3</v>
      </c>
      <c r="O98" s="2">
        <f t="shared" si="13"/>
        <v>327647.88</v>
      </c>
      <c r="P98" s="2">
        <v>64847.19</v>
      </c>
      <c r="Q98" s="2">
        <v>64291.63</v>
      </c>
      <c r="R98" s="2">
        <f t="shared" si="14"/>
        <v>-555.56000000000495</v>
      </c>
      <c r="S98" s="2">
        <v>74819.37</v>
      </c>
      <c r="T98" s="2">
        <v>67243.98</v>
      </c>
      <c r="U98" s="2">
        <f t="shared" si="15"/>
        <v>-7575.3899999999994</v>
      </c>
      <c r="V98" s="2">
        <v>67042.399999999994</v>
      </c>
      <c r="W98" s="2">
        <v>63891.73</v>
      </c>
      <c r="X98" s="2">
        <f t="shared" si="16"/>
        <v>-3150.669999999991</v>
      </c>
      <c r="Y98" s="2">
        <v>63154.44</v>
      </c>
      <c r="Z98" s="2">
        <v>65620.460000000006</v>
      </c>
      <c r="AA98" s="2">
        <f t="shared" si="17"/>
        <v>2466.0200000000041</v>
      </c>
      <c r="AB98" s="2">
        <v>53192.160000000003</v>
      </c>
      <c r="AC98" s="2">
        <v>63462.47</v>
      </c>
      <c r="AD98" s="2">
        <f t="shared" si="18"/>
        <v>10270.309999999998</v>
      </c>
      <c r="AE98" s="2">
        <v>323685.99</v>
      </c>
      <c r="AF98" s="2">
        <v>807534.82</v>
      </c>
      <c r="AG98" s="2">
        <f t="shared" si="19"/>
        <v>483848.82999999996</v>
      </c>
    </row>
    <row r="99" spans="1:33" x14ac:dyDescent="0.3">
      <c r="B99" s="3"/>
      <c r="C99" t="str">
        <f xml:space="preserve"> _xll.EPMOlapMemberO("[CLACO].[PARENTH1].[AMSAMAT_Y_REP.2]","","Materiales y repuest","","000")</f>
        <v>Materiales y repuest</v>
      </c>
      <c r="D99" s="2"/>
      <c r="E99" s="2"/>
      <c r="F99" s="2">
        <f t="shared" si="10"/>
        <v>0</v>
      </c>
      <c r="G99" s="2">
        <v>0</v>
      </c>
      <c r="H99" s="2"/>
      <c r="I99" s="2">
        <f t="shared" si="11"/>
        <v>0</v>
      </c>
      <c r="J99" s="2"/>
      <c r="K99" s="2"/>
      <c r="L99" s="2">
        <f t="shared" si="12"/>
        <v>0</v>
      </c>
      <c r="M99" s="2"/>
      <c r="N99" s="2"/>
      <c r="O99" s="2">
        <f t="shared" si="13"/>
        <v>0</v>
      </c>
      <c r="P99" s="2"/>
      <c r="Q99" s="2"/>
      <c r="R99" s="2">
        <f t="shared" si="14"/>
        <v>0</v>
      </c>
      <c r="S99" s="2">
        <v>125.6</v>
      </c>
      <c r="T99" s="2"/>
      <c r="U99" s="2">
        <f t="shared" si="15"/>
        <v>-125.6</v>
      </c>
      <c r="V99" s="2"/>
      <c r="W99" s="2"/>
      <c r="X99" s="2">
        <f t="shared" si="16"/>
        <v>0</v>
      </c>
      <c r="Y99" s="2"/>
      <c r="Z99" s="2"/>
      <c r="AA99" s="2">
        <f t="shared" si="17"/>
        <v>0</v>
      </c>
      <c r="AB99" s="2"/>
      <c r="AC99" s="2"/>
      <c r="AD99" s="2">
        <f t="shared" si="18"/>
        <v>0</v>
      </c>
      <c r="AE99" s="2">
        <v>125.6</v>
      </c>
      <c r="AF99" s="2"/>
      <c r="AG99" s="2">
        <f t="shared" si="19"/>
        <v>-125.6</v>
      </c>
    </row>
    <row r="100" spans="1:33" x14ac:dyDescent="0.3">
      <c r="B100" s="3"/>
      <c r="C100" t="str">
        <f xml:space="preserve"> _xll.EPMOlapMemberO("[CLACO].[PARENTH1].[AMSAADM_PERSON]","","Administración Perso","","000")</f>
        <v>Administración Perso</v>
      </c>
      <c r="D100" s="2"/>
      <c r="E100" s="2"/>
      <c r="F100" s="2">
        <f t="shared" si="10"/>
        <v>0</v>
      </c>
      <c r="G100" s="2"/>
      <c r="H100" s="2"/>
      <c r="I100" s="2">
        <f t="shared" si="11"/>
        <v>0</v>
      </c>
      <c r="J100" s="2"/>
      <c r="K100" s="2"/>
      <c r="L100" s="2">
        <f t="shared" si="12"/>
        <v>0</v>
      </c>
      <c r="M100" s="2">
        <v>0</v>
      </c>
      <c r="N100" s="2"/>
      <c r="O100" s="2">
        <f t="shared" si="13"/>
        <v>0</v>
      </c>
      <c r="P100" s="2"/>
      <c r="Q100" s="2"/>
      <c r="R100" s="2">
        <f t="shared" si="14"/>
        <v>0</v>
      </c>
      <c r="S100" s="2"/>
      <c r="T100" s="2"/>
      <c r="U100" s="2">
        <f t="shared" si="15"/>
        <v>0</v>
      </c>
      <c r="V100" s="2"/>
      <c r="W100" s="2"/>
      <c r="X100" s="2">
        <f t="shared" si="16"/>
        <v>0</v>
      </c>
      <c r="Y100" s="2"/>
      <c r="Z100" s="2"/>
      <c r="AA100" s="2">
        <f t="shared" si="17"/>
        <v>0</v>
      </c>
      <c r="AB100" s="2"/>
      <c r="AC100" s="2"/>
      <c r="AD100" s="2">
        <f t="shared" si="18"/>
        <v>0</v>
      </c>
      <c r="AE100" s="2"/>
      <c r="AF100" s="2"/>
      <c r="AG100" s="2">
        <f t="shared" si="19"/>
        <v>0</v>
      </c>
    </row>
    <row r="101" spans="1:33" x14ac:dyDescent="0.3">
      <c r="B101" s="3"/>
      <c r="C101" t="str">
        <f xml:space="preserve"> _xll.EPMOlapMemberO("[CLACO].[PARENTH1].[AMSAENTRENAMI]","","Entrenamiento","","000")</f>
        <v>Entrenamiento</v>
      </c>
      <c r="D101" s="2">
        <v>11948.41</v>
      </c>
      <c r="E101" s="2">
        <v>38862.51</v>
      </c>
      <c r="F101" s="2">
        <f t="shared" si="10"/>
        <v>26914.100000000002</v>
      </c>
      <c r="G101" s="2">
        <v>1243.6199999999999</v>
      </c>
      <c r="H101" s="2">
        <v>32799.980000000003</v>
      </c>
      <c r="I101" s="2">
        <f t="shared" si="11"/>
        <v>31556.360000000004</v>
      </c>
      <c r="J101" s="2">
        <v>2229.9</v>
      </c>
      <c r="K101" s="2">
        <v>8000</v>
      </c>
      <c r="L101" s="2">
        <f t="shared" si="12"/>
        <v>5770.1</v>
      </c>
      <c r="M101" s="2">
        <v>10850.13</v>
      </c>
      <c r="N101" s="2"/>
      <c r="O101" s="2">
        <f t="shared" si="13"/>
        <v>-10850.13</v>
      </c>
      <c r="P101" s="2"/>
      <c r="Q101" s="2">
        <v>3289.42</v>
      </c>
      <c r="R101" s="2">
        <f t="shared" si="14"/>
        <v>3289.42</v>
      </c>
      <c r="S101" s="2"/>
      <c r="T101" s="2">
        <v>299.16000000000003</v>
      </c>
      <c r="U101" s="2">
        <f t="shared" si="15"/>
        <v>299.16000000000003</v>
      </c>
      <c r="V101" s="2"/>
      <c r="W101" s="2">
        <v>299.27999999999997</v>
      </c>
      <c r="X101" s="2">
        <f t="shared" si="16"/>
        <v>299.27999999999997</v>
      </c>
      <c r="Y101" s="2"/>
      <c r="Z101" s="2">
        <v>299.42</v>
      </c>
      <c r="AA101" s="2">
        <f t="shared" si="17"/>
        <v>299.42</v>
      </c>
      <c r="AB101" s="2"/>
      <c r="AC101" s="2">
        <v>299.54000000000002</v>
      </c>
      <c r="AD101" s="2">
        <f t="shared" si="18"/>
        <v>299.54000000000002</v>
      </c>
      <c r="AE101" s="2"/>
      <c r="AF101" s="2">
        <v>16226.93</v>
      </c>
      <c r="AG101" s="2">
        <f t="shared" si="19"/>
        <v>16226.93</v>
      </c>
    </row>
    <row r="102" spans="1:33" x14ac:dyDescent="0.3">
      <c r="B102" s="3"/>
      <c r="C102" t="str">
        <f xml:space="preserve"> _xll.EPMOlapMemberO("[CLACO].[PARENTH1].[AMSAASESORIAS]","","Asesorías y Consulto","","000")</f>
        <v>Asesorías y Consulto</v>
      </c>
      <c r="D102" s="2">
        <v>17118.89</v>
      </c>
      <c r="E102" s="2">
        <v>25737.08</v>
      </c>
      <c r="F102" s="2">
        <f t="shared" si="10"/>
        <v>8618.1900000000023</v>
      </c>
      <c r="G102" s="2">
        <v>14305.78</v>
      </c>
      <c r="H102" s="2">
        <v>9999.98</v>
      </c>
      <c r="I102" s="2">
        <f t="shared" si="11"/>
        <v>-4305.8000000000011</v>
      </c>
      <c r="J102" s="2">
        <v>67201.820000000007</v>
      </c>
      <c r="K102" s="2"/>
      <c r="L102" s="2">
        <f t="shared" si="12"/>
        <v>-67201.820000000007</v>
      </c>
      <c r="M102" s="2">
        <v>395.7</v>
      </c>
      <c r="N102" s="2"/>
      <c r="O102" s="2">
        <f t="shared" si="13"/>
        <v>-395.7</v>
      </c>
      <c r="P102" s="2"/>
      <c r="Q102" s="2"/>
      <c r="R102" s="2">
        <f t="shared" si="14"/>
        <v>0</v>
      </c>
      <c r="S102" s="2"/>
      <c r="T102" s="2"/>
      <c r="U102" s="2">
        <f t="shared" si="15"/>
        <v>0</v>
      </c>
      <c r="V102" s="2">
        <v>-84.66</v>
      </c>
      <c r="W102" s="2"/>
      <c r="X102" s="2">
        <f t="shared" si="16"/>
        <v>84.66</v>
      </c>
      <c r="Y102" s="2">
        <v>0.43</v>
      </c>
      <c r="Z102" s="2"/>
      <c r="AA102" s="2">
        <f t="shared" si="17"/>
        <v>-0.43</v>
      </c>
      <c r="AB102" s="2">
        <v>1262.0899999999999</v>
      </c>
      <c r="AC102" s="2"/>
      <c r="AD102" s="2">
        <f t="shared" si="18"/>
        <v>-1262.0899999999999</v>
      </c>
      <c r="AE102" s="2">
        <v>2626.54</v>
      </c>
      <c r="AF102" s="2"/>
      <c r="AG102" s="2">
        <f t="shared" si="19"/>
        <v>-2626.54</v>
      </c>
    </row>
    <row r="103" spans="1:33" x14ac:dyDescent="0.3">
      <c r="B103" s="3"/>
      <c r="C103" t="str">
        <f xml:space="preserve"> _xll.EPMOlapMemberO("[CLACO].[PARENTH1].[AMSAARRIENDOS]","","Arriendos","","000")</f>
        <v>Arriendos</v>
      </c>
      <c r="D103" s="2"/>
      <c r="E103" s="2"/>
      <c r="F103" s="2">
        <f t="shared" si="10"/>
        <v>0</v>
      </c>
      <c r="G103" s="2"/>
      <c r="H103" s="2"/>
      <c r="I103" s="2">
        <f t="shared" si="11"/>
        <v>0</v>
      </c>
      <c r="J103" s="2"/>
      <c r="K103" s="2"/>
      <c r="L103" s="2">
        <f t="shared" si="12"/>
        <v>0</v>
      </c>
      <c r="M103" s="2">
        <v>821.64</v>
      </c>
      <c r="N103" s="2"/>
      <c r="O103" s="2">
        <f t="shared" si="13"/>
        <v>-821.64</v>
      </c>
      <c r="P103" s="2"/>
      <c r="Q103" s="2"/>
      <c r="R103" s="2">
        <f t="shared" si="14"/>
        <v>0</v>
      </c>
      <c r="S103" s="2"/>
      <c r="T103" s="2"/>
      <c r="U103" s="2">
        <f t="shared" si="15"/>
        <v>0</v>
      </c>
      <c r="V103" s="2"/>
      <c r="W103" s="2"/>
      <c r="X103" s="2">
        <f t="shared" si="16"/>
        <v>0</v>
      </c>
      <c r="Y103" s="2"/>
      <c r="Z103" s="2"/>
      <c r="AA103" s="2">
        <f t="shared" si="17"/>
        <v>0</v>
      </c>
      <c r="AB103" s="2"/>
      <c r="AC103" s="2"/>
      <c r="AD103" s="2">
        <f t="shared" si="18"/>
        <v>0</v>
      </c>
      <c r="AE103" s="2"/>
      <c r="AF103" s="2"/>
      <c r="AG103" s="2">
        <f t="shared" si="19"/>
        <v>0</v>
      </c>
    </row>
    <row r="104" spans="1:33" x14ac:dyDescent="0.3">
      <c r="B104" s="3"/>
      <c r="C104" t="str">
        <f xml:space="preserve"> _xll.EPMOlapMemberO("[CLACO].[PARENTH1].[AMSASERVICIOS]","","Servicios","","000")</f>
        <v>Servicios</v>
      </c>
      <c r="D104" s="2"/>
      <c r="E104" s="2"/>
      <c r="F104" s="2">
        <f t="shared" si="10"/>
        <v>0</v>
      </c>
      <c r="G104" s="2"/>
      <c r="H104" s="2"/>
      <c r="I104" s="2">
        <f t="shared" si="11"/>
        <v>0</v>
      </c>
      <c r="J104" s="2">
        <v>149.88999999999999</v>
      </c>
      <c r="K104" s="2"/>
      <c r="L104" s="2">
        <f t="shared" si="12"/>
        <v>-149.88999999999999</v>
      </c>
      <c r="M104" s="2">
        <v>6785.9</v>
      </c>
      <c r="N104" s="2"/>
      <c r="O104" s="2">
        <f t="shared" si="13"/>
        <v>-6785.9</v>
      </c>
      <c r="P104" s="2">
        <v>88.56</v>
      </c>
      <c r="Q104" s="2"/>
      <c r="R104" s="2">
        <f t="shared" si="14"/>
        <v>-88.56</v>
      </c>
      <c r="S104" s="2">
        <v>-0.73</v>
      </c>
      <c r="T104" s="2"/>
      <c r="U104" s="2">
        <f t="shared" si="15"/>
        <v>0.73</v>
      </c>
      <c r="V104" s="2">
        <v>4877.3</v>
      </c>
      <c r="W104" s="2"/>
      <c r="X104" s="2">
        <f t="shared" si="16"/>
        <v>-4877.3</v>
      </c>
      <c r="Y104" s="2">
        <v>2004.11</v>
      </c>
      <c r="Z104" s="2"/>
      <c r="AA104" s="2">
        <f t="shared" si="17"/>
        <v>-2004.11</v>
      </c>
      <c r="AB104" s="2">
        <v>1339.55</v>
      </c>
      <c r="AC104" s="2"/>
      <c r="AD104" s="2">
        <f t="shared" si="18"/>
        <v>-1339.55</v>
      </c>
      <c r="AE104" s="2">
        <v>10717.89</v>
      </c>
      <c r="AF104" s="2"/>
      <c r="AG104" s="2">
        <f t="shared" si="19"/>
        <v>-10717.89</v>
      </c>
    </row>
    <row r="105" spans="1:33" x14ac:dyDescent="0.3">
      <c r="B105" s="3"/>
      <c r="C105" t="str">
        <f xml:space="preserve"> _xll.EPMOlapMemberO("[CLACO].[PARENTH1].[AMSASERMANTO.REPA]","","Servicios Mantenimie","","000")</f>
        <v>Servicios Mantenimie</v>
      </c>
      <c r="D105" s="2"/>
      <c r="E105" s="2"/>
      <c r="F105" s="2">
        <f t="shared" si="10"/>
        <v>0</v>
      </c>
      <c r="G105" s="2"/>
      <c r="H105" s="2"/>
      <c r="I105" s="2">
        <f t="shared" si="11"/>
        <v>0</v>
      </c>
      <c r="J105" s="2">
        <v>950.47</v>
      </c>
      <c r="K105" s="2"/>
      <c r="L105" s="2">
        <f t="shared" si="12"/>
        <v>-950.47</v>
      </c>
      <c r="M105" s="2">
        <v>2504.21</v>
      </c>
      <c r="N105" s="2"/>
      <c r="O105" s="2">
        <f t="shared" si="13"/>
        <v>-2504.21</v>
      </c>
      <c r="P105" s="2"/>
      <c r="Q105" s="2"/>
      <c r="R105" s="2">
        <f t="shared" si="14"/>
        <v>0</v>
      </c>
      <c r="S105" s="2">
        <v>-4.3899999999999997</v>
      </c>
      <c r="T105" s="2"/>
      <c r="U105" s="2">
        <f t="shared" si="15"/>
        <v>4.3899999999999997</v>
      </c>
      <c r="V105" s="2">
        <v>848.51</v>
      </c>
      <c r="W105" s="2"/>
      <c r="X105" s="2">
        <f t="shared" si="16"/>
        <v>-848.51</v>
      </c>
      <c r="Y105" s="2">
        <v>3.33</v>
      </c>
      <c r="Z105" s="2"/>
      <c r="AA105" s="2">
        <f t="shared" si="17"/>
        <v>-3.33</v>
      </c>
      <c r="AB105" s="2">
        <v>177.84</v>
      </c>
      <c r="AC105" s="2"/>
      <c r="AD105" s="2">
        <f t="shared" si="18"/>
        <v>-177.84</v>
      </c>
      <c r="AE105" s="2">
        <v>1025.29</v>
      </c>
      <c r="AF105" s="2"/>
      <c r="AG105" s="2">
        <f t="shared" si="19"/>
        <v>-1025.29</v>
      </c>
    </row>
    <row r="106" spans="1:33" x14ac:dyDescent="0.3">
      <c r="B106" s="3"/>
      <c r="C106" t="str">
        <f xml:space="preserve"> _xll.EPMOlapMemberO("[CLACO].[PARENTH1].[AMSAINFORMATIC]","","Informática y Comuni","","000")</f>
        <v>Informática y Comuni</v>
      </c>
      <c r="D106" s="2">
        <v>14630.41</v>
      </c>
      <c r="E106" s="2">
        <v>8064.93</v>
      </c>
      <c r="F106" s="2">
        <f t="shared" si="10"/>
        <v>-6565.48</v>
      </c>
      <c r="G106" s="2">
        <v>3708.82</v>
      </c>
      <c r="H106" s="2">
        <v>13638.97</v>
      </c>
      <c r="I106" s="2">
        <f t="shared" si="11"/>
        <v>9930.15</v>
      </c>
      <c r="J106" s="2">
        <v>7700.82</v>
      </c>
      <c r="K106" s="2">
        <v>6834</v>
      </c>
      <c r="L106" s="2">
        <f t="shared" si="12"/>
        <v>-866.81999999999971</v>
      </c>
      <c r="M106" s="2">
        <v>46514.95</v>
      </c>
      <c r="N106" s="2">
        <v>2800.06</v>
      </c>
      <c r="O106" s="2">
        <f t="shared" si="13"/>
        <v>-43714.89</v>
      </c>
      <c r="P106" s="2">
        <v>17496.88</v>
      </c>
      <c r="Q106" s="2">
        <v>129.58000000000001</v>
      </c>
      <c r="R106" s="2">
        <f t="shared" si="14"/>
        <v>-17367.3</v>
      </c>
      <c r="S106" s="2">
        <v>-30323.89</v>
      </c>
      <c r="T106" s="2">
        <v>129.63999999999999</v>
      </c>
      <c r="U106" s="2">
        <f t="shared" si="15"/>
        <v>30453.53</v>
      </c>
      <c r="V106" s="2">
        <v>9189.49</v>
      </c>
      <c r="W106" s="2">
        <v>2124.9</v>
      </c>
      <c r="X106" s="2">
        <f t="shared" si="16"/>
        <v>-7064.59</v>
      </c>
      <c r="Y106" s="2">
        <v>12896.85</v>
      </c>
      <c r="Z106" s="2">
        <v>1626.86</v>
      </c>
      <c r="AA106" s="2">
        <f t="shared" si="17"/>
        <v>-11269.99</v>
      </c>
      <c r="AB106" s="2">
        <v>10134.11</v>
      </c>
      <c r="AC106" s="2">
        <v>129.81</v>
      </c>
      <c r="AD106" s="2">
        <f t="shared" si="18"/>
        <v>-10004.300000000001</v>
      </c>
      <c r="AE106" s="2">
        <v>19510.02</v>
      </c>
      <c r="AF106" s="2">
        <v>5046.46</v>
      </c>
      <c r="AG106" s="2">
        <f t="shared" si="19"/>
        <v>-14463.560000000001</v>
      </c>
    </row>
    <row r="107" spans="1:33" x14ac:dyDescent="0.3">
      <c r="B107" s="3"/>
      <c r="C107" t="str">
        <f xml:space="preserve"> _xll.EPMOlapMemberO("[CLACO].[PARENTH1].[AMSAG_VIAJES]","","Gastos de Viajes","","000")</f>
        <v>Gastos de Viajes</v>
      </c>
      <c r="D107" s="2">
        <v>21219.41</v>
      </c>
      <c r="E107" s="2">
        <v>33753.120000000003</v>
      </c>
      <c r="F107" s="2">
        <f t="shared" si="10"/>
        <v>12533.710000000003</v>
      </c>
      <c r="G107" s="2">
        <v>42985.03</v>
      </c>
      <c r="H107" s="2">
        <v>49980.72</v>
      </c>
      <c r="I107" s="2">
        <f t="shared" si="11"/>
        <v>6995.6900000000023</v>
      </c>
      <c r="J107" s="2">
        <v>41760.68</v>
      </c>
      <c r="K107" s="2">
        <v>100396.01</v>
      </c>
      <c r="L107" s="2">
        <f t="shared" si="12"/>
        <v>58635.329999999994</v>
      </c>
      <c r="M107" s="2">
        <v>93672.85</v>
      </c>
      <c r="N107" s="2">
        <v>120453.92</v>
      </c>
      <c r="O107" s="2">
        <f t="shared" si="13"/>
        <v>26781.069999999992</v>
      </c>
      <c r="P107" s="2">
        <v>-110.36</v>
      </c>
      <c r="Q107" s="2">
        <v>6977.56</v>
      </c>
      <c r="R107" s="2">
        <f t="shared" si="14"/>
        <v>7087.92</v>
      </c>
      <c r="S107" s="2">
        <v>6917.05</v>
      </c>
      <c r="T107" s="2">
        <v>40685.43</v>
      </c>
      <c r="U107" s="2">
        <f t="shared" si="15"/>
        <v>33768.379999999997</v>
      </c>
      <c r="V107" s="2">
        <v>2668.93</v>
      </c>
      <c r="W107" s="2">
        <v>10973.66</v>
      </c>
      <c r="X107" s="2">
        <f t="shared" si="16"/>
        <v>8304.73</v>
      </c>
      <c r="Y107" s="2">
        <v>8504.2099999999991</v>
      </c>
      <c r="Z107" s="2">
        <v>6986.32</v>
      </c>
      <c r="AA107" s="2">
        <f t="shared" si="17"/>
        <v>-1517.8899999999994</v>
      </c>
      <c r="AB107" s="2">
        <v>4258.82</v>
      </c>
      <c r="AC107" s="2">
        <v>6989.4</v>
      </c>
      <c r="AD107" s="2">
        <f t="shared" si="18"/>
        <v>2730.58</v>
      </c>
      <c r="AE107" s="2">
        <v>25591.96</v>
      </c>
      <c r="AF107" s="2">
        <v>138747.91</v>
      </c>
      <c r="AG107" s="2">
        <f t="shared" si="19"/>
        <v>113155.95000000001</v>
      </c>
    </row>
    <row r="108" spans="1:33" x14ac:dyDescent="0.3">
      <c r="B108" s="3"/>
      <c r="C108" t="str">
        <f xml:space="preserve"> _xll.EPMOlapMemberO("[CLACO].[PARENTH1].[AMSAGGENERALES.2]","","Otros Gastos","","000")</f>
        <v>Otros Gastos</v>
      </c>
      <c r="D108" s="2">
        <v>1887.4</v>
      </c>
      <c r="E108" s="2">
        <v>1235.3699999999999</v>
      </c>
      <c r="F108" s="2">
        <f t="shared" si="10"/>
        <v>-652.0300000000002</v>
      </c>
      <c r="G108" s="2">
        <v>1654.4</v>
      </c>
      <c r="H108" s="2">
        <v>1200</v>
      </c>
      <c r="I108" s="2">
        <f t="shared" si="11"/>
        <v>-454.40000000000009</v>
      </c>
      <c r="J108" s="2">
        <v>6132.78</v>
      </c>
      <c r="K108" s="2">
        <v>4300</v>
      </c>
      <c r="L108" s="2">
        <f t="shared" si="12"/>
        <v>-1832.7799999999997</v>
      </c>
      <c r="M108" s="2">
        <v>5124.3599999999997</v>
      </c>
      <c r="N108" s="2">
        <v>10599.8</v>
      </c>
      <c r="O108" s="2">
        <f t="shared" si="13"/>
        <v>5475.44</v>
      </c>
      <c r="P108" s="2">
        <v>161.56</v>
      </c>
      <c r="Q108" s="2">
        <v>255.68</v>
      </c>
      <c r="R108" s="2">
        <f t="shared" si="14"/>
        <v>94.12</v>
      </c>
      <c r="S108" s="2">
        <v>82.33</v>
      </c>
      <c r="T108" s="2">
        <v>1252.98</v>
      </c>
      <c r="U108" s="2">
        <f t="shared" si="15"/>
        <v>1170.6500000000001</v>
      </c>
      <c r="V108" s="2">
        <v>148.12</v>
      </c>
      <c r="W108" s="2">
        <v>255.89</v>
      </c>
      <c r="X108" s="2">
        <f t="shared" si="16"/>
        <v>107.76999999999998</v>
      </c>
      <c r="Y108" s="2">
        <v>399.05</v>
      </c>
      <c r="Z108" s="2">
        <v>256</v>
      </c>
      <c r="AA108" s="2">
        <f t="shared" si="17"/>
        <v>-143.05000000000001</v>
      </c>
      <c r="AB108" s="2">
        <v>27.86</v>
      </c>
      <c r="AC108" s="2">
        <v>256.11</v>
      </c>
      <c r="AD108" s="2">
        <f t="shared" si="18"/>
        <v>228.25</v>
      </c>
      <c r="AE108" s="2">
        <v>1363.11</v>
      </c>
      <c r="AF108" s="2">
        <v>4059.6</v>
      </c>
      <c r="AG108" s="2">
        <f t="shared" si="19"/>
        <v>2696.49</v>
      </c>
    </row>
    <row r="109" spans="1:33" x14ac:dyDescent="0.3">
      <c r="A109" t="s">
        <v>12</v>
      </c>
      <c r="B109" s="3" t="str">
        <f xml:space="preserve"> _xll.EPMOlapMemberO("[CECO].[PARENTH3].[AMSA1000AC0530]","","Gercia Mantenimiento","","000")</f>
        <v>Gercia Mantenimiento</v>
      </c>
      <c r="C109" t="str">
        <f xml:space="preserve"> _xll.EPMOlapMemberO("[CLACO].[PARENTH1].[AMSAREMUNERACI.SS]","","Remuneraciones Super","","000")</f>
        <v>Remuneraciones Super</v>
      </c>
      <c r="D109" s="2">
        <v>1165304.1299999999</v>
      </c>
      <c r="E109" s="2">
        <v>1162036.1599999999</v>
      </c>
      <c r="F109" s="2">
        <f t="shared" si="10"/>
        <v>-3267.9699999999721</v>
      </c>
      <c r="G109" s="2">
        <v>1450493.93</v>
      </c>
      <c r="H109" s="2">
        <v>1304412.3600000001</v>
      </c>
      <c r="I109" s="2">
        <f t="shared" si="11"/>
        <v>-146081.56999999983</v>
      </c>
      <c r="J109" s="2">
        <v>2023927.21</v>
      </c>
      <c r="K109" s="2">
        <v>1988722.6</v>
      </c>
      <c r="L109" s="2">
        <f t="shared" si="12"/>
        <v>-35204.60999999987</v>
      </c>
      <c r="M109" s="2">
        <v>2311418.79</v>
      </c>
      <c r="N109" s="2">
        <v>2136734.48</v>
      </c>
      <c r="O109" s="2">
        <f t="shared" si="13"/>
        <v>-174684.31000000006</v>
      </c>
      <c r="P109" s="2">
        <v>154517.12</v>
      </c>
      <c r="Q109" s="2">
        <v>178192.96</v>
      </c>
      <c r="R109" s="2">
        <f t="shared" si="14"/>
        <v>23675.839999999997</v>
      </c>
      <c r="S109" s="2">
        <v>250683.89</v>
      </c>
      <c r="T109" s="2">
        <v>190748.27</v>
      </c>
      <c r="U109" s="2">
        <f t="shared" si="15"/>
        <v>-59935.620000000024</v>
      </c>
      <c r="V109" s="2">
        <v>183957.91</v>
      </c>
      <c r="W109" s="2">
        <v>182547.91</v>
      </c>
      <c r="X109" s="2">
        <f t="shared" si="16"/>
        <v>-1410</v>
      </c>
      <c r="Y109" s="2">
        <v>191599.94</v>
      </c>
      <c r="Z109" s="2">
        <v>194295.67999999999</v>
      </c>
      <c r="AA109" s="2">
        <f t="shared" si="17"/>
        <v>2695.7399999999907</v>
      </c>
      <c r="AB109" s="2">
        <v>195051.92</v>
      </c>
      <c r="AC109" s="2">
        <v>181669.64</v>
      </c>
      <c r="AD109" s="2">
        <f t="shared" si="18"/>
        <v>-13382.279999999999</v>
      </c>
      <c r="AE109" s="2">
        <v>1019786.2</v>
      </c>
      <c r="AF109" s="2">
        <v>2202899.7599999998</v>
      </c>
      <c r="AG109" s="2">
        <f t="shared" si="19"/>
        <v>1183113.5599999998</v>
      </c>
    </row>
    <row r="110" spans="1:33" x14ac:dyDescent="0.3">
      <c r="B110" s="3"/>
      <c r="C110" t="str">
        <f xml:space="preserve"> _xll.EPMOlapMemberO("[CLACO].[PARENTH1].[AMSAMAT_Y_REP.2]","","Materiales y repuest","","000")</f>
        <v>Materiales y repuest</v>
      </c>
      <c r="D110" s="2"/>
      <c r="E110" s="2"/>
      <c r="F110" s="2">
        <f t="shared" si="10"/>
        <v>0</v>
      </c>
      <c r="G110" s="2">
        <v>0</v>
      </c>
      <c r="H110" s="2"/>
      <c r="I110" s="2">
        <f t="shared" si="11"/>
        <v>0</v>
      </c>
      <c r="J110" s="2"/>
      <c r="K110" s="2"/>
      <c r="L110" s="2">
        <f t="shared" si="12"/>
        <v>0</v>
      </c>
      <c r="M110" s="2"/>
      <c r="N110" s="2"/>
      <c r="O110" s="2">
        <f t="shared" si="13"/>
        <v>0</v>
      </c>
      <c r="P110" s="2"/>
      <c r="Q110" s="2"/>
      <c r="R110" s="2">
        <f t="shared" si="14"/>
        <v>0</v>
      </c>
      <c r="S110" s="2"/>
      <c r="T110" s="2"/>
      <c r="U110" s="2">
        <f t="shared" si="15"/>
        <v>0</v>
      </c>
      <c r="V110" s="2"/>
      <c r="W110" s="2"/>
      <c r="X110" s="2">
        <f t="shared" si="16"/>
        <v>0</v>
      </c>
      <c r="Y110" s="2"/>
      <c r="Z110" s="2"/>
      <c r="AA110" s="2">
        <f t="shared" si="17"/>
        <v>0</v>
      </c>
      <c r="AB110" s="2"/>
      <c r="AC110" s="2"/>
      <c r="AD110" s="2">
        <f t="shared" si="18"/>
        <v>0</v>
      </c>
      <c r="AE110" s="2"/>
      <c r="AF110" s="2"/>
      <c r="AG110" s="2">
        <f t="shared" si="19"/>
        <v>0</v>
      </c>
    </row>
    <row r="111" spans="1:33" x14ac:dyDescent="0.3">
      <c r="B111" s="3"/>
      <c r="C111" t="str">
        <f xml:space="preserve"> _xll.EPMOlapMemberO("[CLACO].[PARENTH1].[AMSAADM_PERSON]","","Administración Perso","","000")</f>
        <v>Administración Perso</v>
      </c>
      <c r="D111" s="2">
        <v>1093.51</v>
      </c>
      <c r="E111" s="2"/>
      <c r="F111" s="2">
        <f t="shared" si="10"/>
        <v>-1093.51</v>
      </c>
      <c r="G111" s="2"/>
      <c r="H111" s="2"/>
      <c r="I111" s="2">
        <f t="shared" si="11"/>
        <v>0</v>
      </c>
      <c r="J111" s="2"/>
      <c r="K111" s="2"/>
      <c r="L111" s="2">
        <f t="shared" si="12"/>
        <v>0</v>
      </c>
      <c r="M111" s="2"/>
      <c r="N111" s="2"/>
      <c r="O111" s="2">
        <f t="shared" si="13"/>
        <v>0</v>
      </c>
      <c r="P111" s="2"/>
      <c r="Q111" s="2"/>
      <c r="R111" s="2">
        <f t="shared" si="14"/>
        <v>0</v>
      </c>
      <c r="S111" s="2"/>
      <c r="T111" s="2"/>
      <c r="U111" s="2">
        <f t="shared" si="15"/>
        <v>0</v>
      </c>
      <c r="V111" s="2"/>
      <c r="W111" s="2"/>
      <c r="X111" s="2">
        <f t="shared" si="16"/>
        <v>0</v>
      </c>
      <c r="Y111" s="2"/>
      <c r="Z111" s="2"/>
      <c r="AA111" s="2">
        <f t="shared" si="17"/>
        <v>0</v>
      </c>
      <c r="AB111" s="2"/>
      <c r="AC111" s="2"/>
      <c r="AD111" s="2">
        <f t="shared" si="18"/>
        <v>0</v>
      </c>
      <c r="AE111" s="2"/>
      <c r="AF111" s="2"/>
      <c r="AG111" s="2">
        <f t="shared" si="19"/>
        <v>0</v>
      </c>
    </row>
    <row r="112" spans="1:33" x14ac:dyDescent="0.3">
      <c r="B112" s="3"/>
      <c r="C112" t="str">
        <f xml:space="preserve"> _xll.EPMOlapMemberO("[CLACO].[PARENTH1].[AMSAENTRENAMI]","","Entrenamiento","","000")</f>
        <v>Entrenamiento</v>
      </c>
      <c r="D112" s="2">
        <v>121588.02</v>
      </c>
      <c r="E112" s="2">
        <v>38090.769999999997</v>
      </c>
      <c r="F112" s="2">
        <f t="shared" si="10"/>
        <v>-83497.25</v>
      </c>
      <c r="G112" s="2">
        <v>26273.49</v>
      </c>
      <c r="H112" s="2">
        <v>45499.98</v>
      </c>
      <c r="I112" s="2">
        <f t="shared" si="11"/>
        <v>19226.490000000002</v>
      </c>
      <c r="J112" s="2">
        <v>343.59</v>
      </c>
      <c r="K112" s="2">
        <v>19000.009999999998</v>
      </c>
      <c r="L112" s="2">
        <f t="shared" si="12"/>
        <v>18656.419999999998</v>
      </c>
      <c r="M112" s="2">
        <v>19740.3</v>
      </c>
      <c r="N112" s="2"/>
      <c r="O112" s="2">
        <f t="shared" si="13"/>
        <v>-19740.3</v>
      </c>
      <c r="P112" s="2"/>
      <c r="Q112" s="2"/>
      <c r="R112" s="2">
        <f t="shared" si="14"/>
        <v>0</v>
      </c>
      <c r="S112" s="2"/>
      <c r="T112" s="2"/>
      <c r="U112" s="2">
        <f t="shared" si="15"/>
        <v>0</v>
      </c>
      <c r="V112" s="2"/>
      <c r="W112" s="2"/>
      <c r="X112" s="2">
        <f t="shared" si="16"/>
        <v>0</v>
      </c>
      <c r="Y112" s="2"/>
      <c r="Z112" s="2"/>
      <c r="AA112" s="2">
        <f t="shared" si="17"/>
        <v>0</v>
      </c>
      <c r="AB112" s="2"/>
      <c r="AC112" s="2"/>
      <c r="AD112" s="2">
        <f t="shared" si="18"/>
        <v>0</v>
      </c>
      <c r="AE112" s="2"/>
      <c r="AF112" s="2"/>
      <c r="AG112" s="2">
        <f t="shared" si="19"/>
        <v>0</v>
      </c>
    </row>
    <row r="113" spans="1:33" x14ac:dyDescent="0.3">
      <c r="B113" s="3"/>
      <c r="C113" t="str">
        <f xml:space="preserve"> _xll.EPMOlapMemberO("[CLACO].[PARENTH1].[AMSAASESORIAS]","","Asesorías y Consulto","","000")</f>
        <v>Asesorías y Consulto</v>
      </c>
      <c r="D113" s="2">
        <v>223813.52</v>
      </c>
      <c r="E113" s="2">
        <v>365439.32</v>
      </c>
      <c r="F113" s="2">
        <f t="shared" si="10"/>
        <v>141625.80000000002</v>
      </c>
      <c r="G113" s="2">
        <v>248640.49</v>
      </c>
      <c r="H113" s="2">
        <v>259999.99</v>
      </c>
      <c r="I113" s="2">
        <f t="shared" si="11"/>
        <v>11359.5</v>
      </c>
      <c r="J113" s="2">
        <v>24352.3</v>
      </c>
      <c r="K113" s="2">
        <v>100000</v>
      </c>
      <c r="L113" s="2">
        <f t="shared" si="12"/>
        <v>75647.7</v>
      </c>
      <c r="M113" s="2">
        <v>57697.87</v>
      </c>
      <c r="N113" s="2">
        <v>80000.67</v>
      </c>
      <c r="O113" s="2">
        <f t="shared" si="13"/>
        <v>22302.799999999996</v>
      </c>
      <c r="P113" s="2"/>
      <c r="Q113" s="2"/>
      <c r="R113" s="2">
        <f t="shared" si="14"/>
        <v>0</v>
      </c>
      <c r="S113" s="2"/>
      <c r="T113" s="2"/>
      <c r="U113" s="2">
        <f t="shared" si="15"/>
        <v>0</v>
      </c>
      <c r="V113" s="2">
        <v>1468.3</v>
      </c>
      <c r="W113" s="2"/>
      <c r="X113" s="2">
        <f t="shared" si="16"/>
        <v>-1468.3</v>
      </c>
      <c r="Y113" s="2">
        <v>-32997.980000000003</v>
      </c>
      <c r="Z113" s="2"/>
      <c r="AA113" s="2">
        <f t="shared" si="17"/>
        <v>32997.980000000003</v>
      </c>
      <c r="AB113" s="2">
        <v>1594.15</v>
      </c>
      <c r="AC113" s="2"/>
      <c r="AD113" s="2">
        <f t="shared" si="18"/>
        <v>-1594.15</v>
      </c>
      <c r="AE113" s="2">
        <v>-28486.85</v>
      </c>
      <c r="AF113" s="2"/>
      <c r="AG113" s="2">
        <f t="shared" si="19"/>
        <v>28486.85</v>
      </c>
    </row>
    <row r="114" spans="1:33" x14ac:dyDescent="0.3">
      <c r="B114" s="3"/>
      <c r="C114" t="str">
        <f xml:space="preserve"> _xll.EPMOlapMemberO("[CLACO].[PARENTH1].[AMSASERVICIOS]","","Servicios","","000")</f>
        <v>Servicios</v>
      </c>
      <c r="D114" s="2">
        <v>34608.9</v>
      </c>
      <c r="E114" s="2">
        <v>41179.31</v>
      </c>
      <c r="F114" s="2">
        <f t="shared" si="10"/>
        <v>6570.4099999999962</v>
      </c>
      <c r="G114" s="2">
        <v>53058.33</v>
      </c>
      <c r="H114" s="2">
        <v>50000</v>
      </c>
      <c r="I114" s="2">
        <f t="shared" si="11"/>
        <v>-3058.3300000000017</v>
      </c>
      <c r="J114" s="2">
        <v>192196.37</v>
      </c>
      <c r="K114" s="2">
        <v>96000</v>
      </c>
      <c r="L114" s="2">
        <f t="shared" si="12"/>
        <v>-96196.37</v>
      </c>
      <c r="M114" s="2">
        <v>160283.81</v>
      </c>
      <c r="N114" s="2">
        <v>192001.58</v>
      </c>
      <c r="O114" s="2">
        <f t="shared" si="13"/>
        <v>31717.76999999999</v>
      </c>
      <c r="P114" s="2">
        <v>7023.99</v>
      </c>
      <c r="Q114" s="2">
        <v>38150.31</v>
      </c>
      <c r="R114" s="2">
        <f t="shared" si="14"/>
        <v>31126.32</v>
      </c>
      <c r="S114" s="2">
        <v>14541.82</v>
      </c>
      <c r="T114" s="2">
        <v>17007.79</v>
      </c>
      <c r="U114" s="2">
        <f t="shared" si="15"/>
        <v>2465.9700000000012</v>
      </c>
      <c r="V114" s="2">
        <v>27626.34</v>
      </c>
      <c r="W114" s="2">
        <v>34653.53</v>
      </c>
      <c r="X114" s="2">
        <f t="shared" si="16"/>
        <v>7027.1899999999987</v>
      </c>
      <c r="Y114" s="2">
        <v>17781.95</v>
      </c>
      <c r="Z114" s="2">
        <v>17022.189999999999</v>
      </c>
      <c r="AA114" s="2">
        <f t="shared" si="17"/>
        <v>-759.76000000000204</v>
      </c>
      <c r="AB114" s="2">
        <v>1605.22</v>
      </c>
      <c r="AC114" s="2">
        <v>17029.71</v>
      </c>
      <c r="AD114" s="2">
        <f t="shared" si="18"/>
        <v>15424.49</v>
      </c>
      <c r="AE114" s="2">
        <v>91730.5</v>
      </c>
      <c r="AF114" s="2">
        <v>284911.25</v>
      </c>
      <c r="AG114" s="2">
        <f t="shared" si="19"/>
        <v>193180.75</v>
      </c>
    </row>
    <row r="115" spans="1:33" x14ac:dyDescent="0.3">
      <c r="B115" s="3"/>
      <c r="C115" t="str">
        <f xml:space="preserve"> _xll.EPMOlapMemberO("[CLACO].[PARENTH1].[AMSASERMANTO.REPA]","","Servicios Mantenimie","","000")</f>
        <v>Servicios Mantenimie</v>
      </c>
      <c r="D115" s="2"/>
      <c r="E115" s="2"/>
      <c r="F115" s="2">
        <f t="shared" si="10"/>
        <v>0</v>
      </c>
      <c r="G115" s="2">
        <v>1678.59</v>
      </c>
      <c r="H115" s="2"/>
      <c r="I115" s="2">
        <f t="shared" si="11"/>
        <v>-1678.59</v>
      </c>
      <c r="J115" s="2"/>
      <c r="K115" s="2"/>
      <c r="L115" s="2">
        <f t="shared" si="12"/>
        <v>0</v>
      </c>
      <c r="M115" s="2">
        <v>14.1</v>
      </c>
      <c r="N115" s="2"/>
      <c r="O115" s="2">
        <f t="shared" si="13"/>
        <v>-14.1</v>
      </c>
      <c r="P115" s="2"/>
      <c r="Q115" s="2"/>
      <c r="R115" s="2">
        <f t="shared" si="14"/>
        <v>0</v>
      </c>
      <c r="S115" s="2"/>
      <c r="T115" s="2"/>
      <c r="U115" s="2">
        <f t="shared" si="15"/>
        <v>0</v>
      </c>
      <c r="V115" s="2"/>
      <c r="W115" s="2"/>
      <c r="X115" s="2">
        <f t="shared" si="16"/>
        <v>0</v>
      </c>
      <c r="Y115" s="2"/>
      <c r="Z115" s="2"/>
      <c r="AA115" s="2">
        <f t="shared" si="17"/>
        <v>0</v>
      </c>
      <c r="AB115" s="2"/>
      <c r="AC115" s="2"/>
      <c r="AD115" s="2">
        <f t="shared" si="18"/>
        <v>0</v>
      </c>
      <c r="AE115" s="2"/>
      <c r="AF115" s="2"/>
      <c r="AG115" s="2">
        <f t="shared" si="19"/>
        <v>0</v>
      </c>
    </row>
    <row r="116" spans="1:33" x14ac:dyDescent="0.3">
      <c r="B116" s="3"/>
      <c r="C116" t="str">
        <f xml:space="preserve"> _xll.EPMOlapMemberO("[CLACO].[PARENTH1].[AMSAINFORMATIC]","","Informática y Comuni","","000")</f>
        <v>Informática y Comuni</v>
      </c>
      <c r="D116" s="2">
        <v>30555.61</v>
      </c>
      <c r="E116" s="2">
        <v>33355.29</v>
      </c>
      <c r="F116" s="2">
        <f t="shared" si="10"/>
        <v>2799.6800000000003</v>
      </c>
      <c r="G116" s="2">
        <v>70969.84</v>
      </c>
      <c r="H116" s="2">
        <v>7700.02</v>
      </c>
      <c r="I116" s="2">
        <f t="shared" si="11"/>
        <v>-63269.819999999992</v>
      </c>
      <c r="J116" s="2">
        <v>20808.41</v>
      </c>
      <c r="K116" s="2">
        <v>6200</v>
      </c>
      <c r="L116" s="2">
        <f t="shared" si="12"/>
        <v>-14608.41</v>
      </c>
      <c r="M116" s="2">
        <v>6220.72</v>
      </c>
      <c r="N116" s="2">
        <v>8840.4</v>
      </c>
      <c r="O116" s="2">
        <f t="shared" si="13"/>
        <v>2619.6799999999994</v>
      </c>
      <c r="P116" s="2">
        <v>219.17</v>
      </c>
      <c r="Q116" s="2">
        <v>109.65</v>
      </c>
      <c r="R116" s="2">
        <f t="shared" si="14"/>
        <v>-109.51999999999998</v>
      </c>
      <c r="S116" s="2">
        <v>-1720.52</v>
      </c>
      <c r="T116" s="2">
        <v>109.69</v>
      </c>
      <c r="U116" s="2">
        <f t="shared" si="15"/>
        <v>1830.21</v>
      </c>
      <c r="V116" s="2">
        <v>1921.97</v>
      </c>
      <c r="W116" s="2">
        <v>7492.38</v>
      </c>
      <c r="X116" s="2">
        <f t="shared" si="16"/>
        <v>5570.41</v>
      </c>
      <c r="Y116" s="2">
        <v>35536.550000000003</v>
      </c>
      <c r="Z116" s="2">
        <v>109.79</v>
      </c>
      <c r="AA116" s="2">
        <f t="shared" si="17"/>
        <v>-35426.76</v>
      </c>
      <c r="AB116" s="2">
        <v>89.12</v>
      </c>
      <c r="AC116" s="2">
        <v>109.83</v>
      </c>
      <c r="AD116" s="2">
        <f t="shared" si="18"/>
        <v>20.709999999999994</v>
      </c>
      <c r="AE116" s="2">
        <v>36085.15</v>
      </c>
      <c r="AF116" s="2">
        <v>8697.64</v>
      </c>
      <c r="AG116" s="2">
        <f t="shared" si="19"/>
        <v>-27387.510000000002</v>
      </c>
    </row>
    <row r="117" spans="1:33" x14ac:dyDescent="0.3">
      <c r="B117" s="3"/>
      <c r="C117" t="str">
        <f xml:space="preserve"> _xll.EPMOlapMemberO("[CLACO].[PARENTH1].[AMSAG_VIAJES]","","Gastos de Viajes","","000")</f>
        <v>Gastos de Viajes</v>
      </c>
      <c r="D117" s="2">
        <v>45207.040000000001</v>
      </c>
      <c r="E117" s="2">
        <v>54414.84</v>
      </c>
      <c r="F117" s="2">
        <f t="shared" si="10"/>
        <v>9207.7999999999956</v>
      </c>
      <c r="G117" s="2">
        <v>26514.62</v>
      </c>
      <c r="H117" s="2">
        <v>58735.32</v>
      </c>
      <c r="I117" s="2">
        <f t="shared" si="11"/>
        <v>32220.7</v>
      </c>
      <c r="J117" s="2">
        <v>17713.62</v>
      </c>
      <c r="K117" s="2">
        <v>24058.01</v>
      </c>
      <c r="L117" s="2">
        <f t="shared" si="12"/>
        <v>6344.3899999999994</v>
      </c>
      <c r="M117" s="2">
        <v>33616.160000000003</v>
      </c>
      <c r="N117" s="2">
        <v>23742.21</v>
      </c>
      <c r="O117" s="2">
        <f t="shared" si="13"/>
        <v>-9873.9500000000044</v>
      </c>
      <c r="P117" s="2">
        <v>195.38</v>
      </c>
      <c r="Q117" s="2">
        <v>1600.86</v>
      </c>
      <c r="R117" s="2">
        <f t="shared" si="14"/>
        <v>1405.48</v>
      </c>
      <c r="S117" s="2">
        <v>6898.43</v>
      </c>
      <c r="T117" s="2">
        <v>3400.45</v>
      </c>
      <c r="U117" s="2">
        <f t="shared" si="15"/>
        <v>-3497.9800000000005</v>
      </c>
      <c r="V117" s="2">
        <v>652.14</v>
      </c>
      <c r="W117" s="2">
        <v>1602.15</v>
      </c>
      <c r="X117" s="2">
        <f t="shared" si="16"/>
        <v>950.0100000000001</v>
      </c>
      <c r="Y117" s="2">
        <v>6665.85</v>
      </c>
      <c r="Z117" s="2">
        <v>3553.03</v>
      </c>
      <c r="AA117" s="2">
        <f t="shared" si="17"/>
        <v>-3112.82</v>
      </c>
      <c r="AB117" s="2">
        <v>1087.17</v>
      </c>
      <c r="AC117" s="2">
        <v>1603.57</v>
      </c>
      <c r="AD117" s="2">
        <f t="shared" si="18"/>
        <v>516.39999999999986</v>
      </c>
      <c r="AE117" s="2">
        <v>16388.54</v>
      </c>
      <c r="AF117" s="2">
        <v>30428.31</v>
      </c>
      <c r="AG117" s="2">
        <f t="shared" si="19"/>
        <v>14039.77</v>
      </c>
    </row>
    <row r="118" spans="1:33" x14ac:dyDescent="0.3">
      <c r="B118" s="3"/>
      <c r="C118" t="str">
        <f xml:space="preserve"> _xll.EPMOlapMemberO("[CLACO].[PARENTH1].[AMSAGGENERALES.2]","","Otros Gastos","","000")</f>
        <v>Otros Gastos</v>
      </c>
      <c r="D118" s="2">
        <v>194.73</v>
      </c>
      <c r="E118" s="2">
        <v>977.99</v>
      </c>
      <c r="F118" s="2">
        <f t="shared" si="10"/>
        <v>783.26</v>
      </c>
      <c r="G118" s="2">
        <v>1429.26</v>
      </c>
      <c r="H118" s="2"/>
      <c r="I118" s="2">
        <f t="shared" si="11"/>
        <v>-1429.26</v>
      </c>
      <c r="J118" s="2">
        <v>552.30999999999995</v>
      </c>
      <c r="K118" s="2">
        <v>2500</v>
      </c>
      <c r="L118" s="2">
        <f t="shared" si="12"/>
        <v>1947.69</v>
      </c>
      <c r="M118" s="2">
        <v>6319.73</v>
      </c>
      <c r="N118" s="2">
        <v>17200.27</v>
      </c>
      <c r="O118" s="2">
        <f t="shared" si="13"/>
        <v>10880.54</v>
      </c>
      <c r="P118" s="2">
        <v>121.25</v>
      </c>
      <c r="Q118" s="2">
        <v>99.68</v>
      </c>
      <c r="R118" s="2">
        <f t="shared" si="14"/>
        <v>-21.569999999999993</v>
      </c>
      <c r="S118" s="2">
        <v>20.05</v>
      </c>
      <c r="T118" s="2">
        <v>99.72</v>
      </c>
      <c r="U118" s="2">
        <f t="shared" si="15"/>
        <v>79.67</v>
      </c>
      <c r="V118" s="2">
        <v>217.84</v>
      </c>
      <c r="W118" s="2">
        <v>99.76</v>
      </c>
      <c r="X118" s="2">
        <f t="shared" si="16"/>
        <v>-118.08</v>
      </c>
      <c r="Y118" s="2">
        <v>2669.81</v>
      </c>
      <c r="Z118" s="2">
        <v>8084.16</v>
      </c>
      <c r="AA118" s="2">
        <f t="shared" si="17"/>
        <v>5414.35</v>
      </c>
      <c r="AB118" s="2">
        <v>41.09</v>
      </c>
      <c r="AC118" s="2">
        <v>99.85</v>
      </c>
      <c r="AD118" s="2">
        <f t="shared" si="18"/>
        <v>58.759999999999991</v>
      </c>
      <c r="AE118" s="2">
        <v>3071.14</v>
      </c>
      <c r="AF118" s="2">
        <v>17132.22</v>
      </c>
      <c r="AG118" s="2">
        <f t="shared" si="19"/>
        <v>14061.080000000002</v>
      </c>
    </row>
    <row r="119" spans="1:33" x14ac:dyDescent="0.3">
      <c r="A119" t="s">
        <v>13</v>
      </c>
      <c r="B119" s="3" t="str">
        <f xml:space="preserve"> _xll.EPMOlapMemberO("[CECO].[PARENTH3].[AMSA1000AC0531]","","Gcia Excel Operacion","","000")</f>
        <v>Gcia Excel Operacion</v>
      </c>
      <c r="C119" t="str">
        <f xml:space="preserve"> _xll.EPMOlapMemberO("[CLACO].[PARENTH1].[AMSAADM_PERSON]","","Administración Perso","","000")</f>
        <v>Administración Perso</v>
      </c>
      <c r="D119" s="2"/>
      <c r="E119" s="2"/>
      <c r="F119" s="2">
        <f t="shared" si="10"/>
        <v>0</v>
      </c>
      <c r="G119" s="2"/>
      <c r="H119" s="2"/>
      <c r="I119" s="2">
        <f t="shared" si="11"/>
        <v>0</v>
      </c>
      <c r="J119" s="2">
        <v>156.82</v>
      </c>
      <c r="K119" s="2"/>
      <c r="L119" s="2">
        <f t="shared" si="12"/>
        <v>-156.82</v>
      </c>
      <c r="M119" s="2">
        <v>94.08</v>
      </c>
      <c r="N119" s="2"/>
      <c r="O119" s="2">
        <f t="shared" si="13"/>
        <v>-94.08</v>
      </c>
      <c r="P119" s="2"/>
      <c r="Q119" s="2"/>
      <c r="R119" s="2">
        <f t="shared" si="14"/>
        <v>0</v>
      </c>
      <c r="S119" s="2"/>
      <c r="T119" s="2"/>
      <c r="U119" s="2">
        <f t="shared" si="15"/>
        <v>0</v>
      </c>
      <c r="V119" s="2"/>
      <c r="W119" s="2"/>
      <c r="X119" s="2">
        <f t="shared" si="16"/>
        <v>0</v>
      </c>
      <c r="Y119" s="2"/>
      <c r="Z119" s="2"/>
      <c r="AA119" s="2">
        <f t="shared" si="17"/>
        <v>0</v>
      </c>
      <c r="AB119" s="2"/>
      <c r="AC119" s="2"/>
      <c r="AD119" s="2">
        <f t="shared" si="18"/>
        <v>0</v>
      </c>
      <c r="AE119" s="2"/>
      <c r="AF119" s="2"/>
      <c r="AG119" s="2">
        <f t="shared" si="19"/>
        <v>0</v>
      </c>
    </row>
    <row r="120" spans="1:33" x14ac:dyDescent="0.3">
      <c r="B120" s="3"/>
      <c r="C120" t="str">
        <f xml:space="preserve"> _xll.EPMOlapMemberO("[CLACO].[PARENTH1].[AMSAENTRENAMI]","","Entrenamiento","","000")</f>
        <v>Entrenamiento</v>
      </c>
      <c r="D120" s="2"/>
      <c r="E120" s="2"/>
      <c r="F120" s="2">
        <f t="shared" si="10"/>
        <v>0</v>
      </c>
      <c r="G120" s="2"/>
      <c r="H120" s="2"/>
      <c r="I120" s="2">
        <f t="shared" si="11"/>
        <v>0</v>
      </c>
      <c r="J120" s="2">
        <v>11759.37</v>
      </c>
      <c r="K120" s="2">
        <v>30000</v>
      </c>
      <c r="L120" s="2">
        <f t="shared" si="12"/>
        <v>18240.629999999997</v>
      </c>
      <c r="M120" s="2">
        <v>33835.39</v>
      </c>
      <c r="N120" s="2"/>
      <c r="O120" s="2">
        <f t="shared" si="13"/>
        <v>-33835.39</v>
      </c>
      <c r="P120" s="2">
        <v>5502.88</v>
      </c>
      <c r="Q120" s="2"/>
      <c r="R120" s="2">
        <f t="shared" si="14"/>
        <v>-5502.88</v>
      </c>
      <c r="S120" s="2"/>
      <c r="T120" s="2"/>
      <c r="U120" s="2">
        <f t="shared" si="15"/>
        <v>0</v>
      </c>
      <c r="V120" s="2"/>
      <c r="W120" s="2"/>
      <c r="X120" s="2">
        <f t="shared" si="16"/>
        <v>0</v>
      </c>
      <c r="Y120" s="2"/>
      <c r="Z120" s="2"/>
      <c r="AA120" s="2">
        <f t="shared" si="17"/>
        <v>0</v>
      </c>
      <c r="AB120" s="2"/>
      <c r="AC120" s="2"/>
      <c r="AD120" s="2">
        <f t="shared" si="18"/>
        <v>0</v>
      </c>
      <c r="AE120" s="2">
        <v>8295.8799999999992</v>
      </c>
      <c r="AF120" s="2"/>
      <c r="AG120" s="2">
        <f t="shared" si="19"/>
        <v>-8295.8799999999992</v>
      </c>
    </row>
    <row r="121" spans="1:33" x14ac:dyDescent="0.3">
      <c r="B121" s="3"/>
      <c r="C121" t="str">
        <f xml:space="preserve"> _xll.EPMOlapMemberO("[CLACO].[PARENTH1].[AMSAASESORIAS]","","Asesorías y Consulto","","000")</f>
        <v>Asesorías y Consulto</v>
      </c>
      <c r="D121" s="2"/>
      <c r="E121" s="2"/>
      <c r="F121" s="2">
        <f t="shared" si="10"/>
        <v>0</v>
      </c>
      <c r="G121" s="2"/>
      <c r="H121" s="2"/>
      <c r="I121" s="2">
        <f t="shared" si="11"/>
        <v>0</v>
      </c>
      <c r="J121" s="2">
        <v>1911.75</v>
      </c>
      <c r="K121" s="2"/>
      <c r="L121" s="2">
        <f t="shared" si="12"/>
        <v>-1911.75</v>
      </c>
      <c r="M121" s="2">
        <v>14216.78</v>
      </c>
      <c r="N121" s="2"/>
      <c r="O121" s="2">
        <f t="shared" si="13"/>
        <v>-14216.78</v>
      </c>
      <c r="P121" s="2">
        <v>1767.29</v>
      </c>
      <c r="Q121" s="2"/>
      <c r="R121" s="2">
        <f t="shared" si="14"/>
        <v>-1767.29</v>
      </c>
      <c r="S121" s="2">
        <v>26860.55</v>
      </c>
      <c r="T121" s="2"/>
      <c r="U121" s="2">
        <f t="shared" si="15"/>
        <v>-26860.55</v>
      </c>
      <c r="V121" s="2"/>
      <c r="W121" s="2"/>
      <c r="X121" s="2">
        <f t="shared" si="16"/>
        <v>0</v>
      </c>
      <c r="Y121" s="2"/>
      <c r="Z121" s="2"/>
      <c r="AA121" s="2">
        <f t="shared" si="17"/>
        <v>0</v>
      </c>
      <c r="AB121" s="2"/>
      <c r="AC121" s="2"/>
      <c r="AD121" s="2">
        <f t="shared" si="18"/>
        <v>0</v>
      </c>
      <c r="AE121" s="2">
        <v>30076.52</v>
      </c>
      <c r="AF121" s="2"/>
      <c r="AG121" s="2">
        <f t="shared" si="19"/>
        <v>-30076.52</v>
      </c>
    </row>
    <row r="122" spans="1:33" x14ac:dyDescent="0.3">
      <c r="B122" s="3"/>
      <c r="C122" t="str">
        <f xml:space="preserve"> _xll.EPMOlapMemberO("[CLACO].[PARENTH1].[AMSASERVICIOS]","","Servicios","","000")</f>
        <v>Servicios</v>
      </c>
      <c r="D122" s="2"/>
      <c r="E122" s="2"/>
      <c r="F122" s="2">
        <f t="shared" si="10"/>
        <v>0</v>
      </c>
      <c r="G122" s="2"/>
      <c r="H122" s="2"/>
      <c r="I122" s="2">
        <f t="shared" si="11"/>
        <v>0</v>
      </c>
      <c r="J122" s="2">
        <v>20652.52</v>
      </c>
      <c r="K122" s="2">
        <v>20000</v>
      </c>
      <c r="L122" s="2">
        <f t="shared" si="12"/>
        <v>-652.52000000000044</v>
      </c>
      <c r="M122" s="2">
        <v>48491.91</v>
      </c>
      <c r="N122" s="2">
        <v>57999.94</v>
      </c>
      <c r="O122" s="2">
        <f t="shared" si="13"/>
        <v>9508.0299999999988</v>
      </c>
      <c r="P122" s="2">
        <v>54.79</v>
      </c>
      <c r="Q122" s="2">
        <v>6229.97</v>
      </c>
      <c r="R122" s="2">
        <f t="shared" si="14"/>
        <v>6175.18</v>
      </c>
      <c r="S122" s="2">
        <v>5595.91</v>
      </c>
      <c r="T122" s="2">
        <v>6232.5</v>
      </c>
      <c r="U122" s="2">
        <f t="shared" si="15"/>
        <v>636.59000000000015</v>
      </c>
      <c r="V122" s="2">
        <v>12672.28</v>
      </c>
      <c r="W122" s="2">
        <v>21199.11</v>
      </c>
      <c r="X122" s="2">
        <f t="shared" si="16"/>
        <v>8526.83</v>
      </c>
      <c r="Y122" s="2">
        <v>10411.84</v>
      </c>
      <c r="Z122" s="2">
        <v>6237.78</v>
      </c>
      <c r="AA122" s="2">
        <f t="shared" si="17"/>
        <v>-4174.0600000000004</v>
      </c>
      <c r="AB122" s="2">
        <v>6219.99</v>
      </c>
      <c r="AC122" s="2">
        <v>6240.53</v>
      </c>
      <c r="AD122" s="2">
        <f t="shared" si="18"/>
        <v>20.539999999999964</v>
      </c>
      <c r="AE122" s="2">
        <v>55342.97</v>
      </c>
      <c r="AF122" s="2">
        <v>119554.07</v>
      </c>
      <c r="AG122" s="2">
        <f t="shared" si="19"/>
        <v>64211.100000000006</v>
      </c>
    </row>
    <row r="123" spans="1:33" x14ac:dyDescent="0.3">
      <c r="B123" s="3"/>
      <c r="C123" t="str">
        <f xml:space="preserve"> _xll.EPMOlapMemberO("[CLACO].[PARENTH1].[AMSASERMANTO.REPA]","","Servicios Mantenimie","","000")</f>
        <v>Servicios Mantenimie</v>
      </c>
      <c r="D123" s="2"/>
      <c r="E123" s="2"/>
      <c r="F123" s="2">
        <f t="shared" si="10"/>
        <v>0</v>
      </c>
      <c r="G123" s="2"/>
      <c r="H123" s="2"/>
      <c r="I123" s="2">
        <f t="shared" si="11"/>
        <v>0</v>
      </c>
      <c r="J123" s="2"/>
      <c r="K123" s="2"/>
      <c r="L123" s="2">
        <f t="shared" si="12"/>
        <v>0</v>
      </c>
      <c r="M123" s="2">
        <v>929.33</v>
      </c>
      <c r="N123" s="2"/>
      <c r="O123" s="2">
        <f t="shared" si="13"/>
        <v>-929.33</v>
      </c>
      <c r="P123" s="2"/>
      <c r="Q123" s="2"/>
      <c r="R123" s="2">
        <f t="shared" si="14"/>
        <v>0</v>
      </c>
      <c r="S123" s="2"/>
      <c r="T123" s="2"/>
      <c r="U123" s="2">
        <f t="shared" si="15"/>
        <v>0</v>
      </c>
      <c r="V123" s="2"/>
      <c r="W123" s="2"/>
      <c r="X123" s="2">
        <f t="shared" si="16"/>
        <v>0</v>
      </c>
      <c r="Y123" s="2"/>
      <c r="Z123" s="2"/>
      <c r="AA123" s="2">
        <f t="shared" si="17"/>
        <v>0</v>
      </c>
      <c r="AB123" s="2"/>
      <c r="AC123" s="2"/>
      <c r="AD123" s="2">
        <f t="shared" si="18"/>
        <v>0</v>
      </c>
      <c r="AE123" s="2"/>
      <c r="AF123" s="2"/>
      <c r="AG123" s="2">
        <f t="shared" si="19"/>
        <v>0</v>
      </c>
    </row>
    <row r="124" spans="1:33" x14ac:dyDescent="0.3">
      <c r="B124" s="3"/>
      <c r="C124" t="str">
        <f xml:space="preserve"> _xll.EPMOlapMemberO("[CLACO].[PARENTH1].[AMSAINFORMATIC]","","Informática y Comuni","","000")</f>
        <v>Informática y Comuni</v>
      </c>
      <c r="D124" s="2"/>
      <c r="E124" s="2"/>
      <c r="F124" s="2">
        <f t="shared" si="10"/>
        <v>0</v>
      </c>
      <c r="G124" s="2"/>
      <c r="H124" s="2"/>
      <c r="I124" s="2">
        <f t="shared" si="11"/>
        <v>0</v>
      </c>
      <c r="J124" s="2">
        <v>1296.71</v>
      </c>
      <c r="K124" s="2">
        <v>3000</v>
      </c>
      <c r="L124" s="2">
        <f t="shared" si="12"/>
        <v>1703.29</v>
      </c>
      <c r="M124" s="2">
        <v>3770.89</v>
      </c>
      <c r="N124" s="2">
        <v>2000.01</v>
      </c>
      <c r="O124" s="2">
        <f t="shared" si="13"/>
        <v>-1770.8799999999999</v>
      </c>
      <c r="P124" s="2">
        <v>4685.58</v>
      </c>
      <c r="Q124" s="2"/>
      <c r="R124" s="2">
        <f t="shared" si="14"/>
        <v>-4685.58</v>
      </c>
      <c r="S124" s="2">
        <v>103.33</v>
      </c>
      <c r="T124" s="2"/>
      <c r="U124" s="2">
        <f t="shared" si="15"/>
        <v>-103.33</v>
      </c>
      <c r="V124" s="2">
        <v>1256</v>
      </c>
      <c r="W124" s="2">
        <v>2992.82</v>
      </c>
      <c r="X124" s="2">
        <f t="shared" si="16"/>
        <v>1736.8200000000002</v>
      </c>
      <c r="Y124" s="2"/>
      <c r="Z124" s="2">
        <v>2994.12</v>
      </c>
      <c r="AA124" s="2">
        <f t="shared" si="17"/>
        <v>2994.12</v>
      </c>
      <c r="AB124" s="2"/>
      <c r="AC124" s="2"/>
      <c r="AD124" s="2">
        <f t="shared" si="18"/>
        <v>0</v>
      </c>
      <c r="AE124" s="2">
        <v>6044.91</v>
      </c>
      <c r="AF124" s="2">
        <v>5986.94</v>
      </c>
      <c r="AG124" s="2">
        <f t="shared" si="19"/>
        <v>-57.970000000000255</v>
      </c>
    </row>
    <row r="125" spans="1:33" x14ac:dyDescent="0.3">
      <c r="B125" s="3"/>
      <c r="C125" t="str">
        <f xml:space="preserve"> _xll.EPMOlapMemberO("[CLACO].[PARENTH1].[AMSAG_VIAJES]","","Gastos de Viajes","","000")</f>
        <v>Gastos de Viajes</v>
      </c>
      <c r="D125" s="2"/>
      <c r="E125" s="2"/>
      <c r="F125" s="2">
        <f t="shared" si="10"/>
        <v>0</v>
      </c>
      <c r="G125" s="2"/>
      <c r="H125" s="2"/>
      <c r="I125" s="2">
        <f t="shared" si="11"/>
        <v>0</v>
      </c>
      <c r="J125" s="2">
        <v>38620.160000000003</v>
      </c>
      <c r="K125" s="2">
        <v>14058</v>
      </c>
      <c r="L125" s="2">
        <f t="shared" si="12"/>
        <v>-24562.160000000003</v>
      </c>
      <c r="M125" s="2">
        <v>18307.64</v>
      </c>
      <c r="N125" s="2">
        <v>32565.24</v>
      </c>
      <c r="O125" s="2">
        <f t="shared" si="13"/>
        <v>14257.600000000002</v>
      </c>
      <c r="P125" s="2">
        <v>691.65</v>
      </c>
      <c r="Q125" s="2">
        <v>3638.3</v>
      </c>
      <c r="R125" s="2">
        <f t="shared" si="14"/>
        <v>2946.65</v>
      </c>
      <c r="S125" s="2">
        <v>1421.2</v>
      </c>
      <c r="T125" s="2">
        <v>3639.79</v>
      </c>
      <c r="U125" s="2">
        <f t="shared" si="15"/>
        <v>2218.59</v>
      </c>
      <c r="V125" s="2"/>
      <c r="W125" s="2">
        <v>3641.26</v>
      </c>
      <c r="X125" s="2">
        <f t="shared" si="16"/>
        <v>3641.26</v>
      </c>
      <c r="Y125" s="2">
        <v>1850.48</v>
      </c>
      <c r="Z125" s="2">
        <v>3513.11</v>
      </c>
      <c r="AA125" s="2">
        <f t="shared" si="17"/>
        <v>1662.63</v>
      </c>
      <c r="AB125" s="2">
        <v>4591.84</v>
      </c>
      <c r="AC125" s="2"/>
      <c r="AD125" s="2">
        <f t="shared" si="18"/>
        <v>-4591.84</v>
      </c>
      <c r="AE125" s="2">
        <v>8555.17</v>
      </c>
      <c r="AF125" s="2">
        <v>39860.04</v>
      </c>
      <c r="AG125" s="2">
        <f t="shared" si="19"/>
        <v>31304.870000000003</v>
      </c>
    </row>
    <row r="126" spans="1:33" x14ac:dyDescent="0.3">
      <c r="B126" s="3"/>
      <c r="C126" t="str">
        <f xml:space="preserve"> _xll.EPMOlapMemberO("[CLACO].[PARENTH1].[AMSAGGENERALES.2]","","Otros Gastos","","000")</f>
        <v>Otros Gastos</v>
      </c>
      <c r="D126" s="2"/>
      <c r="E126" s="2"/>
      <c r="F126" s="2">
        <f t="shared" si="10"/>
        <v>0</v>
      </c>
      <c r="G126" s="2"/>
      <c r="H126" s="2"/>
      <c r="I126" s="2">
        <f t="shared" si="11"/>
        <v>0</v>
      </c>
      <c r="J126" s="2"/>
      <c r="K126" s="2"/>
      <c r="L126" s="2">
        <f t="shared" si="12"/>
        <v>0</v>
      </c>
      <c r="M126" s="2">
        <v>8937.39</v>
      </c>
      <c r="N126" s="2">
        <v>45000.73</v>
      </c>
      <c r="O126" s="2">
        <f t="shared" si="13"/>
        <v>36063.340000000004</v>
      </c>
      <c r="P126" s="2">
        <v>11.25</v>
      </c>
      <c r="Q126" s="2">
        <v>14951.94</v>
      </c>
      <c r="R126" s="2">
        <f t="shared" si="14"/>
        <v>14940.69</v>
      </c>
      <c r="S126" s="2">
        <v>848.02</v>
      </c>
      <c r="T126" s="2"/>
      <c r="U126" s="2">
        <f t="shared" si="15"/>
        <v>-848.02</v>
      </c>
      <c r="V126" s="2">
        <v>163.36000000000001</v>
      </c>
      <c r="W126" s="2"/>
      <c r="X126" s="2">
        <f t="shared" si="16"/>
        <v>-163.36000000000001</v>
      </c>
      <c r="Y126" s="2">
        <v>612.54</v>
      </c>
      <c r="Z126" s="2">
        <v>9980.44</v>
      </c>
      <c r="AA126" s="2">
        <f t="shared" si="17"/>
        <v>9367.9000000000015</v>
      </c>
      <c r="AB126" s="2">
        <v>14.17</v>
      </c>
      <c r="AC126" s="2"/>
      <c r="AD126" s="2">
        <f t="shared" si="18"/>
        <v>-14.17</v>
      </c>
      <c r="AE126" s="2">
        <v>2139.52</v>
      </c>
      <c r="AF126" s="2">
        <v>44828.84</v>
      </c>
      <c r="AG126" s="2">
        <f t="shared" si="19"/>
        <v>42689.32</v>
      </c>
    </row>
    <row r="127" spans="1:33" x14ac:dyDescent="0.3">
      <c r="A127" t="s">
        <v>14</v>
      </c>
      <c r="B127" s="3" t="str">
        <f xml:space="preserve"> _xll.EPMOlapMemberO("[CECO].[PARENTH3].[AMSA1000AC0540]","","Chief Operating Offi","","000")</f>
        <v>Chief Operating Offi</v>
      </c>
      <c r="C127" t="str">
        <f xml:space="preserve"> _xll.EPMOlapMemberO("[CLACO].[PARENTH1].[AMSAADM_PERSON]","","Administración Perso","","000")</f>
        <v>Administración Perso</v>
      </c>
      <c r="D127" s="2"/>
      <c r="E127" s="2"/>
      <c r="F127" s="2">
        <f t="shared" si="10"/>
        <v>0</v>
      </c>
      <c r="G127" s="2"/>
      <c r="H127" s="2"/>
      <c r="I127" s="2">
        <f t="shared" si="11"/>
        <v>0</v>
      </c>
      <c r="J127" s="2"/>
      <c r="K127" s="2"/>
      <c r="L127" s="2">
        <f t="shared" si="12"/>
        <v>0</v>
      </c>
      <c r="M127" s="2">
        <v>32597.1</v>
      </c>
      <c r="N127" s="2"/>
      <c r="O127" s="2">
        <f t="shared" si="13"/>
        <v>-32597.1</v>
      </c>
      <c r="P127" s="2"/>
      <c r="Q127" s="2"/>
      <c r="R127" s="2">
        <f t="shared" si="14"/>
        <v>0</v>
      </c>
      <c r="S127" s="2"/>
      <c r="T127" s="2"/>
      <c r="U127" s="2">
        <f t="shared" si="15"/>
        <v>0</v>
      </c>
      <c r="V127" s="2"/>
      <c r="W127" s="2"/>
      <c r="X127" s="2">
        <f t="shared" si="16"/>
        <v>0</v>
      </c>
      <c r="Y127" s="2"/>
      <c r="Z127" s="2"/>
      <c r="AA127" s="2">
        <f t="shared" si="17"/>
        <v>0</v>
      </c>
      <c r="AB127" s="2"/>
      <c r="AC127" s="2"/>
      <c r="AD127" s="2">
        <f t="shared" si="18"/>
        <v>0</v>
      </c>
      <c r="AE127" s="2"/>
      <c r="AF127" s="2"/>
      <c r="AG127" s="2">
        <f t="shared" si="19"/>
        <v>0</v>
      </c>
    </row>
    <row r="128" spans="1:33" x14ac:dyDescent="0.3">
      <c r="B128" s="3"/>
      <c r="C128" t="str">
        <f xml:space="preserve"> _xll.EPMOlapMemberO("[CLACO].[PARENTH1].[AMSAENTRENAMI]","","Entrenamiento","","000")</f>
        <v>Entrenamiento</v>
      </c>
      <c r="D128" s="2"/>
      <c r="E128" s="2"/>
      <c r="F128" s="2">
        <f t="shared" si="10"/>
        <v>0</v>
      </c>
      <c r="G128" s="2"/>
      <c r="H128" s="2"/>
      <c r="I128" s="2">
        <f t="shared" si="11"/>
        <v>0</v>
      </c>
      <c r="J128" s="2">
        <v>44841.68</v>
      </c>
      <c r="K128" s="2">
        <v>12578.62</v>
      </c>
      <c r="L128" s="2">
        <f t="shared" si="12"/>
        <v>-32263.059999999998</v>
      </c>
      <c r="M128" s="2">
        <v>16548.259999999998</v>
      </c>
      <c r="N128" s="2">
        <v>12578.4</v>
      </c>
      <c r="O128" s="2">
        <f t="shared" si="13"/>
        <v>-3969.8599999999988</v>
      </c>
      <c r="P128" s="2"/>
      <c r="Q128" s="2"/>
      <c r="R128" s="2">
        <f t="shared" si="14"/>
        <v>0</v>
      </c>
      <c r="S128" s="2"/>
      <c r="T128" s="2"/>
      <c r="U128" s="2">
        <f t="shared" si="15"/>
        <v>0</v>
      </c>
      <c r="V128" s="2"/>
      <c r="W128" s="2"/>
      <c r="X128" s="2">
        <f t="shared" si="16"/>
        <v>0</v>
      </c>
      <c r="Y128" s="2"/>
      <c r="Z128" s="2"/>
      <c r="AA128" s="2">
        <f t="shared" si="17"/>
        <v>0</v>
      </c>
      <c r="AB128" s="2"/>
      <c r="AC128" s="2"/>
      <c r="AD128" s="2">
        <f t="shared" si="18"/>
        <v>0</v>
      </c>
      <c r="AE128" s="2"/>
      <c r="AF128" s="2">
        <v>16220.36</v>
      </c>
      <c r="AG128" s="2">
        <f t="shared" si="19"/>
        <v>16220.36</v>
      </c>
    </row>
    <row r="129" spans="1:33" x14ac:dyDescent="0.3">
      <c r="B129" s="3"/>
      <c r="C129" t="str">
        <f xml:space="preserve"> _xll.EPMOlapMemberO("[CLACO].[PARENTH1].[AMSAASESORIAS]","","Asesorías y Consulto","","000")</f>
        <v>Asesorías y Consulto</v>
      </c>
      <c r="D129" s="2"/>
      <c r="E129" s="2"/>
      <c r="F129" s="2">
        <f t="shared" si="10"/>
        <v>0</v>
      </c>
      <c r="G129" s="2"/>
      <c r="H129" s="2"/>
      <c r="I129" s="2">
        <f t="shared" si="11"/>
        <v>0</v>
      </c>
      <c r="J129" s="2"/>
      <c r="K129" s="2">
        <v>200000</v>
      </c>
      <c r="L129" s="2">
        <f t="shared" si="12"/>
        <v>200000</v>
      </c>
      <c r="M129" s="2"/>
      <c r="N129" s="2">
        <v>79999.67</v>
      </c>
      <c r="O129" s="2">
        <f t="shared" si="13"/>
        <v>79999.67</v>
      </c>
      <c r="P129" s="2"/>
      <c r="Q129" s="2"/>
      <c r="R129" s="2">
        <f t="shared" si="14"/>
        <v>0</v>
      </c>
      <c r="S129" s="2"/>
      <c r="T129" s="2">
        <v>11217.84</v>
      </c>
      <c r="U129" s="2">
        <f t="shared" si="15"/>
        <v>11217.84</v>
      </c>
      <c r="V129" s="2"/>
      <c r="W129" s="2"/>
      <c r="X129" s="2">
        <f t="shared" si="16"/>
        <v>0</v>
      </c>
      <c r="Y129" s="2"/>
      <c r="Z129" s="2"/>
      <c r="AA129" s="2">
        <f t="shared" si="17"/>
        <v>0</v>
      </c>
      <c r="AB129" s="2"/>
      <c r="AC129" s="2"/>
      <c r="AD129" s="2">
        <f t="shared" si="18"/>
        <v>0</v>
      </c>
      <c r="AE129" s="2"/>
      <c r="AF129" s="2">
        <v>62727.07</v>
      </c>
      <c r="AG129" s="2">
        <f t="shared" si="19"/>
        <v>62727.07</v>
      </c>
    </row>
    <row r="130" spans="1:33" x14ac:dyDescent="0.3">
      <c r="B130" s="3"/>
      <c r="C130" t="str">
        <f xml:space="preserve"> _xll.EPMOlapMemberO("[CLACO].[PARENTH1].[AMSASERMANTO.REPA]","","Servicios Mantenimie","","000")</f>
        <v>Servicios Mantenimie</v>
      </c>
      <c r="D130" s="2"/>
      <c r="E130" s="2"/>
      <c r="F130" s="2">
        <f t="shared" si="10"/>
        <v>0</v>
      </c>
      <c r="G130" s="2"/>
      <c r="H130" s="2"/>
      <c r="I130" s="2">
        <f t="shared" si="11"/>
        <v>0</v>
      </c>
      <c r="J130" s="2"/>
      <c r="K130" s="2"/>
      <c r="L130" s="2">
        <f t="shared" si="12"/>
        <v>0</v>
      </c>
      <c r="M130" s="2">
        <v>204.81</v>
      </c>
      <c r="N130" s="2"/>
      <c r="O130" s="2">
        <f t="shared" si="13"/>
        <v>-204.81</v>
      </c>
      <c r="P130" s="2"/>
      <c r="Q130" s="2"/>
      <c r="R130" s="2">
        <f t="shared" si="14"/>
        <v>0</v>
      </c>
      <c r="S130" s="2"/>
      <c r="T130" s="2"/>
      <c r="U130" s="2">
        <f t="shared" si="15"/>
        <v>0</v>
      </c>
      <c r="V130" s="2"/>
      <c r="W130" s="2"/>
      <c r="X130" s="2">
        <f t="shared" si="16"/>
        <v>0</v>
      </c>
      <c r="Y130" s="2"/>
      <c r="Z130" s="2"/>
      <c r="AA130" s="2">
        <f t="shared" si="17"/>
        <v>0</v>
      </c>
      <c r="AB130" s="2"/>
      <c r="AC130" s="2"/>
      <c r="AD130" s="2">
        <f t="shared" si="18"/>
        <v>0</v>
      </c>
      <c r="AE130" s="2"/>
      <c r="AF130" s="2"/>
      <c r="AG130" s="2">
        <f t="shared" si="19"/>
        <v>0</v>
      </c>
    </row>
    <row r="131" spans="1:33" x14ac:dyDescent="0.3">
      <c r="B131" s="3"/>
      <c r="C131" t="str">
        <f xml:space="preserve"> _xll.EPMOlapMemberO("[CLACO].[PARENTH1].[AMSAINFORMATIC]","","Informática y Comuni","","000")</f>
        <v>Informática y Comuni</v>
      </c>
      <c r="D131" s="2"/>
      <c r="E131" s="2"/>
      <c r="F131" s="2">
        <f t="shared" si="10"/>
        <v>0</v>
      </c>
      <c r="G131" s="2">
        <v>861.08</v>
      </c>
      <c r="H131" s="2"/>
      <c r="I131" s="2">
        <f t="shared" si="11"/>
        <v>-861.08</v>
      </c>
      <c r="J131" s="2">
        <v>383.07</v>
      </c>
      <c r="K131" s="2">
        <v>5000</v>
      </c>
      <c r="L131" s="2">
        <f t="shared" si="12"/>
        <v>4616.93</v>
      </c>
      <c r="M131" s="2">
        <v>746.5</v>
      </c>
      <c r="N131" s="2">
        <v>5000.0600000000004</v>
      </c>
      <c r="O131" s="2">
        <f t="shared" si="13"/>
        <v>4253.5600000000004</v>
      </c>
      <c r="P131" s="2">
        <v>219.17</v>
      </c>
      <c r="Q131" s="2">
        <v>498.4</v>
      </c>
      <c r="R131" s="2">
        <f t="shared" si="14"/>
        <v>279.23</v>
      </c>
      <c r="S131" s="2"/>
      <c r="T131" s="2">
        <v>498.58</v>
      </c>
      <c r="U131" s="2">
        <f t="shared" si="15"/>
        <v>498.58</v>
      </c>
      <c r="V131" s="2">
        <v>34.32</v>
      </c>
      <c r="W131" s="2">
        <v>498.82</v>
      </c>
      <c r="X131" s="2">
        <f t="shared" si="16"/>
        <v>464.5</v>
      </c>
      <c r="Y131" s="2"/>
      <c r="Z131" s="2">
        <v>499.05</v>
      </c>
      <c r="AA131" s="2">
        <f t="shared" si="17"/>
        <v>499.05</v>
      </c>
      <c r="AB131" s="2"/>
      <c r="AC131" s="2">
        <v>499.25</v>
      </c>
      <c r="AD131" s="2">
        <f t="shared" si="18"/>
        <v>499.25</v>
      </c>
      <c r="AE131" s="2">
        <v>253.49</v>
      </c>
      <c r="AF131" s="2">
        <v>4983.13</v>
      </c>
      <c r="AG131" s="2">
        <f t="shared" si="19"/>
        <v>4729.6400000000003</v>
      </c>
    </row>
    <row r="132" spans="1:33" x14ac:dyDescent="0.3">
      <c r="B132" s="3"/>
      <c r="C132" t="str">
        <f xml:space="preserve"> _xll.EPMOlapMemberO("[CLACO].[PARENTH1].[AMSAG_VIAJES]","","Gastos de Viajes","","000")</f>
        <v>Gastos de Viajes</v>
      </c>
      <c r="D132" s="2"/>
      <c r="E132" s="2"/>
      <c r="F132" s="2">
        <f t="shared" si="10"/>
        <v>0</v>
      </c>
      <c r="G132" s="2">
        <v>6403.48</v>
      </c>
      <c r="H132" s="2"/>
      <c r="I132" s="2">
        <f t="shared" si="11"/>
        <v>-6403.48</v>
      </c>
      <c r="J132" s="2">
        <v>29454.91</v>
      </c>
      <c r="K132" s="2">
        <v>36896.019999999997</v>
      </c>
      <c r="L132" s="2">
        <f t="shared" si="12"/>
        <v>7441.1099999999969</v>
      </c>
      <c r="M132" s="2">
        <v>52661.47</v>
      </c>
      <c r="N132" s="2">
        <v>36896.17</v>
      </c>
      <c r="O132" s="2">
        <f t="shared" si="13"/>
        <v>-15765.300000000003</v>
      </c>
      <c r="P132" s="2">
        <v>1873.36</v>
      </c>
      <c r="Q132" s="2">
        <v>997.78</v>
      </c>
      <c r="R132" s="2">
        <f t="shared" si="14"/>
        <v>-875.57999999999993</v>
      </c>
      <c r="S132" s="2">
        <v>3642.94</v>
      </c>
      <c r="T132" s="2">
        <v>1338.19</v>
      </c>
      <c r="U132" s="2">
        <f t="shared" si="15"/>
        <v>-2304.75</v>
      </c>
      <c r="V132" s="2">
        <v>1707.98</v>
      </c>
      <c r="W132" s="2">
        <v>998.65</v>
      </c>
      <c r="X132" s="2">
        <f t="shared" si="16"/>
        <v>-709.33</v>
      </c>
      <c r="Y132" s="2">
        <v>3765.61</v>
      </c>
      <c r="Z132" s="2">
        <v>1339.42</v>
      </c>
      <c r="AA132" s="2">
        <f t="shared" si="17"/>
        <v>-2426.19</v>
      </c>
      <c r="AB132" s="2">
        <v>2225.64</v>
      </c>
      <c r="AC132" s="2">
        <v>999.5</v>
      </c>
      <c r="AD132" s="2">
        <f t="shared" si="18"/>
        <v>-1226.1399999999999</v>
      </c>
      <c r="AE132" s="2">
        <v>15593.4</v>
      </c>
      <c r="AF132" s="2">
        <v>36715.29</v>
      </c>
      <c r="AG132" s="2">
        <f t="shared" si="19"/>
        <v>21121.89</v>
      </c>
    </row>
    <row r="133" spans="1:33" x14ac:dyDescent="0.3">
      <c r="B133" s="3"/>
      <c r="C133" t="str">
        <f xml:space="preserve"> _xll.EPMOlapMemberO("[CLACO].[PARENTH1].[AMSAGGENERALES.2]","","Otros Gastos","","000")</f>
        <v>Otros Gastos</v>
      </c>
      <c r="D133" s="2"/>
      <c r="E133" s="2"/>
      <c r="F133" s="2">
        <f t="shared" si="10"/>
        <v>0</v>
      </c>
      <c r="G133" s="2">
        <v>462.96</v>
      </c>
      <c r="H133" s="2"/>
      <c r="I133" s="2">
        <f t="shared" si="11"/>
        <v>-462.96</v>
      </c>
      <c r="J133" s="2">
        <v>331.35</v>
      </c>
      <c r="K133" s="2">
        <v>6522.02</v>
      </c>
      <c r="L133" s="2">
        <f t="shared" si="12"/>
        <v>6190.67</v>
      </c>
      <c r="M133" s="2">
        <v>12850.94</v>
      </c>
      <c r="N133" s="2">
        <v>6000.03</v>
      </c>
      <c r="O133" s="2">
        <f t="shared" si="13"/>
        <v>-6850.9100000000008</v>
      </c>
      <c r="P133" s="2">
        <v>79.52</v>
      </c>
      <c r="Q133" s="2">
        <v>598.05999999999995</v>
      </c>
      <c r="R133" s="2">
        <f t="shared" si="14"/>
        <v>518.54</v>
      </c>
      <c r="S133" s="2">
        <v>21.48</v>
      </c>
      <c r="T133" s="2">
        <v>598.29999999999995</v>
      </c>
      <c r="U133" s="2">
        <f t="shared" si="15"/>
        <v>576.81999999999994</v>
      </c>
      <c r="V133" s="2">
        <v>-8852.81</v>
      </c>
      <c r="W133" s="2">
        <v>598.59</v>
      </c>
      <c r="X133" s="2">
        <f t="shared" si="16"/>
        <v>9451.4</v>
      </c>
      <c r="Y133" s="2">
        <v>326.77999999999997</v>
      </c>
      <c r="Z133" s="2">
        <v>598.83000000000004</v>
      </c>
      <c r="AA133" s="2">
        <f t="shared" si="17"/>
        <v>272.05000000000007</v>
      </c>
      <c r="AB133" s="2"/>
      <c r="AC133" s="2">
        <v>249.62</v>
      </c>
      <c r="AD133" s="2">
        <f t="shared" si="18"/>
        <v>249.62</v>
      </c>
      <c r="AE133" s="2">
        <v>-8369.94</v>
      </c>
      <c r="AF133" s="2">
        <v>5978.26</v>
      </c>
      <c r="AG133" s="2">
        <f t="shared" si="19"/>
        <v>14348.2</v>
      </c>
    </row>
    <row r="134" spans="1:33" x14ac:dyDescent="0.3">
      <c r="A134" t="s">
        <v>15</v>
      </c>
      <c r="B134" s="3" t="str">
        <f xml:space="preserve"> _xll.EPMOlapMemberO("[CECO].[PARENTH3].[AMSA1000AC7012]","","Data y Analít Avanza","","000")</f>
        <v>Data y Analít Avanza</v>
      </c>
      <c r="C134" t="str">
        <f xml:space="preserve"> _xll.EPMOlapMemberO("[CLACO].[PARENTH1].[AMSAREMUNERACI.SS]","","Remuneraciones Super","","000")</f>
        <v>Remuneraciones Super</v>
      </c>
      <c r="D134" s="2">
        <v>746226.02</v>
      </c>
      <c r="E134" s="2">
        <v>870004.59</v>
      </c>
      <c r="F134" s="2">
        <f t="shared" si="10"/>
        <v>123778.56999999995</v>
      </c>
      <c r="G134" s="2">
        <v>1173200.8700000001</v>
      </c>
      <c r="H134" s="2">
        <v>838288.79</v>
      </c>
      <c r="I134" s="2">
        <f t="shared" si="11"/>
        <v>-334912.08000000007</v>
      </c>
      <c r="J134" s="2">
        <v>1269032.29</v>
      </c>
      <c r="K134" s="2">
        <v>1416368.33</v>
      </c>
      <c r="L134" s="2">
        <f t="shared" si="12"/>
        <v>147336.04000000004</v>
      </c>
      <c r="M134" s="2">
        <v>1539198.49</v>
      </c>
      <c r="N134" s="2">
        <v>1456352.99</v>
      </c>
      <c r="O134" s="2">
        <f t="shared" si="13"/>
        <v>-82845.5</v>
      </c>
      <c r="P134" s="2">
        <v>128345.92</v>
      </c>
      <c r="Q134" s="2">
        <v>118254.35</v>
      </c>
      <c r="R134" s="2">
        <f t="shared" si="14"/>
        <v>-10091.569999999992</v>
      </c>
      <c r="S134" s="2">
        <v>126575.09</v>
      </c>
      <c r="T134" s="2">
        <v>133446.92000000001</v>
      </c>
      <c r="U134" s="2">
        <f t="shared" si="15"/>
        <v>6871.8300000000163</v>
      </c>
      <c r="V134" s="2">
        <v>119718.26</v>
      </c>
      <c r="W134" s="2">
        <v>123720.88</v>
      </c>
      <c r="X134" s="2">
        <f t="shared" si="16"/>
        <v>4002.6200000000099</v>
      </c>
      <c r="Y134" s="2">
        <v>167015.46</v>
      </c>
      <c r="Z134" s="2">
        <v>139647.85999999999</v>
      </c>
      <c r="AA134" s="2">
        <f t="shared" si="17"/>
        <v>-27367.600000000006</v>
      </c>
      <c r="AB134" s="2">
        <v>100750.85</v>
      </c>
      <c r="AC134" s="2">
        <v>121931.67</v>
      </c>
      <c r="AD134" s="2">
        <f t="shared" si="18"/>
        <v>21180.819999999992</v>
      </c>
      <c r="AE134" s="2">
        <v>643957.03</v>
      </c>
      <c r="AF134" s="2">
        <v>1495511.76</v>
      </c>
      <c r="AG134" s="2">
        <f t="shared" si="19"/>
        <v>851554.73</v>
      </c>
    </row>
    <row r="135" spans="1:33" x14ac:dyDescent="0.3">
      <c r="B135" s="3"/>
      <c r="C135" t="str">
        <f xml:space="preserve"> _xll.EPMOlapMemberO("[CLACO].[PARENTH1].[AMSAMAT_Y_REP.2]","","Materiales y repuest","","000")</f>
        <v>Materiales y repuest</v>
      </c>
      <c r="D135" s="2"/>
      <c r="E135" s="2"/>
      <c r="F135" s="2">
        <f t="shared" si="10"/>
        <v>0</v>
      </c>
      <c r="G135" s="2">
        <v>0</v>
      </c>
      <c r="H135" s="2"/>
      <c r="I135" s="2">
        <f t="shared" si="11"/>
        <v>0</v>
      </c>
      <c r="J135" s="2"/>
      <c r="K135" s="2"/>
      <c r="L135" s="2">
        <f t="shared" si="12"/>
        <v>0</v>
      </c>
      <c r="M135" s="2"/>
      <c r="N135" s="2"/>
      <c r="O135" s="2">
        <f t="shared" si="13"/>
        <v>0</v>
      </c>
      <c r="P135" s="2"/>
      <c r="Q135" s="2"/>
      <c r="R135" s="2">
        <f t="shared" si="14"/>
        <v>0</v>
      </c>
      <c r="S135" s="2"/>
      <c r="T135" s="2"/>
      <c r="U135" s="2">
        <f t="shared" si="15"/>
        <v>0</v>
      </c>
      <c r="V135" s="2"/>
      <c r="W135" s="2"/>
      <c r="X135" s="2">
        <f t="shared" si="16"/>
        <v>0</v>
      </c>
      <c r="Y135" s="2"/>
      <c r="Z135" s="2"/>
      <c r="AA135" s="2">
        <f t="shared" si="17"/>
        <v>0</v>
      </c>
      <c r="AB135" s="2"/>
      <c r="AC135" s="2"/>
      <c r="AD135" s="2">
        <f t="shared" si="18"/>
        <v>0</v>
      </c>
      <c r="AE135" s="2"/>
      <c r="AF135" s="2"/>
      <c r="AG135" s="2">
        <f t="shared" si="19"/>
        <v>0</v>
      </c>
    </row>
    <row r="136" spans="1:33" x14ac:dyDescent="0.3">
      <c r="B136" s="3"/>
      <c r="C136" t="str">
        <f xml:space="preserve"> _xll.EPMOlapMemberO("[CLACO].[PARENTH1].[AMSAADM_PERSON]","","Administración Perso","","000")</f>
        <v>Administración Perso</v>
      </c>
      <c r="D136" s="2"/>
      <c r="E136" s="2"/>
      <c r="F136" s="2">
        <f t="shared" si="10"/>
        <v>0</v>
      </c>
      <c r="G136" s="2"/>
      <c r="H136" s="2"/>
      <c r="I136" s="2">
        <f t="shared" si="11"/>
        <v>0</v>
      </c>
      <c r="J136" s="2"/>
      <c r="K136" s="2"/>
      <c r="L136" s="2">
        <f t="shared" si="12"/>
        <v>0</v>
      </c>
      <c r="M136" s="2">
        <v>10.27</v>
      </c>
      <c r="N136" s="2"/>
      <c r="O136" s="2">
        <f t="shared" si="13"/>
        <v>-10.27</v>
      </c>
      <c r="P136" s="2"/>
      <c r="Q136" s="2"/>
      <c r="R136" s="2">
        <f t="shared" si="14"/>
        <v>0</v>
      </c>
      <c r="S136" s="2"/>
      <c r="T136" s="2"/>
      <c r="U136" s="2">
        <f t="shared" si="15"/>
        <v>0</v>
      </c>
      <c r="V136" s="2"/>
      <c r="W136" s="2"/>
      <c r="X136" s="2">
        <f t="shared" si="16"/>
        <v>0</v>
      </c>
      <c r="Y136" s="2"/>
      <c r="Z136" s="2"/>
      <c r="AA136" s="2">
        <f t="shared" si="17"/>
        <v>0</v>
      </c>
      <c r="AB136" s="2"/>
      <c r="AC136" s="2"/>
      <c r="AD136" s="2">
        <f t="shared" si="18"/>
        <v>0</v>
      </c>
      <c r="AE136" s="2"/>
      <c r="AF136" s="2"/>
      <c r="AG136" s="2">
        <f t="shared" si="19"/>
        <v>0</v>
      </c>
    </row>
    <row r="137" spans="1:33" x14ac:dyDescent="0.3">
      <c r="B137" s="3"/>
      <c r="C137" t="str">
        <f xml:space="preserve"> _xll.EPMOlapMemberO("[CLACO].[PARENTH1].[AMSAENTRENAMI]","","Entrenamiento","","000")</f>
        <v>Entrenamiento</v>
      </c>
      <c r="D137" s="2">
        <v>-659.18</v>
      </c>
      <c r="E137" s="2"/>
      <c r="F137" s="2">
        <f t="shared" si="10"/>
        <v>659.18</v>
      </c>
      <c r="G137" s="2"/>
      <c r="H137" s="2"/>
      <c r="I137" s="2">
        <f t="shared" si="11"/>
        <v>0</v>
      </c>
      <c r="J137" s="2">
        <v>8715.57</v>
      </c>
      <c r="K137" s="2"/>
      <c r="L137" s="2">
        <f t="shared" si="12"/>
        <v>-8715.57</v>
      </c>
      <c r="M137" s="2">
        <v>712.07</v>
      </c>
      <c r="N137" s="2"/>
      <c r="O137" s="2">
        <f t="shared" si="13"/>
        <v>-712.07</v>
      </c>
      <c r="P137" s="2"/>
      <c r="Q137" s="2"/>
      <c r="R137" s="2">
        <f t="shared" si="14"/>
        <v>0</v>
      </c>
      <c r="S137" s="2"/>
      <c r="T137" s="2"/>
      <c r="U137" s="2">
        <f t="shared" si="15"/>
        <v>0</v>
      </c>
      <c r="V137" s="2"/>
      <c r="W137" s="2"/>
      <c r="X137" s="2">
        <f t="shared" si="16"/>
        <v>0</v>
      </c>
      <c r="Y137" s="2"/>
      <c r="Z137" s="2"/>
      <c r="AA137" s="2">
        <f t="shared" si="17"/>
        <v>0</v>
      </c>
      <c r="AB137" s="2"/>
      <c r="AC137" s="2"/>
      <c r="AD137" s="2">
        <f t="shared" si="18"/>
        <v>0</v>
      </c>
      <c r="AE137" s="2"/>
      <c r="AF137" s="2"/>
      <c r="AG137" s="2">
        <f t="shared" si="19"/>
        <v>0</v>
      </c>
    </row>
    <row r="138" spans="1:33" x14ac:dyDescent="0.3">
      <c r="B138" s="3"/>
      <c r="C138" t="str">
        <f xml:space="preserve"> _xll.EPMOlapMemberO("[CLACO].[PARENTH1].[AMSAASESORIAS]","","Asesorías y Consulto","","000")</f>
        <v>Asesorías y Consulto</v>
      </c>
      <c r="D138" s="2">
        <v>640000</v>
      </c>
      <c r="E138" s="2">
        <v>527493.34</v>
      </c>
      <c r="F138" s="2">
        <f t="shared" si="10"/>
        <v>-112506.66000000003</v>
      </c>
      <c r="G138" s="2">
        <v>506.42</v>
      </c>
      <c r="H138" s="2"/>
      <c r="I138" s="2">
        <f t="shared" si="11"/>
        <v>-506.42</v>
      </c>
      <c r="J138" s="2"/>
      <c r="K138" s="2"/>
      <c r="L138" s="2">
        <f t="shared" si="12"/>
        <v>0</v>
      </c>
      <c r="M138" s="2"/>
      <c r="N138" s="2"/>
      <c r="O138" s="2">
        <f t="shared" si="13"/>
        <v>0</v>
      </c>
      <c r="P138" s="2"/>
      <c r="Q138" s="2"/>
      <c r="R138" s="2">
        <f t="shared" si="14"/>
        <v>0</v>
      </c>
      <c r="S138" s="2"/>
      <c r="T138" s="2"/>
      <c r="U138" s="2">
        <f t="shared" si="15"/>
        <v>0</v>
      </c>
      <c r="V138" s="2"/>
      <c r="W138" s="2"/>
      <c r="X138" s="2">
        <f t="shared" si="16"/>
        <v>0</v>
      </c>
      <c r="Y138" s="2"/>
      <c r="Z138" s="2"/>
      <c r="AA138" s="2">
        <f t="shared" si="17"/>
        <v>0</v>
      </c>
      <c r="AB138" s="2"/>
      <c r="AC138" s="2"/>
      <c r="AD138" s="2">
        <f t="shared" si="18"/>
        <v>0</v>
      </c>
      <c r="AE138" s="2"/>
      <c r="AF138" s="2"/>
      <c r="AG138" s="2">
        <f t="shared" si="19"/>
        <v>0</v>
      </c>
    </row>
    <row r="139" spans="1:33" x14ac:dyDescent="0.3">
      <c r="B139" s="3"/>
      <c r="C139" t="str">
        <f xml:space="preserve"> _xll.EPMOlapMemberO("[CLACO].[PARENTH1].[AMSAARRIENDOS]","","Arriendos","","000")</f>
        <v>Arriendos</v>
      </c>
      <c r="D139" s="2"/>
      <c r="E139" s="2"/>
      <c r="F139" s="2">
        <f t="shared" ref="F139:F202" si="20">+E139-D139</f>
        <v>0</v>
      </c>
      <c r="G139" s="2"/>
      <c r="H139" s="2"/>
      <c r="I139" s="2">
        <f t="shared" ref="I139:I202" si="21">+H139-G139</f>
        <v>0</v>
      </c>
      <c r="J139" s="2"/>
      <c r="K139" s="2"/>
      <c r="L139" s="2">
        <f t="shared" ref="L139:L202" si="22">+K139-J139</f>
        <v>0</v>
      </c>
      <c r="M139" s="2">
        <v>165.77</v>
      </c>
      <c r="N139" s="2"/>
      <c r="O139" s="2">
        <f t="shared" ref="O139:O202" si="23">+N139-M139</f>
        <v>-165.77</v>
      </c>
      <c r="P139" s="2"/>
      <c r="Q139" s="2"/>
      <c r="R139" s="2">
        <f t="shared" ref="R139:R202" si="24">+Q139-P139</f>
        <v>0</v>
      </c>
      <c r="S139" s="2"/>
      <c r="T139" s="2"/>
      <c r="U139" s="2">
        <f t="shared" ref="U139:U202" si="25">+T139-S139</f>
        <v>0</v>
      </c>
      <c r="V139" s="2"/>
      <c r="W139" s="2"/>
      <c r="X139" s="2">
        <f t="shared" ref="X139:X202" si="26">+W139-V139</f>
        <v>0</v>
      </c>
      <c r="Y139" s="2"/>
      <c r="Z139" s="2"/>
      <c r="AA139" s="2">
        <f t="shared" ref="AA139:AA202" si="27">+Z139-Y139</f>
        <v>0</v>
      </c>
      <c r="AB139" s="2"/>
      <c r="AC139" s="2"/>
      <c r="AD139" s="2">
        <f t="shared" ref="AD139:AD202" si="28">+AC139-AB139</f>
        <v>0</v>
      </c>
      <c r="AE139" s="2"/>
      <c r="AF139" s="2"/>
      <c r="AG139" s="2">
        <f t="shared" ref="AG139:AG202" si="29">+AF139-AE139</f>
        <v>0</v>
      </c>
    </row>
    <row r="140" spans="1:33" x14ac:dyDescent="0.3">
      <c r="B140" s="3"/>
      <c r="C140" t="str">
        <f xml:space="preserve"> _xll.EPMOlapMemberO("[CLACO].[PARENTH1].[AMSASERVICIOS]","","Servicios","","000")</f>
        <v>Servicios</v>
      </c>
      <c r="D140" s="2"/>
      <c r="E140" s="2"/>
      <c r="F140" s="2">
        <f t="shared" si="20"/>
        <v>0</v>
      </c>
      <c r="G140" s="2">
        <v>293.52</v>
      </c>
      <c r="H140" s="2"/>
      <c r="I140" s="2">
        <f t="shared" si="21"/>
        <v>-293.52</v>
      </c>
      <c r="J140" s="2">
        <v>13935.73</v>
      </c>
      <c r="K140" s="2"/>
      <c r="L140" s="2">
        <f t="shared" si="22"/>
        <v>-13935.73</v>
      </c>
      <c r="M140" s="2">
        <v>8341.27</v>
      </c>
      <c r="N140" s="2">
        <v>2910.56</v>
      </c>
      <c r="O140" s="2">
        <f t="shared" si="23"/>
        <v>-5430.7100000000009</v>
      </c>
      <c r="P140" s="2">
        <v>756.75</v>
      </c>
      <c r="Q140" s="2">
        <v>728.32</v>
      </c>
      <c r="R140" s="2">
        <f t="shared" si="24"/>
        <v>-28.42999999999995</v>
      </c>
      <c r="S140" s="2">
        <v>783.68</v>
      </c>
      <c r="T140" s="2">
        <v>726.29</v>
      </c>
      <c r="U140" s="2">
        <f t="shared" si="25"/>
        <v>-57.389999999999986</v>
      </c>
      <c r="V140" s="2">
        <v>2095.86</v>
      </c>
      <c r="W140" s="2">
        <v>724.25</v>
      </c>
      <c r="X140" s="2">
        <f t="shared" si="26"/>
        <v>-1371.6100000000001</v>
      </c>
      <c r="Y140" s="2"/>
      <c r="Z140" s="2">
        <v>722.22</v>
      </c>
      <c r="AA140" s="2">
        <f t="shared" si="27"/>
        <v>722.22</v>
      </c>
      <c r="AB140" s="2">
        <v>1181.03</v>
      </c>
      <c r="AC140" s="2">
        <v>720.25</v>
      </c>
      <c r="AD140" s="2">
        <f t="shared" si="28"/>
        <v>-460.78</v>
      </c>
      <c r="AE140" s="2">
        <v>19249.39</v>
      </c>
      <c r="AF140" s="2">
        <v>13503.35</v>
      </c>
      <c r="AG140" s="2">
        <f t="shared" si="29"/>
        <v>-5746.0399999999991</v>
      </c>
    </row>
    <row r="141" spans="1:33" x14ac:dyDescent="0.3">
      <c r="B141" s="3"/>
      <c r="C141" t="str">
        <f xml:space="preserve"> _xll.EPMOlapMemberO("[CLACO].[PARENTH1].[AMSASERMANTO.REPA]","","Servicios Mantenimie","","000")</f>
        <v>Servicios Mantenimie</v>
      </c>
      <c r="D141" s="2"/>
      <c r="E141" s="2"/>
      <c r="F141" s="2">
        <f t="shared" si="20"/>
        <v>0</v>
      </c>
      <c r="G141" s="2"/>
      <c r="H141" s="2"/>
      <c r="I141" s="2">
        <f t="shared" si="21"/>
        <v>0</v>
      </c>
      <c r="J141" s="2"/>
      <c r="K141" s="2"/>
      <c r="L141" s="2">
        <f t="shared" si="22"/>
        <v>0</v>
      </c>
      <c r="M141" s="2">
        <v>21.82</v>
      </c>
      <c r="N141" s="2"/>
      <c r="O141" s="2">
        <f t="shared" si="23"/>
        <v>-21.82</v>
      </c>
      <c r="P141" s="2"/>
      <c r="Q141" s="2"/>
      <c r="R141" s="2">
        <f t="shared" si="24"/>
        <v>0</v>
      </c>
      <c r="S141" s="2"/>
      <c r="T141" s="2"/>
      <c r="U141" s="2">
        <f t="shared" si="25"/>
        <v>0</v>
      </c>
      <c r="V141" s="2"/>
      <c r="W141" s="2"/>
      <c r="X141" s="2">
        <f t="shared" si="26"/>
        <v>0</v>
      </c>
      <c r="Y141" s="2"/>
      <c r="Z141" s="2"/>
      <c r="AA141" s="2">
        <f t="shared" si="27"/>
        <v>0</v>
      </c>
      <c r="AB141" s="2"/>
      <c r="AC141" s="2"/>
      <c r="AD141" s="2">
        <f t="shared" si="28"/>
        <v>0</v>
      </c>
      <c r="AE141" s="2"/>
      <c r="AF141" s="2"/>
      <c r="AG141" s="2">
        <f t="shared" si="29"/>
        <v>0</v>
      </c>
    </row>
    <row r="142" spans="1:33" x14ac:dyDescent="0.3">
      <c r="B142" s="3"/>
      <c r="C142" t="str">
        <f xml:space="preserve"> _xll.EPMOlapMemberO("[CLACO].[PARENTH1].[AMSAINFORMATIC]","","Informática y Comuni","","000")</f>
        <v>Informática y Comuni</v>
      </c>
      <c r="D142" s="2">
        <v>5209061.6399999997</v>
      </c>
      <c r="E142" s="2">
        <v>4101251.9</v>
      </c>
      <c r="F142" s="2">
        <f t="shared" si="20"/>
        <v>-1107809.7399999998</v>
      </c>
      <c r="G142" s="2">
        <v>4639259.25</v>
      </c>
      <c r="H142" s="2">
        <v>4508466.3899999997</v>
      </c>
      <c r="I142" s="2">
        <f t="shared" si="21"/>
        <v>-130792.86000000034</v>
      </c>
      <c r="J142" s="2">
        <v>4309639.7699999996</v>
      </c>
      <c r="K142" s="2">
        <v>4607234.22</v>
      </c>
      <c r="L142" s="2">
        <f t="shared" si="22"/>
        <v>297594.45000000019</v>
      </c>
      <c r="M142" s="2">
        <v>3625361.42</v>
      </c>
      <c r="N142" s="2">
        <v>3679327.9</v>
      </c>
      <c r="O142" s="2">
        <f t="shared" si="23"/>
        <v>53966.479999999981</v>
      </c>
      <c r="P142" s="2">
        <v>370932.09</v>
      </c>
      <c r="Q142" s="2">
        <v>480124.74</v>
      </c>
      <c r="R142" s="2">
        <f t="shared" si="24"/>
        <v>109192.64999999997</v>
      </c>
      <c r="S142" s="2">
        <v>295435.82</v>
      </c>
      <c r="T142" s="2">
        <v>293206.09000000003</v>
      </c>
      <c r="U142" s="2">
        <f t="shared" si="25"/>
        <v>-2229.7299999999814</v>
      </c>
      <c r="V142" s="2">
        <v>256529.41</v>
      </c>
      <c r="W142" s="2">
        <v>292984.21000000002</v>
      </c>
      <c r="X142" s="2">
        <f t="shared" si="26"/>
        <v>36454.800000000017</v>
      </c>
      <c r="Y142" s="2">
        <v>402885.42</v>
      </c>
      <c r="Z142" s="2">
        <v>292954.82</v>
      </c>
      <c r="AA142" s="2">
        <f t="shared" si="27"/>
        <v>-109930.59999999998</v>
      </c>
      <c r="AB142" s="2">
        <v>446832.91</v>
      </c>
      <c r="AC142" s="2">
        <v>292826.25</v>
      </c>
      <c r="AD142" s="2">
        <f t="shared" si="28"/>
        <v>-154006.65999999997</v>
      </c>
      <c r="AE142" s="2">
        <v>1895566.6</v>
      </c>
      <c r="AF142" s="2">
        <v>3705679.24</v>
      </c>
      <c r="AG142" s="2">
        <f t="shared" si="29"/>
        <v>1810112.6400000001</v>
      </c>
    </row>
    <row r="143" spans="1:33" x14ac:dyDescent="0.3">
      <c r="B143" s="3"/>
      <c r="C143" t="str">
        <f xml:space="preserve"> _xll.EPMOlapMemberO("[CLACO].[PARENTH1].[AMSAG_VIAJES]","","Gastos de Viajes","","000")</f>
        <v>Gastos de Viajes</v>
      </c>
      <c r="D143" s="2">
        <v>7409.94</v>
      </c>
      <c r="E143" s="2">
        <v>9086.3700000000008</v>
      </c>
      <c r="F143" s="2">
        <f t="shared" si="20"/>
        <v>1676.4300000000012</v>
      </c>
      <c r="G143" s="2">
        <v>20607.97</v>
      </c>
      <c r="H143" s="2">
        <v>8615.4</v>
      </c>
      <c r="I143" s="2">
        <f t="shared" si="21"/>
        <v>-11992.570000000002</v>
      </c>
      <c r="J143" s="2">
        <v>35591.78</v>
      </c>
      <c r="K143" s="2">
        <v>18805.37</v>
      </c>
      <c r="L143" s="2">
        <f t="shared" si="22"/>
        <v>-16786.41</v>
      </c>
      <c r="M143" s="2">
        <v>56610.6</v>
      </c>
      <c r="N143" s="2">
        <v>40870.93</v>
      </c>
      <c r="O143" s="2">
        <f t="shared" si="23"/>
        <v>-15739.669999999998</v>
      </c>
      <c r="P143" s="2">
        <v>-91.55</v>
      </c>
      <c r="Q143" s="2">
        <v>4005.99</v>
      </c>
      <c r="R143" s="2">
        <f t="shared" si="24"/>
        <v>4097.54</v>
      </c>
      <c r="S143" s="2">
        <v>5951.38</v>
      </c>
      <c r="T143" s="2">
        <v>5131.18</v>
      </c>
      <c r="U143" s="2">
        <f t="shared" si="25"/>
        <v>-820.19999999999982</v>
      </c>
      <c r="V143" s="2">
        <v>593.79999999999995</v>
      </c>
      <c r="W143" s="2">
        <v>1069.99</v>
      </c>
      <c r="X143" s="2">
        <f t="shared" si="26"/>
        <v>476.19000000000005</v>
      </c>
      <c r="Y143" s="2">
        <v>10156.07</v>
      </c>
      <c r="Z143" s="2">
        <v>2594.11</v>
      </c>
      <c r="AA143" s="2">
        <f t="shared" si="27"/>
        <v>-7561.9599999999991</v>
      </c>
      <c r="AB143" s="2">
        <v>-1758.65</v>
      </c>
      <c r="AC143" s="2">
        <v>3745.48</v>
      </c>
      <c r="AD143" s="2">
        <f t="shared" si="28"/>
        <v>5504.13</v>
      </c>
      <c r="AE143" s="2">
        <v>18070.75</v>
      </c>
      <c r="AF143" s="2">
        <v>41740.620000000003</v>
      </c>
      <c r="AG143" s="2">
        <f t="shared" si="29"/>
        <v>23669.870000000003</v>
      </c>
    </row>
    <row r="144" spans="1:33" x14ac:dyDescent="0.3">
      <c r="B144" s="3"/>
      <c r="C144" t="str">
        <f xml:space="preserve"> _xll.EPMOlapMemberO("[CLACO].[PARENTH1].[AMSAGGENERALES.2]","","Otros Gastos","","000")</f>
        <v>Otros Gastos</v>
      </c>
      <c r="D144" s="2">
        <v>1583.24</v>
      </c>
      <c r="E144" s="2">
        <v>1016.3</v>
      </c>
      <c r="F144" s="2">
        <f t="shared" si="20"/>
        <v>-566.94000000000005</v>
      </c>
      <c r="G144" s="2">
        <v>10273.31</v>
      </c>
      <c r="H144" s="2">
        <v>4007.98</v>
      </c>
      <c r="I144" s="2">
        <f t="shared" si="21"/>
        <v>-6265.33</v>
      </c>
      <c r="J144" s="2">
        <v>2477.9899999999998</v>
      </c>
      <c r="K144" s="2">
        <v>731.76</v>
      </c>
      <c r="L144" s="2">
        <f t="shared" si="22"/>
        <v>-1746.2299999999998</v>
      </c>
      <c r="M144" s="2">
        <v>13322.12</v>
      </c>
      <c r="N144" s="2">
        <v>20734.259999999998</v>
      </c>
      <c r="O144" s="2">
        <f t="shared" si="23"/>
        <v>7412.1399999999976</v>
      </c>
      <c r="P144" s="2">
        <v>31.26</v>
      </c>
      <c r="Q144" s="2">
        <v>1913.2</v>
      </c>
      <c r="R144" s="2">
        <f t="shared" si="24"/>
        <v>1881.94</v>
      </c>
      <c r="S144" s="2">
        <v>247.54</v>
      </c>
      <c r="T144" s="2">
        <v>1914.1</v>
      </c>
      <c r="U144" s="2">
        <f t="shared" si="25"/>
        <v>1666.56</v>
      </c>
      <c r="V144" s="2">
        <v>161.88</v>
      </c>
      <c r="W144" s="2">
        <v>1914.82</v>
      </c>
      <c r="X144" s="2">
        <f t="shared" si="26"/>
        <v>1752.94</v>
      </c>
      <c r="Y144" s="2">
        <v>314.79000000000002</v>
      </c>
      <c r="Z144" s="2">
        <v>1915.6</v>
      </c>
      <c r="AA144" s="2">
        <f t="shared" si="27"/>
        <v>1600.81</v>
      </c>
      <c r="AB144" s="2">
        <v>0.79</v>
      </c>
      <c r="AC144" s="2">
        <v>1916.57</v>
      </c>
      <c r="AD144" s="2">
        <f t="shared" si="28"/>
        <v>1915.78</v>
      </c>
      <c r="AE144" s="2">
        <v>756.32</v>
      </c>
      <c r="AF144" s="2">
        <v>22945.8</v>
      </c>
      <c r="AG144" s="2">
        <f t="shared" si="29"/>
        <v>22189.48</v>
      </c>
    </row>
    <row r="145" spans="1:33" x14ac:dyDescent="0.3">
      <c r="B145" s="3"/>
      <c r="C145" t="str">
        <f xml:space="preserve"> _xll.EPMOlapMemberO("[CLACO].[PARENTH1].[AMSASERV_CORP]","","Servicios Corporativ","","000")</f>
        <v>Servicios Corporativ</v>
      </c>
      <c r="D145" s="2"/>
      <c r="E145" s="2"/>
      <c r="F145" s="2">
        <f t="shared" si="20"/>
        <v>0</v>
      </c>
      <c r="G145" s="2"/>
      <c r="H145" s="2"/>
      <c r="I145" s="2">
        <f t="shared" si="21"/>
        <v>0</v>
      </c>
      <c r="J145" s="2"/>
      <c r="K145" s="2"/>
      <c r="L145" s="2">
        <f t="shared" si="22"/>
        <v>0</v>
      </c>
      <c r="M145" s="2"/>
      <c r="N145" s="2"/>
      <c r="O145" s="2">
        <f t="shared" si="23"/>
        <v>0</v>
      </c>
      <c r="P145" s="2"/>
      <c r="Q145" s="2"/>
      <c r="R145" s="2">
        <f t="shared" si="24"/>
        <v>0</v>
      </c>
      <c r="S145" s="2"/>
      <c r="T145" s="2"/>
      <c r="U145" s="2">
        <f t="shared" si="25"/>
        <v>0</v>
      </c>
      <c r="V145" s="2"/>
      <c r="W145" s="2"/>
      <c r="X145" s="2">
        <f t="shared" si="26"/>
        <v>0</v>
      </c>
      <c r="Y145" s="2">
        <v>619.72</v>
      </c>
      <c r="Z145" s="2"/>
      <c r="AA145" s="2">
        <f t="shared" si="27"/>
        <v>-619.72</v>
      </c>
      <c r="AB145" s="2"/>
      <c r="AC145" s="2"/>
      <c r="AD145" s="2">
        <f t="shared" si="28"/>
        <v>0</v>
      </c>
      <c r="AE145" s="2">
        <v>619.72</v>
      </c>
      <c r="AF145" s="2"/>
      <c r="AG145" s="2">
        <f t="shared" si="29"/>
        <v>-619.72</v>
      </c>
    </row>
    <row r="146" spans="1:33" x14ac:dyDescent="0.3">
      <c r="A146" t="s">
        <v>16</v>
      </c>
      <c r="B146" s="3" t="str">
        <f xml:space="preserve"> _xll.EPMOlapMemberO("[CECO].[PARENTH3].[AMSA1000AC7013]","","Gcia Recursos Minero","","000")</f>
        <v>Gcia Recursos Minero</v>
      </c>
      <c r="C146" t="str">
        <f xml:space="preserve"> _xll.EPMOlapMemberO("[CLACO].[PARENTH1].[AMSAREMUNERACI.SS]","","Remuneraciones Super","","000")</f>
        <v>Remuneraciones Super</v>
      </c>
      <c r="D146" s="2">
        <v>794561.87</v>
      </c>
      <c r="E146" s="2">
        <v>798204.04</v>
      </c>
      <c r="F146" s="2">
        <f t="shared" si="20"/>
        <v>3642.1700000000419</v>
      </c>
      <c r="G146" s="2">
        <v>974183.08</v>
      </c>
      <c r="H146" s="2">
        <v>833342.84</v>
      </c>
      <c r="I146" s="2">
        <f t="shared" si="21"/>
        <v>-140840.24</v>
      </c>
      <c r="J146" s="2">
        <v>1070162</v>
      </c>
      <c r="K146" s="2">
        <v>1069445.28</v>
      </c>
      <c r="L146" s="2">
        <f t="shared" si="22"/>
        <v>-716.71999999997206</v>
      </c>
      <c r="M146" s="2">
        <v>734969.12</v>
      </c>
      <c r="N146" s="2">
        <v>1248783.94</v>
      </c>
      <c r="O146" s="2">
        <f t="shared" si="23"/>
        <v>513814.81999999995</v>
      </c>
      <c r="P146" s="2">
        <v>54512.62</v>
      </c>
      <c r="Q146" s="2">
        <v>80714.720000000001</v>
      </c>
      <c r="R146" s="2">
        <f t="shared" si="24"/>
        <v>26202.1</v>
      </c>
      <c r="S146" s="2">
        <v>58675.360000000001</v>
      </c>
      <c r="T146" s="2">
        <v>90195.94</v>
      </c>
      <c r="U146" s="2">
        <f t="shared" si="25"/>
        <v>31520.58</v>
      </c>
      <c r="V146" s="2">
        <v>59586.83</v>
      </c>
      <c r="W146" s="2">
        <v>81141.75</v>
      </c>
      <c r="X146" s="2">
        <f t="shared" si="26"/>
        <v>21554.92</v>
      </c>
      <c r="Y146" s="2">
        <v>39832.480000000003</v>
      </c>
      <c r="Z146" s="2">
        <v>89147.54</v>
      </c>
      <c r="AA146" s="2">
        <f t="shared" si="27"/>
        <v>49315.05999999999</v>
      </c>
      <c r="AB146" s="2">
        <v>12579.89</v>
      </c>
      <c r="AC146" s="2">
        <v>79640.179999999993</v>
      </c>
      <c r="AD146" s="2">
        <f t="shared" si="28"/>
        <v>67060.289999999994</v>
      </c>
      <c r="AE146" s="2">
        <v>225727.27</v>
      </c>
      <c r="AF146" s="2">
        <v>1005701.82</v>
      </c>
      <c r="AG146" s="2">
        <f t="shared" si="29"/>
        <v>779974.54999999993</v>
      </c>
    </row>
    <row r="147" spans="1:33" x14ac:dyDescent="0.3">
      <c r="B147" s="3"/>
      <c r="C147" t="str">
        <f xml:space="preserve"> _xll.EPMOlapMemberO("[CLACO].[PARENTH1].[AMSAMAT_Y_REP.2]","","Materiales y repuest","","000")</f>
        <v>Materiales y repuest</v>
      </c>
      <c r="D147" s="2"/>
      <c r="E147" s="2"/>
      <c r="F147" s="2">
        <f t="shared" si="20"/>
        <v>0</v>
      </c>
      <c r="G147" s="2">
        <v>0</v>
      </c>
      <c r="H147" s="2"/>
      <c r="I147" s="2">
        <f t="shared" si="21"/>
        <v>0</v>
      </c>
      <c r="J147" s="2"/>
      <c r="K147" s="2"/>
      <c r="L147" s="2">
        <f t="shared" si="22"/>
        <v>0</v>
      </c>
      <c r="M147" s="2"/>
      <c r="N147" s="2"/>
      <c r="O147" s="2">
        <f t="shared" si="23"/>
        <v>0</v>
      </c>
      <c r="P147" s="2"/>
      <c r="Q147" s="2"/>
      <c r="R147" s="2">
        <f t="shared" si="24"/>
        <v>0</v>
      </c>
      <c r="S147" s="2"/>
      <c r="T147" s="2"/>
      <c r="U147" s="2">
        <f t="shared" si="25"/>
        <v>0</v>
      </c>
      <c r="V147" s="2"/>
      <c r="W147" s="2"/>
      <c r="X147" s="2">
        <f t="shared" si="26"/>
        <v>0</v>
      </c>
      <c r="Y147" s="2"/>
      <c r="Z147" s="2"/>
      <c r="AA147" s="2">
        <f t="shared" si="27"/>
        <v>0</v>
      </c>
      <c r="AB147" s="2"/>
      <c r="AC147" s="2"/>
      <c r="AD147" s="2">
        <f t="shared" si="28"/>
        <v>0</v>
      </c>
      <c r="AE147" s="2"/>
      <c r="AF147" s="2"/>
      <c r="AG147" s="2">
        <f t="shared" si="29"/>
        <v>0</v>
      </c>
    </row>
    <row r="148" spans="1:33" x14ac:dyDescent="0.3">
      <c r="B148" s="3"/>
      <c r="C148" t="str">
        <f xml:space="preserve"> _xll.EPMOlapMemberO("[CLACO].[PARENTH1].[AMSAADM_PERSON]","","Administración Perso","","000")</f>
        <v>Administración Perso</v>
      </c>
      <c r="D148" s="2"/>
      <c r="E148" s="2"/>
      <c r="F148" s="2">
        <f t="shared" si="20"/>
        <v>0</v>
      </c>
      <c r="G148" s="2"/>
      <c r="H148" s="2"/>
      <c r="I148" s="2">
        <f t="shared" si="21"/>
        <v>0</v>
      </c>
      <c r="J148" s="2"/>
      <c r="K148" s="2"/>
      <c r="L148" s="2">
        <f t="shared" si="22"/>
        <v>0</v>
      </c>
      <c r="M148" s="2">
        <v>38.99</v>
      </c>
      <c r="N148" s="2"/>
      <c r="O148" s="2">
        <f t="shared" si="23"/>
        <v>-38.99</v>
      </c>
      <c r="P148" s="2"/>
      <c r="Q148" s="2"/>
      <c r="R148" s="2">
        <f t="shared" si="24"/>
        <v>0</v>
      </c>
      <c r="S148" s="2"/>
      <c r="T148" s="2"/>
      <c r="U148" s="2">
        <f t="shared" si="25"/>
        <v>0</v>
      </c>
      <c r="V148" s="2"/>
      <c r="W148" s="2"/>
      <c r="X148" s="2">
        <f t="shared" si="26"/>
        <v>0</v>
      </c>
      <c r="Y148" s="2"/>
      <c r="Z148" s="2"/>
      <c r="AA148" s="2">
        <f t="shared" si="27"/>
        <v>0</v>
      </c>
      <c r="AB148" s="2"/>
      <c r="AC148" s="2"/>
      <c r="AD148" s="2">
        <f t="shared" si="28"/>
        <v>0</v>
      </c>
      <c r="AE148" s="2"/>
      <c r="AF148" s="2"/>
      <c r="AG148" s="2">
        <f t="shared" si="29"/>
        <v>0</v>
      </c>
    </row>
    <row r="149" spans="1:33" x14ac:dyDescent="0.3">
      <c r="B149" s="3"/>
      <c r="C149" t="str">
        <f xml:space="preserve"> _xll.EPMOlapMemberO("[CLACO].[PARENTH1].[AMSAENTRENAMI]","","Entrenamiento","","000")</f>
        <v>Entrenamiento</v>
      </c>
      <c r="D149" s="2">
        <v>24453.439999999999</v>
      </c>
      <c r="E149" s="2"/>
      <c r="F149" s="2">
        <f t="shared" si="20"/>
        <v>-24453.439999999999</v>
      </c>
      <c r="G149" s="2">
        <v>450.23</v>
      </c>
      <c r="H149" s="2"/>
      <c r="I149" s="2">
        <f t="shared" si="21"/>
        <v>-450.23</v>
      </c>
      <c r="J149" s="2">
        <v>3277.84</v>
      </c>
      <c r="K149" s="2"/>
      <c r="L149" s="2">
        <f t="shared" si="22"/>
        <v>-3277.84</v>
      </c>
      <c r="M149" s="2">
        <v>3459.8</v>
      </c>
      <c r="N149" s="2"/>
      <c r="O149" s="2">
        <f t="shared" si="23"/>
        <v>-3459.8</v>
      </c>
      <c r="P149" s="2"/>
      <c r="Q149" s="2"/>
      <c r="R149" s="2">
        <f t="shared" si="24"/>
        <v>0</v>
      </c>
      <c r="S149" s="2"/>
      <c r="T149" s="2"/>
      <c r="U149" s="2">
        <f t="shared" si="25"/>
        <v>0</v>
      </c>
      <c r="V149" s="2"/>
      <c r="W149" s="2"/>
      <c r="X149" s="2">
        <f t="shared" si="26"/>
        <v>0</v>
      </c>
      <c r="Y149" s="2"/>
      <c r="Z149" s="2"/>
      <c r="AA149" s="2">
        <f t="shared" si="27"/>
        <v>0</v>
      </c>
      <c r="AB149" s="2"/>
      <c r="AC149" s="2"/>
      <c r="AD149" s="2">
        <f t="shared" si="28"/>
        <v>0</v>
      </c>
      <c r="AE149" s="2"/>
      <c r="AF149" s="2"/>
      <c r="AG149" s="2">
        <f t="shared" si="29"/>
        <v>0</v>
      </c>
    </row>
    <row r="150" spans="1:33" x14ac:dyDescent="0.3">
      <c r="B150" s="3"/>
      <c r="C150" t="str">
        <f xml:space="preserve"> _xll.EPMOlapMemberO("[CLACO].[PARENTH1].[AMSAASESORIAS]","","Asesorías y Consulto","","000")</f>
        <v>Asesorías y Consulto</v>
      </c>
      <c r="D150" s="2">
        <v>156317.4</v>
      </c>
      <c r="E150" s="2">
        <v>292615.84000000003</v>
      </c>
      <c r="F150" s="2">
        <f t="shared" si="20"/>
        <v>136298.44000000003</v>
      </c>
      <c r="G150" s="2">
        <v>177186.94</v>
      </c>
      <c r="H150" s="2">
        <v>173868.17</v>
      </c>
      <c r="I150" s="2">
        <f t="shared" si="21"/>
        <v>-3318.7699999999895</v>
      </c>
      <c r="J150" s="2">
        <v>74376.72</v>
      </c>
      <c r="K150" s="2"/>
      <c r="L150" s="2">
        <f t="shared" si="22"/>
        <v>-74376.72</v>
      </c>
      <c r="M150" s="2"/>
      <c r="N150" s="2"/>
      <c r="O150" s="2">
        <f t="shared" si="23"/>
        <v>0</v>
      </c>
      <c r="P150" s="2"/>
      <c r="Q150" s="2"/>
      <c r="R150" s="2">
        <f t="shared" si="24"/>
        <v>0</v>
      </c>
      <c r="S150" s="2"/>
      <c r="T150" s="2"/>
      <c r="U150" s="2">
        <f t="shared" si="25"/>
        <v>0</v>
      </c>
      <c r="V150" s="2"/>
      <c r="W150" s="2"/>
      <c r="X150" s="2">
        <f t="shared" si="26"/>
        <v>0</v>
      </c>
      <c r="Y150" s="2"/>
      <c r="Z150" s="2"/>
      <c r="AA150" s="2">
        <f t="shared" si="27"/>
        <v>0</v>
      </c>
      <c r="AB150" s="2">
        <v>0</v>
      </c>
      <c r="AC150" s="2"/>
      <c r="AD150" s="2">
        <f t="shared" si="28"/>
        <v>0</v>
      </c>
      <c r="AE150" s="2">
        <v>0</v>
      </c>
      <c r="AF150" s="2"/>
      <c r="AG150" s="2">
        <f t="shared" si="29"/>
        <v>0</v>
      </c>
    </row>
    <row r="151" spans="1:33" x14ac:dyDescent="0.3">
      <c r="B151" s="3"/>
      <c r="C151" t="str">
        <f xml:space="preserve"> _xll.EPMOlapMemberO("[CLACO].[PARENTH1].[AMSASERVICIOS]","","Servicios","","000")</f>
        <v>Servicios</v>
      </c>
      <c r="D151" s="2"/>
      <c r="E151" s="2"/>
      <c r="F151" s="2">
        <f t="shared" si="20"/>
        <v>0</v>
      </c>
      <c r="G151" s="2">
        <v>7977.94</v>
      </c>
      <c r="H151" s="2"/>
      <c r="I151" s="2">
        <f t="shared" si="21"/>
        <v>-7977.94</v>
      </c>
      <c r="J151" s="2">
        <v>281640.43</v>
      </c>
      <c r="K151" s="2">
        <v>360000.01</v>
      </c>
      <c r="L151" s="2">
        <f t="shared" si="22"/>
        <v>78359.580000000016</v>
      </c>
      <c r="M151" s="2">
        <v>328001.28000000003</v>
      </c>
      <c r="N151" s="2">
        <v>335006.77</v>
      </c>
      <c r="O151" s="2">
        <f t="shared" si="23"/>
        <v>7005.4899999999907</v>
      </c>
      <c r="P151" s="2"/>
      <c r="Q151" s="2"/>
      <c r="R151" s="2">
        <f t="shared" si="24"/>
        <v>0</v>
      </c>
      <c r="S151" s="2"/>
      <c r="T151" s="2"/>
      <c r="U151" s="2">
        <f t="shared" si="25"/>
        <v>0</v>
      </c>
      <c r="V151" s="2">
        <v>0.16</v>
      </c>
      <c r="W151" s="2"/>
      <c r="X151" s="2">
        <f t="shared" si="26"/>
        <v>-0.16</v>
      </c>
      <c r="Y151" s="2">
        <v>113.67</v>
      </c>
      <c r="Z151" s="2"/>
      <c r="AA151" s="2">
        <f t="shared" si="27"/>
        <v>-113.67</v>
      </c>
      <c r="AB151" s="2">
        <v>0</v>
      </c>
      <c r="AC151" s="2"/>
      <c r="AD151" s="2">
        <f t="shared" si="28"/>
        <v>0</v>
      </c>
      <c r="AE151" s="2">
        <v>113.83</v>
      </c>
      <c r="AF151" s="2"/>
      <c r="AG151" s="2">
        <f t="shared" si="29"/>
        <v>-113.83</v>
      </c>
    </row>
    <row r="152" spans="1:33" x14ac:dyDescent="0.3">
      <c r="B152" s="3"/>
      <c r="C152" t="str">
        <f xml:space="preserve"> _xll.EPMOlapMemberO("[CLACO].[PARENTH1].[AMSASERMANTO.REPA]","","Servicios Mantenimie","","000")</f>
        <v>Servicios Mantenimie</v>
      </c>
      <c r="D152" s="2"/>
      <c r="E152" s="2"/>
      <c r="F152" s="2">
        <f t="shared" si="20"/>
        <v>0</v>
      </c>
      <c r="G152" s="2">
        <v>279.76</v>
      </c>
      <c r="H152" s="2"/>
      <c r="I152" s="2">
        <f t="shared" si="21"/>
        <v>-279.76</v>
      </c>
      <c r="J152" s="2"/>
      <c r="K152" s="2"/>
      <c r="L152" s="2">
        <f t="shared" si="22"/>
        <v>0</v>
      </c>
      <c r="M152" s="2"/>
      <c r="N152" s="2"/>
      <c r="O152" s="2">
        <f t="shared" si="23"/>
        <v>0</v>
      </c>
      <c r="P152" s="2"/>
      <c r="Q152" s="2"/>
      <c r="R152" s="2">
        <f t="shared" si="24"/>
        <v>0</v>
      </c>
      <c r="S152" s="2"/>
      <c r="T152" s="2"/>
      <c r="U152" s="2">
        <f t="shared" si="25"/>
        <v>0</v>
      </c>
      <c r="V152" s="2"/>
      <c r="W152" s="2"/>
      <c r="X152" s="2">
        <f t="shared" si="26"/>
        <v>0</v>
      </c>
      <c r="Y152" s="2">
        <v>42.59</v>
      </c>
      <c r="Z152" s="2"/>
      <c r="AA152" s="2">
        <f t="shared" si="27"/>
        <v>-42.59</v>
      </c>
      <c r="AB152" s="2">
        <v>0</v>
      </c>
      <c r="AC152" s="2"/>
      <c r="AD152" s="2">
        <f t="shared" si="28"/>
        <v>0</v>
      </c>
      <c r="AE152" s="2">
        <v>42.59</v>
      </c>
      <c r="AF152" s="2"/>
      <c r="AG152" s="2">
        <f t="shared" si="29"/>
        <v>-42.59</v>
      </c>
    </row>
    <row r="153" spans="1:33" x14ac:dyDescent="0.3">
      <c r="B153" s="3"/>
      <c r="C153" t="str">
        <f xml:space="preserve"> _xll.EPMOlapMemberO("[CLACO].[PARENTH1].[AMSAINFORMATIC]","","Informática y Comuni","","000")</f>
        <v>Informática y Comuni</v>
      </c>
      <c r="D153" s="2">
        <v>100134.26</v>
      </c>
      <c r="E153" s="2">
        <v>89054.35</v>
      </c>
      <c r="F153" s="2">
        <f t="shared" si="20"/>
        <v>-11079.909999999989</v>
      </c>
      <c r="G153" s="2">
        <v>63702.89</v>
      </c>
      <c r="H153" s="2">
        <v>99265.98</v>
      </c>
      <c r="I153" s="2">
        <f t="shared" si="21"/>
        <v>35563.089999999997</v>
      </c>
      <c r="J153" s="2">
        <v>141371.44</v>
      </c>
      <c r="K153" s="2">
        <v>140460</v>
      </c>
      <c r="L153" s="2">
        <f t="shared" si="22"/>
        <v>-911.44000000000233</v>
      </c>
      <c r="M153" s="2">
        <v>129287.53</v>
      </c>
      <c r="N153" s="2">
        <v>145463.67999999999</v>
      </c>
      <c r="O153" s="2">
        <f t="shared" si="23"/>
        <v>16176.149999999994</v>
      </c>
      <c r="P153" s="2">
        <v>2656.14</v>
      </c>
      <c r="Q153" s="2"/>
      <c r="R153" s="2">
        <f t="shared" si="24"/>
        <v>-2656.14</v>
      </c>
      <c r="S153" s="2">
        <v>3508.28</v>
      </c>
      <c r="T153" s="2"/>
      <c r="U153" s="2">
        <f t="shared" si="25"/>
        <v>-3508.28</v>
      </c>
      <c r="V153" s="2">
        <v>2235.9699999999998</v>
      </c>
      <c r="W153" s="2"/>
      <c r="X153" s="2">
        <f t="shared" si="26"/>
        <v>-2235.9699999999998</v>
      </c>
      <c r="Y153" s="2">
        <v>152.30000000000001</v>
      </c>
      <c r="Z153" s="2"/>
      <c r="AA153" s="2">
        <f t="shared" si="27"/>
        <v>-152.30000000000001</v>
      </c>
      <c r="AB153" s="2">
        <v>-25.83</v>
      </c>
      <c r="AC153" s="2"/>
      <c r="AD153" s="2">
        <f t="shared" si="28"/>
        <v>25.83</v>
      </c>
      <c r="AE153" s="2">
        <v>8565.7199999999993</v>
      </c>
      <c r="AF153" s="2"/>
      <c r="AG153" s="2">
        <f t="shared" si="29"/>
        <v>-8565.7199999999993</v>
      </c>
    </row>
    <row r="154" spans="1:33" x14ac:dyDescent="0.3">
      <c r="B154" s="3"/>
      <c r="C154" t="str">
        <f xml:space="preserve"> _xll.EPMOlapMemberO("[CLACO].[PARENTH1].[AMSAG_VIAJES]","","Gastos de Viajes","","000")</f>
        <v>Gastos de Viajes</v>
      </c>
      <c r="D154" s="2">
        <v>603.39</v>
      </c>
      <c r="E154" s="2">
        <v>8740.7000000000007</v>
      </c>
      <c r="F154" s="2">
        <f t="shared" si="20"/>
        <v>8137.31</v>
      </c>
      <c r="G154" s="2">
        <v>3636.57</v>
      </c>
      <c r="H154" s="2">
        <v>10494.51</v>
      </c>
      <c r="I154" s="2">
        <f t="shared" si="21"/>
        <v>6857.9400000000005</v>
      </c>
      <c r="J154" s="2">
        <v>6310.87</v>
      </c>
      <c r="K154" s="2">
        <v>22367</v>
      </c>
      <c r="L154" s="2">
        <f t="shared" si="22"/>
        <v>16056.130000000001</v>
      </c>
      <c r="M154" s="2">
        <v>2403.92</v>
      </c>
      <c r="N154" s="2">
        <v>10855.07</v>
      </c>
      <c r="O154" s="2">
        <f t="shared" si="23"/>
        <v>8451.15</v>
      </c>
      <c r="P154" s="2"/>
      <c r="Q154" s="2"/>
      <c r="R154" s="2">
        <f t="shared" si="24"/>
        <v>0</v>
      </c>
      <c r="S154" s="2"/>
      <c r="T154" s="2"/>
      <c r="U154" s="2">
        <f t="shared" si="25"/>
        <v>0</v>
      </c>
      <c r="V154" s="2"/>
      <c r="W154" s="2"/>
      <c r="X154" s="2">
        <f t="shared" si="26"/>
        <v>0</v>
      </c>
      <c r="Y154" s="2"/>
      <c r="Z154" s="2"/>
      <c r="AA154" s="2">
        <f t="shared" si="27"/>
        <v>0</v>
      </c>
      <c r="AB154" s="2"/>
      <c r="AC154" s="2"/>
      <c r="AD154" s="2">
        <f t="shared" si="28"/>
        <v>0</v>
      </c>
      <c r="AE154" s="2"/>
      <c r="AF154" s="2"/>
      <c r="AG154" s="2">
        <f t="shared" si="29"/>
        <v>0</v>
      </c>
    </row>
    <row r="155" spans="1:33" x14ac:dyDescent="0.3">
      <c r="B155" s="3"/>
      <c r="C155" t="str">
        <f xml:space="preserve"> _xll.EPMOlapMemberO("[CLACO].[PARENTH1].[AMSAGGENERALES.2]","","Otros Gastos","","000")</f>
        <v>Otros Gastos</v>
      </c>
      <c r="D155" s="2">
        <v>1144.17</v>
      </c>
      <c r="E155" s="2">
        <v>1464.31</v>
      </c>
      <c r="F155" s="2">
        <f t="shared" si="20"/>
        <v>320.13999999999987</v>
      </c>
      <c r="G155" s="2">
        <v>801.68</v>
      </c>
      <c r="H155" s="2">
        <v>913.31</v>
      </c>
      <c r="I155" s="2">
        <f t="shared" si="21"/>
        <v>111.63</v>
      </c>
      <c r="J155" s="2">
        <v>1226.55</v>
      </c>
      <c r="K155" s="2">
        <v>1579.99</v>
      </c>
      <c r="L155" s="2">
        <f t="shared" si="22"/>
        <v>353.44000000000005</v>
      </c>
      <c r="M155" s="2">
        <v>3966.72</v>
      </c>
      <c r="N155" s="2">
        <v>11580.48</v>
      </c>
      <c r="O155" s="2">
        <f t="shared" si="23"/>
        <v>7613.76</v>
      </c>
      <c r="P155" s="2">
        <v>45.61</v>
      </c>
      <c r="Q155" s="2"/>
      <c r="R155" s="2">
        <f t="shared" si="24"/>
        <v>-45.61</v>
      </c>
      <c r="S155" s="2">
        <v>22.04</v>
      </c>
      <c r="T155" s="2"/>
      <c r="U155" s="2">
        <f t="shared" si="25"/>
        <v>-22.04</v>
      </c>
      <c r="V155" s="2">
        <v>34.700000000000003</v>
      </c>
      <c r="W155" s="2"/>
      <c r="X155" s="2">
        <f t="shared" si="26"/>
        <v>-34.700000000000003</v>
      </c>
      <c r="Y155" s="2">
        <v>28.1</v>
      </c>
      <c r="Z155" s="2"/>
      <c r="AA155" s="2">
        <f t="shared" si="27"/>
        <v>-28.1</v>
      </c>
      <c r="AB155" s="2">
        <v>0</v>
      </c>
      <c r="AC155" s="2"/>
      <c r="AD155" s="2">
        <f t="shared" si="28"/>
        <v>0</v>
      </c>
      <c r="AE155" s="2">
        <v>131.16</v>
      </c>
      <c r="AF155" s="2"/>
      <c r="AG155" s="2">
        <f t="shared" si="29"/>
        <v>-131.16</v>
      </c>
    </row>
    <row r="156" spans="1:33" x14ac:dyDescent="0.3">
      <c r="A156" t="s">
        <v>17</v>
      </c>
      <c r="B156" s="3" t="str">
        <f xml:space="preserve"> _xll.EPMOlapMemberO("[CECO].[PARENTH3].[AMSA1000AC7015]","","Gcia Recurs Hídricos","","000")</f>
        <v>Gcia Recurs Hídricos</v>
      </c>
      <c r="C156" t="str">
        <f xml:space="preserve"> _xll.EPMOlapMemberO("[CLACO].[PARENTH1].[AMSAREMUNERACI.SS]","","Remuneraciones Super","","000")</f>
        <v>Remuneraciones Super</v>
      </c>
      <c r="D156" s="2"/>
      <c r="E156" s="2"/>
      <c r="F156" s="2">
        <f t="shared" si="20"/>
        <v>0</v>
      </c>
      <c r="G156" s="2"/>
      <c r="H156" s="2"/>
      <c r="I156" s="2">
        <f t="shared" si="21"/>
        <v>0</v>
      </c>
      <c r="J156" s="2"/>
      <c r="K156" s="2">
        <v>611730.35</v>
      </c>
      <c r="L156" s="2">
        <f t="shared" si="22"/>
        <v>611730.35</v>
      </c>
      <c r="M156" s="2"/>
      <c r="N156" s="2">
        <v>720719.21</v>
      </c>
      <c r="O156" s="2">
        <f t="shared" si="23"/>
        <v>720719.21</v>
      </c>
      <c r="P156" s="2"/>
      <c r="Q156" s="2"/>
      <c r="R156" s="2">
        <f t="shared" si="24"/>
        <v>0</v>
      </c>
      <c r="S156" s="2"/>
      <c r="T156" s="2"/>
      <c r="U156" s="2">
        <f t="shared" si="25"/>
        <v>0</v>
      </c>
      <c r="V156" s="2"/>
      <c r="W156" s="2"/>
      <c r="X156" s="2">
        <f t="shared" si="26"/>
        <v>0</v>
      </c>
      <c r="Y156" s="2"/>
      <c r="Z156" s="2"/>
      <c r="AA156" s="2">
        <f t="shared" si="27"/>
        <v>0</v>
      </c>
      <c r="AB156" s="2"/>
      <c r="AC156" s="2"/>
      <c r="AD156" s="2">
        <f t="shared" si="28"/>
        <v>0</v>
      </c>
      <c r="AE156" s="2"/>
      <c r="AF156" s="2"/>
      <c r="AG156" s="2">
        <f t="shared" si="29"/>
        <v>0</v>
      </c>
    </row>
    <row r="157" spans="1:33" x14ac:dyDescent="0.3">
      <c r="B157" s="3"/>
      <c r="C157" t="str">
        <f xml:space="preserve"> _xll.EPMOlapMemberO("[CLACO].[PARENTH1].[AMSAADM_PERSON]","","Administración Perso","","000")</f>
        <v>Administración Perso</v>
      </c>
      <c r="D157" s="2"/>
      <c r="E157" s="2"/>
      <c r="F157" s="2">
        <f t="shared" si="20"/>
        <v>0</v>
      </c>
      <c r="G157" s="2"/>
      <c r="H157" s="2"/>
      <c r="I157" s="2">
        <f t="shared" si="21"/>
        <v>0</v>
      </c>
      <c r="J157" s="2"/>
      <c r="K157" s="2"/>
      <c r="L157" s="2">
        <f t="shared" si="22"/>
        <v>0</v>
      </c>
      <c r="M157" s="2">
        <v>19.25</v>
      </c>
      <c r="N157" s="2"/>
      <c r="O157" s="2">
        <f t="shared" si="23"/>
        <v>-19.25</v>
      </c>
      <c r="P157" s="2"/>
      <c r="Q157" s="2"/>
      <c r="R157" s="2">
        <f t="shared" si="24"/>
        <v>0</v>
      </c>
      <c r="S157" s="2"/>
      <c r="T157" s="2"/>
      <c r="U157" s="2">
        <f t="shared" si="25"/>
        <v>0</v>
      </c>
      <c r="V157" s="2"/>
      <c r="W157" s="2"/>
      <c r="X157" s="2">
        <f t="shared" si="26"/>
        <v>0</v>
      </c>
      <c r="Y157" s="2"/>
      <c r="Z157" s="2"/>
      <c r="AA157" s="2">
        <f t="shared" si="27"/>
        <v>0</v>
      </c>
      <c r="AB157" s="2"/>
      <c r="AC157" s="2"/>
      <c r="AD157" s="2">
        <f t="shared" si="28"/>
        <v>0</v>
      </c>
      <c r="AE157" s="2"/>
      <c r="AF157" s="2"/>
      <c r="AG157" s="2">
        <f t="shared" si="29"/>
        <v>0</v>
      </c>
    </row>
    <row r="158" spans="1:33" x14ac:dyDescent="0.3">
      <c r="B158" s="3"/>
      <c r="C158" t="str">
        <f xml:space="preserve"> _xll.EPMOlapMemberO("[CLACO].[PARENTH1].[AMSAENTRENAMI]","","Entrenamiento","","000")</f>
        <v>Entrenamiento</v>
      </c>
      <c r="D158" s="2"/>
      <c r="E158" s="2">
        <v>1543.26</v>
      </c>
      <c r="F158" s="2">
        <f t="shared" si="20"/>
        <v>1543.26</v>
      </c>
      <c r="G158" s="2"/>
      <c r="H158" s="2"/>
      <c r="I158" s="2">
        <f t="shared" si="21"/>
        <v>0</v>
      </c>
      <c r="J158" s="2">
        <v>10578.91</v>
      </c>
      <c r="K158" s="2">
        <v>23100</v>
      </c>
      <c r="L158" s="2">
        <f t="shared" si="22"/>
        <v>12521.09</v>
      </c>
      <c r="M158" s="2">
        <v>3323.37</v>
      </c>
      <c r="N158" s="2"/>
      <c r="O158" s="2">
        <f t="shared" si="23"/>
        <v>-3323.37</v>
      </c>
      <c r="P158" s="2"/>
      <c r="Q158" s="2"/>
      <c r="R158" s="2">
        <f t="shared" si="24"/>
        <v>0</v>
      </c>
      <c r="S158" s="2">
        <v>959.6</v>
      </c>
      <c r="T158" s="2"/>
      <c r="U158" s="2">
        <f t="shared" si="25"/>
        <v>-959.6</v>
      </c>
      <c r="V158" s="2"/>
      <c r="W158" s="2"/>
      <c r="X158" s="2">
        <f t="shared" si="26"/>
        <v>0</v>
      </c>
      <c r="Y158" s="2"/>
      <c r="Z158" s="2"/>
      <c r="AA158" s="2">
        <f t="shared" si="27"/>
        <v>0</v>
      </c>
      <c r="AB158" s="2"/>
      <c r="AC158" s="2"/>
      <c r="AD158" s="2">
        <f t="shared" si="28"/>
        <v>0</v>
      </c>
      <c r="AE158" s="2">
        <v>959.6</v>
      </c>
      <c r="AF158" s="2"/>
      <c r="AG158" s="2">
        <f t="shared" si="29"/>
        <v>-959.6</v>
      </c>
    </row>
    <row r="159" spans="1:33" x14ac:dyDescent="0.3">
      <c r="B159" s="3"/>
      <c r="C159" t="str">
        <f xml:space="preserve"> _xll.EPMOlapMemberO("[CLACO].[PARENTH1].[AMSAASESORIAS]","","Asesorías y Consulto","","000")</f>
        <v>Asesorías y Consulto</v>
      </c>
      <c r="D159" s="2">
        <v>171345.04</v>
      </c>
      <c r="E159" s="2">
        <v>162401.57</v>
      </c>
      <c r="F159" s="2">
        <f t="shared" si="20"/>
        <v>-8943.4700000000012</v>
      </c>
      <c r="G159" s="2">
        <v>219759.58</v>
      </c>
      <c r="H159" s="2">
        <v>212082.77</v>
      </c>
      <c r="I159" s="2">
        <f t="shared" si="21"/>
        <v>-7676.8099999999977</v>
      </c>
      <c r="J159" s="2">
        <v>376887.18</v>
      </c>
      <c r="K159" s="2">
        <v>385000</v>
      </c>
      <c r="L159" s="2">
        <f t="shared" si="22"/>
        <v>8112.820000000007</v>
      </c>
      <c r="M159" s="2">
        <v>27969.75</v>
      </c>
      <c r="N159" s="2"/>
      <c r="O159" s="2">
        <f t="shared" si="23"/>
        <v>-27969.75</v>
      </c>
      <c r="P159" s="2">
        <v>2143</v>
      </c>
      <c r="Q159" s="2"/>
      <c r="R159" s="2">
        <f t="shared" si="24"/>
        <v>-2143</v>
      </c>
      <c r="S159" s="2"/>
      <c r="T159" s="2"/>
      <c r="U159" s="2">
        <f t="shared" si="25"/>
        <v>0</v>
      </c>
      <c r="V159" s="2"/>
      <c r="W159" s="2"/>
      <c r="X159" s="2">
        <f t="shared" si="26"/>
        <v>0</v>
      </c>
      <c r="Y159" s="2"/>
      <c r="Z159" s="2"/>
      <c r="AA159" s="2">
        <f t="shared" si="27"/>
        <v>0</v>
      </c>
      <c r="AB159" s="2">
        <v>65.34</v>
      </c>
      <c r="AC159" s="2"/>
      <c r="AD159" s="2">
        <f t="shared" si="28"/>
        <v>-65.34</v>
      </c>
      <c r="AE159" s="2">
        <v>3657.02</v>
      </c>
      <c r="AF159" s="2"/>
      <c r="AG159" s="2">
        <f t="shared" si="29"/>
        <v>-3657.02</v>
      </c>
    </row>
    <row r="160" spans="1:33" x14ac:dyDescent="0.3">
      <c r="B160" s="3"/>
      <c r="C160" t="str">
        <f xml:space="preserve"> _xll.EPMOlapMemberO("[CLACO].[PARENTH1].[AMSAARRIENDOS]","","Arriendos","","000")</f>
        <v>Arriendos</v>
      </c>
      <c r="D160" s="2"/>
      <c r="E160" s="2">
        <v>523.41</v>
      </c>
      <c r="F160" s="2">
        <f t="shared" si="20"/>
        <v>523.41</v>
      </c>
      <c r="G160" s="2"/>
      <c r="H160" s="2"/>
      <c r="I160" s="2">
        <f t="shared" si="21"/>
        <v>0</v>
      </c>
      <c r="J160" s="2"/>
      <c r="K160" s="2"/>
      <c r="L160" s="2">
        <f t="shared" si="22"/>
        <v>0</v>
      </c>
      <c r="M160" s="2"/>
      <c r="N160" s="2"/>
      <c r="O160" s="2">
        <f t="shared" si="23"/>
        <v>0</v>
      </c>
      <c r="P160" s="2"/>
      <c r="Q160" s="2"/>
      <c r="R160" s="2">
        <f t="shared" si="24"/>
        <v>0</v>
      </c>
      <c r="S160" s="2"/>
      <c r="T160" s="2"/>
      <c r="U160" s="2">
        <f t="shared" si="25"/>
        <v>0</v>
      </c>
      <c r="V160" s="2"/>
      <c r="W160" s="2"/>
      <c r="X160" s="2">
        <f t="shared" si="26"/>
        <v>0</v>
      </c>
      <c r="Y160" s="2"/>
      <c r="Z160" s="2"/>
      <c r="AA160" s="2">
        <f t="shared" si="27"/>
        <v>0</v>
      </c>
      <c r="AB160" s="2"/>
      <c r="AC160" s="2"/>
      <c r="AD160" s="2">
        <f t="shared" si="28"/>
        <v>0</v>
      </c>
      <c r="AE160" s="2"/>
      <c r="AF160" s="2"/>
      <c r="AG160" s="2">
        <f t="shared" si="29"/>
        <v>0</v>
      </c>
    </row>
    <row r="161" spans="1:33" x14ac:dyDescent="0.3">
      <c r="B161" s="3"/>
      <c r="C161" t="str">
        <f xml:space="preserve"> _xll.EPMOlapMemberO("[CLACO].[PARENTH1].[AMSASERVICIOS]","","Servicios","","000")</f>
        <v>Servicios</v>
      </c>
      <c r="D161" s="2"/>
      <c r="E161" s="2"/>
      <c r="F161" s="2">
        <f t="shared" si="20"/>
        <v>0</v>
      </c>
      <c r="G161" s="2">
        <v>159083.57999999999</v>
      </c>
      <c r="H161" s="2">
        <v>163013.43</v>
      </c>
      <c r="I161" s="2">
        <f t="shared" si="21"/>
        <v>3929.8500000000058</v>
      </c>
      <c r="J161" s="2">
        <v>294510.96000000002</v>
      </c>
      <c r="K161" s="2">
        <v>242848</v>
      </c>
      <c r="L161" s="2">
        <f t="shared" si="22"/>
        <v>-51662.960000000021</v>
      </c>
      <c r="M161" s="2">
        <v>561270.27</v>
      </c>
      <c r="N161" s="2">
        <v>602030.4</v>
      </c>
      <c r="O161" s="2">
        <f t="shared" si="23"/>
        <v>40760.130000000005</v>
      </c>
      <c r="P161" s="2">
        <v>104401.60000000001</v>
      </c>
      <c r="Q161" s="2">
        <v>41400.910000000003</v>
      </c>
      <c r="R161" s="2">
        <f t="shared" si="24"/>
        <v>-63000.69</v>
      </c>
      <c r="S161" s="2">
        <v>98001.05</v>
      </c>
      <c r="T161" s="2">
        <v>27473.87</v>
      </c>
      <c r="U161" s="2">
        <f t="shared" si="25"/>
        <v>-70527.180000000008</v>
      </c>
      <c r="V161" s="2">
        <v>53542.06</v>
      </c>
      <c r="W161" s="2">
        <v>28823.81</v>
      </c>
      <c r="X161" s="2">
        <f t="shared" si="26"/>
        <v>-24718.249999999996</v>
      </c>
      <c r="Y161" s="2">
        <v>41736.559999999998</v>
      </c>
      <c r="Z161" s="2">
        <v>42896.93</v>
      </c>
      <c r="AA161" s="2">
        <f t="shared" si="27"/>
        <v>1160.3700000000026</v>
      </c>
      <c r="AB161" s="2">
        <v>11470.61</v>
      </c>
      <c r="AC161" s="2">
        <v>14017.73</v>
      </c>
      <c r="AD161" s="2">
        <f t="shared" si="28"/>
        <v>2547.119999999999</v>
      </c>
      <c r="AE161" s="2">
        <v>309151.88</v>
      </c>
      <c r="AF161" s="2">
        <v>544976.44999999995</v>
      </c>
      <c r="AG161" s="2">
        <f t="shared" si="29"/>
        <v>235824.56999999995</v>
      </c>
    </row>
    <row r="162" spans="1:33" x14ac:dyDescent="0.3">
      <c r="B162" s="3"/>
      <c r="C162" t="str">
        <f xml:space="preserve"> _xll.EPMOlapMemberO("[CLACO].[PARENTH1].[AMSASERMANTO.REPA]","","Servicios Mantenimie","","000")</f>
        <v>Servicios Mantenimie</v>
      </c>
      <c r="D162" s="2"/>
      <c r="E162" s="2"/>
      <c r="F162" s="2">
        <f t="shared" si="20"/>
        <v>0</v>
      </c>
      <c r="G162" s="2"/>
      <c r="H162" s="2"/>
      <c r="I162" s="2">
        <f t="shared" si="21"/>
        <v>0</v>
      </c>
      <c r="J162" s="2"/>
      <c r="K162" s="2"/>
      <c r="L162" s="2">
        <f t="shared" si="22"/>
        <v>0</v>
      </c>
      <c r="M162" s="2"/>
      <c r="N162" s="2"/>
      <c r="O162" s="2">
        <f t="shared" si="23"/>
        <v>0</v>
      </c>
      <c r="P162" s="2"/>
      <c r="Q162" s="2"/>
      <c r="R162" s="2">
        <f t="shared" si="24"/>
        <v>0</v>
      </c>
      <c r="S162" s="2"/>
      <c r="T162" s="2"/>
      <c r="U162" s="2">
        <f t="shared" si="25"/>
        <v>0</v>
      </c>
      <c r="V162" s="2"/>
      <c r="W162" s="2"/>
      <c r="X162" s="2">
        <f t="shared" si="26"/>
        <v>0</v>
      </c>
      <c r="Y162" s="2">
        <v>25.52</v>
      </c>
      <c r="Z162" s="2"/>
      <c r="AA162" s="2">
        <f t="shared" si="27"/>
        <v>-25.52</v>
      </c>
      <c r="AB162" s="2">
        <v>1363.43</v>
      </c>
      <c r="AC162" s="2"/>
      <c r="AD162" s="2">
        <f t="shared" si="28"/>
        <v>-1363.43</v>
      </c>
      <c r="AE162" s="2">
        <v>1388.95</v>
      </c>
      <c r="AF162" s="2"/>
      <c r="AG162" s="2">
        <f t="shared" si="29"/>
        <v>-1388.95</v>
      </c>
    </row>
    <row r="163" spans="1:33" x14ac:dyDescent="0.3">
      <c r="B163" s="3"/>
      <c r="C163" t="str">
        <f xml:space="preserve"> _xll.EPMOlapMemberO("[CLACO].[PARENTH1].[AMSAINFORMATIC]","","Informática y Comuni","","000")</f>
        <v>Informática y Comuni</v>
      </c>
      <c r="D163" s="2">
        <v>23625</v>
      </c>
      <c r="E163" s="2">
        <v>23701.35</v>
      </c>
      <c r="F163" s="2">
        <f t="shared" si="20"/>
        <v>76.349999999998545</v>
      </c>
      <c r="G163" s="2">
        <v>293.52</v>
      </c>
      <c r="H163" s="2">
        <v>9271.2099999999991</v>
      </c>
      <c r="I163" s="2">
        <f t="shared" si="21"/>
        <v>8977.6899999999987</v>
      </c>
      <c r="J163" s="2">
        <v>1623.09</v>
      </c>
      <c r="K163" s="2">
        <v>11317</v>
      </c>
      <c r="L163" s="2">
        <f t="shared" si="22"/>
        <v>9693.91</v>
      </c>
      <c r="M163" s="2">
        <v>18168.59</v>
      </c>
      <c r="N163" s="2">
        <v>12880.07</v>
      </c>
      <c r="O163" s="2">
        <f t="shared" si="23"/>
        <v>-5288.52</v>
      </c>
      <c r="P163" s="2"/>
      <c r="Q163" s="2"/>
      <c r="R163" s="2">
        <f t="shared" si="24"/>
        <v>0</v>
      </c>
      <c r="S163" s="2">
        <v>62</v>
      </c>
      <c r="T163" s="2">
        <v>997.2</v>
      </c>
      <c r="U163" s="2">
        <f t="shared" si="25"/>
        <v>935.2</v>
      </c>
      <c r="V163" s="2">
        <v>314</v>
      </c>
      <c r="W163" s="2">
        <v>249.4</v>
      </c>
      <c r="X163" s="2">
        <f t="shared" si="26"/>
        <v>-64.599999999999994</v>
      </c>
      <c r="Y163" s="2"/>
      <c r="Z163" s="2"/>
      <c r="AA163" s="2">
        <f t="shared" si="27"/>
        <v>0</v>
      </c>
      <c r="AB163" s="2"/>
      <c r="AC163" s="2">
        <v>4740.37</v>
      </c>
      <c r="AD163" s="2">
        <f t="shared" si="28"/>
        <v>4740.37</v>
      </c>
      <c r="AE163" s="2">
        <v>376</v>
      </c>
      <c r="AF163" s="2">
        <v>18945.71</v>
      </c>
      <c r="AG163" s="2">
        <f t="shared" si="29"/>
        <v>18569.71</v>
      </c>
    </row>
    <row r="164" spans="1:33" x14ac:dyDescent="0.3">
      <c r="B164" s="3"/>
      <c r="C164" t="str">
        <f xml:space="preserve"> _xll.EPMOlapMemberO("[CLACO].[PARENTH1].[AMSAG_VIAJES]","","Gastos de Viajes","","000")</f>
        <v>Gastos de Viajes</v>
      </c>
      <c r="D164" s="2">
        <v>717.86</v>
      </c>
      <c r="E164" s="2">
        <v>14372.8</v>
      </c>
      <c r="F164" s="2">
        <f t="shared" si="20"/>
        <v>13654.939999999999</v>
      </c>
      <c r="G164" s="2">
        <v>20227.54</v>
      </c>
      <c r="H164" s="2">
        <v>6043.97</v>
      </c>
      <c r="I164" s="2">
        <f t="shared" si="21"/>
        <v>-14183.57</v>
      </c>
      <c r="J164" s="2">
        <v>23755.77</v>
      </c>
      <c r="K164" s="2">
        <v>26243</v>
      </c>
      <c r="L164" s="2">
        <f t="shared" si="22"/>
        <v>2487.2299999999996</v>
      </c>
      <c r="M164" s="2">
        <v>9103.3799999999992</v>
      </c>
      <c r="N164" s="2">
        <v>23091.96</v>
      </c>
      <c r="O164" s="2">
        <f t="shared" si="23"/>
        <v>13988.58</v>
      </c>
      <c r="P164" s="2">
        <v>1015.46</v>
      </c>
      <c r="Q164" s="2">
        <v>2652.47</v>
      </c>
      <c r="R164" s="2">
        <f t="shared" si="24"/>
        <v>1637.0099999999998</v>
      </c>
      <c r="S164" s="2">
        <v>1068.19</v>
      </c>
      <c r="T164" s="2">
        <v>2851</v>
      </c>
      <c r="U164" s="2">
        <f t="shared" si="25"/>
        <v>1782.81</v>
      </c>
      <c r="V164" s="2"/>
      <c r="W164" s="2">
        <v>3818.84</v>
      </c>
      <c r="X164" s="2">
        <f t="shared" si="26"/>
        <v>3818.84</v>
      </c>
      <c r="Y164" s="2">
        <v>3879.2</v>
      </c>
      <c r="Z164" s="2"/>
      <c r="AA164" s="2">
        <f t="shared" si="27"/>
        <v>-3879.2</v>
      </c>
      <c r="AB164" s="2">
        <v>1420.36</v>
      </c>
      <c r="AC164" s="2"/>
      <c r="AD164" s="2">
        <f t="shared" si="28"/>
        <v>-1420.36</v>
      </c>
      <c r="AE164" s="2">
        <v>7383.21</v>
      </c>
      <c r="AF164" s="2">
        <v>18273.919999999998</v>
      </c>
      <c r="AG164" s="2">
        <f t="shared" si="29"/>
        <v>10890.71</v>
      </c>
    </row>
    <row r="165" spans="1:33" x14ac:dyDescent="0.3">
      <c r="B165" s="3"/>
      <c r="C165" t="str">
        <f xml:space="preserve"> _xll.EPMOlapMemberO("[CLACO].[PARENTH1].[AMSAGGENERALES.2]","","Otros Gastos","","000")</f>
        <v>Otros Gastos</v>
      </c>
      <c r="D165" s="2">
        <v>377.62</v>
      </c>
      <c r="E165" s="2">
        <v>384.05</v>
      </c>
      <c r="F165" s="2">
        <f t="shared" si="20"/>
        <v>6.4300000000000068</v>
      </c>
      <c r="G165" s="2">
        <v>0.88</v>
      </c>
      <c r="H165" s="2">
        <v>4628.5200000000004</v>
      </c>
      <c r="I165" s="2">
        <f t="shared" si="21"/>
        <v>4627.6400000000003</v>
      </c>
      <c r="J165" s="2">
        <v>3751.51</v>
      </c>
      <c r="K165" s="2">
        <v>1250</v>
      </c>
      <c r="L165" s="2">
        <f t="shared" si="22"/>
        <v>-2501.5100000000002</v>
      </c>
      <c r="M165" s="2">
        <v>56126.92</v>
      </c>
      <c r="N165" s="2">
        <v>55250.87</v>
      </c>
      <c r="O165" s="2">
        <f t="shared" si="23"/>
        <v>-876.04999999999563</v>
      </c>
      <c r="P165" s="2">
        <v>2321.16</v>
      </c>
      <c r="Q165" s="2">
        <v>26198.75</v>
      </c>
      <c r="R165" s="2">
        <f t="shared" si="24"/>
        <v>23877.59</v>
      </c>
      <c r="S165" s="2">
        <v>4.84</v>
      </c>
      <c r="T165" s="2">
        <v>3.14</v>
      </c>
      <c r="U165" s="2">
        <f t="shared" si="25"/>
        <v>-1.6999999999999997</v>
      </c>
      <c r="V165" s="2">
        <v>3.49</v>
      </c>
      <c r="W165" s="2">
        <v>3.85</v>
      </c>
      <c r="X165" s="2">
        <f t="shared" si="26"/>
        <v>0.35999999999999988</v>
      </c>
      <c r="Y165" s="2">
        <v>27814.94</v>
      </c>
      <c r="Z165" s="2">
        <v>26708.639999999999</v>
      </c>
      <c r="AA165" s="2">
        <f t="shared" si="27"/>
        <v>-1106.2999999999993</v>
      </c>
      <c r="AB165" s="2"/>
      <c r="AC165" s="2"/>
      <c r="AD165" s="2">
        <f t="shared" si="28"/>
        <v>0</v>
      </c>
      <c r="AE165" s="2">
        <v>30144.43</v>
      </c>
      <c r="AF165" s="2">
        <v>77687.94</v>
      </c>
      <c r="AG165" s="2">
        <f t="shared" si="29"/>
        <v>47543.51</v>
      </c>
    </row>
    <row r="166" spans="1:33" x14ac:dyDescent="0.3">
      <c r="A166" t="s">
        <v>18</v>
      </c>
      <c r="B166" s="3" t="str">
        <f xml:space="preserve"> _xll.EPMOlapMemberO("[CECO].[PARENTH3].[AMSA1000AC0511]","","VPP","","000")</f>
        <v>VPP</v>
      </c>
      <c r="C166" t="str">
        <f xml:space="preserve"> _xll.EPMOlapMemberO("[CLACO].[PARENTH1].[AMSAREMUNERACI.SS]","","Remuneraciones Super","","000")</f>
        <v>Remuneraciones Super</v>
      </c>
      <c r="D166" s="2">
        <v>4160501.7</v>
      </c>
      <c r="E166" s="2">
        <v>4373701.87</v>
      </c>
      <c r="F166" s="2">
        <f t="shared" si="20"/>
        <v>213200.16999999993</v>
      </c>
      <c r="G166" s="2">
        <v>4497690.3600000003</v>
      </c>
      <c r="H166" s="2">
        <v>4331395.5</v>
      </c>
      <c r="I166" s="2">
        <f t="shared" si="21"/>
        <v>-166294.86000000034</v>
      </c>
      <c r="J166" s="2">
        <v>5999549.5899999999</v>
      </c>
      <c r="K166" s="2">
        <v>4774224.4000000004</v>
      </c>
      <c r="L166" s="2">
        <f t="shared" si="22"/>
        <v>-1225325.1899999995</v>
      </c>
      <c r="M166" s="2">
        <v>7453841.1200000001</v>
      </c>
      <c r="N166" s="2">
        <v>7240198.5700000003</v>
      </c>
      <c r="O166" s="2">
        <f t="shared" si="23"/>
        <v>-213642.54999999981</v>
      </c>
      <c r="P166" s="2">
        <v>507083.39</v>
      </c>
      <c r="Q166" s="2">
        <v>664598.19999999995</v>
      </c>
      <c r="R166" s="2">
        <f t="shared" si="24"/>
        <v>157514.80999999994</v>
      </c>
      <c r="S166" s="2">
        <v>356894.05</v>
      </c>
      <c r="T166" s="2">
        <v>714936.13</v>
      </c>
      <c r="U166" s="2">
        <f t="shared" si="25"/>
        <v>358042.08</v>
      </c>
      <c r="V166" s="2">
        <v>607332.44999999995</v>
      </c>
      <c r="W166" s="2">
        <v>665737.51</v>
      </c>
      <c r="X166" s="2">
        <f t="shared" si="26"/>
        <v>58405.060000000056</v>
      </c>
      <c r="Y166" s="2">
        <v>569840.86</v>
      </c>
      <c r="Z166" s="2">
        <v>705107.34</v>
      </c>
      <c r="AA166" s="2">
        <f t="shared" si="27"/>
        <v>135266.47999999998</v>
      </c>
      <c r="AB166" s="2">
        <v>685022.96</v>
      </c>
      <c r="AC166" s="2">
        <v>661655.11</v>
      </c>
      <c r="AD166" s="2">
        <f t="shared" si="28"/>
        <v>-23367.849999999977</v>
      </c>
      <c r="AE166" s="2">
        <v>2729751.16</v>
      </c>
      <c r="AF166" s="2">
        <v>8291835.5300000003</v>
      </c>
      <c r="AG166" s="2">
        <f t="shared" si="29"/>
        <v>5562084.3700000001</v>
      </c>
    </row>
    <row r="167" spans="1:33" x14ac:dyDescent="0.3">
      <c r="B167" s="3"/>
      <c r="C167" t="str">
        <f xml:space="preserve"> _xll.EPMOlapMemberO("[CLACO].[PARENTH1].[AMSAMAT_Y_REP.2]","","Materiales y repuest","","000")</f>
        <v>Materiales y repuest</v>
      </c>
      <c r="D167" s="2"/>
      <c r="E167" s="2"/>
      <c r="F167" s="2">
        <f t="shared" si="20"/>
        <v>0</v>
      </c>
      <c r="G167" s="2">
        <v>0</v>
      </c>
      <c r="H167" s="2"/>
      <c r="I167" s="2">
        <f t="shared" si="21"/>
        <v>0</v>
      </c>
      <c r="J167" s="2"/>
      <c r="K167" s="2"/>
      <c r="L167" s="2">
        <f t="shared" si="22"/>
        <v>0</v>
      </c>
      <c r="M167" s="2">
        <v>3709.55</v>
      </c>
      <c r="N167" s="2"/>
      <c r="O167" s="2">
        <f t="shared" si="23"/>
        <v>-3709.55</v>
      </c>
      <c r="P167" s="2"/>
      <c r="Q167" s="2"/>
      <c r="R167" s="2">
        <f t="shared" si="24"/>
        <v>0</v>
      </c>
      <c r="S167" s="2"/>
      <c r="T167" s="2"/>
      <c r="U167" s="2">
        <f t="shared" si="25"/>
        <v>0</v>
      </c>
      <c r="V167" s="2"/>
      <c r="W167" s="2"/>
      <c r="X167" s="2">
        <f t="shared" si="26"/>
        <v>0</v>
      </c>
      <c r="Y167" s="2"/>
      <c r="Z167" s="2"/>
      <c r="AA167" s="2">
        <f t="shared" si="27"/>
        <v>0</v>
      </c>
      <c r="AB167" s="2"/>
      <c r="AC167" s="2"/>
      <c r="AD167" s="2">
        <f t="shared" si="28"/>
        <v>0</v>
      </c>
      <c r="AE167" s="2"/>
      <c r="AF167" s="2"/>
      <c r="AG167" s="2">
        <f t="shared" si="29"/>
        <v>0</v>
      </c>
    </row>
    <row r="168" spans="1:33" x14ac:dyDescent="0.3">
      <c r="B168" s="3"/>
      <c r="C168" t="str">
        <f xml:space="preserve"> _xll.EPMOlapMemberO("[CLACO].[PARENTH1].[AMSAADM_PERSON]","","Administración Perso","","000")</f>
        <v>Administración Perso</v>
      </c>
      <c r="D168" s="2">
        <v>18627.759999999998</v>
      </c>
      <c r="E168" s="2">
        <v>13491.9</v>
      </c>
      <c r="F168" s="2">
        <f t="shared" si="20"/>
        <v>-5135.8599999999988</v>
      </c>
      <c r="G168" s="2"/>
      <c r="H168" s="2">
        <v>20231.39</v>
      </c>
      <c r="I168" s="2">
        <f t="shared" si="21"/>
        <v>20231.39</v>
      </c>
      <c r="J168" s="2"/>
      <c r="K168" s="2"/>
      <c r="L168" s="2">
        <f t="shared" si="22"/>
        <v>0</v>
      </c>
      <c r="M168" s="2"/>
      <c r="N168" s="2"/>
      <c r="O168" s="2">
        <f t="shared" si="23"/>
        <v>0</v>
      </c>
      <c r="P168" s="2"/>
      <c r="Q168" s="2"/>
      <c r="R168" s="2">
        <f t="shared" si="24"/>
        <v>0</v>
      </c>
      <c r="S168" s="2"/>
      <c r="T168" s="2"/>
      <c r="U168" s="2">
        <f t="shared" si="25"/>
        <v>0</v>
      </c>
      <c r="V168" s="2"/>
      <c r="W168" s="2"/>
      <c r="X168" s="2">
        <f t="shared" si="26"/>
        <v>0</v>
      </c>
      <c r="Y168" s="2"/>
      <c r="Z168" s="2"/>
      <c r="AA168" s="2">
        <f t="shared" si="27"/>
        <v>0</v>
      </c>
      <c r="AB168" s="2"/>
      <c r="AC168" s="2"/>
      <c r="AD168" s="2">
        <f t="shared" si="28"/>
        <v>0</v>
      </c>
      <c r="AE168" s="2"/>
      <c r="AF168" s="2"/>
      <c r="AG168" s="2">
        <f t="shared" si="29"/>
        <v>0</v>
      </c>
    </row>
    <row r="169" spans="1:33" x14ac:dyDescent="0.3">
      <c r="B169" s="3"/>
      <c r="C169" t="str">
        <f xml:space="preserve"> _xll.EPMOlapMemberO("[CLACO].[PARENTH1].[AMSAENTRENAMI]","","Entrenamiento","","000")</f>
        <v>Entrenamiento</v>
      </c>
      <c r="D169" s="2">
        <v>7691.65</v>
      </c>
      <c r="E169" s="2">
        <v>12334.88</v>
      </c>
      <c r="F169" s="2">
        <f t="shared" si="20"/>
        <v>4643.2299999999996</v>
      </c>
      <c r="G169" s="2">
        <v>1759</v>
      </c>
      <c r="H169" s="2"/>
      <c r="I169" s="2">
        <f t="shared" si="21"/>
        <v>-1759</v>
      </c>
      <c r="J169" s="2">
        <v>3243.73</v>
      </c>
      <c r="K169" s="2"/>
      <c r="L169" s="2">
        <f t="shared" si="22"/>
        <v>-3243.73</v>
      </c>
      <c r="M169" s="2">
        <v>16245.42</v>
      </c>
      <c r="N169" s="2"/>
      <c r="O169" s="2">
        <f t="shared" si="23"/>
        <v>-16245.42</v>
      </c>
      <c r="P169" s="2"/>
      <c r="Q169" s="2"/>
      <c r="R169" s="2">
        <f t="shared" si="24"/>
        <v>0</v>
      </c>
      <c r="S169" s="2"/>
      <c r="T169" s="2"/>
      <c r="U169" s="2">
        <f t="shared" si="25"/>
        <v>0</v>
      </c>
      <c r="V169" s="2"/>
      <c r="W169" s="2"/>
      <c r="X169" s="2">
        <f t="shared" si="26"/>
        <v>0</v>
      </c>
      <c r="Y169" s="2">
        <v>1089.3</v>
      </c>
      <c r="Z169" s="2"/>
      <c r="AA169" s="2">
        <f t="shared" si="27"/>
        <v>-1089.3</v>
      </c>
      <c r="AB169" s="2"/>
      <c r="AC169" s="2"/>
      <c r="AD169" s="2">
        <f t="shared" si="28"/>
        <v>0</v>
      </c>
      <c r="AE169" s="2">
        <v>1089.3</v>
      </c>
      <c r="AF169" s="2"/>
      <c r="AG169" s="2">
        <f t="shared" si="29"/>
        <v>-1089.3</v>
      </c>
    </row>
    <row r="170" spans="1:33" x14ac:dyDescent="0.3">
      <c r="B170" s="3"/>
      <c r="C170" t="str">
        <f xml:space="preserve"> _xll.EPMOlapMemberO("[CLACO].[PARENTH1].[AMSAASESORIAS]","","Asesorías y Consulto","","000")</f>
        <v>Asesorías y Consulto</v>
      </c>
      <c r="D170" s="2">
        <v>130428.21</v>
      </c>
      <c r="E170" s="2">
        <v>153532.23000000001</v>
      </c>
      <c r="F170" s="2">
        <f t="shared" si="20"/>
        <v>23104.020000000004</v>
      </c>
      <c r="G170" s="2">
        <v>65385.45</v>
      </c>
      <c r="H170" s="2">
        <v>131145.71</v>
      </c>
      <c r="I170" s="2">
        <f t="shared" si="21"/>
        <v>65760.259999999995</v>
      </c>
      <c r="J170" s="2">
        <v>73653.440000000002</v>
      </c>
      <c r="K170" s="2">
        <v>129600</v>
      </c>
      <c r="L170" s="2">
        <f t="shared" si="22"/>
        <v>55946.559999999998</v>
      </c>
      <c r="M170" s="2">
        <v>49338.46</v>
      </c>
      <c r="N170" s="2">
        <v>100000</v>
      </c>
      <c r="O170" s="2">
        <f t="shared" si="23"/>
        <v>50661.54</v>
      </c>
      <c r="P170" s="2"/>
      <c r="Q170" s="2">
        <v>13339.54</v>
      </c>
      <c r="R170" s="2">
        <f t="shared" si="24"/>
        <v>13339.54</v>
      </c>
      <c r="S170" s="2">
        <v>2917.47</v>
      </c>
      <c r="T170" s="2">
        <v>9972.33</v>
      </c>
      <c r="U170" s="2">
        <f t="shared" si="25"/>
        <v>7054.8600000000006</v>
      </c>
      <c r="V170" s="2">
        <v>7922.56</v>
      </c>
      <c r="W170" s="2">
        <v>9976.06</v>
      </c>
      <c r="X170" s="2">
        <f t="shared" si="26"/>
        <v>2053.4999999999991</v>
      </c>
      <c r="Y170" s="2">
        <v>2446.69</v>
      </c>
      <c r="Z170" s="2">
        <v>9980.11</v>
      </c>
      <c r="AA170" s="2">
        <f t="shared" si="27"/>
        <v>7533.42</v>
      </c>
      <c r="AB170" s="2"/>
      <c r="AC170" s="2"/>
      <c r="AD170" s="2">
        <f t="shared" si="28"/>
        <v>0</v>
      </c>
      <c r="AE170" s="2">
        <v>16233.18</v>
      </c>
      <c r="AF170" s="2">
        <v>102992.02</v>
      </c>
      <c r="AG170" s="2">
        <f t="shared" si="29"/>
        <v>86758.84</v>
      </c>
    </row>
    <row r="171" spans="1:33" x14ac:dyDescent="0.3">
      <c r="B171" s="3"/>
      <c r="C171" t="str">
        <f xml:space="preserve"> _xll.EPMOlapMemberO("[CLACO].[PARENTH1].[AMSASERVICIOS]","","Servicios","","000")</f>
        <v>Servicios</v>
      </c>
      <c r="D171" s="2">
        <v>30866.54</v>
      </c>
      <c r="E171" s="2">
        <v>60813.68</v>
      </c>
      <c r="F171" s="2">
        <f t="shared" si="20"/>
        <v>29947.14</v>
      </c>
      <c r="G171" s="2">
        <v>51275.33</v>
      </c>
      <c r="H171" s="2">
        <v>47351.08</v>
      </c>
      <c r="I171" s="2">
        <f t="shared" si="21"/>
        <v>-3924.25</v>
      </c>
      <c r="J171" s="2">
        <v>48262.03</v>
      </c>
      <c r="K171" s="2">
        <v>61022.74</v>
      </c>
      <c r="L171" s="2">
        <f t="shared" si="22"/>
        <v>12760.71</v>
      </c>
      <c r="M171" s="2">
        <v>52677.04</v>
      </c>
      <c r="N171" s="2">
        <v>70044.509999999995</v>
      </c>
      <c r="O171" s="2">
        <f t="shared" si="23"/>
        <v>17367.469999999994</v>
      </c>
      <c r="P171" s="2">
        <v>4397.29</v>
      </c>
      <c r="Q171" s="2">
        <v>6301.8</v>
      </c>
      <c r="R171" s="2">
        <f t="shared" si="24"/>
        <v>1904.5100000000002</v>
      </c>
      <c r="S171" s="2">
        <v>15142.2</v>
      </c>
      <c r="T171" s="2">
        <v>6291.84</v>
      </c>
      <c r="U171" s="2">
        <f t="shared" si="25"/>
        <v>-8850.36</v>
      </c>
      <c r="V171" s="2"/>
      <c r="W171" s="2">
        <v>8373.02</v>
      </c>
      <c r="X171" s="2">
        <f t="shared" si="26"/>
        <v>8373.02</v>
      </c>
      <c r="Y171" s="2">
        <v>5456.07</v>
      </c>
      <c r="Z171" s="2">
        <v>8363.5300000000007</v>
      </c>
      <c r="AA171" s="2">
        <f t="shared" si="27"/>
        <v>2907.4600000000009</v>
      </c>
      <c r="AB171" s="2">
        <v>5066.74</v>
      </c>
      <c r="AC171" s="2">
        <v>8354.81</v>
      </c>
      <c r="AD171" s="2">
        <f t="shared" si="28"/>
        <v>3288.0699999999997</v>
      </c>
      <c r="AE171" s="2">
        <v>35820.67</v>
      </c>
      <c r="AF171" s="2">
        <v>74440.639999999999</v>
      </c>
      <c r="AG171" s="2">
        <f t="shared" si="29"/>
        <v>38619.97</v>
      </c>
    </row>
    <row r="172" spans="1:33" x14ac:dyDescent="0.3">
      <c r="B172" s="3"/>
      <c r="C172" t="str">
        <f xml:space="preserve"> _xll.EPMOlapMemberO("[CLACO].[PARENTH1].[AMSASERMANTO.REPA]","","Servicios Mantenimie","","000")</f>
        <v>Servicios Mantenimie</v>
      </c>
      <c r="D172" s="2">
        <v>46.58</v>
      </c>
      <c r="E172" s="2"/>
      <c r="F172" s="2">
        <f t="shared" si="20"/>
        <v>-46.58</v>
      </c>
      <c r="G172" s="2"/>
      <c r="H172" s="2"/>
      <c r="I172" s="2">
        <f t="shared" si="21"/>
        <v>0</v>
      </c>
      <c r="J172" s="2"/>
      <c r="K172" s="2"/>
      <c r="L172" s="2">
        <f t="shared" si="22"/>
        <v>0</v>
      </c>
      <c r="M172" s="2"/>
      <c r="N172" s="2"/>
      <c r="O172" s="2">
        <f t="shared" si="23"/>
        <v>0</v>
      </c>
      <c r="P172" s="2"/>
      <c r="Q172" s="2"/>
      <c r="R172" s="2">
        <f t="shared" si="24"/>
        <v>0</v>
      </c>
      <c r="S172" s="2"/>
      <c r="T172" s="2"/>
      <c r="U172" s="2">
        <f t="shared" si="25"/>
        <v>0</v>
      </c>
      <c r="V172" s="2"/>
      <c r="W172" s="2"/>
      <c r="X172" s="2">
        <f t="shared" si="26"/>
        <v>0</v>
      </c>
      <c r="Y172" s="2"/>
      <c r="Z172" s="2"/>
      <c r="AA172" s="2">
        <f t="shared" si="27"/>
        <v>0</v>
      </c>
      <c r="AB172" s="2"/>
      <c r="AC172" s="2"/>
      <c r="AD172" s="2">
        <f t="shared" si="28"/>
        <v>0</v>
      </c>
      <c r="AE172" s="2"/>
      <c r="AF172" s="2"/>
      <c r="AG172" s="2">
        <f t="shared" si="29"/>
        <v>0</v>
      </c>
    </row>
    <row r="173" spans="1:33" x14ac:dyDescent="0.3">
      <c r="B173" s="3"/>
      <c r="C173" t="str">
        <f xml:space="preserve"> _xll.EPMOlapMemberO("[CLACO].[PARENTH1].[AMSAINFORMATIC]","","Informática y Comuni","","000")</f>
        <v>Informática y Comuni</v>
      </c>
      <c r="D173" s="2">
        <v>50060.98</v>
      </c>
      <c r="E173" s="2">
        <v>152468.67000000001</v>
      </c>
      <c r="F173" s="2">
        <f t="shared" si="20"/>
        <v>102407.69</v>
      </c>
      <c r="G173" s="2">
        <v>79881.63</v>
      </c>
      <c r="H173" s="2">
        <v>99393.76</v>
      </c>
      <c r="I173" s="2">
        <f t="shared" si="21"/>
        <v>19512.12999999999</v>
      </c>
      <c r="J173" s="2">
        <v>79078.94</v>
      </c>
      <c r="K173" s="2">
        <v>106474.73</v>
      </c>
      <c r="L173" s="2">
        <f t="shared" si="22"/>
        <v>27395.789999999994</v>
      </c>
      <c r="M173" s="2">
        <v>63555.3</v>
      </c>
      <c r="N173" s="2">
        <v>97757.35</v>
      </c>
      <c r="O173" s="2">
        <f t="shared" si="23"/>
        <v>34202.050000000003</v>
      </c>
      <c r="P173" s="2">
        <v>4463.5</v>
      </c>
      <c r="Q173" s="2">
        <v>9930.15</v>
      </c>
      <c r="R173" s="2">
        <f t="shared" si="24"/>
        <v>5466.65</v>
      </c>
      <c r="S173" s="2">
        <v>790.33</v>
      </c>
      <c r="T173" s="2">
        <v>9914.59</v>
      </c>
      <c r="U173" s="2">
        <f t="shared" si="25"/>
        <v>9124.26</v>
      </c>
      <c r="V173" s="2">
        <v>1711.68</v>
      </c>
      <c r="W173" s="2">
        <v>9898.06</v>
      </c>
      <c r="X173" s="2">
        <f t="shared" si="26"/>
        <v>8186.3799999999992</v>
      </c>
      <c r="Y173" s="2">
        <v>4629.24</v>
      </c>
      <c r="Z173" s="2">
        <v>9881.85</v>
      </c>
      <c r="AA173" s="2">
        <f t="shared" si="27"/>
        <v>5252.6100000000006</v>
      </c>
      <c r="AB173" s="2">
        <v>1772.67</v>
      </c>
      <c r="AC173" s="2">
        <v>9866.61</v>
      </c>
      <c r="AD173" s="2">
        <f t="shared" si="28"/>
        <v>8093.9400000000005</v>
      </c>
      <c r="AE173" s="2">
        <v>13787.11</v>
      </c>
      <c r="AF173" s="2">
        <v>126119.7</v>
      </c>
      <c r="AG173" s="2">
        <f t="shared" si="29"/>
        <v>112332.59</v>
      </c>
    </row>
    <row r="174" spans="1:33" x14ac:dyDescent="0.3">
      <c r="B174" s="3"/>
      <c r="C174" t="str">
        <f xml:space="preserve"> _xll.EPMOlapMemberO("[CLACO].[PARENTH1].[AMSAG_VIAJES]","","Gastos de Viajes","","000")</f>
        <v>Gastos de Viajes</v>
      </c>
      <c r="D174" s="2">
        <v>16185.74</v>
      </c>
      <c r="E174" s="2">
        <v>27703.96</v>
      </c>
      <c r="F174" s="2">
        <f t="shared" si="20"/>
        <v>11518.22</v>
      </c>
      <c r="G174" s="2">
        <v>21173.64</v>
      </c>
      <c r="H174" s="2">
        <v>30652.5</v>
      </c>
      <c r="I174" s="2">
        <f t="shared" si="21"/>
        <v>9478.86</v>
      </c>
      <c r="J174" s="2">
        <v>28426.13</v>
      </c>
      <c r="K174" s="2">
        <v>32146.16</v>
      </c>
      <c r="L174" s="2">
        <f t="shared" si="22"/>
        <v>3720.0299999999988</v>
      </c>
      <c r="M174" s="2">
        <v>49733.71</v>
      </c>
      <c r="N174" s="2">
        <v>66814</v>
      </c>
      <c r="O174" s="2">
        <f t="shared" si="23"/>
        <v>17080.29</v>
      </c>
      <c r="P174" s="2">
        <v>2115.9499999999998</v>
      </c>
      <c r="Q174" s="2">
        <v>3200.49</v>
      </c>
      <c r="R174" s="2">
        <f t="shared" si="24"/>
        <v>1084.54</v>
      </c>
      <c r="S174" s="2">
        <v>4533.58</v>
      </c>
      <c r="T174" s="2">
        <v>5906.78</v>
      </c>
      <c r="U174" s="2">
        <f t="shared" si="25"/>
        <v>1373.1999999999998</v>
      </c>
      <c r="V174" s="2">
        <v>457.81</v>
      </c>
      <c r="W174" s="2">
        <v>3203.18</v>
      </c>
      <c r="X174" s="2">
        <f t="shared" si="26"/>
        <v>2745.37</v>
      </c>
      <c r="Y174" s="2">
        <v>2196.46</v>
      </c>
      <c r="Z174" s="2">
        <v>4613.43</v>
      </c>
      <c r="AA174" s="2">
        <f t="shared" si="27"/>
        <v>2416.9700000000003</v>
      </c>
      <c r="AB174" s="2">
        <v>6007.97</v>
      </c>
      <c r="AC174" s="2">
        <v>2816.92</v>
      </c>
      <c r="AD174" s="2">
        <f t="shared" si="28"/>
        <v>-3191.05</v>
      </c>
      <c r="AE174" s="2">
        <v>16355.49</v>
      </c>
      <c r="AF174" s="2">
        <v>49973.59</v>
      </c>
      <c r="AG174" s="2">
        <f t="shared" si="29"/>
        <v>33618.1</v>
      </c>
    </row>
    <row r="175" spans="1:33" x14ac:dyDescent="0.3">
      <c r="B175" s="3"/>
      <c r="C175" t="str">
        <f xml:space="preserve"> _xll.EPMOlapMemberO("[CLACO].[PARENTH1].[AMSAGGENERALES.2]","","Otros Gastos","","000")</f>
        <v>Otros Gastos</v>
      </c>
      <c r="D175" s="2">
        <v>556.42999999999995</v>
      </c>
      <c r="E175" s="2">
        <v>3198.92</v>
      </c>
      <c r="F175" s="2">
        <f t="shared" si="20"/>
        <v>2642.4900000000002</v>
      </c>
      <c r="G175" s="2">
        <v>3402.67</v>
      </c>
      <c r="H175" s="2">
        <v>2284.27</v>
      </c>
      <c r="I175" s="2">
        <f t="shared" si="21"/>
        <v>-1118.4000000000001</v>
      </c>
      <c r="J175" s="2">
        <v>4834.45</v>
      </c>
      <c r="K175" s="2">
        <v>2408.1799999999998</v>
      </c>
      <c r="L175" s="2">
        <f t="shared" si="22"/>
        <v>-2426.27</v>
      </c>
      <c r="M175" s="2">
        <v>9629.9500000000007</v>
      </c>
      <c r="N175" s="2">
        <v>6000.06</v>
      </c>
      <c r="O175" s="2">
        <f t="shared" si="23"/>
        <v>-3629.8900000000003</v>
      </c>
      <c r="P175" s="2">
        <v>790.68</v>
      </c>
      <c r="Q175" s="2">
        <v>471.58</v>
      </c>
      <c r="R175" s="2">
        <f t="shared" si="24"/>
        <v>-319.09999999999997</v>
      </c>
      <c r="S175" s="2">
        <v>405.9</v>
      </c>
      <c r="T175" s="2">
        <v>471.8</v>
      </c>
      <c r="U175" s="2">
        <f t="shared" si="25"/>
        <v>65.900000000000034</v>
      </c>
      <c r="V175" s="2">
        <v>443.76</v>
      </c>
      <c r="W175" s="2">
        <v>472</v>
      </c>
      <c r="X175" s="2">
        <f t="shared" si="26"/>
        <v>28.240000000000009</v>
      </c>
      <c r="Y175" s="2">
        <v>1191.55</v>
      </c>
      <c r="Z175" s="2">
        <v>472.19</v>
      </c>
      <c r="AA175" s="2">
        <f t="shared" si="27"/>
        <v>-719.3599999999999</v>
      </c>
      <c r="AB175" s="2">
        <v>1711.62</v>
      </c>
      <c r="AC175" s="2">
        <v>472.41</v>
      </c>
      <c r="AD175" s="2">
        <f t="shared" si="28"/>
        <v>-1239.2099999999998</v>
      </c>
      <c r="AE175" s="2">
        <v>7207.34</v>
      </c>
      <c r="AF175" s="2">
        <v>5655.94</v>
      </c>
      <c r="AG175" s="2">
        <f t="shared" si="29"/>
        <v>-1551.4000000000005</v>
      </c>
    </row>
    <row r="176" spans="1:33" x14ac:dyDescent="0.3">
      <c r="A176" t="s">
        <v>19</v>
      </c>
      <c r="B176" s="3" t="str">
        <f xml:space="preserve"> _xll.EPMOlapMemberO("[CECO].[PARENTH3].[AMSA1000AC0515]","","Soporte AMSA TMM","","000")</f>
        <v>Soporte AMSA TMM</v>
      </c>
      <c r="C176" t="str">
        <f xml:space="preserve"> _xll.EPMOlapMemberO("[CLACO].[PARENTH1].[AMSAG_VIAJES]","","Gastos de Viajes","","000")</f>
        <v>Gastos de Viajes</v>
      </c>
      <c r="D176" s="2">
        <v>31178.78</v>
      </c>
      <c r="E176" s="2">
        <v>13268.97</v>
      </c>
      <c r="F176" s="2">
        <f t="shared" si="20"/>
        <v>-17909.809999999998</v>
      </c>
      <c r="G176" s="2">
        <v>27298.63</v>
      </c>
      <c r="H176" s="2">
        <v>10311.200000000001</v>
      </c>
      <c r="I176" s="2">
        <f t="shared" si="21"/>
        <v>-16987.43</v>
      </c>
      <c r="J176" s="2">
        <v>15311.17</v>
      </c>
      <c r="K176" s="2">
        <v>30738.68</v>
      </c>
      <c r="L176" s="2">
        <f t="shared" si="22"/>
        <v>15427.51</v>
      </c>
      <c r="M176" s="2"/>
      <c r="N176" s="2"/>
      <c r="O176" s="2">
        <f t="shared" si="23"/>
        <v>0</v>
      </c>
      <c r="P176" s="2"/>
      <c r="Q176" s="2"/>
      <c r="R176" s="2">
        <f t="shared" si="24"/>
        <v>0</v>
      </c>
      <c r="S176" s="2"/>
      <c r="T176" s="2"/>
      <c r="U176" s="2">
        <f t="shared" si="25"/>
        <v>0</v>
      </c>
      <c r="V176" s="2"/>
      <c r="W176" s="2"/>
      <c r="X176" s="2">
        <f t="shared" si="26"/>
        <v>0</v>
      </c>
      <c r="Y176" s="2"/>
      <c r="Z176" s="2"/>
      <c r="AA176" s="2">
        <f t="shared" si="27"/>
        <v>0</v>
      </c>
      <c r="AB176" s="2"/>
      <c r="AC176" s="2"/>
      <c r="AD176" s="2">
        <f t="shared" si="28"/>
        <v>0</v>
      </c>
      <c r="AE176" s="2"/>
      <c r="AF176" s="2"/>
      <c r="AG176" s="2">
        <f t="shared" si="29"/>
        <v>0</v>
      </c>
    </row>
    <row r="177" spans="1:33" x14ac:dyDescent="0.3">
      <c r="A177" t="s">
        <v>20</v>
      </c>
      <c r="B177" s="3" t="str">
        <f xml:space="preserve"> _xll.EPMOlapMemberO("[CECO].[PARENTH3].[AMSA1000AC0508]","","Presidencia Ejecutiv","","000")</f>
        <v>Presidencia Ejecutiv</v>
      </c>
      <c r="C177" t="str">
        <f xml:space="preserve"> _xll.EPMOlapMemberO("[CLACO].[PARENTH1].[AMSAREMUNERACI.SS]","","Remuneraciones Super","","000")</f>
        <v>Remuneraciones Super</v>
      </c>
      <c r="D177" s="2">
        <v>4928054.29</v>
      </c>
      <c r="E177" s="2">
        <v>3637442.12</v>
      </c>
      <c r="F177" s="2">
        <f t="shared" si="20"/>
        <v>-1290612.17</v>
      </c>
      <c r="G177" s="2">
        <v>6080950.4500000002</v>
      </c>
      <c r="H177" s="2">
        <v>4028243.83</v>
      </c>
      <c r="I177" s="2">
        <f t="shared" si="21"/>
        <v>-2052706.62</v>
      </c>
      <c r="J177" s="2">
        <v>6447346.04</v>
      </c>
      <c r="K177" s="2">
        <v>5553392.0099999998</v>
      </c>
      <c r="L177" s="2">
        <f t="shared" si="22"/>
        <v>-893954.03000000026</v>
      </c>
      <c r="M177" s="2">
        <v>11043945.85</v>
      </c>
      <c r="N177" s="2">
        <v>5890412.54</v>
      </c>
      <c r="O177" s="2">
        <f t="shared" si="23"/>
        <v>-5153533.3099999996</v>
      </c>
      <c r="P177" s="2">
        <v>725938.93</v>
      </c>
      <c r="Q177" s="2">
        <v>776409.58</v>
      </c>
      <c r="R177" s="2">
        <f t="shared" si="24"/>
        <v>50470.649999999907</v>
      </c>
      <c r="S177" s="2">
        <v>1625317.93</v>
      </c>
      <c r="T177" s="2">
        <v>778090.42</v>
      </c>
      <c r="U177" s="2">
        <f t="shared" si="25"/>
        <v>-847227.50999999989</v>
      </c>
      <c r="V177" s="2">
        <v>898385.96</v>
      </c>
      <c r="W177" s="2">
        <v>754512.88</v>
      </c>
      <c r="X177" s="2">
        <f t="shared" si="26"/>
        <v>-143873.07999999996</v>
      </c>
      <c r="Y177" s="2">
        <v>674011.54</v>
      </c>
      <c r="Z177" s="2">
        <v>721576.57</v>
      </c>
      <c r="AA177" s="2">
        <f t="shared" si="27"/>
        <v>47565.029999999912</v>
      </c>
      <c r="AB177" s="2">
        <v>773721.77</v>
      </c>
      <c r="AC177" s="2">
        <v>766414.78</v>
      </c>
      <c r="AD177" s="2">
        <f t="shared" si="28"/>
        <v>-7306.9899999999907</v>
      </c>
      <c r="AE177" s="2">
        <v>4697376.13</v>
      </c>
      <c r="AF177" s="2">
        <v>9200560.4399999995</v>
      </c>
      <c r="AG177" s="2">
        <f t="shared" si="29"/>
        <v>4503184.3099999996</v>
      </c>
    </row>
    <row r="178" spans="1:33" x14ac:dyDescent="0.3">
      <c r="B178" s="3"/>
      <c r="C178" t="str">
        <f xml:space="preserve"> _xll.EPMOlapMemberO("[CLACO].[PARENTH1].[AMSAMAT_Y_REP.2]","","Materiales y repuest","","000")</f>
        <v>Materiales y repuest</v>
      </c>
      <c r="D178" s="2">
        <v>198.92</v>
      </c>
      <c r="E178" s="2"/>
      <c r="F178" s="2">
        <f t="shared" si="20"/>
        <v>-198.92</v>
      </c>
      <c r="G178" s="2">
        <v>151.26</v>
      </c>
      <c r="H178" s="2"/>
      <c r="I178" s="2">
        <f t="shared" si="21"/>
        <v>-151.26</v>
      </c>
      <c r="J178" s="2">
        <v>480.49</v>
      </c>
      <c r="K178" s="2"/>
      <c r="L178" s="2">
        <f t="shared" si="22"/>
        <v>-480.49</v>
      </c>
      <c r="M178" s="2">
        <v>125.38</v>
      </c>
      <c r="N178" s="2"/>
      <c r="O178" s="2">
        <f t="shared" si="23"/>
        <v>-125.38</v>
      </c>
      <c r="P178" s="2"/>
      <c r="Q178" s="2"/>
      <c r="R178" s="2">
        <f t="shared" si="24"/>
        <v>0</v>
      </c>
      <c r="S178" s="2"/>
      <c r="T178" s="2"/>
      <c r="U178" s="2">
        <f t="shared" si="25"/>
        <v>0</v>
      </c>
      <c r="V178" s="2"/>
      <c r="W178" s="2"/>
      <c r="X178" s="2">
        <f t="shared" si="26"/>
        <v>0</v>
      </c>
      <c r="Y178" s="2"/>
      <c r="Z178" s="2"/>
      <c r="AA178" s="2">
        <f t="shared" si="27"/>
        <v>0</v>
      </c>
      <c r="AB178" s="2"/>
      <c r="AC178" s="2"/>
      <c r="AD178" s="2">
        <f t="shared" si="28"/>
        <v>0</v>
      </c>
      <c r="AE178" s="2"/>
      <c r="AF178" s="2"/>
      <c r="AG178" s="2">
        <f t="shared" si="29"/>
        <v>0</v>
      </c>
    </row>
    <row r="179" spans="1:33" x14ac:dyDescent="0.3">
      <c r="B179" s="3"/>
      <c r="C179" t="str">
        <f xml:space="preserve"> _xll.EPMOlapMemberO("[CLACO].[PARENTH1].[AMSAADM_PERSON]","","Administración Perso","","000")</f>
        <v>Administración Perso</v>
      </c>
      <c r="D179" s="2">
        <v>0</v>
      </c>
      <c r="E179" s="2"/>
      <c r="F179" s="2">
        <f t="shared" si="20"/>
        <v>0</v>
      </c>
      <c r="G179" s="2">
        <v>3834.19</v>
      </c>
      <c r="H179" s="2"/>
      <c r="I179" s="2">
        <f t="shared" si="21"/>
        <v>-3834.19</v>
      </c>
      <c r="J179" s="2"/>
      <c r="K179" s="2"/>
      <c r="L179" s="2">
        <f t="shared" si="22"/>
        <v>0</v>
      </c>
      <c r="M179" s="2">
        <v>4595.63</v>
      </c>
      <c r="N179" s="2"/>
      <c r="O179" s="2">
        <f t="shared" si="23"/>
        <v>-4595.63</v>
      </c>
      <c r="P179" s="2"/>
      <c r="Q179" s="2"/>
      <c r="R179" s="2">
        <f t="shared" si="24"/>
        <v>0</v>
      </c>
      <c r="S179" s="2"/>
      <c r="T179" s="2"/>
      <c r="U179" s="2">
        <f t="shared" si="25"/>
        <v>0</v>
      </c>
      <c r="V179" s="2"/>
      <c r="W179" s="2"/>
      <c r="X179" s="2">
        <f t="shared" si="26"/>
        <v>0</v>
      </c>
      <c r="Y179" s="2">
        <v>1747.21</v>
      </c>
      <c r="Z179" s="2"/>
      <c r="AA179" s="2">
        <f t="shared" si="27"/>
        <v>-1747.21</v>
      </c>
      <c r="AB179" s="2"/>
      <c r="AC179" s="2"/>
      <c r="AD179" s="2">
        <f t="shared" si="28"/>
        <v>0</v>
      </c>
      <c r="AE179" s="2">
        <v>3449.93</v>
      </c>
      <c r="AF179" s="2"/>
      <c r="AG179" s="2">
        <f t="shared" si="29"/>
        <v>-3449.93</v>
      </c>
    </row>
    <row r="180" spans="1:33" x14ac:dyDescent="0.3">
      <c r="B180" s="3"/>
      <c r="C180" t="str">
        <f xml:space="preserve"> _xll.EPMOlapMemberO("[CLACO].[PARENTH1].[AMSAENTRENAMI]","","Entrenamiento","","000")</f>
        <v>Entrenamiento</v>
      </c>
      <c r="D180" s="2">
        <v>17417.64</v>
      </c>
      <c r="E180" s="2">
        <v>46308.76</v>
      </c>
      <c r="F180" s="2">
        <f t="shared" si="20"/>
        <v>28891.120000000003</v>
      </c>
      <c r="G180" s="2">
        <v>13089.79</v>
      </c>
      <c r="H180" s="2">
        <v>16095.13</v>
      </c>
      <c r="I180" s="2">
        <f t="shared" si="21"/>
        <v>3005.3399999999983</v>
      </c>
      <c r="J180" s="2">
        <v>28865.94</v>
      </c>
      <c r="K180" s="2">
        <v>14029.42</v>
      </c>
      <c r="L180" s="2">
        <f t="shared" si="22"/>
        <v>-14836.519999999999</v>
      </c>
      <c r="M180" s="2">
        <v>6689.99</v>
      </c>
      <c r="N180" s="2">
        <v>22722.240000000002</v>
      </c>
      <c r="O180" s="2">
        <f t="shared" si="23"/>
        <v>16032.250000000002</v>
      </c>
      <c r="P180" s="2"/>
      <c r="Q180" s="2"/>
      <c r="R180" s="2">
        <f t="shared" si="24"/>
        <v>0</v>
      </c>
      <c r="S180" s="2"/>
      <c r="T180" s="2"/>
      <c r="U180" s="2">
        <f t="shared" si="25"/>
        <v>0</v>
      </c>
      <c r="V180" s="2"/>
      <c r="W180" s="2">
        <v>5800.27</v>
      </c>
      <c r="X180" s="2">
        <f t="shared" si="26"/>
        <v>5800.27</v>
      </c>
      <c r="Y180" s="2"/>
      <c r="Z180" s="2"/>
      <c r="AA180" s="2">
        <f t="shared" si="27"/>
        <v>0</v>
      </c>
      <c r="AB180" s="2"/>
      <c r="AC180" s="2"/>
      <c r="AD180" s="2">
        <f t="shared" si="28"/>
        <v>0</v>
      </c>
      <c r="AE180" s="2"/>
      <c r="AF180" s="2">
        <v>23218.41</v>
      </c>
      <c r="AG180" s="2">
        <f t="shared" si="29"/>
        <v>23218.41</v>
      </c>
    </row>
    <row r="181" spans="1:33" x14ac:dyDescent="0.3">
      <c r="B181" s="3"/>
      <c r="C181" t="str">
        <f xml:space="preserve"> _xll.EPMOlapMemberO("[CLACO].[PARENTH1].[AMSAASESORIAS]","","Asesorías y Consulto","","000")</f>
        <v>Asesorías y Consulto</v>
      </c>
      <c r="D181" s="2">
        <v>40633.480000000003</v>
      </c>
      <c r="E181" s="2">
        <v>101437.84</v>
      </c>
      <c r="F181" s="2">
        <f t="shared" si="20"/>
        <v>60804.359999999993</v>
      </c>
      <c r="G181" s="2">
        <v>29603.35</v>
      </c>
      <c r="H181" s="2">
        <v>78866.02</v>
      </c>
      <c r="I181" s="2">
        <f t="shared" si="21"/>
        <v>49262.670000000006</v>
      </c>
      <c r="J181" s="2">
        <v>39369.339999999997</v>
      </c>
      <c r="K181" s="2">
        <v>87133.45</v>
      </c>
      <c r="L181" s="2">
        <f t="shared" si="22"/>
        <v>47764.11</v>
      </c>
      <c r="M181" s="2">
        <v>6112.18</v>
      </c>
      <c r="N181" s="2">
        <v>62460.2</v>
      </c>
      <c r="O181" s="2">
        <f t="shared" si="23"/>
        <v>56348.02</v>
      </c>
      <c r="P181" s="2"/>
      <c r="Q181" s="2"/>
      <c r="R181" s="2">
        <f t="shared" si="24"/>
        <v>0</v>
      </c>
      <c r="S181" s="2"/>
      <c r="T181" s="2">
        <v>6593.5</v>
      </c>
      <c r="U181" s="2">
        <f t="shared" si="25"/>
        <v>6593.5</v>
      </c>
      <c r="V181" s="2">
        <v>6254.45</v>
      </c>
      <c r="W181" s="2">
        <v>10958.58</v>
      </c>
      <c r="X181" s="2">
        <f t="shared" si="26"/>
        <v>4704.13</v>
      </c>
      <c r="Y181" s="2"/>
      <c r="Z181" s="2"/>
      <c r="AA181" s="2">
        <f t="shared" si="27"/>
        <v>0</v>
      </c>
      <c r="AB181" s="2"/>
      <c r="AC181" s="2"/>
      <c r="AD181" s="2">
        <f t="shared" si="28"/>
        <v>0</v>
      </c>
      <c r="AE181" s="2">
        <v>6254.45</v>
      </c>
      <c r="AF181" s="2">
        <v>64392.33</v>
      </c>
      <c r="AG181" s="2">
        <f t="shared" si="29"/>
        <v>58137.880000000005</v>
      </c>
    </row>
    <row r="182" spans="1:33" x14ac:dyDescent="0.3">
      <c r="B182" s="3"/>
      <c r="C182" t="str">
        <f xml:space="preserve"> _xll.EPMOlapMemberO("[CLACO].[PARENTH1].[AMSASERVICIOS]","","Servicios","","000")</f>
        <v>Servicios</v>
      </c>
      <c r="D182" s="2"/>
      <c r="E182" s="2"/>
      <c r="F182" s="2">
        <f t="shared" si="20"/>
        <v>0</v>
      </c>
      <c r="G182" s="2">
        <v>54.55</v>
      </c>
      <c r="H182" s="2"/>
      <c r="I182" s="2">
        <f t="shared" si="21"/>
        <v>-54.55</v>
      </c>
      <c r="J182" s="2"/>
      <c r="K182" s="2"/>
      <c r="L182" s="2">
        <f t="shared" si="22"/>
        <v>0</v>
      </c>
      <c r="M182" s="2">
        <v>100204.11</v>
      </c>
      <c r="N182" s="2">
        <v>97196</v>
      </c>
      <c r="O182" s="2">
        <f t="shared" si="23"/>
        <v>-3008.1100000000006</v>
      </c>
      <c r="P182" s="2">
        <v>98.31</v>
      </c>
      <c r="Q182" s="2">
        <v>8067.4</v>
      </c>
      <c r="R182" s="2">
        <f t="shared" si="24"/>
        <v>7969.0899999999992</v>
      </c>
      <c r="S182" s="2"/>
      <c r="T182" s="2">
        <v>8052.06</v>
      </c>
      <c r="U182" s="2">
        <f t="shared" si="25"/>
        <v>8052.06</v>
      </c>
      <c r="V182" s="2"/>
      <c r="W182" s="2">
        <v>8036.71</v>
      </c>
      <c r="X182" s="2">
        <f t="shared" si="26"/>
        <v>8036.71</v>
      </c>
      <c r="Y182" s="2"/>
      <c r="Z182" s="2">
        <v>8021.61</v>
      </c>
      <c r="AA182" s="2">
        <f t="shared" si="27"/>
        <v>8021.61</v>
      </c>
      <c r="AB182" s="2"/>
      <c r="AC182" s="2">
        <v>8006.51</v>
      </c>
      <c r="AD182" s="2">
        <f t="shared" si="28"/>
        <v>8006.51</v>
      </c>
      <c r="AE182" s="2">
        <v>98.31</v>
      </c>
      <c r="AF182" s="2">
        <v>97086.03</v>
      </c>
      <c r="AG182" s="2">
        <f t="shared" si="29"/>
        <v>96987.72</v>
      </c>
    </row>
    <row r="183" spans="1:33" x14ac:dyDescent="0.3">
      <c r="B183" s="3"/>
      <c r="C183" t="str">
        <f xml:space="preserve"> _xll.EPMOlapMemberO("[CLACO].[PARENTH1].[AMSASERMANTO.REPA]","","Servicios Mantenimie","","000")</f>
        <v>Servicios Mantenimie</v>
      </c>
      <c r="D183" s="2">
        <v>81.22</v>
      </c>
      <c r="E183" s="2"/>
      <c r="F183" s="2">
        <f t="shared" si="20"/>
        <v>-81.22</v>
      </c>
      <c r="G183" s="2"/>
      <c r="H183" s="2"/>
      <c r="I183" s="2">
        <f t="shared" si="21"/>
        <v>0</v>
      </c>
      <c r="J183" s="2"/>
      <c r="K183" s="2"/>
      <c r="L183" s="2">
        <f t="shared" si="22"/>
        <v>0</v>
      </c>
      <c r="M183" s="2"/>
      <c r="N183" s="2"/>
      <c r="O183" s="2">
        <f t="shared" si="23"/>
        <v>0</v>
      </c>
      <c r="P183" s="2"/>
      <c r="Q183" s="2"/>
      <c r="R183" s="2">
        <f t="shared" si="24"/>
        <v>0</v>
      </c>
      <c r="S183" s="2"/>
      <c r="T183" s="2"/>
      <c r="U183" s="2">
        <f t="shared" si="25"/>
        <v>0</v>
      </c>
      <c r="V183" s="2"/>
      <c r="W183" s="2"/>
      <c r="X183" s="2">
        <f t="shared" si="26"/>
        <v>0</v>
      </c>
      <c r="Y183" s="2"/>
      <c r="Z183" s="2"/>
      <c r="AA183" s="2">
        <f t="shared" si="27"/>
        <v>0</v>
      </c>
      <c r="AB183" s="2"/>
      <c r="AC183" s="2"/>
      <c r="AD183" s="2">
        <f t="shared" si="28"/>
        <v>0</v>
      </c>
      <c r="AE183" s="2"/>
      <c r="AF183" s="2"/>
      <c r="AG183" s="2">
        <f t="shared" si="29"/>
        <v>0</v>
      </c>
    </row>
    <row r="184" spans="1:33" x14ac:dyDescent="0.3">
      <c r="B184" s="3"/>
      <c r="C184" t="str">
        <f xml:space="preserve"> _xll.EPMOlapMemberO("[CLACO].[PARENTH1].[AMSAINFORMATIC]","","Informática y Comuni","","000")</f>
        <v>Informática y Comuni</v>
      </c>
      <c r="D184" s="2">
        <v>4721.1000000000004</v>
      </c>
      <c r="E184" s="2">
        <v>8579.83</v>
      </c>
      <c r="F184" s="2">
        <f t="shared" si="20"/>
        <v>3858.7299999999996</v>
      </c>
      <c r="G184" s="2">
        <v>5192.28</v>
      </c>
      <c r="H184" s="2">
        <v>7443.8</v>
      </c>
      <c r="I184" s="2">
        <f t="shared" si="21"/>
        <v>2251.5200000000004</v>
      </c>
      <c r="J184" s="2">
        <v>3277.44</v>
      </c>
      <c r="K184" s="2">
        <v>6118.18</v>
      </c>
      <c r="L184" s="2">
        <f t="shared" si="22"/>
        <v>2840.7400000000002</v>
      </c>
      <c r="M184" s="2">
        <v>2268.69</v>
      </c>
      <c r="N184" s="2">
        <v>3726.88</v>
      </c>
      <c r="O184" s="2">
        <f t="shared" si="23"/>
        <v>1458.19</v>
      </c>
      <c r="P184" s="2">
        <v>521.04</v>
      </c>
      <c r="Q184" s="2">
        <v>243.7</v>
      </c>
      <c r="R184" s="2">
        <f t="shared" si="24"/>
        <v>-277.33999999999997</v>
      </c>
      <c r="S184" s="2">
        <v>182.29</v>
      </c>
      <c r="T184" s="2">
        <v>746.36</v>
      </c>
      <c r="U184" s="2">
        <f t="shared" si="25"/>
        <v>564.07000000000005</v>
      </c>
      <c r="V184" s="2">
        <v>242.88</v>
      </c>
      <c r="W184" s="2">
        <v>1487.22</v>
      </c>
      <c r="X184" s="2">
        <f t="shared" si="26"/>
        <v>1244.3400000000001</v>
      </c>
      <c r="Y184" s="2">
        <v>1491.45</v>
      </c>
      <c r="Z184" s="2">
        <v>241.94</v>
      </c>
      <c r="AA184" s="2">
        <f t="shared" si="27"/>
        <v>-1249.51</v>
      </c>
      <c r="AB184" s="2">
        <v>283.12</v>
      </c>
      <c r="AC184" s="2">
        <v>241.36</v>
      </c>
      <c r="AD184" s="2">
        <f t="shared" si="28"/>
        <v>-41.759999999999991</v>
      </c>
      <c r="AE184" s="2">
        <v>2854.24</v>
      </c>
      <c r="AF184" s="2">
        <v>4683.09</v>
      </c>
      <c r="AG184" s="2">
        <f t="shared" si="29"/>
        <v>1828.8500000000004</v>
      </c>
    </row>
    <row r="185" spans="1:33" x14ac:dyDescent="0.3">
      <c r="B185" s="3"/>
      <c r="C185" t="str">
        <f xml:space="preserve"> _xll.EPMOlapMemberO("[CLACO].[PARENTH1].[AMSAG_VIAJES]","","Gastos de Viajes","","000")</f>
        <v>Gastos de Viajes</v>
      </c>
      <c r="D185" s="2">
        <v>257560.06</v>
      </c>
      <c r="E185" s="2">
        <v>98960.9</v>
      </c>
      <c r="F185" s="2">
        <f t="shared" si="20"/>
        <v>-158599.16</v>
      </c>
      <c r="G185" s="2">
        <v>366411.48</v>
      </c>
      <c r="H185" s="2">
        <v>237516.35</v>
      </c>
      <c r="I185" s="2">
        <f t="shared" si="21"/>
        <v>-128895.12999999998</v>
      </c>
      <c r="J185" s="2">
        <v>232198.16</v>
      </c>
      <c r="K185" s="2">
        <v>331555.28999999998</v>
      </c>
      <c r="L185" s="2">
        <f t="shared" si="22"/>
        <v>99357.129999999976</v>
      </c>
      <c r="M185" s="2">
        <v>393249.63</v>
      </c>
      <c r="N185" s="2">
        <v>310112.61</v>
      </c>
      <c r="O185" s="2">
        <f t="shared" si="23"/>
        <v>-83137.020000000019</v>
      </c>
      <c r="P185" s="2">
        <v>97091.89</v>
      </c>
      <c r="Q185" s="2">
        <v>26695.439999999999</v>
      </c>
      <c r="R185" s="2">
        <f t="shared" si="24"/>
        <v>-70396.45</v>
      </c>
      <c r="S185" s="2">
        <v>16680.98</v>
      </c>
      <c r="T185" s="2">
        <v>26647.09</v>
      </c>
      <c r="U185" s="2">
        <f t="shared" si="25"/>
        <v>9966.11</v>
      </c>
      <c r="V185" s="2">
        <v>41967</v>
      </c>
      <c r="W185" s="2">
        <v>26689.16</v>
      </c>
      <c r="X185" s="2">
        <f t="shared" si="26"/>
        <v>-15277.84</v>
      </c>
      <c r="Y185" s="2">
        <v>948.02</v>
      </c>
      <c r="Z185" s="2">
        <v>25909.52</v>
      </c>
      <c r="AA185" s="2">
        <f t="shared" si="27"/>
        <v>24961.5</v>
      </c>
      <c r="AB185" s="2">
        <v>-7121.99</v>
      </c>
      <c r="AC185" s="2">
        <v>25863.23</v>
      </c>
      <c r="AD185" s="2">
        <f t="shared" si="28"/>
        <v>32985.22</v>
      </c>
      <c r="AE185" s="2">
        <v>181252.64</v>
      </c>
      <c r="AF185" s="2">
        <v>318068.56</v>
      </c>
      <c r="AG185" s="2">
        <f t="shared" si="29"/>
        <v>136815.91999999998</v>
      </c>
    </row>
    <row r="186" spans="1:33" x14ac:dyDescent="0.3">
      <c r="B186" s="3"/>
      <c r="C186" t="str">
        <f xml:space="preserve"> _xll.EPMOlapMemberO("[CLACO].[PARENTH1].[AMSAGGENERALES.2]","","Otros Gastos","","000")</f>
        <v>Otros Gastos</v>
      </c>
      <c r="D186" s="2">
        <v>194292.32</v>
      </c>
      <c r="E186" s="2">
        <v>195555.55</v>
      </c>
      <c r="F186" s="2">
        <f t="shared" si="20"/>
        <v>1263.2299999999814</v>
      </c>
      <c r="G186" s="2">
        <v>107972.6</v>
      </c>
      <c r="H186" s="2">
        <v>135077</v>
      </c>
      <c r="I186" s="2">
        <f t="shared" si="21"/>
        <v>27104.399999999994</v>
      </c>
      <c r="J186" s="2">
        <v>114052.47</v>
      </c>
      <c r="K186" s="2">
        <v>144858.6</v>
      </c>
      <c r="L186" s="2">
        <f t="shared" si="22"/>
        <v>30806.130000000005</v>
      </c>
      <c r="M186" s="2">
        <v>157766.64000000001</v>
      </c>
      <c r="N186" s="2">
        <v>145774.79</v>
      </c>
      <c r="O186" s="2">
        <f t="shared" si="23"/>
        <v>-11991.850000000006</v>
      </c>
      <c r="P186" s="2">
        <v>811.59</v>
      </c>
      <c r="Q186" s="2">
        <v>2883.54</v>
      </c>
      <c r="R186" s="2">
        <f t="shared" si="24"/>
        <v>2071.9499999999998</v>
      </c>
      <c r="S186" s="2">
        <v>354.62</v>
      </c>
      <c r="T186" s="2">
        <v>2384.38</v>
      </c>
      <c r="U186" s="2">
        <f t="shared" si="25"/>
        <v>2029.7600000000002</v>
      </c>
      <c r="V186" s="2">
        <v>278.56</v>
      </c>
      <c r="W186" s="2">
        <v>2383.61</v>
      </c>
      <c r="X186" s="2">
        <f t="shared" si="26"/>
        <v>2105.0500000000002</v>
      </c>
      <c r="Y186" s="2">
        <v>1827.22</v>
      </c>
      <c r="Z186" s="2">
        <v>719.52</v>
      </c>
      <c r="AA186" s="2">
        <f t="shared" si="27"/>
        <v>-1107.7</v>
      </c>
      <c r="AB186" s="2">
        <v>75.040000000000006</v>
      </c>
      <c r="AC186" s="2">
        <v>718.1</v>
      </c>
      <c r="AD186" s="2">
        <f t="shared" si="28"/>
        <v>643.06000000000006</v>
      </c>
      <c r="AE186" s="2">
        <v>3648.78</v>
      </c>
      <c r="AF186" s="2">
        <v>148699.91</v>
      </c>
      <c r="AG186" s="2">
        <f t="shared" si="29"/>
        <v>145051.13</v>
      </c>
    </row>
    <row r="187" spans="1:33" x14ac:dyDescent="0.3">
      <c r="A187" t="s">
        <v>21</v>
      </c>
      <c r="B187" s="3" t="str">
        <f xml:space="preserve"> _xll.EPMOlapMemberO("[CECO].[PARENTH3].[AMSA1000AC3002]","","Gcia Auditoría","","000")</f>
        <v>Gcia Auditoría</v>
      </c>
      <c r="C187" t="str">
        <f xml:space="preserve"> _xll.EPMOlapMemberO("[CLACO].[PARENTH1].[AMSAREMUNERACI.SS]","","Remuneraciones Super","","000")</f>
        <v>Remuneraciones Super</v>
      </c>
      <c r="D187" s="2">
        <v>1710911.13</v>
      </c>
      <c r="E187" s="2">
        <v>1669726.21</v>
      </c>
      <c r="F187" s="2">
        <f t="shared" si="20"/>
        <v>-41184.919999999925</v>
      </c>
      <c r="G187" s="2">
        <v>1977899.16</v>
      </c>
      <c r="H187" s="2">
        <v>1774980.69</v>
      </c>
      <c r="I187" s="2">
        <f t="shared" si="21"/>
        <v>-202918.46999999997</v>
      </c>
      <c r="J187" s="2">
        <v>1942733.23</v>
      </c>
      <c r="K187" s="2">
        <v>2250491.88</v>
      </c>
      <c r="L187" s="2">
        <f t="shared" si="22"/>
        <v>307758.64999999991</v>
      </c>
      <c r="M187" s="2">
        <v>2226702.65</v>
      </c>
      <c r="N187" s="2">
        <v>2244345.5699999998</v>
      </c>
      <c r="O187" s="2">
        <f t="shared" si="23"/>
        <v>17642.919999999925</v>
      </c>
      <c r="P187" s="2">
        <v>187291.86</v>
      </c>
      <c r="Q187" s="2">
        <v>192085.91</v>
      </c>
      <c r="R187" s="2">
        <f t="shared" si="24"/>
        <v>4794.0500000000175</v>
      </c>
      <c r="S187" s="2">
        <v>250273.88</v>
      </c>
      <c r="T187" s="2">
        <v>232184.42</v>
      </c>
      <c r="U187" s="2">
        <f t="shared" si="25"/>
        <v>-18089.459999999992</v>
      </c>
      <c r="V187" s="2">
        <v>182312.61</v>
      </c>
      <c r="W187" s="2">
        <v>191479.47</v>
      </c>
      <c r="X187" s="2">
        <f t="shared" si="26"/>
        <v>9166.8600000000151</v>
      </c>
      <c r="Y187" s="2">
        <v>206430.03</v>
      </c>
      <c r="Z187" s="2">
        <v>228559.13</v>
      </c>
      <c r="AA187" s="2">
        <f t="shared" si="27"/>
        <v>22129.100000000006</v>
      </c>
      <c r="AB187" s="2">
        <v>189020.87</v>
      </c>
      <c r="AC187" s="2">
        <v>189523</v>
      </c>
      <c r="AD187" s="2">
        <f t="shared" si="28"/>
        <v>502.13000000000466</v>
      </c>
      <c r="AE187" s="2">
        <v>1015958.65</v>
      </c>
      <c r="AF187" s="2">
        <v>2448609.31</v>
      </c>
      <c r="AG187" s="2">
        <f t="shared" si="29"/>
        <v>1432650.6600000001</v>
      </c>
    </row>
    <row r="188" spans="1:33" x14ac:dyDescent="0.3">
      <c r="B188" s="3"/>
      <c r="C188" t="str">
        <f xml:space="preserve"> _xll.EPMOlapMemberO("[CLACO].[PARENTH1].[AMSAMAT_Y_REP.2]","","Materiales y repuest","","000")</f>
        <v>Materiales y repuest</v>
      </c>
      <c r="D188" s="2"/>
      <c r="E188" s="2"/>
      <c r="F188" s="2">
        <f t="shared" si="20"/>
        <v>0</v>
      </c>
      <c r="G188" s="2">
        <v>0</v>
      </c>
      <c r="H188" s="2"/>
      <c r="I188" s="2">
        <f t="shared" si="21"/>
        <v>0</v>
      </c>
      <c r="J188" s="2"/>
      <c r="K188" s="2"/>
      <c r="L188" s="2">
        <f t="shared" si="22"/>
        <v>0</v>
      </c>
      <c r="M188" s="2"/>
      <c r="N188" s="2"/>
      <c r="O188" s="2">
        <f t="shared" si="23"/>
        <v>0</v>
      </c>
      <c r="P188" s="2"/>
      <c r="Q188" s="2"/>
      <c r="R188" s="2">
        <f t="shared" si="24"/>
        <v>0</v>
      </c>
      <c r="S188" s="2"/>
      <c r="T188" s="2"/>
      <c r="U188" s="2">
        <f t="shared" si="25"/>
        <v>0</v>
      </c>
      <c r="V188" s="2"/>
      <c r="W188" s="2"/>
      <c r="X188" s="2">
        <f t="shared" si="26"/>
        <v>0</v>
      </c>
      <c r="Y188" s="2"/>
      <c r="Z188" s="2"/>
      <c r="AA188" s="2">
        <f t="shared" si="27"/>
        <v>0</v>
      </c>
      <c r="AB188" s="2"/>
      <c r="AC188" s="2"/>
      <c r="AD188" s="2">
        <f t="shared" si="28"/>
        <v>0</v>
      </c>
      <c r="AE188" s="2"/>
      <c r="AF188" s="2"/>
      <c r="AG188" s="2">
        <f t="shared" si="29"/>
        <v>0</v>
      </c>
    </row>
    <row r="189" spans="1:33" x14ac:dyDescent="0.3">
      <c r="B189" s="3"/>
      <c r="C189" t="str">
        <f xml:space="preserve"> _xll.EPMOlapMemberO("[CLACO].[PARENTH1].[AMSAADM_PERSON]","","Administración Perso","","000")</f>
        <v>Administración Perso</v>
      </c>
      <c r="D189" s="2">
        <v>1350.43</v>
      </c>
      <c r="E189" s="2">
        <v>2082.73</v>
      </c>
      <c r="F189" s="2">
        <f t="shared" si="20"/>
        <v>732.3</v>
      </c>
      <c r="G189" s="2">
        <v>1904.68</v>
      </c>
      <c r="H189" s="2">
        <v>2120</v>
      </c>
      <c r="I189" s="2">
        <f t="shared" si="21"/>
        <v>215.31999999999994</v>
      </c>
      <c r="J189" s="2">
        <v>-2000</v>
      </c>
      <c r="K189" s="2">
        <v>2060</v>
      </c>
      <c r="L189" s="2">
        <f t="shared" si="22"/>
        <v>4060</v>
      </c>
      <c r="M189" s="2">
        <v>112.8</v>
      </c>
      <c r="N189" s="2">
        <v>2046</v>
      </c>
      <c r="O189" s="2">
        <f t="shared" si="23"/>
        <v>1933.2</v>
      </c>
      <c r="P189" s="2"/>
      <c r="Q189" s="2"/>
      <c r="R189" s="2">
        <f t="shared" si="24"/>
        <v>0</v>
      </c>
      <c r="S189" s="2"/>
      <c r="T189" s="2"/>
      <c r="U189" s="2">
        <f t="shared" si="25"/>
        <v>0</v>
      </c>
      <c r="V189" s="2"/>
      <c r="W189" s="2"/>
      <c r="X189" s="2">
        <f t="shared" si="26"/>
        <v>0</v>
      </c>
      <c r="Y189" s="2"/>
      <c r="Z189" s="2"/>
      <c r="AA189" s="2">
        <f t="shared" si="27"/>
        <v>0</v>
      </c>
      <c r="AB189" s="2"/>
      <c r="AC189" s="2"/>
      <c r="AD189" s="2">
        <f t="shared" si="28"/>
        <v>0</v>
      </c>
      <c r="AE189" s="2"/>
      <c r="AF189" s="2">
        <v>1988.11</v>
      </c>
      <c r="AG189" s="2">
        <f t="shared" si="29"/>
        <v>1988.11</v>
      </c>
    </row>
    <row r="190" spans="1:33" x14ac:dyDescent="0.3">
      <c r="B190" s="3"/>
      <c r="C190" t="str">
        <f xml:space="preserve"> _xll.EPMOlapMemberO("[CLACO].[PARENTH1].[AMSAENTRENAMI]","","Entrenamiento","","000")</f>
        <v>Entrenamiento</v>
      </c>
      <c r="D190" s="2">
        <v>2288.64</v>
      </c>
      <c r="E190" s="2">
        <v>8264.1299999999992</v>
      </c>
      <c r="F190" s="2">
        <f t="shared" si="20"/>
        <v>5975.49</v>
      </c>
      <c r="G190" s="2">
        <v>5868.53</v>
      </c>
      <c r="H190" s="2">
        <v>8357.76</v>
      </c>
      <c r="I190" s="2">
        <f t="shared" si="21"/>
        <v>2489.2300000000005</v>
      </c>
      <c r="J190" s="2">
        <v>1396.96</v>
      </c>
      <c r="K190" s="2">
        <v>6135</v>
      </c>
      <c r="L190" s="2">
        <f t="shared" si="22"/>
        <v>4738.04</v>
      </c>
      <c r="M190" s="2">
        <v>2622.56</v>
      </c>
      <c r="N190" s="2"/>
      <c r="O190" s="2">
        <f t="shared" si="23"/>
        <v>-2622.56</v>
      </c>
      <c r="P190" s="2"/>
      <c r="Q190" s="2"/>
      <c r="R190" s="2">
        <f t="shared" si="24"/>
        <v>0</v>
      </c>
      <c r="S190" s="2"/>
      <c r="T190" s="2"/>
      <c r="U190" s="2">
        <f t="shared" si="25"/>
        <v>0</v>
      </c>
      <c r="V190" s="2"/>
      <c r="W190" s="2"/>
      <c r="X190" s="2">
        <f t="shared" si="26"/>
        <v>0</v>
      </c>
      <c r="Y190" s="2"/>
      <c r="Z190" s="2"/>
      <c r="AA190" s="2">
        <f t="shared" si="27"/>
        <v>0</v>
      </c>
      <c r="AB190" s="2"/>
      <c r="AC190" s="2"/>
      <c r="AD190" s="2">
        <f t="shared" si="28"/>
        <v>0</v>
      </c>
      <c r="AE190" s="2"/>
      <c r="AF190" s="2"/>
      <c r="AG190" s="2">
        <f t="shared" si="29"/>
        <v>0</v>
      </c>
    </row>
    <row r="191" spans="1:33" x14ac:dyDescent="0.3">
      <c r="B191" s="3"/>
      <c r="C191" t="str">
        <f xml:space="preserve"> _xll.EPMOlapMemberO("[CLACO].[PARENTH1].[AMSAASESORIAS]","","Asesorías y Consulto","","000")</f>
        <v>Asesorías y Consulto</v>
      </c>
      <c r="D191" s="2">
        <v>127230.53</v>
      </c>
      <c r="E191" s="2">
        <v>213125.12</v>
      </c>
      <c r="F191" s="2">
        <f t="shared" si="20"/>
        <v>85894.59</v>
      </c>
      <c r="G191" s="2">
        <v>104542.15</v>
      </c>
      <c r="H191" s="2">
        <v>160864.70000000001</v>
      </c>
      <c r="I191" s="2">
        <f t="shared" si="21"/>
        <v>56322.550000000017</v>
      </c>
      <c r="J191" s="2">
        <v>82533.070000000007</v>
      </c>
      <c r="K191" s="2">
        <v>144134.98000000001</v>
      </c>
      <c r="L191" s="2">
        <f t="shared" si="22"/>
        <v>61601.91</v>
      </c>
      <c r="M191" s="2">
        <v>180453.85</v>
      </c>
      <c r="N191" s="2">
        <v>191909.5</v>
      </c>
      <c r="O191" s="2">
        <f t="shared" si="23"/>
        <v>11455.649999999994</v>
      </c>
      <c r="P191" s="2">
        <v>28111.4</v>
      </c>
      <c r="Q191" s="2">
        <v>11064.45</v>
      </c>
      <c r="R191" s="2">
        <f t="shared" si="24"/>
        <v>-17046.95</v>
      </c>
      <c r="S191" s="2">
        <v>11716.46</v>
      </c>
      <c r="T191" s="2">
        <v>11068.92</v>
      </c>
      <c r="U191" s="2">
        <f t="shared" si="25"/>
        <v>-647.53999999999905</v>
      </c>
      <c r="V191" s="2">
        <v>11120.29</v>
      </c>
      <c r="W191" s="2">
        <v>14066.24</v>
      </c>
      <c r="X191" s="2">
        <f t="shared" si="26"/>
        <v>2945.9499999999989</v>
      </c>
      <c r="Y191" s="2">
        <v>535.16999999999996</v>
      </c>
      <c r="Z191" s="2">
        <v>11078.28</v>
      </c>
      <c r="AA191" s="2">
        <f t="shared" si="27"/>
        <v>10543.11</v>
      </c>
      <c r="AB191" s="2">
        <v>1769.34</v>
      </c>
      <c r="AC191" s="2">
        <v>11083.17</v>
      </c>
      <c r="AD191" s="2">
        <f t="shared" si="28"/>
        <v>9313.83</v>
      </c>
      <c r="AE191" s="2">
        <v>65887.009999999995</v>
      </c>
      <c r="AF191" s="2">
        <v>190436.49</v>
      </c>
      <c r="AG191" s="2">
        <f t="shared" si="29"/>
        <v>124549.48</v>
      </c>
    </row>
    <row r="192" spans="1:33" x14ac:dyDescent="0.3">
      <c r="B192" s="3"/>
      <c r="C192" t="str">
        <f xml:space="preserve"> _xll.EPMOlapMemberO("[CLACO].[PARENTH1].[AMSASERVICIOS]","","Servicios","","000")</f>
        <v>Servicios</v>
      </c>
      <c r="D192" s="2">
        <v>28437.4</v>
      </c>
      <c r="E192" s="2"/>
      <c r="F192" s="2">
        <f t="shared" si="20"/>
        <v>-28437.4</v>
      </c>
      <c r="G192" s="2">
        <v>7893.3</v>
      </c>
      <c r="H192" s="2">
        <v>1529.42</v>
      </c>
      <c r="I192" s="2">
        <f t="shared" si="21"/>
        <v>-6363.88</v>
      </c>
      <c r="J192" s="2">
        <v>17618.25</v>
      </c>
      <c r="K192" s="2">
        <v>2126.25</v>
      </c>
      <c r="L192" s="2">
        <f t="shared" si="22"/>
        <v>-15492</v>
      </c>
      <c r="M192" s="2">
        <v>4260.7700000000004</v>
      </c>
      <c r="N192" s="2">
        <v>4053.67</v>
      </c>
      <c r="O192" s="2">
        <f t="shared" si="23"/>
        <v>-207.10000000000036</v>
      </c>
      <c r="P192" s="2"/>
      <c r="Q192" s="2"/>
      <c r="R192" s="2">
        <f t="shared" si="24"/>
        <v>0</v>
      </c>
      <c r="S192" s="2"/>
      <c r="T192" s="2"/>
      <c r="U192" s="2">
        <f t="shared" si="25"/>
        <v>0</v>
      </c>
      <c r="V192" s="2">
        <v>2884.6</v>
      </c>
      <c r="W192" s="2"/>
      <c r="X192" s="2">
        <f t="shared" si="26"/>
        <v>-2884.6</v>
      </c>
      <c r="Y192" s="2"/>
      <c r="Z192" s="2"/>
      <c r="AA192" s="2">
        <f t="shared" si="27"/>
        <v>0</v>
      </c>
      <c r="AB192" s="2"/>
      <c r="AC192" s="2"/>
      <c r="AD192" s="2">
        <f t="shared" si="28"/>
        <v>0</v>
      </c>
      <c r="AE192" s="2">
        <v>2884.6</v>
      </c>
      <c r="AF192" s="2">
        <v>3983.98</v>
      </c>
      <c r="AG192" s="2">
        <f t="shared" si="29"/>
        <v>1099.3800000000001</v>
      </c>
    </row>
    <row r="193" spans="1:33" x14ac:dyDescent="0.3">
      <c r="B193" s="3"/>
      <c r="C193" t="str">
        <f xml:space="preserve"> _xll.EPMOlapMemberO("[CLACO].[PARENTH1].[AMSASERMANTO.REPA]","","Servicios Mantenimie","","000")</f>
        <v>Servicios Mantenimie</v>
      </c>
      <c r="D193" s="2"/>
      <c r="E193" s="2"/>
      <c r="F193" s="2">
        <f t="shared" si="20"/>
        <v>0</v>
      </c>
      <c r="G193" s="2"/>
      <c r="H193" s="2"/>
      <c r="I193" s="2">
        <f t="shared" si="21"/>
        <v>0</v>
      </c>
      <c r="J193" s="2"/>
      <c r="K193" s="2"/>
      <c r="L193" s="2">
        <f t="shared" si="22"/>
        <v>0</v>
      </c>
      <c r="M193" s="2">
        <v>1053.9100000000001</v>
      </c>
      <c r="N193" s="2"/>
      <c r="O193" s="2">
        <f t="shared" si="23"/>
        <v>-1053.9100000000001</v>
      </c>
      <c r="P193" s="2"/>
      <c r="Q193" s="2"/>
      <c r="R193" s="2">
        <f t="shared" si="24"/>
        <v>0</v>
      </c>
      <c r="S193" s="2"/>
      <c r="T193" s="2"/>
      <c r="U193" s="2">
        <f t="shared" si="25"/>
        <v>0</v>
      </c>
      <c r="V193" s="2"/>
      <c r="W193" s="2"/>
      <c r="X193" s="2">
        <f t="shared" si="26"/>
        <v>0</v>
      </c>
      <c r="Y193" s="2"/>
      <c r="Z193" s="2"/>
      <c r="AA193" s="2">
        <f t="shared" si="27"/>
        <v>0</v>
      </c>
      <c r="AB193" s="2"/>
      <c r="AC193" s="2"/>
      <c r="AD193" s="2">
        <f t="shared" si="28"/>
        <v>0</v>
      </c>
      <c r="AE193" s="2"/>
      <c r="AF193" s="2"/>
      <c r="AG193" s="2">
        <f t="shared" si="29"/>
        <v>0</v>
      </c>
    </row>
    <row r="194" spans="1:33" x14ac:dyDescent="0.3">
      <c r="B194" s="3"/>
      <c r="C194" t="str">
        <f xml:space="preserve"> _xll.EPMOlapMemberO("[CLACO].[PARENTH1].[AMSAINFORMATIC]","","Informática y Comuni","","000")</f>
        <v>Informática y Comuni</v>
      </c>
      <c r="D194" s="2">
        <v>57865.8</v>
      </c>
      <c r="E194" s="2">
        <v>22383.43</v>
      </c>
      <c r="F194" s="2">
        <f t="shared" si="20"/>
        <v>-35482.370000000003</v>
      </c>
      <c r="G194" s="2">
        <v>-2040.34</v>
      </c>
      <c r="H194" s="2">
        <v>41966.37</v>
      </c>
      <c r="I194" s="2">
        <f t="shared" si="21"/>
        <v>44006.71</v>
      </c>
      <c r="J194" s="2">
        <v>50129.02</v>
      </c>
      <c r="K194" s="2">
        <v>50489.65</v>
      </c>
      <c r="L194" s="2">
        <f t="shared" si="22"/>
        <v>360.63000000000466</v>
      </c>
      <c r="M194" s="2">
        <v>44531.48</v>
      </c>
      <c r="N194" s="2">
        <v>50303.34</v>
      </c>
      <c r="O194" s="2">
        <f t="shared" si="23"/>
        <v>5771.8599999999933</v>
      </c>
      <c r="P194" s="2">
        <v>1310.05</v>
      </c>
      <c r="Q194" s="2">
        <v>318.98</v>
      </c>
      <c r="R194" s="2">
        <f t="shared" si="24"/>
        <v>-991.06999999999994</v>
      </c>
      <c r="S194" s="2">
        <v>491.1</v>
      </c>
      <c r="T194" s="2">
        <v>319.10000000000002</v>
      </c>
      <c r="U194" s="2">
        <f t="shared" si="25"/>
        <v>-172</v>
      </c>
      <c r="V194" s="2">
        <v>1739.97</v>
      </c>
      <c r="W194" s="2">
        <v>319.24</v>
      </c>
      <c r="X194" s="2">
        <f t="shared" si="26"/>
        <v>-1420.73</v>
      </c>
      <c r="Y194" s="2">
        <v>2640.07</v>
      </c>
      <c r="Z194" s="2">
        <v>219.57</v>
      </c>
      <c r="AA194" s="2">
        <f t="shared" si="27"/>
        <v>-2420.5</v>
      </c>
      <c r="AB194" s="2">
        <v>193.45</v>
      </c>
      <c r="AC194" s="2">
        <v>219.67</v>
      </c>
      <c r="AD194" s="2">
        <f t="shared" si="28"/>
        <v>26.22</v>
      </c>
      <c r="AE194" s="2">
        <v>6568.94</v>
      </c>
      <c r="AF194" s="2">
        <v>49681.88</v>
      </c>
      <c r="AG194" s="2">
        <f t="shared" si="29"/>
        <v>43112.939999999995</v>
      </c>
    </row>
    <row r="195" spans="1:33" x14ac:dyDescent="0.3">
      <c r="B195" s="3"/>
      <c r="C195" t="str">
        <f xml:space="preserve"> _xll.EPMOlapMemberO("[CLACO].[PARENTH1].[AMSAG_VIAJES]","","Gastos de Viajes","","000")</f>
        <v>Gastos de Viajes</v>
      </c>
      <c r="D195" s="2">
        <v>31676.880000000001</v>
      </c>
      <c r="E195" s="2">
        <v>56224.65</v>
      </c>
      <c r="F195" s="2">
        <f t="shared" si="20"/>
        <v>24547.77</v>
      </c>
      <c r="G195" s="2">
        <v>14149.93</v>
      </c>
      <c r="H195" s="2">
        <v>60307.67</v>
      </c>
      <c r="I195" s="2">
        <f t="shared" si="21"/>
        <v>46157.74</v>
      </c>
      <c r="J195" s="2">
        <v>15436.28</v>
      </c>
      <c r="K195" s="2">
        <v>69144.759999999995</v>
      </c>
      <c r="L195" s="2">
        <f t="shared" si="22"/>
        <v>53708.479999999996</v>
      </c>
      <c r="M195" s="2">
        <v>20892.189999999999</v>
      </c>
      <c r="N195" s="2">
        <v>41412.26</v>
      </c>
      <c r="O195" s="2">
        <f t="shared" si="23"/>
        <v>20520.070000000003</v>
      </c>
      <c r="P195" s="2">
        <v>1421.61</v>
      </c>
      <c r="Q195" s="2">
        <v>4485.58</v>
      </c>
      <c r="R195" s="2">
        <f t="shared" si="24"/>
        <v>3063.9700000000003</v>
      </c>
      <c r="S195" s="2">
        <v>3956.57</v>
      </c>
      <c r="T195" s="2">
        <v>2034.29</v>
      </c>
      <c r="U195" s="2">
        <f t="shared" si="25"/>
        <v>-1922.2800000000002</v>
      </c>
      <c r="V195" s="2">
        <v>463.52</v>
      </c>
      <c r="W195" s="2"/>
      <c r="X195" s="2">
        <f t="shared" si="26"/>
        <v>-463.52</v>
      </c>
      <c r="Y195" s="2">
        <v>-35.68</v>
      </c>
      <c r="Z195" s="2"/>
      <c r="AA195" s="2">
        <f t="shared" si="27"/>
        <v>35.68</v>
      </c>
      <c r="AB195" s="2">
        <v>2174.2399999999998</v>
      </c>
      <c r="AC195" s="2"/>
      <c r="AD195" s="2">
        <f t="shared" si="28"/>
        <v>-2174.2399999999998</v>
      </c>
      <c r="AE195" s="2">
        <v>8546.3700000000008</v>
      </c>
      <c r="AF195" s="2">
        <v>38661.5</v>
      </c>
      <c r="AG195" s="2">
        <f t="shared" si="29"/>
        <v>30115.129999999997</v>
      </c>
    </row>
    <row r="196" spans="1:33" x14ac:dyDescent="0.3">
      <c r="B196" s="3"/>
      <c r="C196" t="str">
        <f xml:space="preserve"> _xll.EPMOlapMemberO("[CLACO].[PARENTH1].[AMSAGGENERALES.2]","","Otros Gastos","","000")</f>
        <v>Otros Gastos</v>
      </c>
      <c r="D196" s="2">
        <v>1536.08</v>
      </c>
      <c r="E196" s="2">
        <v>1233.97</v>
      </c>
      <c r="F196" s="2">
        <f t="shared" si="20"/>
        <v>-302.1099999999999</v>
      </c>
      <c r="G196" s="2">
        <v>1299.92</v>
      </c>
      <c r="H196" s="2">
        <v>1238.68</v>
      </c>
      <c r="I196" s="2">
        <f t="shared" si="21"/>
        <v>-61.240000000000009</v>
      </c>
      <c r="J196" s="2">
        <v>1627.94</v>
      </c>
      <c r="K196" s="2">
        <v>1219.5</v>
      </c>
      <c r="L196" s="2">
        <f t="shared" si="22"/>
        <v>-408.44000000000005</v>
      </c>
      <c r="M196" s="2">
        <v>1443.31</v>
      </c>
      <c r="N196" s="2">
        <v>1214.96</v>
      </c>
      <c r="O196" s="2">
        <f t="shared" si="23"/>
        <v>-228.34999999999991</v>
      </c>
      <c r="P196" s="2">
        <v>1606.54</v>
      </c>
      <c r="Q196" s="2">
        <v>99.68</v>
      </c>
      <c r="R196" s="2">
        <f t="shared" si="24"/>
        <v>-1506.86</v>
      </c>
      <c r="S196" s="2">
        <v>269.35000000000002</v>
      </c>
      <c r="T196" s="2">
        <v>99.72</v>
      </c>
      <c r="U196" s="2">
        <f t="shared" si="25"/>
        <v>-169.63000000000002</v>
      </c>
      <c r="V196" s="2">
        <v>69.02</v>
      </c>
      <c r="W196" s="2">
        <v>99.76</v>
      </c>
      <c r="X196" s="2">
        <f t="shared" si="26"/>
        <v>30.740000000000009</v>
      </c>
      <c r="Y196" s="2">
        <v>55.26</v>
      </c>
      <c r="Z196" s="2">
        <v>99.81</v>
      </c>
      <c r="AA196" s="2">
        <f t="shared" si="27"/>
        <v>44.550000000000004</v>
      </c>
      <c r="AB196" s="2">
        <v>74.59</v>
      </c>
      <c r="AC196" s="2">
        <v>99.85</v>
      </c>
      <c r="AD196" s="2">
        <f t="shared" si="28"/>
        <v>25.259999999999991</v>
      </c>
      <c r="AE196" s="2">
        <v>3127.23</v>
      </c>
      <c r="AF196" s="2">
        <v>1195.47</v>
      </c>
      <c r="AG196" s="2">
        <f t="shared" si="29"/>
        <v>-1931.76</v>
      </c>
    </row>
    <row r="197" spans="1:33" x14ac:dyDescent="0.3">
      <c r="A197" t="s">
        <v>22</v>
      </c>
      <c r="B197" s="3" t="str">
        <f xml:space="preserve"> _xll.EPMOlapMemberO("[CECO].[PARENTH3].[AMSA1000AC3001]","","Directorio","","000")</f>
        <v>Directorio</v>
      </c>
      <c r="C197" t="str">
        <f xml:space="preserve"> _xll.EPMOlapMemberO("[CLACO].[PARENTH1].[AMSAREMUNERACI.EE]","","Remuneraciones emple","","000")</f>
        <v>Remuneraciones emple</v>
      </c>
      <c r="D197" s="2">
        <v>30915.39</v>
      </c>
      <c r="E197" s="2">
        <v>38933.839999999997</v>
      </c>
      <c r="F197" s="2">
        <f t="shared" si="20"/>
        <v>8018.4499999999971</v>
      </c>
      <c r="G197" s="2">
        <v>46468.07</v>
      </c>
      <c r="H197" s="2">
        <v>36570.83</v>
      </c>
      <c r="I197" s="2">
        <f t="shared" si="21"/>
        <v>-9897.239999999998</v>
      </c>
      <c r="J197" s="2">
        <v>46289.52</v>
      </c>
      <c r="K197" s="2">
        <v>46242.45</v>
      </c>
      <c r="L197" s="2">
        <f t="shared" si="22"/>
        <v>-47.069999999999709</v>
      </c>
      <c r="M197" s="2">
        <v>52424.42</v>
      </c>
      <c r="N197" s="2">
        <v>46327.23</v>
      </c>
      <c r="O197" s="2">
        <f t="shared" si="23"/>
        <v>-6097.1899999999951</v>
      </c>
      <c r="P197" s="2">
        <v>4170.2700000000004</v>
      </c>
      <c r="Q197" s="2">
        <v>4016.4</v>
      </c>
      <c r="R197" s="2">
        <f t="shared" si="24"/>
        <v>-153.87000000000035</v>
      </c>
      <c r="S197" s="2">
        <v>8293.58</v>
      </c>
      <c r="T197" s="2">
        <v>5208.1000000000004</v>
      </c>
      <c r="U197" s="2">
        <f t="shared" si="25"/>
        <v>-3085.4799999999996</v>
      </c>
      <c r="V197" s="2">
        <v>3917.96</v>
      </c>
      <c r="W197" s="2">
        <v>4013.82</v>
      </c>
      <c r="X197" s="2">
        <f t="shared" si="26"/>
        <v>95.860000000000127</v>
      </c>
      <c r="Y197" s="2">
        <v>4107.72</v>
      </c>
      <c r="Z197" s="2">
        <v>5181.24</v>
      </c>
      <c r="AA197" s="2">
        <f t="shared" si="27"/>
        <v>1073.5199999999995</v>
      </c>
      <c r="AB197" s="2">
        <v>4491.74</v>
      </c>
      <c r="AC197" s="2">
        <v>3986.95</v>
      </c>
      <c r="AD197" s="2">
        <f t="shared" si="28"/>
        <v>-504.78999999999996</v>
      </c>
      <c r="AE197" s="2">
        <v>24981.27</v>
      </c>
      <c r="AF197" s="2">
        <v>52640.02</v>
      </c>
      <c r="AG197" s="2">
        <f t="shared" si="29"/>
        <v>27658.749999999996</v>
      </c>
    </row>
    <row r="198" spans="1:33" x14ac:dyDescent="0.3">
      <c r="B198" s="3"/>
      <c r="C198" t="str">
        <f xml:space="preserve"> _xll.EPMOlapMemberO("[CLACO].[PARENTH1].[AMSAREMUNERACI.SS]","","Remuneraciones Super","","000")</f>
        <v>Remuneraciones Super</v>
      </c>
      <c r="D198" s="2">
        <v>226609.57</v>
      </c>
      <c r="E198" s="2">
        <v>213262.34</v>
      </c>
      <c r="F198" s="2">
        <f t="shared" si="20"/>
        <v>-13347.23000000001</v>
      </c>
      <c r="G198" s="2">
        <v>262467.18</v>
      </c>
      <c r="H198" s="2">
        <v>229578.22</v>
      </c>
      <c r="I198" s="2">
        <f t="shared" si="21"/>
        <v>-32888.959999999992</v>
      </c>
      <c r="J198" s="2">
        <v>269133.09000000003</v>
      </c>
      <c r="K198" s="2">
        <v>256624.84</v>
      </c>
      <c r="L198" s="2">
        <f t="shared" si="22"/>
        <v>-12508.250000000029</v>
      </c>
      <c r="M198" s="2">
        <v>288420.34000000003</v>
      </c>
      <c r="N198" s="2">
        <v>281135.8</v>
      </c>
      <c r="O198" s="2">
        <f t="shared" si="23"/>
        <v>-7284.5400000000373</v>
      </c>
      <c r="P198" s="2">
        <v>18565.650000000001</v>
      </c>
      <c r="Q198" s="2">
        <v>22477.13</v>
      </c>
      <c r="R198" s="2">
        <f t="shared" si="24"/>
        <v>3911.4799999999996</v>
      </c>
      <c r="S198" s="2">
        <v>42161.89</v>
      </c>
      <c r="T198" s="2">
        <v>28437.01</v>
      </c>
      <c r="U198" s="2">
        <f t="shared" si="25"/>
        <v>-13724.880000000001</v>
      </c>
      <c r="V198" s="2">
        <v>21989.35</v>
      </c>
      <c r="W198" s="2">
        <v>22466.84</v>
      </c>
      <c r="X198" s="2">
        <f t="shared" si="26"/>
        <v>477.4900000000016</v>
      </c>
      <c r="Y198" s="2">
        <v>31963.53</v>
      </c>
      <c r="Z198" s="2">
        <v>28148.53</v>
      </c>
      <c r="AA198" s="2">
        <f t="shared" si="27"/>
        <v>-3815</v>
      </c>
      <c r="AB198" s="2">
        <v>23637.94</v>
      </c>
      <c r="AC198" s="2">
        <v>22178.41</v>
      </c>
      <c r="AD198" s="2">
        <f t="shared" si="28"/>
        <v>-1459.5299999999988</v>
      </c>
      <c r="AE198" s="2">
        <v>138318.35999999999</v>
      </c>
      <c r="AF198" s="2">
        <v>291142.94</v>
      </c>
      <c r="AG198" s="2">
        <f t="shared" si="29"/>
        <v>152824.58000000002</v>
      </c>
    </row>
    <row r="199" spans="1:33" x14ac:dyDescent="0.3">
      <c r="B199" s="3"/>
      <c r="C199" t="str">
        <f xml:space="preserve"> _xll.EPMOlapMemberO("[CLACO].[PARENTH1].[AMSAMAT_Y_REP.2]","","Materiales y repuest","","000")</f>
        <v>Materiales y repuest</v>
      </c>
      <c r="D199" s="2"/>
      <c r="E199" s="2"/>
      <c r="F199" s="2">
        <f t="shared" si="20"/>
        <v>0</v>
      </c>
      <c r="G199" s="2">
        <v>0</v>
      </c>
      <c r="H199" s="2"/>
      <c r="I199" s="2">
        <f t="shared" si="21"/>
        <v>0</v>
      </c>
      <c r="J199" s="2"/>
      <c r="K199" s="2"/>
      <c r="L199" s="2">
        <f t="shared" si="22"/>
        <v>0</v>
      </c>
      <c r="M199" s="2"/>
      <c r="N199" s="2"/>
      <c r="O199" s="2">
        <f t="shared" si="23"/>
        <v>0</v>
      </c>
      <c r="P199" s="2"/>
      <c r="Q199" s="2"/>
      <c r="R199" s="2">
        <f t="shared" si="24"/>
        <v>0</v>
      </c>
      <c r="S199" s="2"/>
      <c r="T199" s="2"/>
      <c r="U199" s="2">
        <f t="shared" si="25"/>
        <v>0</v>
      </c>
      <c r="V199" s="2"/>
      <c r="W199" s="2"/>
      <c r="X199" s="2">
        <f t="shared" si="26"/>
        <v>0</v>
      </c>
      <c r="Y199" s="2"/>
      <c r="Z199" s="2"/>
      <c r="AA199" s="2">
        <f t="shared" si="27"/>
        <v>0</v>
      </c>
      <c r="AB199" s="2"/>
      <c r="AC199" s="2"/>
      <c r="AD199" s="2">
        <f t="shared" si="28"/>
        <v>0</v>
      </c>
      <c r="AE199" s="2"/>
      <c r="AF199" s="2"/>
      <c r="AG199" s="2">
        <f t="shared" si="29"/>
        <v>0</v>
      </c>
    </row>
    <row r="200" spans="1:33" x14ac:dyDescent="0.3">
      <c r="B200" s="3"/>
      <c r="C200" t="str">
        <f xml:space="preserve"> _xll.EPMOlapMemberO("[CLACO].[PARENTH1].[AMSAADM_PERSON]","","Administración Perso","","000")</f>
        <v>Administración Perso</v>
      </c>
      <c r="D200" s="2"/>
      <c r="E200" s="2"/>
      <c r="F200" s="2">
        <f t="shared" si="20"/>
        <v>0</v>
      </c>
      <c r="G200" s="2">
        <v>1317.98</v>
      </c>
      <c r="H200" s="2"/>
      <c r="I200" s="2">
        <f t="shared" si="21"/>
        <v>-1317.98</v>
      </c>
      <c r="J200" s="2">
        <v>57979.57</v>
      </c>
      <c r="K200" s="2"/>
      <c r="L200" s="2">
        <f t="shared" si="22"/>
        <v>-57979.57</v>
      </c>
      <c r="M200" s="2"/>
      <c r="N200" s="2"/>
      <c r="O200" s="2">
        <f t="shared" si="23"/>
        <v>0</v>
      </c>
      <c r="P200" s="2"/>
      <c r="Q200" s="2"/>
      <c r="R200" s="2">
        <f t="shared" si="24"/>
        <v>0</v>
      </c>
      <c r="S200" s="2"/>
      <c r="T200" s="2"/>
      <c r="U200" s="2">
        <f t="shared" si="25"/>
        <v>0</v>
      </c>
      <c r="V200" s="2"/>
      <c r="W200" s="2"/>
      <c r="X200" s="2">
        <f t="shared" si="26"/>
        <v>0</v>
      </c>
      <c r="Y200" s="2"/>
      <c r="Z200" s="2"/>
      <c r="AA200" s="2">
        <f t="shared" si="27"/>
        <v>0</v>
      </c>
      <c r="AB200" s="2"/>
      <c r="AC200" s="2"/>
      <c r="AD200" s="2">
        <f t="shared" si="28"/>
        <v>0</v>
      </c>
      <c r="AE200" s="2"/>
      <c r="AF200" s="2"/>
      <c r="AG200" s="2">
        <f t="shared" si="29"/>
        <v>0</v>
      </c>
    </row>
    <row r="201" spans="1:33" x14ac:dyDescent="0.3">
      <c r="B201" s="3"/>
      <c r="C201" t="str">
        <f xml:space="preserve"> _xll.EPMOlapMemberO("[CLACO].[PARENTH1].[AMSAASESORIAS]","","Asesorías y Consulto","","000")</f>
        <v>Asesorías y Consulto</v>
      </c>
      <c r="D201" s="2">
        <v>2409507.61</v>
      </c>
      <c r="E201" s="2">
        <v>2360990.96</v>
      </c>
      <c r="F201" s="2">
        <f t="shared" si="20"/>
        <v>-48516.649999999907</v>
      </c>
      <c r="G201" s="2">
        <v>2667281.58</v>
      </c>
      <c r="H201" s="2">
        <v>2571394.38</v>
      </c>
      <c r="I201" s="2">
        <f t="shared" si="21"/>
        <v>-95887.200000000186</v>
      </c>
      <c r="J201" s="2">
        <v>2976019.03</v>
      </c>
      <c r="K201" s="2">
        <v>2749101.92</v>
      </c>
      <c r="L201" s="2">
        <f t="shared" si="22"/>
        <v>-226917.10999999987</v>
      </c>
      <c r="M201" s="2">
        <v>2648001.67</v>
      </c>
      <c r="N201" s="2">
        <v>2815823.29</v>
      </c>
      <c r="O201" s="2">
        <f t="shared" si="23"/>
        <v>167821.62000000011</v>
      </c>
      <c r="P201" s="2">
        <v>233101.33</v>
      </c>
      <c r="Q201" s="2">
        <v>237839.97</v>
      </c>
      <c r="R201" s="2">
        <f t="shared" si="24"/>
        <v>4738.640000000014</v>
      </c>
      <c r="S201" s="2">
        <v>244298.67</v>
      </c>
      <c r="T201" s="2">
        <v>237560.57</v>
      </c>
      <c r="U201" s="2">
        <f t="shared" si="25"/>
        <v>-6738.1000000000058</v>
      </c>
      <c r="V201" s="2">
        <v>218742.59</v>
      </c>
      <c r="W201" s="2">
        <v>237281.46</v>
      </c>
      <c r="X201" s="2">
        <f t="shared" si="26"/>
        <v>18538.869999999995</v>
      </c>
      <c r="Y201" s="2">
        <v>223349.73</v>
      </c>
      <c r="Z201" s="2">
        <v>237006.94</v>
      </c>
      <c r="AA201" s="2">
        <f t="shared" si="27"/>
        <v>13657.209999999992</v>
      </c>
      <c r="AB201" s="2">
        <v>233091.78</v>
      </c>
      <c r="AC201" s="2">
        <v>236738.25</v>
      </c>
      <c r="AD201" s="2">
        <f t="shared" si="28"/>
        <v>3646.4700000000012</v>
      </c>
      <c r="AE201" s="2">
        <v>1331727.58</v>
      </c>
      <c r="AF201" s="2">
        <v>2859170.02</v>
      </c>
      <c r="AG201" s="2">
        <f t="shared" si="29"/>
        <v>1527442.44</v>
      </c>
    </row>
    <row r="202" spans="1:33" x14ac:dyDescent="0.3">
      <c r="B202" s="3"/>
      <c r="C202" t="str">
        <f xml:space="preserve"> _xll.EPMOlapMemberO("[CLACO].[PARENTH1].[AMSAARRIENDOS]","","Arriendos","","000")</f>
        <v>Arriendos</v>
      </c>
      <c r="D202" s="2"/>
      <c r="E202" s="2"/>
      <c r="F202" s="2">
        <f t="shared" si="20"/>
        <v>0</v>
      </c>
      <c r="G202" s="2"/>
      <c r="H202" s="2"/>
      <c r="I202" s="2">
        <f t="shared" si="21"/>
        <v>0</v>
      </c>
      <c r="J202" s="2">
        <v>66555.759999999995</v>
      </c>
      <c r="K202" s="2"/>
      <c r="L202" s="2">
        <f t="shared" si="22"/>
        <v>-66555.759999999995</v>
      </c>
      <c r="M202" s="2">
        <v>54383.199999999997</v>
      </c>
      <c r="N202" s="2"/>
      <c r="O202" s="2">
        <f t="shared" si="23"/>
        <v>-54383.199999999997</v>
      </c>
      <c r="P202" s="2"/>
      <c r="Q202" s="2"/>
      <c r="R202" s="2">
        <f t="shared" si="24"/>
        <v>0</v>
      </c>
      <c r="S202" s="2"/>
      <c r="T202" s="2"/>
      <c r="U202" s="2">
        <f t="shared" si="25"/>
        <v>0</v>
      </c>
      <c r="V202" s="2"/>
      <c r="W202" s="2"/>
      <c r="X202" s="2">
        <f t="shared" si="26"/>
        <v>0</v>
      </c>
      <c r="Y202" s="2"/>
      <c r="Z202" s="2"/>
      <c r="AA202" s="2">
        <f t="shared" si="27"/>
        <v>0</v>
      </c>
      <c r="AB202" s="2"/>
      <c r="AC202" s="2"/>
      <c r="AD202" s="2">
        <f t="shared" si="28"/>
        <v>0</v>
      </c>
      <c r="AE202" s="2"/>
      <c r="AF202" s="2"/>
      <c r="AG202" s="2">
        <f t="shared" si="29"/>
        <v>0</v>
      </c>
    </row>
    <row r="203" spans="1:33" x14ac:dyDescent="0.3">
      <c r="B203" s="3"/>
      <c r="C203" t="str">
        <f xml:space="preserve"> _xll.EPMOlapMemberO("[CLACO].[PARENTH1].[AMSASERVICIOS]","","Servicios","","000")</f>
        <v>Servicios</v>
      </c>
      <c r="D203" s="2">
        <v>385833.29</v>
      </c>
      <c r="E203" s="2">
        <v>322017.57</v>
      </c>
      <c r="F203" s="2">
        <f t="shared" ref="F203:F266" si="30">+E203-D203</f>
        <v>-63815.719999999972</v>
      </c>
      <c r="G203" s="2">
        <v>324726.51</v>
      </c>
      <c r="H203" s="2">
        <v>477422.55</v>
      </c>
      <c r="I203" s="2">
        <f t="shared" ref="I203:I266" si="31">+H203-G203</f>
        <v>152696.03999999998</v>
      </c>
      <c r="J203" s="2">
        <v>276963.15999999997</v>
      </c>
      <c r="K203" s="2">
        <v>485261.52</v>
      </c>
      <c r="L203" s="2">
        <f t="shared" ref="L203:L266" si="32">+K203-J203</f>
        <v>208298.36000000004</v>
      </c>
      <c r="M203" s="2">
        <v>316573.62</v>
      </c>
      <c r="N203" s="2">
        <v>323530.76</v>
      </c>
      <c r="O203" s="2">
        <f t="shared" ref="O203:O266" si="33">+N203-M203</f>
        <v>6957.140000000014</v>
      </c>
      <c r="P203" s="2"/>
      <c r="Q203" s="2">
        <v>26858.34</v>
      </c>
      <c r="R203" s="2">
        <f t="shared" ref="R203:R266" si="34">+Q203-P203</f>
        <v>26858.34</v>
      </c>
      <c r="S203" s="2">
        <v>31015.19</v>
      </c>
      <c r="T203" s="2">
        <v>26784.28</v>
      </c>
      <c r="U203" s="2">
        <f t="shared" ref="U203:U266" si="35">+T203-S203</f>
        <v>-4230.91</v>
      </c>
      <c r="V203" s="2">
        <v>30404.91</v>
      </c>
      <c r="W203" s="2">
        <v>26710.22</v>
      </c>
      <c r="X203" s="2">
        <f t="shared" ref="X203:X266" si="36">+W203-V203</f>
        <v>-3694.6899999999987</v>
      </c>
      <c r="Y203" s="2">
        <v>35755.78</v>
      </c>
      <c r="Z203" s="2">
        <v>26636.17</v>
      </c>
      <c r="AA203" s="2">
        <f t="shared" ref="AA203:AA266" si="37">+Z203-Y203</f>
        <v>-9119.61</v>
      </c>
      <c r="AB203" s="2">
        <v>55419.5</v>
      </c>
      <c r="AC203" s="2">
        <v>26564.5</v>
      </c>
      <c r="AD203" s="2">
        <f t="shared" ref="AD203:AD266" si="38">+AC203-AB203</f>
        <v>-28855</v>
      </c>
      <c r="AE203" s="2">
        <v>187496.59</v>
      </c>
      <c r="AF203" s="2">
        <v>323640.45</v>
      </c>
      <c r="AG203" s="2">
        <f t="shared" ref="AG203:AG266" si="39">+AF203-AE203</f>
        <v>136143.86000000002</v>
      </c>
    </row>
    <row r="204" spans="1:33" x14ac:dyDescent="0.3">
      <c r="B204" s="3"/>
      <c r="C204" t="str">
        <f xml:space="preserve"> _xll.EPMOlapMemberO("[CLACO].[PARENTH1].[AMSASERMANTO.REPA]","","Servicios Mantenimie","","000")</f>
        <v>Servicios Mantenimie</v>
      </c>
      <c r="D204" s="2">
        <v>300.08</v>
      </c>
      <c r="E204" s="2"/>
      <c r="F204" s="2">
        <f t="shared" si="30"/>
        <v>-300.08</v>
      </c>
      <c r="G204" s="2">
        <v>23492.43</v>
      </c>
      <c r="H204" s="2"/>
      <c r="I204" s="2">
        <f t="shared" si="31"/>
        <v>-23492.43</v>
      </c>
      <c r="J204" s="2">
        <v>60178.1</v>
      </c>
      <c r="K204" s="2"/>
      <c r="L204" s="2">
        <f t="shared" si="32"/>
        <v>-60178.1</v>
      </c>
      <c r="M204" s="2">
        <v>34973.78</v>
      </c>
      <c r="N204" s="2"/>
      <c r="O204" s="2">
        <f t="shared" si="33"/>
        <v>-34973.78</v>
      </c>
      <c r="P204" s="2"/>
      <c r="Q204" s="2"/>
      <c r="R204" s="2">
        <f t="shared" si="34"/>
        <v>0</v>
      </c>
      <c r="S204" s="2"/>
      <c r="T204" s="2"/>
      <c r="U204" s="2">
        <f t="shared" si="35"/>
        <v>0</v>
      </c>
      <c r="V204" s="2">
        <v>307.5</v>
      </c>
      <c r="W204" s="2"/>
      <c r="X204" s="2">
        <f t="shared" si="36"/>
        <v>-307.5</v>
      </c>
      <c r="Y204" s="2"/>
      <c r="Z204" s="2"/>
      <c r="AA204" s="2">
        <f t="shared" si="37"/>
        <v>0</v>
      </c>
      <c r="AB204" s="2">
        <v>150.82</v>
      </c>
      <c r="AC204" s="2"/>
      <c r="AD204" s="2">
        <f t="shared" si="38"/>
        <v>-150.82</v>
      </c>
      <c r="AE204" s="2">
        <v>458.32</v>
      </c>
      <c r="AF204" s="2"/>
      <c r="AG204" s="2">
        <f t="shared" si="39"/>
        <v>-458.32</v>
      </c>
    </row>
    <row r="205" spans="1:33" x14ac:dyDescent="0.3">
      <c r="B205" s="3"/>
      <c r="C205" t="str">
        <f xml:space="preserve"> _xll.EPMOlapMemberO("[CLACO].[PARENTH1].[AMSAINFORMATIC]","","Informática y Comuni","","000")</f>
        <v>Informática y Comuni</v>
      </c>
      <c r="D205" s="2">
        <v>7987.82</v>
      </c>
      <c r="E205" s="2">
        <v>30896.39</v>
      </c>
      <c r="F205" s="2">
        <f t="shared" si="30"/>
        <v>22908.57</v>
      </c>
      <c r="G205" s="2">
        <v>29250.82</v>
      </c>
      <c r="H205" s="2">
        <v>30117.3</v>
      </c>
      <c r="I205" s="2">
        <f t="shared" si="31"/>
        <v>866.47999999999956</v>
      </c>
      <c r="J205" s="2">
        <v>29033.09</v>
      </c>
      <c r="K205" s="2">
        <v>31499.03</v>
      </c>
      <c r="L205" s="2">
        <f t="shared" si="32"/>
        <v>2465.9399999999987</v>
      </c>
      <c r="M205" s="2">
        <v>32633.87</v>
      </c>
      <c r="N205" s="2">
        <v>30798.38</v>
      </c>
      <c r="O205" s="2">
        <f t="shared" si="33"/>
        <v>-1835.489999999998</v>
      </c>
      <c r="P205" s="2">
        <v>2434.31</v>
      </c>
      <c r="Q205" s="2">
        <v>382.58</v>
      </c>
      <c r="R205" s="2">
        <f t="shared" si="34"/>
        <v>-2051.73</v>
      </c>
      <c r="S205" s="2">
        <v>276.5</v>
      </c>
      <c r="T205" s="2">
        <v>381.64</v>
      </c>
      <c r="U205" s="2">
        <f t="shared" si="35"/>
        <v>105.13999999999999</v>
      </c>
      <c r="V205" s="2">
        <v>200.74</v>
      </c>
      <c r="W205" s="2">
        <v>27084.7</v>
      </c>
      <c r="X205" s="2">
        <f t="shared" si="36"/>
        <v>26883.96</v>
      </c>
      <c r="Y205" s="2">
        <v>2822.19</v>
      </c>
      <c r="Z205" s="2">
        <v>379.74</v>
      </c>
      <c r="AA205" s="2">
        <f t="shared" si="37"/>
        <v>-2442.4499999999998</v>
      </c>
      <c r="AB205" s="2">
        <v>462.67</v>
      </c>
      <c r="AC205" s="2">
        <v>378.84</v>
      </c>
      <c r="AD205" s="2">
        <f t="shared" si="38"/>
        <v>-83.830000000000041</v>
      </c>
      <c r="AE205" s="2">
        <v>6500.61</v>
      </c>
      <c r="AF205" s="2">
        <v>31312.04</v>
      </c>
      <c r="AG205" s="2">
        <f t="shared" si="39"/>
        <v>24811.43</v>
      </c>
    </row>
    <row r="206" spans="1:33" x14ac:dyDescent="0.3">
      <c r="B206" s="3"/>
      <c r="C206" t="str">
        <f xml:space="preserve"> _xll.EPMOlapMemberO("[CLACO].[PARENTH1].[AMSAG_VIAJES]","","Gastos de Viajes","","000")</f>
        <v>Gastos de Viajes</v>
      </c>
      <c r="D206" s="2">
        <v>378605.42</v>
      </c>
      <c r="E206" s="2">
        <v>193828.2</v>
      </c>
      <c r="F206" s="2">
        <f t="shared" si="30"/>
        <v>-184777.21999999997</v>
      </c>
      <c r="G206" s="2">
        <v>776618.14</v>
      </c>
      <c r="H206" s="2">
        <v>250328.6</v>
      </c>
      <c r="I206" s="2">
        <f t="shared" si="31"/>
        <v>-526289.54</v>
      </c>
      <c r="J206" s="2">
        <v>332989.73</v>
      </c>
      <c r="K206" s="2">
        <v>378521.68</v>
      </c>
      <c r="L206" s="2">
        <f t="shared" si="32"/>
        <v>45531.950000000012</v>
      </c>
      <c r="M206" s="2">
        <v>473950.43</v>
      </c>
      <c r="N206" s="2">
        <v>725102.48</v>
      </c>
      <c r="O206" s="2">
        <f t="shared" si="33"/>
        <v>251152.05</v>
      </c>
      <c r="P206" s="2">
        <v>65587.27</v>
      </c>
      <c r="Q206" s="2">
        <v>30947.02</v>
      </c>
      <c r="R206" s="2">
        <f t="shared" si="34"/>
        <v>-34640.25</v>
      </c>
      <c r="S206" s="2">
        <v>12911.99</v>
      </c>
      <c r="T206" s="2">
        <v>67196.75</v>
      </c>
      <c r="U206" s="2">
        <f t="shared" si="35"/>
        <v>54284.76</v>
      </c>
      <c r="V206" s="2">
        <v>57255.39</v>
      </c>
      <c r="W206" s="2">
        <v>30940.67</v>
      </c>
      <c r="X206" s="2">
        <f t="shared" si="36"/>
        <v>-26314.720000000001</v>
      </c>
      <c r="Y206" s="2">
        <v>15918.51</v>
      </c>
      <c r="Z206" s="2">
        <v>30938.42</v>
      </c>
      <c r="AA206" s="2">
        <f t="shared" si="37"/>
        <v>15019.909999999998</v>
      </c>
      <c r="AB206" s="2">
        <v>38824.76</v>
      </c>
      <c r="AC206" s="2">
        <v>30936.29</v>
      </c>
      <c r="AD206" s="2">
        <f t="shared" si="38"/>
        <v>-7888.4700000000012</v>
      </c>
      <c r="AE206" s="2">
        <v>191763.03</v>
      </c>
      <c r="AF206" s="2">
        <v>740505.18</v>
      </c>
      <c r="AG206" s="2">
        <f t="shared" si="39"/>
        <v>548742.15</v>
      </c>
    </row>
    <row r="207" spans="1:33" x14ac:dyDescent="0.3">
      <c r="B207" s="3"/>
      <c r="C207" t="str">
        <f xml:space="preserve"> _xll.EPMOlapMemberO("[CLACO].[PARENTH1].[AMSAIMP_PATEN]","","Impuestos / Patentes","","000")</f>
        <v>Impuestos / Patentes</v>
      </c>
      <c r="D207" s="2"/>
      <c r="E207" s="2"/>
      <c r="F207" s="2">
        <f t="shared" si="30"/>
        <v>0</v>
      </c>
      <c r="G207" s="2"/>
      <c r="H207" s="2"/>
      <c r="I207" s="2">
        <f t="shared" si="31"/>
        <v>0</v>
      </c>
      <c r="J207" s="2">
        <v>154.69</v>
      </c>
      <c r="K207" s="2"/>
      <c r="L207" s="2">
        <f t="shared" si="32"/>
        <v>-154.69</v>
      </c>
      <c r="M207" s="2"/>
      <c r="N207" s="2"/>
      <c r="O207" s="2">
        <f t="shared" si="33"/>
        <v>0</v>
      </c>
      <c r="P207" s="2"/>
      <c r="Q207" s="2"/>
      <c r="R207" s="2">
        <f t="shared" si="34"/>
        <v>0</v>
      </c>
      <c r="S207" s="2"/>
      <c r="T207" s="2"/>
      <c r="U207" s="2">
        <f t="shared" si="35"/>
        <v>0</v>
      </c>
      <c r="V207" s="2"/>
      <c r="W207" s="2"/>
      <c r="X207" s="2">
        <f t="shared" si="36"/>
        <v>0</v>
      </c>
      <c r="Y207" s="2"/>
      <c r="Z207" s="2"/>
      <c r="AA207" s="2">
        <f t="shared" si="37"/>
        <v>0</v>
      </c>
      <c r="AB207" s="2"/>
      <c r="AC207" s="2"/>
      <c r="AD207" s="2">
        <f t="shared" si="38"/>
        <v>0</v>
      </c>
      <c r="AE207" s="2"/>
      <c r="AF207" s="2"/>
      <c r="AG207" s="2">
        <f t="shared" si="39"/>
        <v>0</v>
      </c>
    </row>
    <row r="208" spans="1:33" x14ac:dyDescent="0.3">
      <c r="B208" s="3"/>
      <c r="C208" t="str">
        <f xml:space="preserve"> _xll.EPMOlapMemberO("[CLACO].[PARENTH1].[AMSAGGENERALES.2]","","Otros Gastos","","000")</f>
        <v>Otros Gastos</v>
      </c>
      <c r="D208" s="2">
        <v>84607.59</v>
      </c>
      <c r="E208" s="2">
        <v>432255.38</v>
      </c>
      <c r="F208" s="2">
        <f t="shared" si="30"/>
        <v>347647.79000000004</v>
      </c>
      <c r="G208" s="2">
        <v>58957.919999999998</v>
      </c>
      <c r="H208" s="2">
        <v>417053.88</v>
      </c>
      <c r="I208" s="2">
        <f t="shared" si="31"/>
        <v>358095.96</v>
      </c>
      <c r="J208" s="2">
        <v>60069.3</v>
      </c>
      <c r="K208" s="2">
        <v>487409.1</v>
      </c>
      <c r="L208" s="2">
        <f t="shared" si="32"/>
        <v>427339.8</v>
      </c>
      <c r="M208" s="2">
        <v>41111.68</v>
      </c>
      <c r="N208" s="2">
        <v>62186.94</v>
      </c>
      <c r="O208" s="2">
        <f t="shared" si="33"/>
        <v>21075.260000000002</v>
      </c>
      <c r="P208" s="2">
        <v>791.28</v>
      </c>
      <c r="Q208" s="2">
        <v>3362.79</v>
      </c>
      <c r="R208" s="2">
        <f t="shared" si="34"/>
        <v>2571.5100000000002</v>
      </c>
      <c r="S208" s="2">
        <v>1327.3</v>
      </c>
      <c r="T208" s="2">
        <v>3365.88</v>
      </c>
      <c r="U208" s="2">
        <f t="shared" si="35"/>
        <v>2038.5800000000002</v>
      </c>
      <c r="V208" s="2">
        <v>2656.46</v>
      </c>
      <c r="W208" s="2">
        <v>23405.35</v>
      </c>
      <c r="X208" s="2">
        <f t="shared" si="36"/>
        <v>20748.89</v>
      </c>
      <c r="Y208" s="2">
        <v>1858.61</v>
      </c>
      <c r="Z208" s="2">
        <v>3372.23</v>
      </c>
      <c r="AA208" s="2">
        <f t="shared" si="37"/>
        <v>1513.6200000000001</v>
      </c>
      <c r="AB208" s="2">
        <v>2094.31</v>
      </c>
      <c r="AC208" s="2">
        <v>3375.66</v>
      </c>
      <c r="AD208" s="2">
        <f t="shared" si="38"/>
        <v>1281.3499999999999</v>
      </c>
      <c r="AE208" s="2">
        <v>9655.2900000000009</v>
      </c>
      <c r="AF208" s="2">
        <v>63261.48</v>
      </c>
      <c r="AG208" s="2">
        <f t="shared" si="39"/>
        <v>53606.19</v>
      </c>
    </row>
    <row r="209" spans="1:33" x14ac:dyDescent="0.3">
      <c r="A209" t="s">
        <v>23</v>
      </c>
      <c r="B209" s="3" t="str">
        <f xml:space="preserve"> _xll.EPMOlapMemberO("[CECO].[PARENTH3].[AMSA1000AC3010]","","Act. especial direct","","000")</f>
        <v>Act. especial direct</v>
      </c>
      <c r="C209" t="str">
        <f xml:space="preserve"> _xll.EPMOlapMemberO("[CLACO].[PARENTH1].[AMSAG_VIAJES]","","Gastos de Viajes","","000")</f>
        <v>Gastos de Viajes</v>
      </c>
      <c r="D209" s="2"/>
      <c r="E209" s="2"/>
      <c r="F209" s="2">
        <f t="shared" si="30"/>
        <v>0</v>
      </c>
      <c r="G209" s="2"/>
      <c r="H209" s="2"/>
      <c r="I209" s="2">
        <f t="shared" si="31"/>
        <v>0</v>
      </c>
      <c r="J209" s="2"/>
      <c r="K209" s="2"/>
      <c r="L209" s="2">
        <f t="shared" si="32"/>
        <v>0</v>
      </c>
      <c r="M209" s="2"/>
      <c r="N209" s="2"/>
      <c r="O209" s="2">
        <f t="shared" si="33"/>
        <v>0</v>
      </c>
      <c r="P209" s="2"/>
      <c r="Q209" s="2"/>
      <c r="R209" s="2">
        <f t="shared" si="34"/>
        <v>0</v>
      </c>
      <c r="S209" s="2"/>
      <c r="T209" s="2"/>
      <c r="U209" s="2">
        <f t="shared" si="35"/>
        <v>0</v>
      </c>
      <c r="V209" s="2"/>
      <c r="W209" s="2"/>
      <c r="X209" s="2">
        <f t="shared" si="36"/>
        <v>0</v>
      </c>
      <c r="Y209" s="2"/>
      <c r="Z209" s="2"/>
      <c r="AA209" s="2">
        <f t="shared" si="37"/>
        <v>0</v>
      </c>
      <c r="AB209" s="2">
        <v>3463.25</v>
      </c>
      <c r="AC209" s="2"/>
      <c r="AD209" s="2">
        <f t="shared" si="38"/>
        <v>-3463.25</v>
      </c>
      <c r="AE209" s="2">
        <v>3463.25</v>
      </c>
      <c r="AF209" s="2"/>
      <c r="AG209" s="2">
        <f t="shared" si="39"/>
        <v>-3463.25</v>
      </c>
    </row>
    <row r="210" spans="1:33" x14ac:dyDescent="0.3">
      <c r="A210" t="s">
        <v>24</v>
      </c>
      <c r="B210" s="3" t="str">
        <f xml:space="preserve"> _xll.EPMOlapMemberO("[CECO].[PARENTH3].[AMSA1000AC0516]","","Gncia Gest Ser y Ctr","","000")</f>
        <v>Gncia Gest Ser y Ctr</v>
      </c>
      <c r="C210" t="str">
        <f xml:space="preserve"> _xll.EPMOlapMemberO("[CLACO].[PARENTH1].[AMSAREMUNERACI.SS]","","Remuneraciones Super","","000")</f>
        <v>Remuneraciones Super</v>
      </c>
      <c r="D210" s="2">
        <v>472920.37</v>
      </c>
      <c r="E210" s="2">
        <v>582818.34</v>
      </c>
      <c r="F210" s="2">
        <f t="shared" si="30"/>
        <v>109897.96999999997</v>
      </c>
      <c r="G210" s="2">
        <v>546696.76</v>
      </c>
      <c r="H210" s="2">
        <v>626651.46</v>
      </c>
      <c r="I210" s="2">
        <f t="shared" si="31"/>
        <v>79954.699999999953</v>
      </c>
      <c r="J210" s="2">
        <v>542680.78</v>
      </c>
      <c r="K210" s="2">
        <v>652885.97</v>
      </c>
      <c r="L210" s="2">
        <f t="shared" si="32"/>
        <v>110205.18999999994</v>
      </c>
      <c r="M210" s="2">
        <v>756102.93</v>
      </c>
      <c r="N210" s="2">
        <v>863857.19</v>
      </c>
      <c r="O210" s="2">
        <f t="shared" si="33"/>
        <v>107754.25999999989</v>
      </c>
      <c r="P210" s="2"/>
      <c r="Q210" s="2">
        <v>71694.84</v>
      </c>
      <c r="R210" s="2">
        <f t="shared" si="34"/>
        <v>71694.84</v>
      </c>
      <c r="S210" s="2">
        <v>82119.570000000007</v>
      </c>
      <c r="T210" s="2">
        <v>80928.509999999995</v>
      </c>
      <c r="U210" s="2">
        <f t="shared" si="35"/>
        <v>-1191.0600000000122</v>
      </c>
      <c r="V210" s="2">
        <v>70172.08</v>
      </c>
      <c r="W210" s="2">
        <v>71670.61</v>
      </c>
      <c r="X210" s="2">
        <f t="shared" si="36"/>
        <v>1498.5299999999988</v>
      </c>
      <c r="Y210" s="2">
        <v>64499.33</v>
      </c>
      <c r="Z210" s="2">
        <v>80028.3</v>
      </c>
      <c r="AA210" s="2">
        <f t="shared" si="37"/>
        <v>15528.970000000001</v>
      </c>
      <c r="AB210" s="2">
        <v>66049.75</v>
      </c>
      <c r="AC210" s="2">
        <v>70770.460000000006</v>
      </c>
      <c r="AD210" s="2">
        <f t="shared" si="38"/>
        <v>4720.7100000000064</v>
      </c>
      <c r="AE210" s="2">
        <v>282840.73</v>
      </c>
      <c r="AF210" s="2">
        <v>895631.45</v>
      </c>
      <c r="AG210" s="2">
        <f t="shared" si="39"/>
        <v>612790.72</v>
      </c>
    </row>
    <row r="211" spans="1:33" x14ac:dyDescent="0.3">
      <c r="B211" s="3"/>
      <c r="C211" t="str">
        <f xml:space="preserve"> _xll.EPMOlapMemberO("[CLACO].[PARENTH1].[AMSAMAT_Y_REP.2]","","Materiales y repuest","","000")</f>
        <v>Materiales y repuest</v>
      </c>
      <c r="D211" s="2">
        <v>37.32</v>
      </c>
      <c r="E211" s="2"/>
      <c r="F211" s="2">
        <f t="shared" si="30"/>
        <v>-37.32</v>
      </c>
      <c r="G211" s="2">
        <v>0</v>
      </c>
      <c r="H211" s="2"/>
      <c r="I211" s="2">
        <f t="shared" si="31"/>
        <v>0</v>
      </c>
      <c r="J211" s="2">
        <v>125.2</v>
      </c>
      <c r="K211" s="2"/>
      <c r="L211" s="2">
        <f t="shared" si="32"/>
        <v>-125.2</v>
      </c>
      <c r="M211" s="2"/>
      <c r="N211" s="2"/>
      <c r="O211" s="2">
        <f t="shared" si="33"/>
        <v>0</v>
      </c>
      <c r="P211" s="2"/>
      <c r="Q211" s="2"/>
      <c r="R211" s="2">
        <f t="shared" si="34"/>
        <v>0</v>
      </c>
      <c r="S211" s="2"/>
      <c r="T211" s="2"/>
      <c r="U211" s="2">
        <f t="shared" si="35"/>
        <v>0</v>
      </c>
      <c r="V211" s="2"/>
      <c r="W211" s="2"/>
      <c r="X211" s="2">
        <f t="shared" si="36"/>
        <v>0</v>
      </c>
      <c r="Y211" s="2"/>
      <c r="Z211" s="2"/>
      <c r="AA211" s="2">
        <f t="shared" si="37"/>
        <v>0</v>
      </c>
      <c r="AB211" s="2"/>
      <c r="AC211" s="2"/>
      <c r="AD211" s="2">
        <f t="shared" si="38"/>
        <v>0</v>
      </c>
      <c r="AE211" s="2"/>
      <c r="AF211" s="2"/>
      <c r="AG211" s="2">
        <f t="shared" si="39"/>
        <v>0</v>
      </c>
    </row>
    <row r="212" spans="1:33" x14ac:dyDescent="0.3">
      <c r="B212" s="3"/>
      <c r="C212" t="str">
        <f xml:space="preserve"> _xll.EPMOlapMemberO("[CLACO].[PARENTH1].[AMSAADM_PERSON]","","Administración Perso","","000")</f>
        <v>Administración Perso</v>
      </c>
      <c r="D212" s="2"/>
      <c r="E212" s="2"/>
      <c r="F212" s="2">
        <f t="shared" si="30"/>
        <v>0</v>
      </c>
      <c r="G212" s="2">
        <v>188.48</v>
      </c>
      <c r="H212" s="2"/>
      <c r="I212" s="2">
        <f t="shared" si="31"/>
        <v>-188.48</v>
      </c>
      <c r="J212" s="2"/>
      <c r="K212" s="2"/>
      <c r="L212" s="2">
        <f t="shared" si="32"/>
        <v>0</v>
      </c>
      <c r="M212" s="2"/>
      <c r="N212" s="2"/>
      <c r="O212" s="2">
        <f t="shared" si="33"/>
        <v>0</v>
      </c>
      <c r="P212" s="2"/>
      <c r="Q212" s="2"/>
      <c r="R212" s="2">
        <f t="shared" si="34"/>
        <v>0</v>
      </c>
      <c r="S212" s="2"/>
      <c r="T212" s="2"/>
      <c r="U212" s="2">
        <f t="shared" si="35"/>
        <v>0</v>
      </c>
      <c r="V212" s="2"/>
      <c r="W212" s="2"/>
      <c r="X212" s="2">
        <f t="shared" si="36"/>
        <v>0</v>
      </c>
      <c r="Y212" s="2"/>
      <c r="Z212" s="2"/>
      <c r="AA212" s="2">
        <f t="shared" si="37"/>
        <v>0</v>
      </c>
      <c r="AB212" s="2"/>
      <c r="AC212" s="2"/>
      <c r="AD212" s="2">
        <f t="shared" si="38"/>
        <v>0</v>
      </c>
      <c r="AE212" s="2"/>
      <c r="AF212" s="2"/>
      <c r="AG212" s="2">
        <f t="shared" si="39"/>
        <v>0</v>
      </c>
    </row>
    <row r="213" spans="1:33" x14ac:dyDescent="0.3">
      <c r="B213" s="3"/>
      <c r="C213" t="str">
        <f xml:space="preserve"> _xll.EPMOlapMemberO("[CLACO].[PARENTH1].[AMSAENTRENAMI]","","Entrenamiento","","000")</f>
        <v>Entrenamiento</v>
      </c>
      <c r="D213" s="2">
        <v>330.68</v>
      </c>
      <c r="E213" s="2"/>
      <c r="F213" s="2">
        <f t="shared" si="30"/>
        <v>-330.68</v>
      </c>
      <c r="G213" s="2"/>
      <c r="H213" s="2"/>
      <c r="I213" s="2">
        <f t="shared" si="31"/>
        <v>0</v>
      </c>
      <c r="J213" s="2"/>
      <c r="K213" s="2"/>
      <c r="L213" s="2">
        <f t="shared" si="32"/>
        <v>0</v>
      </c>
      <c r="M213" s="2"/>
      <c r="N213" s="2"/>
      <c r="O213" s="2">
        <f t="shared" si="33"/>
        <v>0</v>
      </c>
      <c r="P213" s="2"/>
      <c r="Q213" s="2"/>
      <c r="R213" s="2">
        <f t="shared" si="34"/>
        <v>0</v>
      </c>
      <c r="S213" s="2"/>
      <c r="T213" s="2"/>
      <c r="U213" s="2">
        <f t="shared" si="35"/>
        <v>0</v>
      </c>
      <c r="V213" s="2"/>
      <c r="W213" s="2"/>
      <c r="X213" s="2">
        <f t="shared" si="36"/>
        <v>0</v>
      </c>
      <c r="Y213" s="2"/>
      <c r="Z213" s="2"/>
      <c r="AA213" s="2">
        <f t="shared" si="37"/>
        <v>0</v>
      </c>
      <c r="AB213" s="2"/>
      <c r="AC213" s="2"/>
      <c r="AD213" s="2">
        <f t="shared" si="38"/>
        <v>0</v>
      </c>
      <c r="AE213" s="2"/>
      <c r="AF213" s="2"/>
      <c r="AG213" s="2">
        <f t="shared" si="39"/>
        <v>0</v>
      </c>
    </row>
    <row r="214" spans="1:33" x14ac:dyDescent="0.3">
      <c r="B214" s="3"/>
      <c r="C214" t="str">
        <f xml:space="preserve"> _xll.EPMOlapMemberO("[CLACO].[PARENTH1].[AMSAASESORIAS]","","Asesorías y Consulto","","000")</f>
        <v>Asesorías y Consulto</v>
      </c>
      <c r="D214" s="2">
        <v>12419.87</v>
      </c>
      <c r="E214" s="2">
        <v>13170.72</v>
      </c>
      <c r="F214" s="2">
        <f t="shared" si="30"/>
        <v>750.84999999999854</v>
      </c>
      <c r="G214" s="2">
        <v>13128.63</v>
      </c>
      <c r="H214" s="2">
        <v>12080.23</v>
      </c>
      <c r="I214" s="2">
        <f t="shared" si="31"/>
        <v>-1048.3999999999996</v>
      </c>
      <c r="J214" s="2">
        <v>-1311.48</v>
      </c>
      <c r="K214" s="2">
        <v>13618.76</v>
      </c>
      <c r="L214" s="2">
        <f t="shared" si="32"/>
        <v>14930.24</v>
      </c>
      <c r="M214" s="2">
        <v>-3328.96</v>
      </c>
      <c r="N214" s="2"/>
      <c r="O214" s="2">
        <f t="shared" si="33"/>
        <v>3328.96</v>
      </c>
      <c r="P214" s="2"/>
      <c r="Q214" s="2"/>
      <c r="R214" s="2">
        <f t="shared" si="34"/>
        <v>0</v>
      </c>
      <c r="S214" s="2"/>
      <c r="T214" s="2"/>
      <c r="U214" s="2">
        <f t="shared" si="35"/>
        <v>0</v>
      </c>
      <c r="V214" s="2"/>
      <c r="W214" s="2"/>
      <c r="X214" s="2">
        <f t="shared" si="36"/>
        <v>0</v>
      </c>
      <c r="Y214" s="2"/>
      <c r="Z214" s="2"/>
      <c r="AA214" s="2">
        <f t="shared" si="37"/>
        <v>0</v>
      </c>
      <c r="AB214" s="2"/>
      <c r="AC214" s="2"/>
      <c r="AD214" s="2">
        <f t="shared" si="38"/>
        <v>0</v>
      </c>
      <c r="AE214" s="2"/>
      <c r="AF214" s="2"/>
      <c r="AG214" s="2">
        <f t="shared" si="39"/>
        <v>0</v>
      </c>
    </row>
    <row r="215" spans="1:33" x14ac:dyDescent="0.3">
      <c r="B215" s="3"/>
      <c r="C215" t="str">
        <f xml:space="preserve"> _xll.EPMOlapMemberO("[CLACO].[PARENTH1].[AMSAARRIENDOS]","","Arriendos","","000")</f>
        <v>Arriendos</v>
      </c>
      <c r="D215" s="2"/>
      <c r="E215" s="2">
        <v>1414.13</v>
      </c>
      <c r="F215" s="2">
        <f t="shared" si="30"/>
        <v>1414.13</v>
      </c>
      <c r="G215" s="2">
        <v>414.01</v>
      </c>
      <c r="H215" s="2">
        <v>1254.3599999999999</v>
      </c>
      <c r="I215" s="2">
        <f t="shared" si="31"/>
        <v>840.34999999999991</v>
      </c>
      <c r="J215" s="2">
        <v>76.95</v>
      </c>
      <c r="K215" s="2">
        <v>1322.69</v>
      </c>
      <c r="L215" s="2">
        <f t="shared" si="32"/>
        <v>1245.74</v>
      </c>
      <c r="M215" s="2">
        <v>70.97</v>
      </c>
      <c r="N215" s="2">
        <v>1730.58</v>
      </c>
      <c r="O215" s="2">
        <f t="shared" si="33"/>
        <v>1659.61</v>
      </c>
      <c r="P215" s="2"/>
      <c r="Q215" s="2">
        <v>285.73</v>
      </c>
      <c r="R215" s="2">
        <f t="shared" si="34"/>
        <v>285.73</v>
      </c>
      <c r="S215" s="2"/>
      <c r="T215" s="2"/>
      <c r="U215" s="2">
        <f t="shared" si="35"/>
        <v>0</v>
      </c>
      <c r="V215" s="2"/>
      <c r="W215" s="2">
        <v>284.13</v>
      </c>
      <c r="X215" s="2">
        <f t="shared" si="36"/>
        <v>284.13</v>
      </c>
      <c r="Y215" s="2"/>
      <c r="Z215" s="2"/>
      <c r="AA215" s="2">
        <f t="shared" si="37"/>
        <v>0</v>
      </c>
      <c r="AB215" s="2"/>
      <c r="AC215" s="2">
        <v>282.56</v>
      </c>
      <c r="AD215" s="2">
        <f t="shared" si="38"/>
        <v>282.56</v>
      </c>
      <c r="AE215" s="2"/>
      <c r="AF215" s="2">
        <v>1719.2</v>
      </c>
      <c r="AG215" s="2">
        <f t="shared" si="39"/>
        <v>1719.2</v>
      </c>
    </row>
    <row r="216" spans="1:33" x14ac:dyDescent="0.3">
      <c r="B216" s="3"/>
      <c r="C216" t="str">
        <f xml:space="preserve"> _xll.EPMOlapMemberO("[CLACO].[PARENTH1].[AMSASERVICIOS]","","Servicios","","000")</f>
        <v>Servicios</v>
      </c>
      <c r="D216" s="2">
        <v>49890.82</v>
      </c>
      <c r="E216" s="2">
        <v>80814.91</v>
      </c>
      <c r="F216" s="2">
        <f t="shared" si="30"/>
        <v>30924.090000000004</v>
      </c>
      <c r="G216" s="2">
        <v>72627.34</v>
      </c>
      <c r="H216" s="2">
        <v>79934.289999999994</v>
      </c>
      <c r="I216" s="2">
        <f t="shared" si="31"/>
        <v>7306.9499999999971</v>
      </c>
      <c r="J216" s="2">
        <v>84763.39</v>
      </c>
      <c r="K216" s="2">
        <v>90472.84</v>
      </c>
      <c r="L216" s="2">
        <f t="shared" si="32"/>
        <v>5709.4499999999971</v>
      </c>
      <c r="M216" s="2">
        <v>54696.39</v>
      </c>
      <c r="N216" s="2">
        <v>51811.03</v>
      </c>
      <c r="O216" s="2">
        <f t="shared" si="33"/>
        <v>-2885.3600000000006</v>
      </c>
      <c r="P216" s="2">
        <v>4863.3</v>
      </c>
      <c r="Q216" s="2">
        <v>4407.93</v>
      </c>
      <c r="R216" s="2">
        <f t="shared" si="34"/>
        <v>-455.36999999999989</v>
      </c>
      <c r="S216" s="2">
        <v>4971.53</v>
      </c>
      <c r="T216" s="2">
        <v>4395.66</v>
      </c>
      <c r="U216" s="2">
        <f t="shared" si="35"/>
        <v>-575.86999999999989</v>
      </c>
      <c r="V216" s="2">
        <v>796.76</v>
      </c>
      <c r="W216" s="2">
        <v>6575.15</v>
      </c>
      <c r="X216" s="2">
        <f t="shared" si="36"/>
        <v>5778.3899999999994</v>
      </c>
      <c r="Y216" s="2">
        <v>1183</v>
      </c>
      <c r="Z216" s="2">
        <v>4371.24</v>
      </c>
      <c r="AA216" s="2">
        <f t="shared" si="37"/>
        <v>3188.24</v>
      </c>
      <c r="AB216" s="2">
        <v>1564.22</v>
      </c>
      <c r="AC216" s="2">
        <v>4359.08</v>
      </c>
      <c r="AD216" s="2">
        <f t="shared" si="38"/>
        <v>2794.8599999999997</v>
      </c>
      <c r="AE216" s="2">
        <v>13263.23</v>
      </c>
      <c r="AF216" s="2">
        <v>62066.62</v>
      </c>
      <c r="AG216" s="2">
        <f t="shared" si="39"/>
        <v>48803.39</v>
      </c>
    </row>
    <row r="217" spans="1:33" x14ac:dyDescent="0.3">
      <c r="B217" s="3"/>
      <c r="C217" t="str">
        <f xml:space="preserve"> _xll.EPMOlapMemberO("[CLACO].[PARENTH1].[AMSASERMANTO.REPA]","","Servicios Mantenimie","","000")</f>
        <v>Servicios Mantenimie</v>
      </c>
      <c r="D217" s="2"/>
      <c r="E217" s="2"/>
      <c r="F217" s="2">
        <f t="shared" si="30"/>
        <v>0</v>
      </c>
      <c r="G217" s="2">
        <v>1119.06</v>
      </c>
      <c r="H217" s="2"/>
      <c r="I217" s="2">
        <f t="shared" si="31"/>
        <v>-1119.06</v>
      </c>
      <c r="J217" s="2"/>
      <c r="K217" s="2"/>
      <c r="L217" s="2">
        <f t="shared" si="32"/>
        <v>0</v>
      </c>
      <c r="M217" s="2"/>
      <c r="N217" s="2"/>
      <c r="O217" s="2">
        <f t="shared" si="33"/>
        <v>0</v>
      </c>
      <c r="P217" s="2"/>
      <c r="Q217" s="2"/>
      <c r="R217" s="2">
        <f t="shared" si="34"/>
        <v>0</v>
      </c>
      <c r="S217" s="2"/>
      <c r="T217" s="2"/>
      <c r="U217" s="2">
        <f t="shared" si="35"/>
        <v>0</v>
      </c>
      <c r="V217" s="2"/>
      <c r="W217" s="2"/>
      <c r="X217" s="2">
        <f t="shared" si="36"/>
        <v>0</v>
      </c>
      <c r="Y217" s="2"/>
      <c r="Z217" s="2"/>
      <c r="AA217" s="2">
        <f t="shared" si="37"/>
        <v>0</v>
      </c>
      <c r="AB217" s="2"/>
      <c r="AC217" s="2"/>
      <c r="AD217" s="2">
        <f t="shared" si="38"/>
        <v>0</v>
      </c>
      <c r="AE217" s="2"/>
      <c r="AF217" s="2"/>
      <c r="AG217" s="2">
        <f t="shared" si="39"/>
        <v>0</v>
      </c>
    </row>
    <row r="218" spans="1:33" x14ac:dyDescent="0.3">
      <c r="B218" s="3"/>
      <c r="C218" t="str">
        <f xml:space="preserve"> _xll.EPMOlapMemberO("[CLACO].[PARENTH1].[AMSAINFORMATIC]","","Informática y Comuni","","000")</f>
        <v>Informática y Comuni</v>
      </c>
      <c r="D218" s="2">
        <v>9708.2099999999991</v>
      </c>
      <c r="E218" s="2">
        <v>1773.06</v>
      </c>
      <c r="F218" s="2">
        <f t="shared" si="30"/>
        <v>-7935.15</v>
      </c>
      <c r="G218" s="2">
        <v>5176.84</v>
      </c>
      <c r="H218" s="2">
        <v>1574.07</v>
      </c>
      <c r="I218" s="2">
        <f t="shared" si="31"/>
        <v>-3602.7700000000004</v>
      </c>
      <c r="J218" s="2">
        <v>3412.57</v>
      </c>
      <c r="K218" s="2">
        <v>1659.43</v>
      </c>
      <c r="L218" s="2">
        <f t="shared" si="32"/>
        <v>-1753.14</v>
      </c>
      <c r="M218" s="2">
        <v>2903.86</v>
      </c>
      <c r="N218" s="2">
        <v>1563.91</v>
      </c>
      <c r="O218" s="2">
        <f t="shared" si="33"/>
        <v>-1339.95</v>
      </c>
      <c r="P218" s="2">
        <v>1310.05</v>
      </c>
      <c r="Q218" s="2">
        <v>128.91</v>
      </c>
      <c r="R218" s="2">
        <f t="shared" si="34"/>
        <v>-1181.1399999999999</v>
      </c>
      <c r="S218" s="2">
        <v>76.31</v>
      </c>
      <c r="T218" s="2">
        <v>128.55000000000001</v>
      </c>
      <c r="U218" s="2">
        <f t="shared" si="35"/>
        <v>52.240000000000009</v>
      </c>
      <c r="V218" s="2">
        <v>1331.95</v>
      </c>
      <c r="W218" s="2">
        <v>128.19</v>
      </c>
      <c r="X218" s="2">
        <f t="shared" si="36"/>
        <v>-1203.76</v>
      </c>
      <c r="Y218" s="2">
        <v>81.239999999999995</v>
      </c>
      <c r="Z218" s="2">
        <v>127.83</v>
      </c>
      <c r="AA218" s="2">
        <f t="shared" si="37"/>
        <v>46.59</v>
      </c>
      <c r="AB218" s="2">
        <v>77.569999999999993</v>
      </c>
      <c r="AC218" s="2">
        <v>127.48</v>
      </c>
      <c r="AD218" s="2">
        <f t="shared" si="38"/>
        <v>49.910000000000011</v>
      </c>
      <c r="AE218" s="2">
        <v>2954.84</v>
      </c>
      <c r="AF218" s="2">
        <v>1553.45</v>
      </c>
      <c r="AG218" s="2">
        <f t="shared" si="39"/>
        <v>-1401.39</v>
      </c>
    </row>
    <row r="219" spans="1:33" x14ac:dyDescent="0.3">
      <c r="B219" s="3"/>
      <c r="C219" t="str">
        <f xml:space="preserve"> _xll.EPMOlapMemberO("[CLACO].[PARENTH1].[AMSAG_VIAJES]","","Gastos de Viajes","","000")</f>
        <v>Gastos de Viajes</v>
      </c>
      <c r="D219" s="2">
        <v>5228.91</v>
      </c>
      <c r="E219" s="2">
        <v>12004.92</v>
      </c>
      <c r="F219" s="2">
        <f t="shared" si="30"/>
        <v>6776.01</v>
      </c>
      <c r="G219" s="2">
        <v>14404.04</v>
      </c>
      <c r="H219" s="2">
        <v>13758.27</v>
      </c>
      <c r="I219" s="2">
        <f t="shared" si="31"/>
        <v>-645.77000000000044</v>
      </c>
      <c r="J219" s="2">
        <v>14037.5</v>
      </c>
      <c r="K219" s="2">
        <v>24438.55</v>
      </c>
      <c r="L219" s="2">
        <f t="shared" si="32"/>
        <v>10401.049999999999</v>
      </c>
      <c r="M219" s="2">
        <v>13697.74</v>
      </c>
      <c r="N219" s="2">
        <v>42108.39</v>
      </c>
      <c r="O219" s="2">
        <f t="shared" si="33"/>
        <v>28410.65</v>
      </c>
      <c r="P219" s="2"/>
      <c r="Q219" s="2">
        <v>2476.6799999999998</v>
      </c>
      <c r="R219" s="2">
        <f t="shared" si="34"/>
        <v>2476.6799999999998</v>
      </c>
      <c r="S219" s="2">
        <v>233.61</v>
      </c>
      <c r="T219" s="2"/>
      <c r="U219" s="2">
        <f t="shared" si="35"/>
        <v>-233.61</v>
      </c>
      <c r="V219" s="2">
        <v>-7458.59</v>
      </c>
      <c r="W219" s="2">
        <v>2467.27</v>
      </c>
      <c r="X219" s="2">
        <f t="shared" si="36"/>
        <v>9925.86</v>
      </c>
      <c r="Y219" s="2">
        <v>8.58</v>
      </c>
      <c r="Z219" s="2">
        <v>10869.28</v>
      </c>
      <c r="AA219" s="2">
        <f t="shared" si="37"/>
        <v>10860.7</v>
      </c>
      <c r="AB219" s="2">
        <v>996.49</v>
      </c>
      <c r="AC219" s="2">
        <v>2458.0100000000002</v>
      </c>
      <c r="AD219" s="2">
        <f t="shared" si="38"/>
        <v>1461.5200000000002</v>
      </c>
      <c r="AE219" s="2">
        <v>-6219.91</v>
      </c>
      <c r="AF219" s="2">
        <v>37086.800000000003</v>
      </c>
      <c r="AG219" s="2">
        <f t="shared" si="39"/>
        <v>43306.710000000006</v>
      </c>
    </row>
    <row r="220" spans="1:33" x14ac:dyDescent="0.3">
      <c r="B220" s="3"/>
      <c r="C220" t="str">
        <f xml:space="preserve"> _xll.EPMOlapMemberO("[CLACO].[PARENTH1].[AMSAGGENERALES.2]","","Otros Gastos","","000")</f>
        <v>Otros Gastos</v>
      </c>
      <c r="D220" s="2">
        <v>6128.96</v>
      </c>
      <c r="E220" s="2">
        <v>2154.25</v>
      </c>
      <c r="F220" s="2">
        <f t="shared" si="30"/>
        <v>-3974.71</v>
      </c>
      <c r="G220" s="2">
        <v>744.73</v>
      </c>
      <c r="H220" s="2">
        <v>1912.49</v>
      </c>
      <c r="I220" s="2">
        <f t="shared" si="31"/>
        <v>1167.76</v>
      </c>
      <c r="J220" s="2">
        <v>349.3</v>
      </c>
      <c r="K220" s="2">
        <v>2016.19</v>
      </c>
      <c r="L220" s="2">
        <f t="shared" si="32"/>
        <v>1666.89</v>
      </c>
      <c r="M220" s="2">
        <v>219.78</v>
      </c>
      <c r="N220" s="2">
        <v>7754.33</v>
      </c>
      <c r="O220" s="2">
        <f t="shared" si="33"/>
        <v>7534.55</v>
      </c>
      <c r="P220" s="2">
        <v>24.56</v>
      </c>
      <c r="Q220" s="2"/>
      <c r="R220" s="2">
        <f t="shared" si="34"/>
        <v>-24.56</v>
      </c>
      <c r="S220" s="2">
        <v>100.71</v>
      </c>
      <c r="T220" s="2">
        <v>6257.25</v>
      </c>
      <c r="U220" s="2">
        <f t="shared" si="35"/>
        <v>6156.54</v>
      </c>
      <c r="V220" s="2">
        <v>143.44999999999999</v>
      </c>
      <c r="W220" s="2">
        <v>1448.51</v>
      </c>
      <c r="X220" s="2">
        <f t="shared" si="36"/>
        <v>1305.06</v>
      </c>
      <c r="Y220" s="2">
        <v>29.72</v>
      </c>
      <c r="Z220" s="2"/>
      <c r="AA220" s="2">
        <f t="shared" si="37"/>
        <v>-29.72</v>
      </c>
      <c r="AB220" s="2">
        <v>17.53</v>
      </c>
      <c r="AC220" s="2"/>
      <c r="AD220" s="2">
        <f t="shared" si="38"/>
        <v>-17.53</v>
      </c>
      <c r="AE220" s="2">
        <v>316.38</v>
      </c>
      <c r="AF220" s="2">
        <v>7705.76</v>
      </c>
      <c r="AG220" s="2">
        <f t="shared" si="39"/>
        <v>7389.38</v>
      </c>
    </row>
    <row r="221" spans="1:33" x14ac:dyDescent="0.3">
      <c r="A221" t="s">
        <v>25</v>
      </c>
      <c r="B221" s="3" t="str">
        <f xml:space="preserve"> _xll.EPMOlapMemberO("[CECO].[PARENTH3].[AMSA1000AC3501]","","VP Finanzas","","000")</f>
        <v>VP Finanzas</v>
      </c>
      <c r="C221" t="str">
        <f xml:space="preserve"> _xll.EPMOlapMemberO("[CLACO].[PARENTH1].[AMSAREMUNERACI.SS]","","Remuneraciones Super","","000")</f>
        <v>Remuneraciones Super</v>
      </c>
      <c r="D221" s="2"/>
      <c r="E221" s="2">
        <v>1069093.02</v>
      </c>
      <c r="F221" s="2">
        <f t="shared" si="30"/>
        <v>1069093.02</v>
      </c>
      <c r="G221" s="2"/>
      <c r="H221" s="2"/>
      <c r="I221" s="2">
        <f t="shared" si="31"/>
        <v>0</v>
      </c>
      <c r="J221" s="2"/>
      <c r="K221" s="2"/>
      <c r="L221" s="2">
        <f t="shared" si="32"/>
        <v>0</v>
      </c>
      <c r="M221" s="2">
        <v>27514.560000000001</v>
      </c>
      <c r="N221" s="2">
        <v>2404979.83</v>
      </c>
      <c r="O221" s="2">
        <f t="shared" si="33"/>
        <v>2377465.27</v>
      </c>
      <c r="P221" s="2"/>
      <c r="Q221" s="2">
        <v>6428.81</v>
      </c>
      <c r="R221" s="2">
        <f t="shared" si="34"/>
        <v>6428.81</v>
      </c>
      <c r="S221" s="2"/>
      <c r="T221" s="2">
        <v>8912.0300000000007</v>
      </c>
      <c r="U221" s="2">
        <f t="shared" si="35"/>
        <v>8912.0300000000007</v>
      </c>
      <c r="V221" s="2"/>
      <c r="W221" s="2">
        <v>6424.39</v>
      </c>
      <c r="X221" s="2">
        <f t="shared" si="36"/>
        <v>6424.39</v>
      </c>
      <c r="Y221" s="2"/>
      <c r="Z221" s="2">
        <v>8831.09</v>
      </c>
      <c r="AA221" s="2">
        <f t="shared" si="37"/>
        <v>8831.09</v>
      </c>
      <c r="AB221" s="2"/>
      <c r="AC221" s="2">
        <v>6343.46</v>
      </c>
      <c r="AD221" s="2">
        <f t="shared" si="38"/>
        <v>6343.46</v>
      </c>
      <c r="AE221" s="2"/>
      <c r="AF221" s="2">
        <v>85963.1</v>
      </c>
      <c r="AG221" s="2">
        <f t="shared" si="39"/>
        <v>85963.1</v>
      </c>
    </row>
    <row r="222" spans="1:33" x14ac:dyDescent="0.3">
      <c r="B222" s="3"/>
      <c r="C222" t="str">
        <f xml:space="preserve"> _xll.EPMOlapMemberO("[CLACO].[PARENTH1].[AMSAMAT_Y_REP.2]","","Materiales y repuest","","000")</f>
        <v>Materiales y repuest</v>
      </c>
      <c r="D222" s="2"/>
      <c r="E222" s="2"/>
      <c r="F222" s="2">
        <f t="shared" si="30"/>
        <v>0</v>
      </c>
      <c r="G222" s="2"/>
      <c r="H222" s="2"/>
      <c r="I222" s="2">
        <f t="shared" si="31"/>
        <v>0</v>
      </c>
      <c r="J222" s="2"/>
      <c r="K222" s="2"/>
      <c r="L222" s="2">
        <f t="shared" si="32"/>
        <v>0</v>
      </c>
      <c r="M222" s="2">
        <v>69.260000000000005</v>
      </c>
      <c r="N222" s="2"/>
      <c r="O222" s="2">
        <f t="shared" si="33"/>
        <v>-69.260000000000005</v>
      </c>
      <c r="P222" s="2"/>
      <c r="Q222" s="2"/>
      <c r="R222" s="2">
        <f t="shared" si="34"/>
        <v>0</v>
      </c>
      <c r="S222" s="2"/>
      <c r="T222" s="2"/>
      <c r="U222" s="2">
        <f t="shared" si="35"/>
        <v>0</v>
      </c>
      <c r="V222" s="2"/>
      <c r="W222" s="2"/>
      <c r="X222" s="2">
        <f t="shared" si="36"/>
        <v>0</v>
      </c>
      <c r="Y222" s="2"/>
      <c r="Z222" s="2"/>
      <c r="AA222" s="2">
        <f t="shared" si="37"/>
        <v>0</v>
      </c>
      <c r="AB222" s="2"/>
      <c r="AC222" s="2"/>
      <c r="AD222" s="2">
        <f t="shared" si="38"/>
        <v>0</v>
      </c>
      <c r="AE222" s="2"/>
      <c r="AF222" s="2"/>
      <c r="AG222" s="2">
        <f t="shared" si="39"/>
        <v>0</v>
      </c>
    </row>
    <row r="223" spans="1:33" x14ac:dyDescent="0.3">
      <c r="B223" s="3"/>
      <c r="C223" t="str">
        <f xml:space="preserve"> _xll.EPMOlapMemberO("[CLACO].[PARENTH1].[AMSAADM_PERSON]","","Administración Perso","","000")</f>
        <v>Administración Perso</v>
      </c>
      <c r="D223" s="2"/>
      <c r="E223" s="2"/>
      <c r="F223" s="2">
        <f t="shared" si="30"/>
        <v>0</v>
      </c>
      <c r="G223" s="2">
        <v>74.790000000000006</v>
      </c>
      <c r="H223" s="2"/>
      <c r="I223" s="2">
        <f t="shared" si="31"/>
        <v>-74.790000000000006</v>
      </c>
      <c r="J223" s="2">
        <v>1621.17</v>
      </c>
      <c r="K223" s="2"/>
      <c r="L223" s="2">
        <f t="shared" si="32"/>
        <v>-1621.17</v>
      </c>
      <c r="M223" s="2">
        <v>868.42</v>
      </c>
      <c r="N223" s="2"/>
      <c r="O223" s="2">
        <f t="shared" si="33"/>
        <v>-868.42</v>
      </c>
      <c r="P223" s="2"/>
      <c r="Q223" s="2"/>
      <c r="R223" s="2">
        <f t="shared" si="34"/>
        <v>0</v>
      </c>
      <c r="S223" s="2"/>
      <c r="T223" s="2"/>
      <c r="U223" s="2">
        <f t="shared" si="35"/>
        <v>0</v>
      </c>
      <c r="V223" s="2"/>
      <c r="W223" s="2"/>
      <c r="X223" s="2">
        <f t="shared" si="36"/>
        <v>0</v>
      </c>
      <c r="Y223" s="2"/>
      <c r="Z223" s="2"/>
      <c r="AA223" s="2">
        <f t="shared" si="37"/>
        <v>0</v>
      </c>
      <c r="AB223" s="2"/>
      <c r="AC223" s="2"/>
      <c r="AD223" s="2">
        <f t="shared" si="38"/>
        <v>0</v>
      </c>
      <c r="AE223" s="2"/>
      <c r="AF223" s="2"/>
      <c r="AG223" s="2">
        <f t="shared" si="39"/>
        <v>0</v>
      </c>
    </row>
    <row r="224" spans="1:33" x14ac:dyDescent="0.3">
      <c r="B224" s="3"/>
      <c r="C224" t="str">
        <f xml:space="preserve"> _xll.EPMOlapMemberO("[CLACO].[PARENTH1].[AMSAENTRENAMI]","","Entrenamiento","","000")</f>
        <v>Entrenamiento</v>
      </c>
      <c r="D224" s="2">
        <v>80638.600000000006</v>
      </c>
      <c r="E224" s="2"/>
      <c r="F224" s="2">
        <f t="shared" si="30"/>
        <v>-80638.600000000006</v>
      </c>
      <c r="G224" s="2">
        <v>41034.239999999998</v>
      </c>
      <c r="H224" s="2"/>
      <c r="I224" s="2">
        <f t="shared" si="31"/>
        <v>-41034.239999999998</v>
      </c>
      <c r="J224" s="2">
        <v>25904.44</v>
      </c>
      <c r="K224" s="2">
        <v>25000</v>
      </c>
      <c r="L224" s="2">
        <f t="shared" si="32"/>
        <v>-904.43999999999869</v>
      </c>
      <c r="M224" s="2">
        <v>28458.62</v>
      </c>
      <c r="N224" s="2">
        <v>23893.35</v>
      </c>
      <c r="O224" s="2">
        <f t="shared" si="33"/>
        <v>-4565.2700000000004</v>
      </c>
      <c r="P224" s="2"/>
      <c r="Q224" s="2"/>
      <c r="R224" s="2">
        <f t="shared" si="34"/>
        <v>0</v>
      </c>
      <c r="S224" s="2"/>
      <c r="T224" s="2"/>
      <c r="U224" s="2">
        <f t="shared" si="35"/>
        <v>0</v>
      </c>
      <c r="V224" s="2"/>
      <c r="W224" s="2"/>
      <c r="X224" s="2">
        <f t="shared" si="36"/>
        <v>0</v>
      </c>
      <c r="Y224" s="2"/>
      <c r="Z224" s="2"/>
      <c r="AA224" s="2">
        <f t="shared" si="37"/>
        <v>0</v>
      </c>
      <c r="AB224" s="2"/>
      <c r="AC224" s="2"/>
      <c r="AD224" s="2">
        <f t="shared" si="38"/>
        <v>0</v>
      </c>
      <c r="AE224" s="2"/>
      <c r="AF224" s="2">
        <v>22617.75</v>
      </c>
      <c r="AG224" s="2">
        <f t="shared" si="39"/>
        <v>22617.75</v>
      </c>
    </row>
    <row r="225" spans="1:33" x14ac:dyDescent="0.3">
      <c r="B225" s="3"/>
      <c r="C225" t="str">
        <f xml:space="preserve"> _xll.EPMOlapMemberO("[CLACO].[PARENTH1].[AMSAASESORIAS]","","Asesorías y Consulto","","000")</f>
        <v>Asesorías y Consulto</v>
      </c>
      <c r="D225" s="2">
        <v>-1242.19</v>
      </c>
      <c r="E225" s="2">
        <v>10900.26</v>
      </c>
      <c r="F225" s="2">
        <f t="shared" si="30"/>
        <v>12142.45</v>
      </c>
      <c r="G225" s="2"/>
      <c r="H225" s="2">
        <v>9303.0400000000009</v>
      </c>
      <c r="I225" s="2">
        <f t="shared" si="31"/>
        <v>9303.0400000000009</v>
      </c>
      <c r="J225" s="2">
        <v>6572.53</v>
      </c>
      <c r="K225" s="2">
        <v>8500</v>
      </c>
      <c r="L225" s="2">
        <f t="shared" si="32"/>
        <v>1927.4700000000003</v>
      </c>
      <c r="M225" s="2"/>
      <c r="N225" s="2">
        <v>8000.02</v>
      </c>
      <c r="O225" s="2">
        <f t="shared" si="33"/>
        <v>8000.02</v>
      </c>
      <c r="P225" s="2"/>
      <c r="Q225" s="2">
        <v>681.22</v>
      </c>
      <c r="R225" s="2">
        <f t="shared" si="34"/>
        <v>681.22</v>
      </c>
      <c r="S225" s="2">
        <v>39557.050000000003</v>
      </c>
      <c r="T225" s="2">
        <v>681.5</v>
      </c>
      <c r="U225" s="2">
        <f t="shared" si="35"/>
        <v>-38875.550000000003</v>
      </c>
      <c r="V225" s="2">
        <v>22500</v>
      </c>
      <c r="W225" s="2">
        <v>681.77</v>
      </c>
      <c r="X225" s="2">
        <f t="shared" si="36"/>
        <v>-21818.23</v>
      </c>
      <c r="Y225" s="2"/>
      <c r="Z225" s="2">
        <v>682.07</v>
      </c>
      <c r="AA225" s="2">
        <f t="shared" si="37"/>
        <v>682.07</v>
      </c>
      <c r="AB225" s="2"/>
      <c r="AC225" s="2">
        <v>682.38</v>
      </c>
      <c r="AD225" s="2">
        <f t="shared" si="38"/>
        <v>682.38</v>
      </c>
      <c r="AE225" s="2">
        <v>284731.18</v>
      </c>
      <c r="AF225" s="2">
        <v>808169.93</v>
      </c>
      <c r="AG225" s="2">
        <f t="shared" si="39"/>
        <v>523438.75000000006</v>
      </c>
    </row>
    <row r="226" spans="1:33" x14ac:dyDescent="0.3">
      <c r="B226" s="3"/>
      <c r="C226" t="str">
        <f xml:space="preserve"> _xll.EPMOlapMemberO("[CLACO].[PARENTH1].[AMSASERVICIOS]","","Servicios","","000")</f>
        <v>Servicios</v>
      </c>
      <c r="D226" s="2">
        <v>5027.09</v>
      </c>
      <c r="E226" s="2"/>
      <c r="F226" s="2">
        <f t="shared" si="30"/>
        <v>-5027.09</v>
      </c>
      <c r="G226" s="2"/>
      <c r="H226" s="2">
        <v>3315.34</v>
      </c>
      <c r="I226" s="2">
        <f t="shared" si="31"/>
        <v>3315.34</v>
      </c>
      <c r="J226" s="2"/>
      <c r="K226" s="2">
        <v>4131.37</v>
      </c>
      <c r="L226" s="2">
        <f t="shared" si="32"/>
        <v>4131.37</v>
      </c>
      <c r="M226" s="2"/>
      <c r="N226" s="2"/>
      <c r="O226" s="2">
        <f t="shared" si="33"/>
        <v>0</v>
      </c>
      <c r="P226" s="2"/>
      <c r="Q226" s="2"/>
      <c r="R226" s="2">
        <f t="shared" si="34"/>
        <v>0</v>
      </c>
      <c r="S226" s="2"/>
      <c r="T226" s="2"/>
      <c r="U226" s="2">
        <f t="shared" si="35"/>
        <v>0</v>
      </c>
      <c r="V226" s="2"/>
      <c r="W226" s="2"/>
      <c r="X226" s="2">
        <f t="shared" si="36"/>
        <v>0</v>
      </c>
      <c r="Y226" s="2"/>
      <c r="Z226" s="2"/>
      <c r="AA226" s="2">
        <f t="shared" si="37"/>
        <v>0</v>
      </c>
      <c r="AB226" s="2"/>
      <c r="AC226" s="2"/>
      <c r="AD226" s="2">
        <f t="shared" si="38"/>
        <v>0</v>
      </c>
      <c r="AE226" s="2"/>
      <c r="AF226" s="2"/>
      <c r="AG226" s="2">
        <f t="shared" si="39"/>
        <v>0</v>
      </c>
    </row>
    <row r="227" spans="1:33" x14ac:dyDescent="0.3">
      <c r="B227" s="3"/>
      <c r="C227" t="str">
        <f xml:space="preserve"> _xll.EPMOlapMemberO("[CLACO].[PARENTH1].[AMSASERMANTO.REPA]","","Servicios Mantenimie","","000")</f>
        <v>Servicios Mantenimie</v>
      </c>
      <c r="D227" s="2"/>
      <c r="E227" s="2"/>
      <c r="F227" s="2">
        <f t="shared" si="30"/>
        <v>0</v>
      </c>
      <c r="G227" s="2">
        <v>48.47</v>
      </c>
      <c r="H227" s="2"/>
      <c r="I227" s="2">
        <f t="shared" si="31"/>
        <v>-48.47</v>
      </c>
      <c r="J227" s="2"/>
      <c r="K227" s="2"/>
      <c r="L227" s="2">
        <f t="shared" si="32"/>
        <v>0</v>
      </c>
      <c r="M227" s="2">
        <v>1014.04</v>
      </c>
      <c r="N227" s="2"/>
      <c r="O227" s="2">
        <f t="shared" si="33"/>
        <v>-1014.04</v>
      </c>
      <c r="P227" s="2"/>
      <c r="Q227" s="2"/>
      <c r="R227" s="2">
        <f t="shared" si="34"/>
        <v>0</v>
      </c>
      <c r="S227" s="2"/>
      <c r="T227" s="2"/>
      <c r="U227" s="2">
        <f t="shared" si="35"/>
        <v>0</v>
      </c>
      <c r="V227" s="2"/>
      <c r="W227" s="2"/>
      <c r="X227" s="2">
        <f t="shared" si="36"/>
        <v>0</v>
      </c>
      <c r="Y227" s="2"/>
      <c r="Z227" s="2"/>
      <c r="AA227" s="2">
        <f t="shared" si="37"/>
        <v>0</v>
      </c>
      <c r="AB227" s="2"/>
      <c r="AC227" s="2"/>
      <c r="AD227" s="2">
        <f t="shared" si="38"/>
        <v>0</v>
      </c>
      <c r="AE227" s="2"/>
      <c r="AF227" s="2"/>
      <c r="AG227" s="2">
        <f t="shared" si="39"/>
        <v>0</v>
      </c>
    </row>
    <row r="228" spans="1:33" x14ac:dyDescent="0.3">
      <c r="B228" s="3"/>
      <c r="C228" t="str">
        <f xml:space="preserve"> _xll.EPMOlapMemberO("[CLACO].[PARENTH1].[AMSAINFORMATIC]","","Informática y Comuni","","000")</f>
        <v>Informática y Comuni</v>
      </c>
      <c r="D228" s="2">
        <v>1812.21</v>
      </c>
      <c r="E228" s="2">
        <v>2135.23</v>
      </c>
      <c r="F228" s="2">
        <f t="shared" si="30"/>
        <v>323.02</v>
      </c>
      <c r="G228" s="2">
        <v>2050.1999999999998</v>
      </c>
      <c r="H228" s="2">
        <v>1976.51</v>
      </c>
      <c r="I228" s="2">
        <f t="shared" si="31"/>
        <v>-73.689999999999827</v>
      </c>
      <c r="J228" s="2">
        <v>3122.9</v>
      </c>
      <c r="K228" s="2">
        <v>1356.04</v>
      </c>
      <c r="L228" s="2">
        <f t="shared" si="32"/>
        <v>-1766.8600000000001</v>
      </c>
      <c r="M228" s="2">
        <v>3724.81</v>
      </c>
      <c r="N228" s="2">
        <v>1978.73</v>
      </c>
      <c r="O228" s="2">
        <f t="shared" si="33"/>
        <v>-1746.08</v>
      </c>
      <c r="P228" s="2">
        <v>740.21</v>
      </c>
      <c r="Q228" s="2">
        <v>125.22</v>
      </c>
      <c r="R228" s="2">
        <f t="shared" si="34"/>
        <v>-614.99</v>
      </c>
      <c r="S228" s="2">
        <v>124.68</v>
      </c>
      <c r="T228" s="2">
        <v>829.49</v>
      </c>
      <c r="U228" s="2">
        <f t="shared" si="35"/>
        <v>704.81</v>
      </c>
      <c r="V228" s="2">
        <v>825.42</v>
      </c>
      <c r="W228" s="2">
        <v>123.66</v>
      </c>
      <c r="X228" s="2">
        <f t="shared" si="36"/>
        <v>-701.76</v>
      </c>
      <c r="Y228" s="2">
        <v>153.76</v>
      </c>
      <c r="Z228" s="2">
        <v>123.6</v>
      </c>
      <c r="AA228" s="2">
        <f t="shared" si="37"/>
        <v>-30.159999999999997</v>
      </c>
      <c r="AB228" s="2">
        <v>165.4</v>
      </c>
      <c r="AC228" s="2">
        <v>123.5</v>
      </c>
      <c r="AD228" s="2">
        <f t="shared" si="38"/>
        <v>-41.900000000000006</v>
      </c>
      <c r="AE228" s="2">
        <v>2009.47</v>
      </c>
      <c r="AF228" s="2">
        <v>2209.7600000000002</v>
      </c>
      <c r="AG228" s="2">
        <f t="shared" si="39"/>
        <v>200.29000000000019</v>
      </c>
    </row>
    <row r="229" spans="1:33" x14ac:dyDescent="0.3">
      <c r="B229" s="3"/>
      <c r="C229" t="str">
        <f xml:space="preserve"> _xll.EPMOlapMemberO("[CLACO].[PARENTH1].[AMSAG_VIAJES]","","Gastos de Viajes","","000")</f>
        <v>Gastos de Viajes</v>
      </c>
      <c r="D229" s="2">
        <v>64114.9</v>
      </c>
      <c r="E229" s="2">
        <v>48388.68</v>
      </c>
      <c r="F229" s="2">
        <f t="shared" si="30"/>
        <v>-15726.220000000001</v>
      </c>
      <c r="G229" s="2">
        <v>76713.47</v>
      </c>
      <c r="H229" s="2">
        <v>61270.77</v>
      </c>
      <c r="I229" s="2">
        <f t="shared" si="31"/>
        <v>-15442.700000000004</v>
      </c>
      <c r="J229" s="2">
        <v>83739.899999999994</v>
      </c>
      <c r="K229" s="2">
        <v>97910.19</v>
      </c>
      <c r="L229" s="2">
        <f t="shared" si="32"/>
        <v>14170.290000000008</v>
      </c>
      <c r="M229" s="2">
        <v>81148.800000000003</v>
      </c>
      <c r="N229" s="2">
        <v>146831.20000000001</v>
      </c>
      <c r="O229" s="2">
        <f t="shared" si="33"/>
        <v>65682.400000000009</v>
      </c>
      <c r="P229" s="2">
        <v>306.05</v>
      </c>
      <c r="Q229" s="2">
        <v>8005.98</v>
      </c>
      <c r="R229" s="2">
        <f t="shared" si="34"/>
        <v>7699.9299999999994</v>
      </c>
      <c r="S229" s="2">
        <v>11883.81</v>
      </c>
      <c r="T229" s="2">
        <v>7994.37</v>
      </c>
      <c r="U229" s="2">
        <f t="shared" si="35"/>
        <v>-3889.4399999999996</v>
      </c>
      <c r="V229" s="2">
        <v>480.76</v>
      </c>
      <c r="W229" s="2">
        <v>7982.79</v>
      </c>
      <c r="X229" s="2">
        <f t="shared" si="36"/>
        <v>7502.03</v>
      </c>
      <c r="Y229" s="2">
        <v>2205.12</v>
      </c>
      <c r="Z229" s="2">
        <v>7971.39</v>
      </c>
      <c r="AA229" s="2">
        <f t="shared" si="37"/>
        <v>5766.27</v>
      </c>
      <c r="AB229" s="2">
        <v>153.07</v>
      </c>
      <c r="AC229" s="2">
        <v>7422.87</v>
      </c>
      <c r="AD229" s="2">
        <f t="shared" si="38"/>
        <v>7269.8</v>
      </c>
      <c r="AE229" s="2">
        <v>15250.79</v>
      </c>
      <c r="AF229" s="2">
        <v>140914.06</v>
      </c>
      <c r="AG229" s="2">
        <f t="shared" si="39"/>
        <v>125663.26999999999</v>
      </c>
    </row>
    <row r="230" spans="1:33" x14ac:dyDescent="0.3">
      <c r="B230" s="3"/>
      <c r="C230" t="str">
        <f xml:space="preserve"> _xll.EPMOlapMemberO("[CLACO].[PARENTH1].[AMSAGGENERALES.2]","","Otros Gastos","","000")</f>
        <v>Otros Gastos</v>
      </c>
      <c r="D230" s="2">
        <v>9735.92</v>
      </c>
      <c r="E230" s="2">
        <v>6027.37</v>
      </c>
      <c r="F230" s="2">
        <f t="shared" si="30"/>
        <v>-3708.55</v>
      </c>
      <c r="G230" s="2">
        <v>3763.61</v>
      </c>
      <c r="H230" s="2">
        <v>5494.73</v>
      </c>
      <c r="I230" s="2">
        <f t="shared" si="31"/>
        <v>1731.1199999999994</v>
      </c>
      <c r="J230" s="2">
        <v>14255.4</v>
      </c>
      <c r="K230" s="2">
        <v>2850</v>
      </c>
      <c r="L230" s="2">
        <f t="shared" si="32"/>
        <v>-11405.4</v>
      </c>
      <c r="M230" s="2">
        <v>47433.62</v>
      </c>
      <c r="N230" s="2">
        <v>13432.5</v>
      </c>
      <c r="O230" s="2">
        <f t="shared" si="33"/>
        <v>-34001.120000000003</v>
      </c>
      <c r="P230" s="2">
        <v>413.63</v>
      </c>
      <c r="Q230" s="2">
        <v>1084.03</v>
      </c>
      <c r="R230" s="2">
        <f t="shared" si="34"/>
        <v>670.4</v>
      </c>
      <c r="S230" s="2">
        <v>10489.2</v>
      </c>
      <c r="T230" s="2">
        <v>1081.98</v>
      </c>
      <c r="U230" s="2">
        <f t="shared" si="35"/>
        <v>-9407.2200000000012</v>
      </c>
      <c r="V230" s="2">
        <v>-22113.87</v>
      </c>
      <c r="W230" s="2">
        <v>1578.97</v>
      </c>
      <c r="X230" s="2">
        <f t="shared" si="36"/>
        <v>23692.84</v>
      </c>
      <c r="Y230" s="2">
        <v>22726.31</v>
      </c>
      <c r="Z230" s="2">
        <v>1446.94</v>
      </c>
      <c r="AA230" s="2">
        <f t="shared" si="37"/>
        <v>-21279.370000000003</v>
      </c>
      <c r="AB230" s="2">
        <v>-22497.439999999999</v>
      </c>
      <c r="AC230" s="2">
        <v>1075.8499999999999</v>
      </c>
      <c r="AD230" s="2">
        <f t="shared" si="38"/>
        <v>23573.289999999997</v>
      </c>
      <c r="AE230" s="2">
        <v>-10681.33</v>
      </c>
      <c r="AF230" s="2">
        <v>14435.19</v>
      </c>
      <c r="AG230" s="2">
        <f t="shared" si="39"/>
        <v>25116.52</v>
      </c>
    </row>
    <row r="231" spans="1:33" x14ac:dyDescent="0.3">
      <c r="A231" t="s">
        <v>26</v>
      </c>
      <c r="B231" s="3" t="str">
        <f xml:space="preserve"> _xll.EPMOlapMemberO("[CECO].[PARENTH3].[AMSA1000AC3502]","","Gcia Abastecimiento","","000")</f>
        <v>Gcia Abastecimiento</v>
      </c>
      <c r="C231" t="str">
        <f xml:space="preserve"> _xll.EPMOlapMemberO("[CLACO].[PARENTH1].[AMSAREMUNERACI.EE]","","Remuneraciones emple","","000")</f>
        <v>Remuneraciones emple</v>
      </c>
      <c r="D231" s="2">
        <v>481.9</v>
      </c>
      <c r="E231" s="2"/>
      <c r="F231" s="2">
        <f t="shared" si="30"/>
        <v>-481.9</v>
      </c>
      <c r="G231" s="2"/>
      <c r="H231" s="2"/>
      <c r="I231" s="2">
        <f t="shared" si="31"/>
        <v>0</v>
      </c>
      <c r="J231" s="2"/>
      <c r="K231" s="2"/>
      <c r="L231" s="2">
        <f t="shared" si="32"/>
        <v>0</v>
      </c>
      <c r="M231" s="2"/>
      <c r="N231" s="2"/>
      <c r="O231" s="2">
        <f t="shared" si="33"/>
        <v>0</v>
      </c>
      <c r="P231" s="2"/>
      <c r="Q231" s="2"/>
      <c r="R231" s="2">
        <f t="shared" si="34"/>
        <v>0</v>
      </c>
      <c r="S231" s="2"/>
      <c r="T231" s="2"/>
      <c r="U231" s="2">
        <f t="shared" si="35"/>
        <v>0</v>
      </c>
      <c r="V231" s="2"/>
      <c r="W231" s="2"/>
      <c r="X231" s="2">
        <f t="shared" si="36"/>
        <v>0</v>
      </c>
      <c r="Y231" s="2"/>
      <c r="Z231" s="2"/>
      <c r="AA231" s="2">
        <f t="shared" si="37"/>
        <v>0</v>
      </c>
      <c r="AB231" s="2"/>
      <c r="AC231" s="2"/>
      <c r="AD231" s="2">
        <f t="shared" si="38"/>
        <v>0</v>
      </c>
      <c r="AE231" s="2"/>
      <c r="AF231" s="2"/>
      <c r="AG231" s="2">
        <f t="shared" si="39"/>
        <v>0</v>
      </c>
    </row>
    <row r="232" spans="1:33" x14ac:dyDescent="0.3">
      <c r="B232" s="3"/>
      <c r="C232" t="str">
        <f xml:space="preserve"> _xll.EPMOlapMemberO("[CLACO].[PARENTH1].[AMSAREMUNERACI.SS]","","Remuneraciones Super","","000")</f>
        <v>Remuneraciones Super</v>
      </c>
      <c r="D232" s="2">
        <v>4798463.33</v>
      </c>
      <c r="E232" s="2">
        <v>5058701.46</v>
      </c>
      <c r="F232" s="2">
        <f t="shared" si="30"/>
        <v>260238.12999999989</v>
      </c>
      <c r="G232" s="2">
        <v>5799485.9800000004</v>
      </c>
      <c r="H232" s="2">
        <v>5633770.5499999998</v>
      </c>
      <c r="I232" s="2">
        <f t="shared" si="31"/>
        <v>-165715.43000000063</v>
      </c>
      <c r="J232" s="2">
        <v>5269906.79</v>
      </c>
      <c r="K232" s="2">
        <v>5871751.54</v>
      </c>
      <c r="L232" s="2">
        <f t="shared" si="32"/>
        <v>601844.75</v>
      </c>
      <c r="M232" s="2">
        <v>4874370.5599999996</v>
      </c>
      <c r="N232" s="2">
        <v>5696854.9199999999</v>
      </c>
      <c r="O232" s="2">
        <f t="shared" si="33"/>
        <v>822484.36000000034</v>
      </c>
      <c r="P232" s="2">
        <v>484722.64</v>
      </c>
      <c r="Q232" s="2">
        <v>418991.2</v>
      </c>
      <c r="R232" s="2">
        <f t="shared" si="34"/>
        <v>-65731.44</v>
      </c>
      <c r="S232" s="2">
        <v>445021.38</v>
      </c>
      <c r="T232" s="2">
        <v>496860.72</v>
      </c>
      <c r="U232" s="2">
        <f t="shared" si="35"/>
        <v>51839.339999999967</v>
      </c>
      <c r="V232" s="2">
        <v>329627</v>
      </c>
      <c r="W232" s="2">
        <v>418293.6</v>
      </c>
      <c r="X232" s="2">
        <f t="shared" si="36"/>
        <v>88666.599999999977</v>
      </c>
      <c r="Y232" s="2">
        <v>410350.03</v>
      </c>
      <c r="Z232" s="2">
        <v>489835.62</v>
      </c>
      <c r="AA232" s="2">
        <f t="shared" si="37"/>
        <v>79485.589999999967</v>
      </c>
      <c r="AB232" s="2">
        <v>453641.57</v>
      </c>
      <c r="AC232" s="2">
        <v>413426.62</v>
      </c>
      <c r="AD232" s="2">
        <f t="shared" si="38"/>
        <v>-40214.950000000012</v>
      </c>
      <c r="AE232" s="2">
        <v>2219480.36</v>
      </c>
      <c r="AF232" s="2">
        <v>5310003.01</v>
      </c>
      <c r="AG232" s="2">
        <f t="shared" si="39"/>
        <v>3090522.65</v>
      </c>
    </row>
    <row r="233" spans="1:33" x14ac:dyDescent="0.3">
      <c r="B233" s="3"/>
      <c r="C233" t="str">
        <f xml:space="preserve"> _xll.EPMOlapMemberO("[CLACO].[PARENTH1].[AMSAMAT_Y_REP.2]","","Materiales y repuest","","000")</f>
        <v>Materiales y repuest</v>
      </c>
      <c r="D233" s="2"/>
      <c r="E233" s="2"/>
      <c r="F233" s="2">
        <f t="shared" si="30"/>
        <v>0</v>
      </c>
      <c r="G233" s="2">
        <v>0</v>
      </c>
      <c r="H233" s="2"/>
      <c r="I233" s="2">
        <f t="shared" si="31"/>
        <v>0</v>
      </c>
      <c r="J233" s="2"/>
      <c r="K233" s="2"/>
      <c r="L233" s="2">
        <f t="shared" si="32"/>
        <v>0</v>
      </c>
      <c r="M233" s="2">
        <v>642.12</v>
      </c>
      <c r="N233" s="2"/>
      <c r="O233" s="2">
        <f t="shared" si="33"/>
        <v>-642.12</v>
      </c>
      <c r="P233" s="2">
        <v>1083.04</v>
      </c>
      <c r="Q233" s="2"/>
      <c r="R233" s="2">
        <f t="shared" si="34"/>
        <v>-1083.04</v>
      </c>
      <c r="S233" s="2"/>
      <c r="T233" s="2"/>
      <c r="U233" s="2">
        <f t="shared" si="35"/>
        <v>0</v>
      </c>
      <c r="V233" s="2"/>
      <c r="W233" s="2"/>
      <c r="X233" s="2">
        <f t="shared" si="36"/>
        <v>0</v>
      </c>
      <c r="Y233" s="2"/>
      <c r="Z233" s="2"/>
      <c r="AA233" s="2">
        <f t="shared" si="37"/>
        <v>0</v>
      </c>
      <c r="AB233" s="2"/>
      <c r="AC233" s="2"/>
      <c r="AD233" s="2">
        <f t="shared" si="38"/>
        <v>0</v>
      </c>
      <c r="AE233" s="2">
        <v>1083.04</v>
      </c>
      <c r="AF233" s="2"/>
      <c r="AG233" s="2">
        <f t="shared" si="39"/>
        <v>-1083.04</v>
      </c>
    </row>
    <row r="234" spans="1:33" x14ac:dyDescent="0.3">
      <c r="B234" s="3"/>
      <c r="C234" t="str">
        <f xml:space="preserve"> _xll.EPMOlapMemberO("[CLACO].[PARENTH1].[AMSAADM_PERSON]","","Administración Perso","","000")</f>
        <v>Administración Perso</v>
      </c>
      <c r="D234" s="2">
        <v>11227.01</v>
      </c>
      <c r="E234" s="2"/>
      <c r="F234" s="2">
        <f t="shared" si="30"/>
        <v>-11227.01</v>
      </c>
      <c r="G234" s="2"/>
      <c r="H234" s="2"/>
      <c r="I234" s="2">
        <f t="shared" si="31"/>
        <v>0</v>
      </c>
      <c r="J234" s="2"/>
      <c r="K234" s="2"/>
      <c r="L234" s="2">
        <f t="shared" si="32"/>
        <v>0</v>
      </c>
      <c r="M234" s="2">
        <v>869.27</v>
      </c>
      <c r="N234" s="2"/>
      <c r="O234" s="2">
        <f t="shared" si="33"/>
        <v>-869.27</v>
      </c>
      <c r="P234" s="2"/>
      <c r="Q234" s="2"/>
      <c r="R234" s="2">
        <f t="shared" si="34"/>
        <v>0</v>
      </c>
      <c r="S234" s="2"/>
      <c r="T234" s="2"/>
      <c r="U234" s="2">
        <f t="shared" si="35"/>
        <v>0</v>
      </c>
      <c r="V234" s="2"/>
      <c r="W234" s="2"/>
      <c r="X234" s="2">
        <f t="shared" si="36"/>
        <v>0</v>
      </c>
      <c r="Y234" s="2"/>
      <c r="Z234" s="2"/>
      <c r="AA234" s="2">
        <f t="shared" si="37"/>
        <v>0</v>
      </c>
      <c r="AB234" s="2"/>
      <c r="AC234" s="2"/>
      <c r="AD234" s="2">
        <f t="shared" si="38"/>
        <v>0</v>
      </c>
      <c r="AE234" s="2"/>
      <c r="AF234" s="2"/>
      <c r="AG234" s="2">
        <f t="shared" si="39"/>
        <v>0</v>
      </c>
    </row>
    <row r="235" spans="1:33" x14ac:dyDescent="0.3">
      <c r="B235" s="3"/>
      <c r="C235" t="str">
        <f xml:space="preserve"> _xll.EPMOlapMemberO("[CLACO].[PARENTH1].[AMSAENTRENAMI]","","Entrenamiento","","000")</f>
        <v>Entrenamiento</v>
      </c>
      <c r="D235" s="2">
        <v>8253.61</v>
      </c>
      <c r="E235" s="2">
        <v>87071.89</v>
      </c>
      <c r="F235" s="2">
        <f t="shared" si="30"/>
        <v>78818.28</v>
      </c>
      <c r="G235" s="2">
        <v>21091.96</v>
      </c>
      <c r="H235" s="2">
        <v>27352.79</v>
      </c>
      <c r="I235" s="2">
        <f t="shared" si="31"/>
        <v>6260.8300000000017</v>
      </c>
      <c r="J235" s="2">
        <v>4756.41</v>
      </c>
      <c r="K235" s="2">
        <v>15000</v>
      </c>
      <c r="L235" s="2">
        <f t="shared" si="32"/>
        <v>10243.59</v>
      </c>
      <c r="M235" s="2">
        <v>13265.8</v>
      </c>
      <c r="N235" s="2">
        <v>10910.76</v>
      </c>
      <c r="O235" s="2">
        <f t="shared" si="33"/>
        <v>-2355.0399999999991</v>
      </c>
      <c r="P235" s="2"/>
      <c r="Q235" s="2"/>
      <c r="R235" s="2">
        <f t="shared" si="34"/>
        <v>0</v>
      </c>
      <c r="S235" s="2">
        <v>1037.1500000000001</v>
      </c>
      <c r="T235" s="2"/>
      <c r="U235" s="2">
        <f t="shared" si="35"/>
        <v>-1037.1500000000001</v>
      </c>
      <c r="V235" s="2"/>
      <c r="W235" s="2"/>
      <c r="X235" s="2">
        <f t="shared" si="36"/>
        <v>0</v>
      </c>
      <c r="Y235" s="2"/>
      <c r="Z235" s="2"/>
      <c r="AA235" s="2">
        <f t="shared" si="37"/>
        <v>0</v>
      </c>
      <c r="AB235" s="2"/>
      <c r="AC235" s="2"/>
      <c r="AD235" s="2">
        <f t="shared" si="38"/>
        <v>0</v>
      </c>
      <c r="AE235" s="2">
        <v>1037.1500000000001</v>
      </c>
      <c r="AF235" s="2">
        <v>11142.44</v>
      </c>
      <c r="AG235" s="2">
        <f t="shared" si="39"/>
        <v>10105.290000000001</v>
      </c>
    </row>
    <row r="236" spans="1:33" x14ac:dyDescent="0.3">
      <c r="B236" s="3"/>
      <c r="C236" t="str">
        <f xml:space="preserve"> _xll.EPMOlapMemberO("[CLACO].[PARENTH1].[AMSAASESORIAS]","","Asesorías y Consulto","","000")</f>
        <v>Asesorías y Consulto</v>
      </c>
      <c r="D236" s="2">
        <v>-21660.22</v>
      </c>
      <c r="E236" s="2"/>
      <c r="F236" s="2">
        <f t="shared" si="30"/>
        <v>21660.22</v>
      </c>
      <c r="G236" s="2">
        <v>10959.7</v>
      </c>
      <c r="H236" s="2"/>
      <c r="I236" s="2">
        <f t="shared" si="31"/>
        <v>-10959.7</v>
      </c>
      <c r="J236" s="2">
        <v>1119.73</v>
      </c>
      <c r="K236" s="2"/>
      <c r="L236" s="2">
        <f t="shared" si="32"/>
        <v>-1119.73</v>
      </c>
      <c r="M236" s="2">
        <v>0</v>
      </c>
      <c r="N236" s="2"/>
      <c r="O236" s="2">
        <f t="shared" si="33"/>
        <v>0</v>
      </c>
      <c r="P236" s="2"/>
      <c r="Q236" s="2"/>
      <c r="R236" s="2">
        <f t="shared" si="34"/>
        <v>0</v>
      </c>
      <c r="S236" s="2"/>
      <c r="T236" s="2"/>
      <c r="U236" s="2">
        <f t="shared" si="35"/>
        <v>0</v>
      </c>
      <c r="V236" s="2"/>
      <c r="W236" s="2"/>
      <c r="X236" s="2">
        <f t="shared" si="36"/>
        <v>0</v>
      </c>
      <c r="Y236" s="2"/>
      <c r="Z236" s="2"/>
      <c r="AA236" s="2">
        <f t="shared" si="37"/>
        <v>0</v>
      </c>
      <c r="AB236" s="2"/>
      <c r="AC236" s="2"/>
      <c r="AD236" s="2">
        <f t="shared" si="38"/>
        <v>0</v>
      </c>
      <c r="AE236" s="2"/>
      <c r="AF236" s="2"/>
      <c r="AG236" s="2">
        <f t="shared" si="39"/>
        <v>0</v>
      </c>
    </row>
    <row r="237" spans="1:33" x14ac:dyDescent="0.3">
      <c r="B237" s="3"/>
      <c r="C237" t="str">
        <f xml:space="preserve"> _xll.EPMOlapMemberO("[CLACO].[PARENTH1].[AMSASERVICIOS]","","Servicios","","000")</f>
        <v>Servicios</v>
      </c>
      <c r="D237" s="2">
        <v>52036.49</v>
      </c>
      <c r="E237" s="2">
        <v>568.85</v>
      </c>
      <c r="F237" s="2">
        <f t="shared" si="30"/>
        <v>-51467.64</v>
      </c>
      <c r="G237" s="2">
        <v>38918.31</v>
      </c>
      <c r="H237" s="2">
        <v>2992.96</v>
      </c>
      <c r="I237" s="2">
        <f t="shared" si="31"/>
        <v>-35925.35</v>
      </c>
      <c r="J237" s="2">
        <v>2819.87</v>
      </c>
      <c r="K237" s="2"/>
      <c r="L237" s="2">
        <f t="shared" si="32"/>
        <v>-2819.87</v>
      </c>
      <c r="M237" s="2">
        <v>1020.38</v>
      </c>
      <c r="N237" s="2"/>
      <c r="O237" s="2">
        <f t="shared" si="33"/>
        <v>-1020.38</v>
      </c>
      <c r="P237" s="2">
        <v>-2.0299999999999998</v>
      </c>
      <c r="Q237" s="2"/>
      <c r="R237" s="2">
        <f t="shared" si="34"/>
        <v>2.0299999999999998</v>
      </c>
      <c r="S237" s="2">
        <v>4938.57</v>
      </c>
      <c r="T237" s="2"/>
      <c r="U237" s="2">
        <f t="shared" si="35"/>
        <v>-4938.57</v>
      </c>
      <c r="V237" s="2">
        <v>3284.62</v>
      </c>
      <c r="W237" s="2"/>
      <c r="X237" s="2">
        <f t="shared" si="36"/>
        <v>-3284.62</v>
      </c>
      <c r="Y237" s="2">
        <v>152.24</v>
      </c>
      <c r="Z237" s="2"/>
      <c r="AA237" s="2">
        <f t="shared" si="37"/>
        <v>-152.24</v>
      </c>
      <c r="AB237" s="2"/>
      <c r="AC237" s="2"/>
      <c r="AD237" s="2">
        <f t="shared" si="38"/>
        <v>0</v>
      </c>
      <c r="AE237" s="2">
        <v>8373.4</v>
      </c>
      <c r="AF237" s="2"/>
      <c r="AG237" s="2">
        <f t="shared" si="39"/>
        <v>-8373.4</v>
      </c>
    </row>
    <row r="238" spans="1:33" x14ac:dyDescent="0.3">
      <c r="B238" s="3"/>
      <c r="C238" t="str">
        <f xml:space="preserve"> _xll.EPMOlapMemberO("[CLACO].[PARENTH1].[AMSASERMANTO.REPA]","","Servicios Mantenimie","","000")</f>
        <v>Servicios Mantenimie</v>
      </c>
      <c r="D238" s="2"/>
      <c r="E238" s="2"/>
      <c r="F238" s="2">
        <f t="shared" si="30"/>
        <v>0</v>
      </c>
      <c r="G238" s="2">
        <v>0.02</v>
      </c>
      <c r="H238" s="2"/>
      <c r="I238" s="2">
        <f t="shared" si="31"/>
        <v>-0.02</v>
      </c>
      <c r="J238" s="2"/>
      <c r="K238" s="2"/>
      <c r="L238" s="2">
        <f t="shared" si="32"/>
        <v>0</v>
      </c>
      <c r="M238" s="2">
        <v>6746.96</v>
      </c>
      <c r="N238" s="2"/>
      <c r="O238" s="2">
        <f t="shared" si="33"/>
        <v>-6746.96</v>
      </c>
      <c r="P238" s="2"/>
      <c r="Q238" s="2"/>
      <c r="R238" s="2">
        <f t="shared" si="34"/>
        <v>0</v>
      </c>
      <c r="S238" s="2"/>
      <c r="T238" s="2"/>
      <c r="U238" s="2">
        <f t="shared" si="35"/>
        <v>0</v>
      </c>
      <c r="V238" s="2"/>
      <c r="W238" s="2"/>
      <c r="X238" s="2">
        <f t="shared" si="36"/>
        <v>0</v>
      </c>
      <c r="Y238" s="2"/>
      <c r="Z238" s="2"/>
      <c r="AA238" s="2">
        <f t="shared" si="37"/>
        <v>0</v>
      </c>
      <c r="AB238" s="2"/>
      <c r="AC238" s="2"/>
      <c r="AD238" s="2">
        <f t="shared" si="38"/>
        <v>0</v>
      </c>
      <c r="AE238" s="2"/>
      <c r="AF238" s="2"/>
      <c r="AG238" s="2">
        <f t="shared" si="39"/>
        <v>0</v>
      </c>
    </row>
    <row r="239" spans="1:33" x14ac:dyDescent="0.3">
      <c r="B239" s="3"/>
      <c r="C239" t="str">
        <f xml:space="preserve"> _xll.EPMOlapMemberO("[CLACO].[PARENTH1].[AMSAINFORMATIC]","","Informática y Comuni","","000")</f>
        <v>Informática y Comuni</v>
      </c>
      <c r="D239" s="2">
        <v>21112.66</v>
      </c>
      <c r="E239" s="2">
        <v>36512.36</v>
      </c>
      <c r="F239" s="2">
        <f t="shared" si="30"/>
        <v>15399.7</v>
      </c>
      <c r="G239" s="2">
        <v>68258.09</v>
      </c>
      <c r="H239" s="2">
        <v>43467.15</v>
      </c>
      <c r="I239" s="2">
        <f t="shared" si="31"/>
        <v>-24790.939999999995</v>
      </c>
      <c r="J239" s="2">
        <v>59941.120000000003</v>
      </c>
      <c r="K239" s="2">
        <v>42139.83</v>
      </c>
      <c r="L239" s="2">
        <f t="shared" si="32"/>
        <v>-17801.29</v>
      </c>
      <c r="M239" s="2">
        <v>31880.89</v>
      </c>
      <c r="N239" s="2">
        <v>46282.68</v>
      </c>
      <c r="O239" s="2">
        <f t="shared" si="33"/>
        <v>14401.79</v>
      </c>
      <c r="P239" s="2">
        <v>1121.68</v>
      </c>
      <c r="Q239" s="2">
        <v>1920.43</v>
      </c>
      <c r="R239" s="2">
        <f t="shared" si="34"/>
        <v>798.75</v>
      </c>
      <c r="S239" s="2">
        <v>4499.4399999999996</v>
      </c>
      <c r="T239" s="2">
        <v>3082.75</v>
      </c>
      <c r="U239" s="2">
        <f t="shared" si="35"/>
        <v>-1416.6899999999996</v>
      </c>
      <c r="V239" s="2">
        <v>12248.45</v>
      </c>
      <c r="W239" s="2">
        <v>3076.87</v>
      </c>
      <c r="X239" s="2">
        <f t="shared" si="36"/>
        <v>-9171.5800000000017</v>
      </c>
      <c r="Y239" s="2">
        <v>4894.3599999999997</v>
      </c>
      <c r="Z239" s="2">
        <v>3071.1</v>
      </c>
      <c r="AA239" s="2">
        <f t="shared" si="37"/>
        <v>-1823.2599999999998</v>
      </c>
      <c r="AB239" s="2">
        <v>2689.36</v>
      </c>
      <c r="AC239" s="2">
        <v>10630.98</v>
      </c>
      <c r="AD239" s="2">
        <f t="shared" si="38"/>
        <v>7941.619999999999</v>
      </c>
      <c r="AE239" s="2">
        <v>26575.1</v>
      </c>
      <c r="AF239" s="2">
        <v>47265.87</v>
      </c>
      <c r="AG239" s="2">
        <f t="shared" si="39"/>
        <v>20690.770000000004</v>
      </c>
    </row>
    <row r="240" spans="1:33" x14ac:dyDescent="0.3">
      <c r="B240" s="3"/>
      <c r="C240" t="str">
        <f xml:space="preserve"> _xll.EPMOlapMemberO("[CLACO].[PARENTH1].[AMSAG_VIAJES]","","Gastos de Viajes","","000")</f>
        <v>Gastos de Viajes</v>
      </c>
      <c r="D240" s="2">
        <v>110519.31</v>
      </c>
      <c r="E240" s="2">
        <v>81828.55</v>
      </c>
      <c r="F240" s="2">
        <f t="shared" si="30"/>
        <v>-28690.759999999995</v>
      </c>
      <c r="G240" s="2">
        <v>58127.33</v>
      </c>
      <c r="H240" s="2">
        <v>63501.04</v>
      </c>
      <c r="I240" s="2">
        <f t="shared" si="31"/>
        <v>5373.7099999999991</v>
      </c>
      <c r="J240" s="2">
        <v>40204.82</v>
      </c>
      <c r="K240" s="2">
        <v>42000</v>
      </c>
      <c r="L240" s="2">
        <f t="shared" si="32"/>
        <v>1795.1800000000003</v>
      </c>
      <c r="M240" s="2">
        <v>38021.93</v>
      </c>
      <c r="N240" s="2">
        <v>73030.5</v>
      </c>
      <c r="O240" s="2">
        <f t="shared" si="33"/>
        <v>35008.57</v>
      </c>
      <c r="P240" s="2">
        <v>3266.58</v>
      </c>
      <c r="Q240" s="2">
        <v>6802.51</v>
      </c>
      <c r="R240" s="2">
        <f t="shared" si="34"/>
        <v>3535.9300000000003</v>
      </c>
      <c r="S240" s="2">
        <v>4655.29</v>
      </c>
      <c r="T240" s="2">
        <v>7408.55</v>
      </c>
      <c r="U240" s="2">
        <f t="shared" si="35"/>
        <v>2753.26</v>
      </c>
      <c r="V240" s="2">
        <v>407.32</v>
      </c>
      <c r="W240" s="2">
        <v>6892.21</v>
      </c>
      <c r="X240" s="2">
        <f t="shared" si="36"/>
        <v>6484.89</v>
      </c>
      <c r="Y240" s="2">
        <v>3950.23</v>
      </c>
      <c r="Z240" s="2">
        <v>871.57</v>
      </c>
      <c r="AA240" s="2">
        <f t="shared" si="37"/>
        <v>-3078.66</v>
      </c>
      <c r="AB240" s="2">
        <v>2403.0500000000002</v>
      </c>
      <c r="AC240" s="2">
        <v>1632.02</v>
      </c>
      <c r="AD240" s="2">
        <f t="shared" si="38"/>
        <v>-771.0300000000002</v>
      </c>
      <c r="AE240" s="2">
        <v>17889.8</v>
      </c>
      <c r="AF240" s="2">
        <v>85192.18</v>
      </c>
      <c r="AG240" s="2">
        <f t="shared" si="39"/>
        <v>67302.37999999999</v>
      </c>
    </row>
    <row r="241" spans="1:33" x14ac:dyDescent="0.3">
      <c r="B241" s="3"/>
      <c r="C241" t="str">
        <f xml:space="preserve"> _xll.EPMOlapMemberO("[CLACO].[PARENTH1].[AMSAGGENERALES.2]","","Otros Gastos","","000")</f>
        <v>Otros Gastos</v>
      </c>
      <c r="D241" s="2">
        <v>48516.36</v>
      </c>
      <c r="E241" s="2">
        <v>14989.5</v>
      </c>
      <c r="F241" s="2">
        <f t="shared" si="30"/>
        <v>-33526.86</v>
      </c>
      <c r="G241" s="2">
        <v>47172.46</v>
      </c>
      <c r="H241" s="2">
        <v>32665.49</v>
      </c>
      <c r="I241" s="2">
        <f t="shared" si="31"/>
        <v>-14506.969999999998</v>
      </c>
      <c r="J241" s="2">
        <v>12355.31</v>
      </c>
      <c r="K241" s="2">
        <v>15300.01</v>
      </c>
      <c r="L241" s="2">
        <f t="shared" si="32"/>
        <v>2944.7000000000007</v>
      </c>
      <c r="M241" s="2">
        <v>13484.46</v>
      </c>
      <c r="N241" s="2">
        <v>11542.06</v>
      </c>
      <c r="O241" s="2">
        <f t="shared" si="33"/>
        <v>-1942.3999999999996</v>
      </c>
      <c r="P241" s="2">
        <v>286.38</v>
      </c>
      <c r="Q241" s="2">
        <v>979.44</v>
      </c>
      <c r="R241" s="2">
        <f t="shared" si="34"/>
        <v>693.06000000000006</v>
      </c>
      <c r="S241" s="2">
        <v>329.86</v>
      </c>
      <c r="T241" s="2">
        <v>977.58</v>
      </c>
      <c r="U241" s="2">
        <f t="shared" si="35"/>
        <v>647.72</v>
      </c>
      <c r="V241" s="2">
        <v>311.92</v>
      </c>
      <c r="W241" s="2">
        <v>975.72</v>
      </c>
      <c r="X241" s="2">
        <f t="shared" si="36"/>
        <v>663.8</v>
      </c>
      <c r="Y241" s="2">
        <v>1706.05</v>
      </c>
      <c r="Z241" s="2">
        <v>973.89</v>
      </c>
      <c r="AA241" s="2">
        <f t="shared" si="37"/>
        <v>-732.16</v>
      </c>
      <c r="AB241" s="2">
        <v>11505.39</v>
      </c>
      <c r="AC241" s="2">
        <v>972.04</v>
      </c>
      <c r="AD241" s="2">
        <f t="shared" si="38"/>
        <v>-10533.349999999999</v>
      </c>
      <c r="AE241" s="2">
        <v>21218.22</v>
      </c>
      <c r="AF241" s="2">
        <v>11786.97</v>
      </c>
      <c r="AG241" s="2">
        <f t="shared" si="39"/>
        <v>-9431.2500000000018</v>
      </c>
    </row>
    <row r="242" spans="1:33" x14ac:dyDescent="0.3">
      <c r="A242" t="s">
        <v>27</v>
      </c>
      <c r="B242" s="3" t="str">
        <f xml:space="preserve"> _xll.EPMOlapMemberO("[CECO].[PARENTH3].[AMSA1000AC3503]","","Gcia Contabilidad","","000")</f>
        <v>Gcia Contabilidad</v>
      </c>
      <c r="C242" t="str">
        <f xml:space="preserve"> _xll.EPMOlapMemberO("[CLACO].[PARENTH1].[AMSAREMUNERACI.SS]","","Remuneraciones Super","","000")</f>
        <v>Remuneraciones Super</v>
      </c>
      <c r="D242" s="2">
        <v>3246785.33</v>
      </c>
      <c r="E242" s="2">
        <v>3123909.92</v>
      </c>
      <c r="F242" s="2">
        <f t="shared" si="30"/>
        <v>-122875.41000000015</v>
      </c>
      <c r="G242" s="2">
        <v>4069262.82</v>
      </c>
      <c r="H242" s="2">
        <v>3732800.96</v>
      </c>
      <c r="I242" s="2">
        <f t="shared" si="31"/>
        <v>-336461.85999999987</v>
      </c>
      <c r="J242" s="2">
        <v>3685944.23</v>
      </c>
      <c r="K242" s="2">
        <v>4098095.82</v>
      </c>
      <c r="L242" s="2">
        <f t="shared" si="32"/>
        <v>412151.58999999985</v>
      </c>
      <c r="M242" s="2">
        <v>3763666.66</v>
      </c>
      <c r="N242" s="2">
        <v>4027315.13</v>
      </c>
      <c r="O242" s="2">
        <f t="shared" si="33"/>
        <v>263648.46999999974</v>
      </c>
      <c r="P242" s="2">
        <v>292514.11</v>
      </c>
      <c r="Q242" s="2">
        <v>315413.49</v>
      </c>
      <c r="R242" s="2">
        <f t="shared" si="34"/>
        <v>22899.380000000005</v>
      </c>
      <c r="S242" s="2">
        <v>385754.92</v>
      </c>
      <c r="T242" s="2">
        <v>401827.61</v>
      </c>
      <c r="U242" s="2">
        <f t="shared" si="35"/>
        <v>16072.690000000002</v>
      </c>
      <c r="V242" s="2">
        <v>275243.28000000003</v>
      </c>
      <c r="W242" s="2">
        <v>315482.78000000003</v>
      </c>
      <c r="X242" s="2">
        <f t="shared" si="36"/>
        <v>40239.5</v>
      </c>
      <c r="Y242" s="2">
        <v>396691.69</v>
      </c>
      <c r="Z242" s="2">
        <v>397840.58</v>
      </c>
      <c r="AA242" s="2">
        <f t="shared" si="37"/>
        <v>1148.890000000014</v>
      </c>
      <c r="AB242" s="2">
        <v>319038.23</v>
      </c>
      <c r="AC242" s="2">
        <v>311269.57</v>
      </c>
      <c r="AD242" s="2">
        <f t="shared" si="38"/>
        <v>-7768.6599999999744</v>
      </c>
      <c r="AE242" s="2">
        <v>1673091.81</v>
      </c>
      <c r="AF242" s="2">
        <v>4096127.35</v>
      </c>
      <c r="AG242" s="2">
        <f t="shared" si="39"/>
        <v>2423035.54</v>
      </c>
    </row>
    <row r="243" spans="1:33" x14ac:dyDescent="0.3">
      <c r="B243" s="3"/>
      <c r="C243" t="str">
        <f xml:space="preserve"> _xll.EPMOlapMemberO("[CLACO].[PARENTH1].[AMSAMAT_Y_REP.2]","","Materiales y repuest","","000")</f>
        <v>Materiales y repuest</v>
      </c>
      <c r="D243" s="2"/>
      <c r="E243" s="2"/>
      <c r="F243" s="2">
        <f t="shared" si="30"/>
        <v>0</v>
      </c>
      <c r="G243" s="2">
        <v>0</v>
      </c>
      <c r="H243" s="2"/>
      <c r="I243" s="2">
        <f t="shared" si="31"/>
        <v>0</v>
      </c>
      <c r="J243" s="2">
        <v>192.18</v>
      </c>
      <c r="K243" s="2"/>
      <c r="L243" s="2">
        <f t="shared" si="32"/>
        <v>-192.18</v>
      </c>
      <c r="M243" s="2">
        <v>60.62</v>
      </c>
      <c r="N243" s="2"/>
      <c r="O243" s="2">
        <f t="shared" si="33"/>
        <v>-60.62</v>
      </c>
      <c r="P243" s="2"/>
      <c r="Q243" s="2"/>
      <c r="R243" s="2">
        <f t="shared" si="34"/>
        <v>0</v>
      </c>
      <c r="S243" s="2"/>
      <c r="T243" s="2"/>
      <c r="U243" s="2">
        <f t="shared" si="35"/>
        <v>0</v>
      </c>
      <c r="V243" s="2">
        <v>172.45</v>
      </c>
      <c r="W243" s="2"/>
      <c r="X243" s="2">
        <f t="shared" si="36"/>
        <v>-172.45</v>
      </c>
      <c r="Y243" s="2"/>
      <c r="Z243" s="2"/>
      <c r="AA243" s="2">
        <f t="shared" si="37"/>
        <v>0</v>
      </c>
      <c r="AB243" s="2"/>
      <c r="AC243" s="2"/>
      <c r="AD243" s="2">
        <f t="shared" si="38"/>
        <v>0</v>
      </c>
      <c r="AE243" s="2">
        <v>172.45</v>
      </c>
      <c r="AF243" s="2"/>
      <c r="AG243" s="2">
        <f t="shared" si="39"/>
        <v>-172.45</v>
      </c>
    </row>
    <row r="244" spans="1:33" x14ac:dyDescent="0.3">
      <c r="B244" s="3"/>
      <c r="C244" t="str">
        <f xml:space="preserve"> _xll.EPMOlapMemberO("[CLACO].[PARENTH1].[AMSAADM_PERSON]","","Administración Perso","","000")</f>
        <v>Administración Perso</v>
      </c>
      <c r="D244" s="2"/>
      <c r="E244" s="2"/>
      <c r="F244" s="2">
        <f t="shared" si="30"/>
        <v>0</v>
      </c>
      <c r="G244" s="2">
        <v>1982.89</v>
      </c>
      <c r="H244" s="2"/>
      <c r="I244" s="2">
        <f t="shared" si="31"/>
        <v>-1982.89</v>
      </c>
      <c r="J244" s="2">
        <v>45.13</v>
      </c>
      <c r="K244" s="2"/>
      <c r="L244" s="2">
        <f t="shared" si="32"/>
        <v>-45.13</v>
      </c>
      <c r="M244" s="2">
        <v>-229.69</v>
      </c>
      <c r="N244" s="2"/>
      <c r="O244" s="2">
        <f t="shared" si="33"/>
        <v>229.69</v>
      </c>
      <c r="P244" s="2"/>
      <c r="Q244" s="2"/>
      <c r="R244" s="2">
        <f t="shared" si="34"/>
        <v>0</v>
      </c>
      <c r="S244" s="2">
        <v>215.81</v>
      </c>
      <c r="T244" s="2"/>
      <c r="U244" s="2">
        <f t="shared" si="35"/>
        <v>-215.81</v>
      </c>
      <c r="V244" s="2">
        <v>0</v>
      </c>
      <c r="W244" s="2"/>
      <c r="X244" s="2">
        <f t="shared" si="36"/>
        <v>0</v>
      </c>
      <c r="Y244" s="2"/>
      <c r="Z244" s="2"/>
      <c r="AA244" s="2">
        <f t="shared" si="37"/>
        <v>0</v>
      </c>
      <c r="AB244" s="2"/>
      <c r="AC244" s="2"/>
      <c r="AD244" s="2">
        <f t="shared" si="38"/>
        <v>0</v>
      </c>
      <c r="AE244" s="2">
        <v>215.81</v>
      </c>
      <c r="AF244" s="2"/>
      <c r="AG244" s="2">
        <f t="shared" si="39"/>
        <v>-215.81</v>
      </c>
    </row>
    <row r="245" spans="1:33" x14ac:dyDescent="0.3">
      <c r="B245" s="3"/>
      <c r="C245" t="str">
        <f xml:space="preserve"> _xll.EPMOlapMemberO("[CLACO].[PARENTH1].[AMSAENTRENAMI]","","Entrenamiento","","000")</f>
        <v>Entrenamiento</v>
      </c>
      <c r="D245" s="2">
        <v>603.87</v>
      </c>
      <c r="E245" s="2">
        <v>12343.39</v>
      </c>
      <c r="F245" s="2">
        <f t="shared" si="30"/>
        <v>11739.519999999999</v>
      </c>
      <c r="G245" s="2">
        <v>20326.18</v>
      </c>
      <c r="H245" s="2">
        <v>26111.35</v>
      </c>
      <c r="I245" s="2">
        <f t="shared" si="31"/>
        <v>5785.1699999999983</v>
      </c>
      <c r="J245" s="2">
        <v>4281.62</v>
      </c>
      <c r="K245" s="2">
        <v>4050</v>
      </c>
      <c r="L245" s="2">
        <f t="shared" si="32"/>
        <v>-231.61999999999989</v>
      </c>
      <c r="M245" s="2">
        <v>4830.4399999999996</v>
      </c>
      <c r="N245" s="2">
        <v>12449.86</v>
      </c>
      <c r="O245" s="2">
        <f t="shared" si="33"/>
        <v>7619.420000000001</v>
      </c>
      <c r="P245" s="2">
        <v>-2507.62</v>
      </c>
      <c r="Q245" s="2">
        <v>5596.76</v>
      </c>
      <c r="R245" s="2">
        <f t="shared" si="34"/>
        <v>8104.38</v>
      </c>
      <c r="S245" s="2">
        <v>66.099999999999994</v>
      </c>
      <c r="T245" s="2"/>
      <c r="U245" s="2">
        <f t="shared" si="35"/>
        <v>-66.099999999999994</v>
      </c>
      <c r="V245" s="2">
        <v>-145.55000000000001</v>
      </c>
      <c r="W245" s="2"/>
      <c r="X245" s="2">
        <f t="shared" si="36"/>
        <v>145.55000000000001</v>
      </c>
      <c r="Y245" s="2">
        <v>-4.95</v>
      </c>
      <c r="Z245" s="2"/>
      <c r="AA245" s="2">
        <f t="shared" si="37"/>
        <v>4.95</v>
      </c>
      <c r="AB245" s="2">
        <v>150.62</v>
      </c>
      <c r="AC245" s="2"/>
      <c r="AD245" s="2">
        <f t="shared" si="38"/>
        <v>-150.62</v>
      </c>
      <c r="AE245" s="2">
        <v>-2441.4</v>
      </c>
      <c r="AF245" s="2">
        <v>12394.87</v>
      </c>
      <c r="AG245" s="2">
        <f t="shared" si="39"/>
        <v>14836.27</v>
      </c>
    </row>
    <row r="246" spans="1:33" x14ac:dyDescent="0.3">
      <c r="B246" s="3"/>
      <c r="C246" t="str">
        <f xml:space="preserve"> _xll.EPMOlapMemberO("[CLACO].[PARENTH1].[AMSAASESORIAS]","","Asesorías y Consulto","","000")</f>
        <v>Asesorías y Consulto</v>
      </c>
      <c r="D246" s="2">
        <v>154546.15</v>
      </c>
      <c r="E246" s="2">
        <v>144338.76999999999</v>
      </c>
      <c r="F246" s="2">
        <f t="shared" si="30"/>
        <v>-10207.380000000005</v>
      </c>
      <c r="G246" s="2">
        <v>225156.6</v>
      </c>
      <c r="H246" s="2">
        <v>192956.41</v>
      </c>
      <c r="I246" s="2">
        <f t="shared" si="31"/>
        <v>-32200.190000000002</v>
      </c>
      <c r="J246" s="2">
        <v>142104.99</v>
      </c>
      <c r="K246" s="2">
        <v>217777.56</v>
      </c>
      <c r="L246" s="2">
        <f t="shared" si="32"/>
        <v>75672.570000000007</v>
      </c>
      <c r="M246" s="2">
        <v>187212.05</v>
      </c>
      <c r="N246" s="2">
        <v>214049.82</v>
      </c>
      <c r="O246" s="2">
        <f t="shared" si="33"/>
        <v>26837.770000000019</v>
      </c>
      <c r="P246" s="2">
        <v>26418.26</v>
      </c>
      <c r="Q246" s="2"/>
      <c r="R246" s="2">
        <f t="shared" si="34"/>
        <v>-26418.26</v>
      </c>
      <c r="S246" s="2">
        <v>8.4600000000000009</v>
      </c>
      <c r="T246" s="2"/>
      <c r="U246" s="2">
        <f t="shared" si="35"/>
        <v>-8.4600000000000009</v>
      </c>
      <c r="V246" s="2">
        <v>-1016.97</v>
      </c>
      <c r="W246" s="2">
        <v>320.87</v>
      </c>
      <c r="X246" s="2">
        <f t="shared" si="36"/>
        <v>1337.8400000000001</v>
      </c>
      <c r="Y246" s="2">
        <v>-52.55</v>
      </c>
      <c r="Z246" s="2"/>
      <c r="AA246" s="2">
        <f t="shared" si="37"/>
        <v>52.55</v>
      </c>
      <c r="AB246" s="2">
        <v>1521.46</v>
      </c>
      <c r="AC246" s="2"/>
      <c r="AD246" s="2">
        <f t="shared" si="38"/>
        <v>-1521.46</v>
      </c>
      <c r="AE246" s="2">
        <v>-23121.34</v>
      </c>
      <c r="AF246" s="2">
        <v>227222.67</v>
      </c>
      <c r="AG246" s="2">
        <f t="shared" si="39"/>
        <v>250344.01</v>
      </c>
    </row>
    <row r="247" spans="1:33" x14ac:dyDescent="0.3">
      <c r="B247" s="3"/>
      <c r="C247" t="str">
        <f xml:space="preserve"> _xll.EPMOlapMemberO("[CLACO].[PARENTH1].[AMSASERVICIOS]","","Servicios","","000")</f>
        <v>Servicios</v>
      </c>
      <c r="D247" s="2">
        <v>59195.6</v>
      </c>
      <c r="E247" s="2">
        <v>55024.36</v>
      </c>
      <c r="F247" s="2">
        <f t="shared" si="30"/>
        <v>-4171.239999999998</v>
      </c>
      <c r="G247" s="2">
        <v>45282.95</v>
      </c>
      <c r="H247" s="2">
        <v>49585.83</v>
      </c>
      <c r="I247" s="2">
        <f t="shared" si="31"/>
        <v>4302.8800000000047</v>
      </c>
      <c r="J247" s="2">
        <v>7011.48</v>
      </c>
      <c r="K247" s="2">
        <v>16461.73</v>
      </c>
      <c r="L247" s="2">
        <f t="shared" si="32"/>
        <v>9450.25</v>
      </c>
      <c r="M247" s="2">
        <v>37156.879999999997</v>
      </c>
      <c r="N247" s="2">
        <v>16323.05</v>
      </c>
      <c r="O247" s="2">
        <f t="shared" si="33"/>
        <v>-20833.829999999998</v>
      </c>
      <c r="P247" s="2">
        <v>4719.51</v>
      </c>
      <c r="Q247" s="2">
        <v>5734.72</v>
      </c>
      <c r="R247" s="2">
        <f t="shared" si="34"/>
        <v>1015.21</v>
      </c>
      <c r="S247" s="2">
        <v>-4215.76</v>
      </c>
      <c r="T247" s="2">
        <v>1249.24</v>
      </c>
      <c r="U247" s="2">
        <f t="shared" si="35"/>
        <v>5465</v>
      </c>
      <c r="V247" s="2">
        <v>7653.05</v>
      </c>
      <c r="W247" s="2">
        <v>2304.25</v>
      </c>
      <c r="X247" s="2">
        <f t="shared" si="36"/>
        <v>-5348.8</v>
      </c>
      <c r="Y247" s="2">
        <v>-245.05</v>
      </c>
      <c r="Z247" s="2">
        <v>2297.8000000000002</v>
      </c>
      <c r="AA247" s="2">
        <f t="shared" si="37"/>
        <v>2542.8500000000004</v>
      </c>
      <c r="AB247" s="2">
        <v>8956.7199999999993</v>
      </c>
      <c r="AC247" s="2">
        <v>2291.52</v>
      </c>
      <c r="AD247" s="2">
        <f t="shared" si="38"/>
        <v>-6665.1999999999989</v>
      </c>
      <c r="AE247" s="2">
        <v>13796.78</v>
      </c>
      <c r="AF247" s="2">
        <v>17076.5</v>
      </c>
      <c r="AG247" s="2">
        <f t="shared" si="39"/>
        <v>3279.7199999999993</v>
      </c>
    </row>
    <row r="248" spans="1:33" x14ac:dyDescent="0.3">
      <c r="B248" s="3"/>
      <c r="C248" t="str">
        <f xml:space="preserve"> _xll.EPMOlapMemberO("[CLACO].[PARENTH1].[AMSASERMANTO.REPA]","","Servicios Mantenimie","","000")</f>
        <v>Servicios Mantenimie</v>
      </c>
      <c r="D248" s="2"/>
      <c r="E248" s="2"/>
      <c r="F248" s="2">
        <f t="shared" si="30"/>
        <v>0</v>
      </c>
      <c r="G248" s="2">
        <v>1398.83</v>
      </c>
      <c r="H248" s="2"/>
      <c r="I248" s="2">
        <f t="shared" si="31"/>
        <v>-1398.83</v>
      </c>
      <c r="J248" s="2"/>
      <c r="K248" s="2"/>
      <c r="L248" s="2">
        <f t="shared" si="32"/>
        <v>0</v>
      </c>
      <c r="M248" s="2">
        <v>2150.77</v>
      </c>
      <c r="N248" s="2"/>
      <c r="O248" s="2">
        <f t="shared" si="33"/>
        <v>-2150.77</v>
      </c>
      <c r="P248" s="2"/>
      <c r="Q248" s="2"/>
      <c r="R248" s="2">
        <f t="shared" si="34"/>
        <v>0</v>
      </c>
      <c r="S248" s="2"/>
      <c r="T248" s="2"/>
      <c r="U248" s="2">
        <f t="shared" si="35"/>
        <v>0</v>
      </c>
      <c r="V248" s="2"/>
      <c r="W248" s="2"/>
      <c r="X248" s="2">
        <f t="shared" si="36"/>
        <v>0</v>
      </c>
      <c r="Y248" s="2"/>
      <c r="Z248" s="2"/>
      <c r="AA248" s="2">
        <f t="shared" si="37"/>
        <v>0</v>
      </c>
      <c r="AB248" s="2"/>
      <c r="AC248" s="2"/>
      <c r="AD248" s="2">
        <f t="shared" si="38"/>
        <v>0</v>
      </c>
      <c r="AE248" s="2"/>
      <c r="AF248" s="2"/>
      <c r="AG248" s="2">
        <f t="shared" si="39"/>
        <v>0</v>
      </c>
    </row>
    <row r="249" spans="1:33" x14ac:dyDescent="0.3">
      <c r="B249" s="3"/>
      <c r="C249" t="str">
        <f xml:space="preserve"> _xll.EPMOlapMemberO("[CLACO].[PARENTH1].[AMSAINFORMATIC]","","Informática y Comuni","","000")</f>
        <v>Informática y Comuni</v>
      </c>
      <c r="D249" s="2">
        <v>73657.98</v>
      </c>
      <c r="E249" s="2">
        <v>81717.570000000007</v>
      </c>
      <c r="F249" s="2">
        <f t="shared" si="30"/>
        <v>8059.5900000000111</v>
      </c>
      <c r="G249" s="2">
        <v>13532.11</v>
      </c>
      <c r="H249" s="2">
        <v>90298.43</v>
      </c>
      <c r="I249" s="2">
        <f t="shared" si="31"/>
        <v>76766.319999999992</v>
      </c>
      <c r="J249" s="2">
        <v>70059.12</v>
      </c>
      <c r="K249" s="2">
        <v>81027.06</v>
      </c>
      <c r="L249" s="2">
        <f t="shared" si="32"/>
        <v>10967.940000000002</v>
      </c>
      <c r="M249" s="2">
        <v>127996.9</v>
      </c>
      <c r="N249" s="2">
        <v>94475</v>
      </c>
      <c r="O249" s="2">
        <f t="shared" si="33"/>
        <v>-33521.899999999994</v>
      </c>
      <c r="P249" s="2">
        <v>16488.77</v>
      </c>
      <c r="Q249" s="2">
        <v>13684.79</v>
      </c>
      <c r="R249" s="2">
        <f t="shared" si="34"/>
        <v>-2803.9799999999996</v>
      </c>
      <c r="S249" s="2">
        <v>16974.64</v>
      </c>
      <c r="T249" s="2">
        <v>6315.37</v>
      </c>
      <c r="U249" s="2">
        <f t="shared" si="35"/>
        <v>-10659.27</v>
      </c>
      <c r="V249" s="2">
        <v>3623.79</v>
      </c>
      <c r="W249" s="2">
        <v>6431.96</v>
      </c>
      <c r="X249" s="2">
        <f t="shared" si="36"/>
        <v>2808.17</v>
      </c>
      <c r="Y249" s="2">
        <v>16400.419999999998</v>
      </c>
      <c r="Z249" s="2">
        <v>3502.78</v>
      </c>
      <c r="AA249" s="2">
        <f t="shared" si="37"/>
        <v>-12897.639999999998</v>
      </c>
      <c r="AB249" s="2">
        <v>218.2</v>
      </c>
      <c r="AC249" s="2">
        <v>4333.7299999999996</v>
      </c>
      <c r="AD249" s="2">
        <f t="shared" si="38"/>
        <v>4115.53</v>
      </c>
      <c r="AE249" s="2">
        <v>53801.48</v>
      </c>
      <c r="AF249" s="2">
        <v>94105.4</v>
      </c>
      <c r="AG249" s="2">
        <f t="shared" si="39"/>
        <v>40303.919999999991</v>
      </c>
    </row>
    <row r="250" spans="1:33" x14ac:dyDescent="0.3">
      <c r="B250" s="3"/>
      <c r="C250" t="str">
        <f xml:space="preserve"> _xll.EPMOlapMemberO("[CLACO].[PARENTH1].[AMSAG_VIAJES]","","Gastos de Viajes","","000")</f>
        <v>Gastos de Viajes</v>
      </c>
      <c r="D250" s="2">
        <v>23522.84</v>
      </c>
      <c r="E250" s="2">
        <v>17409.86</v>
      </c>
      <c r="F250" s="2">
        <f t="shared" si="30"/>
        <v>-6112.98</v>
      </c>
      <c r="G250" s="2">
        <v>16140.5</v>
      </c>
      <c r="H250" s="2">
        <v>20627.939999999999</v>
      </c>
      <c r="I250" s="2">
        <f t="shared" si="31"/>
        <v>4487.4399999999987</v>
      </c>
      <c r="J250" s="2">
        <v>8625.02</v>
      </c>
      <c r="K250" s="2">
        <v>15049.03</v>
      </c>
      <c r="L250" s="2">
        <f t="shared" si="32"/>
        <v>6424.01</v>
      </c>
      <c r="M250" s="2">
        <v>9619.67</v>
      </c>
      <c r="N250" s="2">
        <v>13789.76</v>
      </c>
      <c r="O250" s="2">
        <f t="shared" si="33"/>
        <v>4170.09</v>
      </c>
      <c r="P250" s="2">
        <v>841.72</v>
      </c>
      <c r="Q250" s="2">
        <v>806.74</v>
      </c>
      <c r="R250" s="2">
        <f t="shared" si="34"/>
        <v>-34.980000000000018</v>
      </c>
      <c r="S250" s="2">
        <v>0</v>
      </c>
      <c r="T250" s="2"/>
      <c r="U250" s="2">
        <f t="shared" si="35"/>
        <v>0</v>
      </c>
      <c r="V250" s="2">
        <v>1124.98</v>
      </c>
      <c r="W250" s="2">
        <v>859.92</v>
      </c>
      <c r="X250" s="2">
        <f t="shared" si="36"/>
        <v>-265.06000000000006</v>
      </c>
      <c r="Y250" s="2">
        <v>36.79</v>
      </c>
      <c r="Z250" s="2"/>
      <c r="AA250" s="2">
        <f t="shared" si="37"/>
        <v>-36.79</v>
      </c>
      <c r="AB250" s="2">
        <v>301</v>
      </c>
      <c r="AC250" s="2"/>
      <c r="AD250" s="2">
        <f t="shared" si="38"/>
        <v>-301</v>
      </c>
      <c r="AE250" s="2">
        <v>2389.4899999999998</v>
      </c>
      <c r="AF250" s="2">
        <v>7626.95</v>
      </c>
      <c r="AG250" s="2">
        <f t="shared" si="39"/>
        <v>5237.46</v>
      </c>
    </row>
    <row r="251" spans="1:33" x14ac:dyDescent="0.3">
      <c r="B251" s="3"/>
      <c r="C251" t="str">
        <f xml:space="preserve"> _xll.EPMOlapMemberO("[CLACO].[PARENTH1].[AMSAGGENERALES.2]","","Otros Gastos","","000")</f>
        <v>Otros Gastos</v>
      </c>
      <c r="D251" s="2">
        <v>15935.64</v>
      </c>
      <c r="E251" s="2">
        <v>21281.83</v>
      </c>
      <c r="F251" s="2">
        <f t="shared" si="30"/>
        <v>5346.1900000000023</v>
      </c>
      <c r="G251" s="2">
        <v>19167.189999999999</v>
      </c>
      <c r="H251" s="2">
        <v>15490.79</v>
      </c>
      <c r="I251" s="2">
        <f t="shared" si="31"/>
        <v>-3676.3999999999978</v>
      </c>
      <c r="J251" s="2">
        <v>13075.7</v>
      </c>
      <c r="K251" s="2">
        <v>24006.07</v>
      </c>
      <c r="L251" s="2">
        <f t="shared" si="32"/>
        <v>10930.369999999999</v>
      </c>
      <c r="M251" s="2">
        <v>13980.85</v>
      </c>
      <c r="N251" s="2">
        <v>24031</v>
      </c>
      <c r="O251" s="2">
        <f t="shared" si="33"/>
        <v>10050.15</v>
      </c>
      <c r="P251" s="2">
        <v>695.81</v>
      </c>
      <c r="Q251" s="2">
        <v>1864.6</v>
      </c>
      <c r="R251" s="2">
        <f t="shared" si="34"/>
        <v>1168.79</v>
      </c>
      <c r="S251" s="2">
        <v>669.93</v>
      </c>
      <c r="T251" s="2">
        <v>2182.63</v>
      </c>
      <c r="U251" s="2">
        <f t="shared" si="35"/>
        <v>1512.7000000000003</v>
      </c>
      <c r="V251" s="2">
        <v>3105.91</v>
      </c>
      <c r="W251" s="2">
        <v>4067.64</v>
      </c>
      <c r="X251" s="2">
        <f t="shared" si="36"/>
        <v>961.73</v>
      </c>
      <c r="Y251" s="2">
        <v>216.2</v>
      </c>
      <c r="Z251" s="2">
        <v>1022.89</v>
      </c>
      <c r="AA251" s="2">
        <f t="shared" si="37"/>
        <v>806.69</v>
      </c>
      <c r="AB251" s="2">
        <v>124.75</v>
      </c>
      <c r="AC251" s="2">
        <v>1020.09</v>
      </c>
      <c r="AD251" s="2">
        <f t="shared" si="38"/>
        <v>895.34</v>
      </c>
      <c r="AE251" s="2">
        <v>10869.19</v>
      </c>
      <c r="AF251" s="2">
        <v>24720.97</v>
      </c>
      <c r="AG251" s="2">
        <f t="shared" si="39"/>
        <v>13851.78</v>
      </c>
    </row>
    <row r="252" spans="1:33" x14ac:dyDescent="0.3">
      <c r="B252" s="3"/>
      <c r="C252" t="str">
        <f xml:space="preserve"> _xll.EPMOlapMemberO("[CLACO].[PARENTH1].[AMSASERV_CORP]","","Servicios Corporativ","","000")</f>
        <v>Servicios Corporativ</v>
      </c>
      <c r="D252" s="2">
        <v>26521.09</v>
      </c>
      <c r="E252" s="2">
        <v>28838.49</v>
      </c>
      <c r="F252" s="2">
        <f t="shared" si="30"/>
        <v>2317.4000000000015</v>
      </c>
      <c r="G252" s="2">
        <v>28725.84</v>
      </c>
      <c r="H252" s="2">
        <v>26249.14</v>
      </c>
      <c r="I252" s="2">
        <f t="shared" si="31"/>
        <v>-2476.7000000000007</v>
      </c>
      <c r="J252" s="2">
        <v>28029.47</v>
      </c>
      <c r="K252" s="2">
        <v>29937.72</v>
      </c>
      <c r="L252" s="2">
        <f t="shared" si="32"/>
        <v>1908.25</v>
      </c>
      <c r="M252" s="2">
        <v>26775.41</v>
      </c>
      <c r="N252" s="2">
        <v>29579.08</v>
      </c>
      <c r="O252" s="2">
        <f t="shared" si="33"/>
        <v>2803.6700000000019</v>
      </c>
      <c r="P252" s="2">
        <v>3235.62</v>
      </c>
      <c r="Q252" s="2">
        <v>2509.91</v>
      </c>
      <c r="R252" s="2">
        <f t="shared" si="34"/>
        <v>-725.71</v>
      </c>
      <c r="S252" s="2">
        <v>-1194.45</v>
      </c>
      <c r="T252" s="2">
        <v>2502.9</v>
      </c>
      <c r="U252" s="2">
        <f t="shared" si="35"/>
        <v>3697.3500000000004</v>
      </c>
      <c r="V252" s="2">
        <v>6403.49</v>
      </c>
      <c r="W252" s="2">
        <v>2495.89</v>
      </c>
      <c r="X252" s="2">
        <f t="shared" si="36"/>
        <v>-3907.6</v>
      </c>
      <c r="Y252" s="2">
        <v>1984.77</v>
      </c>
      <c r="Z252" s="2">
        <v>2488.88</v>
      </c>
      <c r="AA252" s="2">
        <f t="shared" si="37"/>
        <v>504.11000000000013</v>
      </c>
      <c r="AB252" s="2">
        <v>2945.25</v>
      </c>
      <c r="AC252" s="2">
        <v>2482.09</v>
      </c>
      <c r="AD252" s="2">
        <f t="shared" si="38"/>
        <v>-463.15999999999985</v>
      </c>
      <c r="AE252" s="2">
        <v>9492.07</v>
      </c>
      <c r="AF252" s="2">
        <v>30245.84</v>
      </c>
      <c r="AG252" s="2">
        <f t="shared" si="39"/>
        <v>20753.77</v>
      </c>
    </row>
    <row r="253" spans="1:33" x14ac:dyDescent="0.3">
      <c r="A253" t="s">
        <v>28</v>
      </c>
      <c r="B253" s="3" t="str">
        <f xml:space="preserve"> _xll.EPMOlapMemberO("[CECO].[PARENTH3].[AMSA1000AC3504]","","Gcia Planificación","","000")</f>
        <v>Gcia Planificación</v>
      </c>
      <c r="C253" t="str">
        <f xml:space="preserve"> _xll.EPMOlapMemberO("[CLACO].[PARENTH1].[AMSAREMUNERACI.SS]","","Remuneraciones Super","","000")</f>
        <v>Remuneraciones Super</v>
      </c>
      <c r="D253" s="2">
        <v>1371539.97</v>
      </c>
      <c r="E253" s="2">
        <v>1333853.21</v>
      </c>
      <c r="F253" s="2">
        <f t="shared" si="30"/>
        <v>-37686.760000000009</v>
      </c>
      <c r="G253" s="2">
        <v>1630941</v>
      </c>
      <c r="H253" s="2">
        <v>1472068.36</v>
      </c>
      <c r="I253" s="2">
        <f t="shared" si="31"/>
        <v>-158872.6399999999</v>
      </c>
      <c r="J253" s="2">
        <v>1466403.49</v>
      </c>
      <c r="K253" s="2">
        <v>1755773.88</v>
      </c>
      <c r="L253" s="2">
        <f t="shared" si="32"/>
        <v>289370.3899999999</v>
      </c>
      <c r="M253" s="2">
        <v>1614233.12</v>
      </c>
      <c r="N253" s="2">
        <v>1672012.7</v>
      </c>
      <c r="O253" s="2">
        <f t="shared" si="33"/>
        <v>57779.579999999842</v>
      </c>
      <c r="P253" s="2">
        <v>142621.15</v>
      </c>
      <c r="Q253" s="2">
        <v>138906.95000000001</v>
      </c>
      <c r="R253" s="2">
        <f t="shared" si="34"/>
        <v>-3714.1999999999825</v>
      </c>
      <c r="S253" s="2">
        <v>159615.26</v>
      </c>
      <c r="T253" s="2">
        <v>161747.14000000001</v>
      </c>
      <c r="U253" s="2">
        <f t="shared" si="35"/>
        <v>2131.8800000000047</v>
      </c>
      <c r="V253" s="2">
        <v>124323.14</v>
      </c>
      <c r="W253" s="2">
        <v>139082.14000000001</v>
      </c>
      <c r="X253" s="2">
        <f t="shared" si="36"/>
        <v>14759.000000000015</v>
      </c>
      <c r="Y253" s="2">
        <v>143556.9</v>
      </c>
      <c r="Z253" s="2">
        <v>159995.41</v>
      </c>
      <c r="AA253" s="2">
        <f t="shared" si="37"/>
        <v>16438.510000000009</v>
      </c>
      <c r="AB253" s="2">
        <v>110100.95</v>
      </c>
      <c r="AC253" s="2">
        <v>137699.68</v>
      </c>
      <c r="AD253" s="2">
        <f t="shared" si="38"/>
        <v>27598.729999999996</v>
      </c>
      <c r="AE253" s="2">
        <v>710105.57</v>
      </c>
      <c r="AF253" s="2">
        <v>1752928.13</v>
      </c>
      <c r="AG253" s="2">
        <f t="shared" si="39"/>
        <v>1042822.5599999999</v>
      </c>
    </row>
    <row r="254" spans="1:33" x14ac:dyDescent="0.3">
      <c r="B254" s="3"/>
      <c r="C254" t="str">
        <f xml:space="preserve"> _xll.EPMOlapMemberO("[CLACO].[PARENTH1].[AMSAMAT_Y_REP.2]","","Materiales y repuest","","000")</f>
        <v>Materiales y repuest</v>
      </c>
      <c r="D254" s="2"/>
      <c r="E254" s="2"/>
      <c r="F254" s="2">
        <f t="shared" si="30"/>
        <v>0</v>
      </c>
      <c r="G254" s="2">
        <v>0</v>
      </c>
      <c r="H254" s="2"/>
      <c r="I254" s="2">
        <f t="shared" si="31"/>
        <v>0</v>
      </c>
      <c r="J254" s="2"/>
      <c r="K254" s="2"/>
      <c r="L254" s="2">
        <f t="shared" si="32"/>
        <v>0</v>
      </c>
      <c r="M254" s="2"/>
      <c r="N254" s="2"/>
      <c r="O254" s="2">
        <f t="shared" si="33"/>
        <v>0</v>
      </c>
      <c r="P254" s="2"/>
      <c r="Q254" s="2"/>
      <c r="R254" s="2">
        <f t="shared" si="34"/>
        <v>0</v>
      </c>
      <c r="S254" s="2"/>
      <c r="T254" s="2"/>
      <c r="U254" s="2">
        <f t="shared" si="35"/>
        <v>0</v>
      </c>
      <c r="V254" s="2"/>
      <c r="W254" s="2"/>
      <c r="X254" s="2">
        <f t="shared" si="36"/>
        <v>0</v>
      </c>
      <c r="Y254" s="2"/>
      <c r="Z254" s="2"/>
      <c r="AA254" s="2">
        <f t="shared" si="37"/>
        <v>0</v>
      </c>
      <c r="AB254" s="2"/>
      <c r="AC254" s="2"/>
      <c r="AD254" s="2">
        <f t="shared" si="38"/>
        <v>0</v>
      </c>
      <c r="AE254" s="2"/>
      <c r="AF254" s="2"/>
      <c r="AG254" s="2">
        <f t="shared" si="39"/>
        <v>0</v>
      </c>
    </row>
    <row r="255" spans="1:33" x14ac:dyDescent="0.3">
      <c r="B255" s="3"/>
      <c r="C255" t="str">
        <f xml:space="preserve"> _xll.EPMOlapMemberO("[CLACO].[PARENTH1].[AMSAADM_PERSON]","","Administración Perso","","000")</f>
        <v>Administración Perso</v>
      </c>
      <c r="D255" s="2">
        <v>263.45</v>
      </c>
      <c r="E255" s="2"/>
      <c r="F255" s="2">
        <f t="shared" si="30"/>
        <v>-263.45</v>
      </c>
      <c r="G255" s="2">
        <v>291.33</v>
      </c>
      <c r="H255" s="2"/>
      <c r="I255" s="2">
        <f t="shared" si="31"/>
        <v>-291.33</v>
      </c>
      <c r="J255" s="2"/>
      <c r="K255" s="2"/>
      <c r="L255" s="2">
        <f t="shared" si="32"/>
        <v>0</v>
      </c>
      <c r="M255" s="2"/>
      <c r="N255" s="2"/>
      <c r="O255" s="2">
        <f t="shared" si="33"/>
        <v>0</v>
      </c>
      <c r="P255" s="2"/>
      <c r="Q255" s="2"/>
      <c r="R255" s="2">
        <f t="shared" si="34"/>
        <v>0</v>
      </c>
      <c r="S255" s="2"/>
      <c r="T255" s="2"/>
      <c r="U255" s="2">
        <f t="shared" si="35"/>
        <v>0</v>
      </c>
      <c r="V255" s="2"/>
      <c r="W255" s="2"/>
      <c r="X255" s="2">
        <f t="shared" si="36"/>
        <v>0</v>
      </c>
      <c r="Y255" s="2"/>
      <c r="Z255" s="2"/>
      <c r="AA255" s="2">
        <f t="shared" si="37"/>
        <v>0</v>
      </c>
      <c r="AB255" s="2"/>
      <c r="AC255" s="2"/>
      <c r="AD255" s="2">
        <f t="shared" si="38"/>
        <v>0</v>
      </c>
      <c r="AE255" s="2"/>
      <c r="AF255" s="2"/>
      <c r="AG255" s="2">
        <f t="shared" si="39"/>
        <v>0</v>
      </c>
    </row>
    <row r="256" spans="1:33" x14ac:dyDescent="0.3">
      <c r="B256" s="3"/>
      <c r="C256" t="str">
        <f xml:space="preserve"> _xll.EPMOlapMemberO("[CLACO].[PARENTH1].[AMSAENTRENAMI]","","Entrenamiento","","000")</f>
        <v>Entrenamiento</v>
      </c>
      <c r="D256" s="2"/>
      <c r="E256" s="2">
        <v>8965.65</v>
      </c>
      <c r="F256" s="2">
        <f t="shared" si="30"/>
        <v>8965.65</v>
      </c>
      <c r="G256" s="2"/>
      <c r="H256" s="2">
        <v>17938.25</v>
      </c>
      <c r="I256" s="2">
        <f t="shared" si="31"/>
        <v>17938.25</v>
      </c>
      <c r="J256" s="2">
        <v>18.93</v>
      </c>
      <c r="K256" s="2">
        <v>5611.76</v>
      </c>
      <c r="L256" s="2">
        <f t="shared" si="32"/>
        <v>5592.83</v>
      </c>
      <c r="M256" s="2">
        <v>1094.0999999999999</v>
      </c>
      <c r="N256" s="2">
        <v>1511.5</v>
      </c>
      <c r="O256" s="2">
        <f t="shared" si="33"/>
        <v>417.40000000000009</v>
      </c>
      <c r="P256" s="2"/>
      <c r="Q256" s="2"/>
      <c r="R256" s="2">
        <f t="shared" si="34"/>
        <v>0</v>
      </c>
      <c r="S256" s="2"/>
      <c r="T256" s="2"/>
      <c r="U256" s="2">
        <f t="shared" si="35"/>
        <v>0</v>
      </c>
      <c r="V256" s="2"/>
      <c r="W256" s="2"/>
      <c r="X256" s="2">
        <f t="shared" si="36"/>
        <v>0</v>
      </c>
      <c r="Y256" s="2"/>
      <c r="Z256" s="2"/>
      <c r="AA256" s="2">
        <f t="shared" si="37"/>
        <v>0</v>
      </c>
      <c r="AB256" s="2"/>
      <c r="AC256" s="2"/>
      <c r="AD256" s="2">
        <f t="shared" si="38"/>
        <v>0</v>
      </c>
      <c r="AE256" s="2"/>
      <c r="AF256" s="2">
        <v>1491.07</v>
      </c>
      <c r="AG256" s="2">
        <f t="shared" si="39"/>
        <v>1491.07</v>
      </c>
    </row>
    <row r="257" spans="1:33" x14ac:dyDescent="0.3">
      <c r="B257" s="3"/>
      <c r="C257" t="str">
        <f xml:space="preserve"> _xll.EPMOlapMemberO("[CLACO].[PARENTH1].[AMSAASESORIAS]","","Asesorías y Consulto","","000")</f>
        <v>Asesorías y Consulto</v>
      </c>
      <c r="D257" s="2">
        <v>1496.98</v>
      </c>
      <c r="E257" s="2">
        <v>10223.68</v>
      </c>
      <c r="F257" s="2">
        <f t="shared" si="30"/>
        <v>8726.7000000000007</v>
      </c>
      <c r="G257" s="2">
        <v>10090</v>
      </c>
      <c r="H257" s="2">
        <v>11919.44</v>
      </c>
      <c r="I257" s="2">
        <f t="shared" si="31"/>
        <v>1829.4400000000005</v>
      </c>
      <c r="J257" s="2">
        <v>924.13</v>
      </c>
      <c r="K257" s="2"/>
      <c r="L257" s="2">
        <f t="shared" si="32"/>
        <v>-924.13</v>
      </c>
      <c r="M257" s="2">
        <v>-19552.650000000001</v>
      </c>
      <c r="N257" s="2"/>
      <c r="O257" s="2">
        <f t="shared" si="33"/>
        <v>19552.650000000001</v>
      </c>
      <c r="P257" s="2">
        <v>4391.4399999999996</v>
      </c>
      <c r="Q257" s="2"/>
      <c r="R257" s="2">
        <f t="shared" si="34"/>
        <v>-4391.4399999999996</v>
      </c>
      <c r="S257" s="2"/>
      <c r="T257" s="2"/>
      <c r="U257" s="2">
        <f t="shared" si="35"/>
        <v>0</v>
      </c>
      <c r="V257" s="2"/>
      <c r="W257" s="2"/>
      <c r="X257" s="2">
        <f t="shared" si="36"/>
        <v>0</v>
      </c>
      <c r="Y257" s="2"/>
      <c r="Z257" s="2"/>
      <c r="AA257" s="2">
        <f t="shared" si="37"/>
        <v>0</v>
      </c>
      <c r="AB257" s="2"/>
      <c r="AC257" s="2"/>
      <c r="AD257" s="2">
        <f t="shared" si="38"/>
        <v>0</v>
      </c>
      <c r="AE257" s="2">
        <v>4425.78</v>
      </c>
      <c r="AF257" s="2"/>
      <c r="AG257" s="2">
        <f t="shared" si="39"/>
        <v>-4425.78</v>
      </c>
    </row>
    <row r="258" spans="1:33" x14ac:dyDescent="0.3">
      <c r="B258" s="3"/>
      <c r="C258" t="str">
        <f xml:space="preserve"> _xll.EPMOlapMemberO("[CLACO].[PARENTH1].[AMSASERVICIOS]","","Servicios","","000")</f>
        <v>Servicios</v>
      </c>
      <c r="D258" s="2"/>
      <c r="E258" s="2"/>
      <c r="F258" s="2">
        <f t="shared" si="30"/>
        <v>0</v>
      </c>
      <c r="G258" s="2">
        <v>1894.74</v>
      </c>
      <c r="H258" s="2"/>
      <c r="I258" s="2">
        <f t="shared" si="31"/>
        <v>-1894.74</v>
      </c>
      <c r="J258" s="2">
        <v>40234.03</v>
      </c>
      <c r="K258" s="2">
        <v>2118.39</v>
      </c>
      <c r="L258" s="2">
        <f t="shared" si="32"/>
        <v>-38115.64</v>
      </c>
      <c r="M258" s="2">
        <v>33971.1</v>
      </c>
      <c r="N258" s="2">
        <v>8757.66</v>
      </c>
      <c r="O258" s="2">
        <f t="shared" si="33"/>
        <v>-25213.439999999999</v>
      </c>
      <c r="P258" s="2">
        <v>15478.99</v>
      </c>
      <c r="Q258" s="2">
        <v>4584.7299999999996</v>
      </c>
      <c r="R258" s="2">
        <f t="shared" si="34"/>
        <v>-10894.26</v>
      </c>
      <c r="S258" s="2">
        <v>10378.08</v>
      </c>
      <c r="T258" s="2">
        <v>4644.9799999999996</v>
      </c>
      <c r="U258" s="2">
        <f t="shared" si="35"/>
        <v>-5733.1</v>
      </c>
      <c r="V258" s="2">
        <v>3828.67</v>
      </c>
      <c r="W258" s="2">
        <v>4655.45</v>
      </c>
      <c r="X258" s="2">
        <f t="shared" si="36"/>
        <v>826.77999999999975</v>
      </c>
      <c r="Y258" s="2">
        <v>4021.6</v>
      </c>
      <c r="Z258" s="2">
        <v>4616.1899999999996</v>
      </c>
      <c r="AA258" s="2">
        <f t="shared" si="37"/>
        <v>594.58999999999969</v>
      </c>
      <c r="AB258" s="2">
        <v>10222.17</v>
      </c>
      <c r="AC258" s="2">
        <v>4626.93</v>
      </c>
      <c r="AD258" s="2">
        <f t="shared" si="38"/>
        <v>-5595.24</v>
      </c>
      <c r="AE258" s="2">
        <v>43723.95</v>
      </c>
      <c r="AF258" s="2">
        <v>55233.97</v>
      </c>
      <c r="AG258" s="2">
        <f t="shared" si="39"/>
        <v>11510.020000000004</v>
      </c>
    </row>
    <row r="259" spans="1:33" x14ac:dyDescent="0.3">
      <c r="B259" s="3"/>
      <c r="C259" t="str">
        <f xml:space="preserve"> _xll.EPMOlapMemberO("[CLACO].[PARENTH1].[AMSASERMANTO.REPA]","","Servicios Mantenimie","","000")</f>
        <v>Servicios Mantenimie</v>
      </c>
      <c r="D259" s="2"/>
      <c r="E259" s="2"/>
      <c r="F259" s="2">
        <f t="shared" si="30"/>
        <v>0</v>
      </c>
      <c r="G259" s="2">
        <v>2151.71</v>
      </c>
      <c r="H259" s="2"/>
      <c r="I259" s="2">
        <f t="shared" si="31"/>
        <v>-2151.71</v>
      </c>
      <c r="J259" s="2"/>
      <c r="K259" s="2"/>
      <c r="L259" s="2">
        <f t="shared" si="32"/>
        <v>0</v>
      </c>
      <c r="M259" s="2"/>
      <c r="N259" s="2"/>
      <c r="O259" s="2">
        <f t="shared" si="33"/>
        <v>0</v>
      </c>
      <c r="P259" s="2"/>
      <c r="Q259" s="2"/>
      <c r="R259" s="2">
        <f t="shared" si="34"/>
        <v>0</v>
      </c>
      <c r="S259" s="2"/>
      <c r="T259" s="2"/>
      <c r="U259" s="2">
        <f t="shared" si="35"/>
        <v>0</v>
      </c>
      <c r="V259" s="2"/>
      <c r="W259" s="2"/>
      <c r="X259" s="2">
        <f t="shared" si="36"/>
        <v>0</v>
      </c>
      <c r="Y259" s="2"/>
      <c r="Z259" s="2"/>
      <c r="AA259" s="2">
        <f t="shared" si="37"/>
        <v>0</v>
      </c>
      <c r="AB259" s="2"/>
      <c r="AC259" s="2"/>
      <c r="AD259" s="2">
        <f t="shared" si="38"/>
        <v>0</v>
      </c>
      <c r="AE259" s="2"/>
      <c r="AF259" s="2"/>
      <c r="AG259" s="2">
        <f t="shared" si="39"/>
        <v>0</v>
      </c>
    </row>
    <row r="260" spans="1:33" x14ac:dyDescent="0.3">
      <c r="B260" s="3"/>
      <c r="C260" t="str">
        <f xml:space="preserve"> _xll.EPMOlapMemberO("[CLACO].[PARENTH1].[AMSAINFORMATIC]","","Informática y Comuni","","000")</f>
        <v>Informática y Comuni</v>
      </c>
      <c r="D260" s="2">
        <v>6662.83</v>
      </c>
      <c r="E260" s="2">
        <v>12561.92</v>
      </c>
      <c r="F260" s="2">
        <f t="shared" si="30"/>
        <v>5899.09</v>
      </c>
      <c r="G260" s="2">
        <v>67914.37</v>
      </c>
      <c r="H260" s="2">
        <v>78754.38</v>
      </c>
      <c r="I260" s="2">
        <f t="shared" si="31"/>
        <v>10840.010000000009</v>
      </c>
      <c r="J260" s="2">
        <v>66807.05</v>
      </c>
      <c r="K260" s="2">
        <v>63644.29</v>
      </c>
      <c r="L260" s="2">
        <f t="shared" si="32"/>
        <v>-3162.760000000002</v>
      </c>
      <c r="M260" s="2">
        <v>116285.02</v>
      </c>
      <c r="N260" s="2">
        <v>65094.62</v>
      </c>
      <c r="O260" s="2">
        <f t="shared" si="33"/>
        <v>-51190.400000000001</v>
      </c>
      <c r="P260" s="2">
        <v>12194.73</v>
      </c>
      <c r="Q260" s="2">
        <v>5550.1</v>
      </c>
      <c r="R260" s="2">
        <f t="shared" si="34"/>
        <v>-6644.6299999999992</v>
      </c>
      <c r="S260" s="2">
        <v>11764.38</v>
      </c>
      <c r="T260" s="2">
        <v>5787.22</v>
      </c>
      <c r="U260" s="2">
        <f t="shared" si="35"/>
        <v>-5977.1599999999989</v>
      </c>
      <c r="V260" s="2">
        <v>6748.22</v>
      </c>
      <c r="W260" s="2">
        <v>11815.95</v>
      </c>
      <c r="X260" s="2">
        <f t="shared" si="36"/>
        <v>5067.7300000000005</v>
      </c>
      <c r="Y260" s="2">
        <v>5384.83</v>
      </c>
      <c r="Z260" s="2">
        <v>5513.68</v>
      </c>
      <c r="AA260" s="2">
        <f t="shared" si="37"/>
        <v>128.85000000000036</v>
      </c>
      <c r="AB260" s="2">
        <v>7453.37</v>
      </c>
      <c r="AC260" s="2">
        <v>5501.66</v>
      </c>
      <c r="AD260" s="2">
        <f t="shared" si="38"/>
        <v>-1951.71</v>
      </c>
      <c r="AE260" s="2">
        <v>33727.61</v>
      </c>
      <c r="AF260" s="2">
        <v>73364.62</v>
      </c>
      <c r="AG260" s="2">
        <f t="shared" si="39"/>
        <v>39637.009999999995</v>
      </c>
    </row>
    <row r="261" spans="1:33" x14ac:dyDescent="0.3">
      <c r="B261" s="3"/>
      <c r="C261" t="str">
        <f xml:space="preserve"> _xll.EPMOlapMemberO("[CLACO].[PARENTH1].[AMSAG_VIAJES]","","Gastos de Viajes","","000")</f>
        <v>Gastos de Viajes</v>
      </c>
      <c r="D261" s="2">
        <v>12675.45</v>
      </c>
      <c r="E261" s="2">
        <v>21169.78</v>
      </c>
      <c r="F261" s="2">
        <f t="shared" si="30"/>
        <v>8494.3299999999981</v>
      </c>
      <c r="G261" s="2">
        <v>16947.79</v>
      </c>
      <c r="H261" s="2">
        <v>34847.26</v>
      </c>
      <c r="I261" s="2">
        <f t="shared" si="31"/>
        <v>17899.47</v>
      </c>
      <c r="J261" s="2">
        <v>14376.14</v>
      </c>
      <c r="K261" s="2">
        <v>17319.48</v>
      </c>
      <c r="L261" s="2">
        <f t="shared" si="32"/>
        <v>2943.34</v>
      </c>
      <c r="M261" s="2">
        <v>8710.2800000000007</v>
      </c>
      <c r="N261" s="2">
        <v>11417.84</v>
      </c>
      <c r="O261" s="2">
        <f t="shared" si="33"/>
        <v>2707.5599999999995</v>
      </c>
      <c r="P261" s="2">
        <v>1000.19</v>
      </c>
      <c r="Q261" s="2">
        <v>1111.43</v>
      </c>
      <c r="R261" s="2">
        <f t="shared" si="34"/>
        <v>111.24000000000001</v>
      </c>
      <c r="S261" s="2">
        <v>610.28</v>
      </c>
      <c r="T261" s="2">
        <v>199.44</v>
      </c>
      <c r="U261" s="2">
        <f t="shared" si="35"/>
        <v>-410.84</v>
      </c>
      <c r="V261" s="2">
        <v>376.89</v>
      </c>
      <c r="W261" s="2">
        <v>1311.85</v>
      </c>
      <c r="X261" s="2">
        <f t="shared" si="36"/>
        <v>934.95999999999992</v>
      </c>
      <c r="Y261" s="2">
        <v>529.27</v>
      </c>
      <c r="Z261" s="2"/>
      <c r="AA261" s="2">
        <f t="shared" si="37"/>
        <v>-529.27</v>
      </c>
      <c r="AB261" s="2">
        <v>655.26</v>
      </c>
      <c r="AC261" s="2"/>
      <c r="AD261" s="2">
        <f t="shared" si="38"/>
        <v>-655.26</v>
      </c>
      <c r="AE261" s="2">
        <v>3332.09</v>
      </c>
      <c r="AF261" s="2">
        <v>11757.22</v>
      </c>
      <c r="AG261" s="2">
        <f t="shared" si="39"/>
        <v>8425.1299999999992</v>
      </c>
    </row>
    <row r="262" spans="1:33" x14ac:dyDescent="0.3">
      <c r="B262" s="3"/>
      <c r="C262" t="str">
        <f xml:space="preserve"> _xll.EPMOlapMemberO("[CLACO].[PARENTH1].[AMSAGGENERALES.2]","","Otros Gastos","","000")</f>
        <v>Otros Gastos</v>
      </c>
      <c r="D262" s="2">
        <v>1663.09</v>
      </c>
      <c r="E262" s="2">
        <v>4352.05</v>
      </c>
      <c r="F262" s="2">
        <f t="shared" si="30"/>
        <v>2688.96</v>
      </c>
      <c r="G262" s="2">
        <v>3227.3</v>
      </c>
      <c r="H262" s="2">
        <v>3862.31</v>
      </c>
      <c r="I262" s="2">
        <f t="shared" si="31"/>
        <v>635.00999999999976</v>
      </c>
      <c r="J262" s="2">
        <v>3773.64</v>
      </c>
      <c r="K262" s="2">
        <v>2787.76</v>
      </c>
      <c r="L262" s="2">
        <f t="shared" si="32"/>
        <v>-985.87999999999965</v>
      </c>
      <c r="M262" s="2">
        <v>4175.7299999999996</v>
      </c>
      <c r="N262" s="2">
        <v>34785.99</v>
      </c>
      <c r="O262" s="2">
        <f t="shared" si="33"/>
        <v>30610.26</v>
      </c>
      <c r="P262" s="2">
        <v>46.64</v>
      </c>
      <c r="Q262" s="2">
        <v>6733.08</v>
      </c>
      <c r="R262" s="2">
        <f t="shared" si="34"/>
        <v>6686.44</v>
      </c>
      <c r="S262" s="2">
        <v>181.63</v>
      </c>
      <c r="T262" s="2">
        <v>6861.75</v>
      </c>
      <c r="U262" s="2">
        <f t="shared" si="35"/>
        <v>6680.12</v>
      </c>
      <c r="V262" s="2">
        <v>86.91</v>
      </c>
      <c r="W262" s="2">
        <v>6769.4</v>
      </c>
      <c r="X262" s="2">
        <f t="shared" si="36"/>
        <v>6682.49</v>
      </c>
      <c r="Y262" s="2">
        <v>119.4</v>
      </c>
      <c r="Z262" s="2">
        <v>6787.91</v>
      </c>
      <c r="AA262" s="2">
        <f t="shared" si="37"/>
        <v>6668.51</v>
      </c>
      <c r="AB262" s="2">
        <v>104.4</v>
      </c>
      <c r="AC262" s="2">
        <v>6806.54</v>
      </c>
      <c r="AD262" s="2">
        <f t="shared" si="38"/>
        <v>6702.14</v>
      </c>
      <c r="AE262" s="2">
        <v>539.32000000000005</v>
      </c>
      <c r="AF262" s="2">
        <v>83830.960000000006</v>
      </c>
      <c r="AG262" s="2">
        <f t="shared" si="39"/>
        <v>83291.64</v>
      </c>
    </row>
    <row r="263" spans="1:33" x14ac:dyDescent="0.3">
      <c r="A263" t="s">
        <v>29</v>
      </c>
      <c r="B263" s="3" t="str">
        <f xml:space="preserve"> _xll.EPMOlapMemberO("[CECO].[PARENTH3].[AMSA1000AC3505]","","Gcia TICA","","000")</f>
        <v>Gcia TICA</v>
      </c>
      <c r="C263" t="str">
        <f xml:space="preserve"> _xll.EPMOlapMemberO("[CLACO].[PARENTH1].[AMSAREMUNERACI.EE]","","Remuneraciones emple","","000")</f>
        <v>Remuneraciones emple</v>
      </c>
      <c r="D263" s="2">
        <v>325.11</v>
      </c>
      <c r="E263" s="2"/>
      <c r="F263" s="2">
        <f t="shared" si="30"/>
        <v>-325.11</v>
      </c>
      <c r="G263" s="2"/>
      <c r="H263" s="2"/>
      <c r="I263" s="2">
        <f t="shared" si="31"/>
        <v>0</v>
      </c>
      <c r="J263" s="2"/>
      <c r="K263" s="2"/>
      <c r="L263" s="2">
        <f t="shared" si="32"/>
        <v>0</v>
      </c>
      <c r="M263" s="2"/>
      <c r="N263" s="2"/>
      <c r="O263" s="2">
        <f t="shared" si="33"/>
        <v>0</v>
      </c>
      <c r="P263" s="2"/>
      <c r="Q263" s="2"/>
      <c r="R263" s="2">
        <f t="shared" si="34"/>
        <v>0</v>
      </c>
      <c r="S263" s="2"/>
      <c r="T263" s="2"/>
      <c r="U263" s="2">
        <f t="shared" si="35"/>
        <v>0</v>
      </c>
      <c r="V263" s="2"/>
      <c r="W263" s="2"/>
      <c r="X263" s="2">
        <f t="shared" si="36"/>
        <v>0</v>
      </c>
      <c r="Y263" s="2"/>
      <c r="Z263" s="2"/>
      <c r="AA263" s="2">
        <f t="shared" si="37"/>
        <v>0</v>
      </c>
      <c r="AB263" s="2"/>
      <c r="AC263" s="2"/>
      <c r="AD263" s="2">
        <f t="shared" si="38"/>
        <v>0</v>
      </c>
      <c r="AE263" s="2"/>
      <c r="AF263" s="2"/>
      <c r="AG263" s="2">
        <f t="shared" si="39"/>
        <v>0</v>
      </c>
    </row>
    <row r="264" spans="1:33" x14ac:dyDescent="0.3">
      <c r="B264" s="3"/>
      <c r="C264" t="str">
        <f xml:space="preserve"> _xll.EPMOlapMemberO("[CLACO].[PARENTH1].[AMSAREMUNERACI.SS]","","Remuneraciones Super","","000")</f>
        <v>Remuneraciones Super</v>
      </c>
      <c r="D264" s="2">
        <v>6758120.6500000004</v>
      </c>
      <c r="E264" s="2">
        <v>6621081.7300000004</v>
      </c>
      <c r="F264" s="2">
        <f t="shared" si="30"/>
        <v>-137038.91999999993</v>
      </c>
      <c r="G264" s="2">
        <v>7534744.25</v>
      </c>
      <c r="H264" s="2">
        <v>7294402.8300000001</v>
      </c>
      <c r="I264" s="2">
        <f t="shared" si="31"/>
        <v>-240341.41999999993</v>
      </c>
      <c r="J264" s="2">
        <v>6600467.7400000002</v>
      </c>
      <c r="K264" s="2">
        <v>7668219.6799999997</v>
      </c>
      <c r="L264" s="2">
        <f t="shared" si="32"/>
        <v>1067751.9399999995</v>
      </c>
      <c r="M264" s="2">
        <v>6527482.9199999999</v>
      </c>
      <c r="N264" s="2">
        <v>7274577.8200000003</v>
      </c>
      <c r="O264" s="2">
        <f t="shared" si="33"/>
        <v>747094.90000000037</v>
      </c>
      <c r="P264" s="2">
        <v>405830.97</v>
      </c>
      <c r="Q264" s="2">
        <v>555288.38</v>
      </c>
      <c r="R264" s="2">
        <f t="shared" si="34"/>
        <v>149457.41000000003</v>
      </c>
      <c r="S264" s="2">
        <v>548375.43999999994</v>
      </c>
      <c r="T264" s="2">
        <v>702648.39</v>
      </c>
      <c r="U264" s="2">
        <f t="shared" si="35"/>
        <v>154272.95000000007</v>
      </c>
      <c r="V264" s="2">
        <v>580851.79</v>
      </c>
      <c r="W264" s="2">
        <v>682565.46</v>
      </c>
      <c r="X264" s="2">
        <f t="shared" si="36"/>
        <v>101713.66999999993</v>
      </c>
      <c r="Y264" s="2">
        <v>651403.65</v>
      </c>
      <c r="Z264" s="2">
        <v>682527.39</v>
      </c>
      <c r="AA264" s="2">
        <f t="shared" si="37"/>
        <v>31123.739999999991</v>
      </c>
      <c r="AB264" s="2">
        <v>486525.84</v>
      </c>
      <c r="AC264" s="2">
        <v>541382.77</v>
      </c>
      <c r="AD264" s="2">
        <f t="shared" si="38"/>
        <v>54856.929999999993</v>
      </c>
      <c r="AE264" s="2">
        <v>2697136.17</v>
      </c>
      <c r="AF264" s="2">
        <v>7296124.4400000004</v>
      </c>
      <c r="AG264" s="2">
        <f t="shared" si="39"/>
        <v>4598988.2700000005</v>
      </c>
    </row>
    <row r="265" spans="1:33" x14ac:dyDescent="0.3">
      <c r="B265" s="3"/>
      <c r="C265" t="str">
        <f xml:space="preserve"> _xll.EPMOlapMemberO("[CLACO].[PARENTH1].[AMSAMAT_Y_REP.2]","","Materiales y repuest","","000")</f>
        <v>Materiales y repuest</v>
      </c>
      <c r="D265" s="2">
        <v>-286298.56</v>
      </c>
      <c r="E265" s="2">
        <v>5449.99</v>
      </c>
      <c r="F265" s="2">
        <f t="shared" si="30"/>
        <v>291748.55</v>
      </c>
      <c r="G265" s="2">
        <v>0</v>
      </c>
      <c r="H265" s="2"/>
      <c r="I265" s="2">
        <f t="shared" si="31"/>
        <v>0</v>
      </c>
      <c r="J265" s="2"/>
      <c r="K265" s="2"/>
      <c r="L265" s="2">
        <f t="shared" si="32"/>
        <v>0</v>
      </c>
      <c r="M265" s="2">
        <v>129.41</v>
      </c>
      <c r="N265" s="2"/>
      <c r="O265" s="2">
        <f t="shared" si="33"/>
        <v>-129.41</v>
      </c>
      <c r="P265" s="2"/>
      <c r="Q265" s="2"/>
      <c r="R265" s="2">
        <f t="shared" si="34"/>
        <v>0</v>
      </c>
      <c r="S265" s="2"/>
      <c r="T265" s="2"/>
      <c r="U265" s="2">
        <f t="shared" si="35"/>
        <v>0</v>
      </c>
      <c r="V265" s="2"/>
      <c r="W265" s="2"/>
      <c r="X265" s="2">
        <f t="shared" si="36"/>
        <v>0</v>
      </c>
      <c r="Y265" s="2"/>
      <c r="Z265" s="2"/>
      <c r="AA265" s="2">
        <f t="shared" si="37"/>
        <v>0</v>
      </c>
      <c r="AB265" s="2"/>
      <c r="AC265" s="2"/>
      <c r="AD265" s="2">
        <f t="shared" si="38"/>
        <v>0</v>
      </c>
      <c r="AE265" s="2"/>
      <c r="AF265" s="2"/>
      <c r="AG265" s="2">
        <f t="shared" si="39"/>
        <v>0</v>
      </c>
    </row>
    <row r="266" spans="1:33" x14ac:dyDescent="0.3">
      <c r="B266" s="3"/>
      <c r="C266" t="str">
        <f xml:space="preserve"> _xll.EPMOlapMemberO("[CLACO].[PARENTH1].[AMSAADM_PERSON]","","Administración Perso","","000")</f>
        <v>Administración Perso</v>
      </c>
      <c r="D266" s="2">
        <v>-1924.71</v>
      </c>
      <c r="E266" s="2"/>
      <c r="F266" s="2">
        <f t="shared" si="30"/>
        <v>1924.71</v>
      </c>
      <c r="G266" s="2"/>
      <c r="H266" s="2"/>
      <c r="I266" s="2">
        <f t="shared" si="31"/>
        <v>0</v>
      </c>
      <c r="J266" s="2">
        <v>765.51</v>
      </c>
      <c r="K266" s="2"/>
      <c r="L266" s="2">
        <f t="shared" si="32"/>
        <v>-765.51</v>
      </c>
      <c r="M266" s="2">
        <v>8602.69</v>
      </c>
      <c r="N266" s="2"/>
      <c r="O266" s="2">
        <f t="shared" si="33"/>
        <v>-8602.69</v>
      </c>
      <c r="P266" s="2"/>
      <c r="Q266" s="2"/>
      <c r="R266" s="2">
        <f t="shared" si="34"/>
        <v>0</v>
      </c>
      <c r="S266" s="2"/>
      <c r="T266" s="2"/>
      <c r="U266" s="2">
        <f t="shared" si="35"/>
        <v>0</v>
      </c>
      <c r="V266" s="2"/>
      <c r="W266" s="2"/>
      <c r="X266" s="2">
        <f t="shared" si="36"/>
        <v>0</v>
      </c>
      <c r="Y266" s="2"/>
      <c r="Z266" s="2"/>
      <c r="AA266" s="2">
        <f t="shared" si="37"/>
        <v>0</v>
      </c>
      <c r="AB266" s="2"/>
      <c r="AC266" s="2"/>
      <c r="AD266" s="2">
        <f t="shared" si="38"/>
        <v>0</v>
      </c>
      <c r="AE266" s="2"/>
      <c r="AF266" s="2"/>
      <c r="AG266" s="2">
        <f t="shared" si="39"/>
        <v>0</v>
      </c>
    </row>
    <row r="267" spans="1:33" x14ac:dyDescent="0.3">
      <c r="B267" s="3"/>
      <c r="C267" t="str">
        <f xml:space="preserve"> _xll.EPMOlapMemberO("[CLACO].[PARENTH1].[AMSAENTRENAMI]","","Entrenamiento","","000")</f>
        <v>Entrenamiento</v>
      </c>
      <c r="D267" s="2"/>
      <c r="E267" s="2"/>
      <c r="F267" s="2">
        <f t="shared" ref="F267:F330" si="40">+E267-D267</f>
        <v>0</v>
      </c>
      <c r="G267" s="2"/>
      <c r="H267" s="2"/>
      <c r="I267" s="2">
        <f t="shared" ref="I267:I330" si="41">+H267-G267</f>
        <v>0</v>
      </c>
      <c r="J267" s="2"/>
      <c r="K267" s="2"/>
      <c r="L267" s="2">
        <f t="shared" ref="L267:L330" si="42">+K267-J267</f>
        <v>0</v>
      </c>
      <c r="M267" s="2">
        <v>7167.12</v>
      </c>
      <c r="N267" s="2"/>
      <c r="O267" s="2">
        <f t="shared" ref="O267:O330" si="43">+N267-M267</f>
        <v>-7167.12</v>
      </c>
      <c r="P267" s="2"/>
      <c r="Q267" s="2"/>
      <c r="R267" s="2">
        <f t="shared" ref="R267:R330" si="44">+Q267-P267</f>
        <v>0</v>
      </c>
      <c r="S267" s="2"/>
      <c r="T267" s="2"/>
      <c r="U267" s="2">
        <f t="shared" ref="U267:U330" si="45">+T267-S267</f>
        <v>0</v>
      </c>
      <c r="V267" s="2"/>
      <c r="W267" s="2"/>
      <c r="X267" s="2">
        <f t="shared" ref="X267:X330" si="46">+W267-V267</f>
        <v>0</v>
      </c>
      <c r="Y267" s="2"/>
      <c r="Z267" s="2"/>
      <c r="AA267" s="2">
        <f t="shared" ref="AA267:AA330" si="47">+Z267-Y267</f>
        <v>0</v>
      </c>
      <c r="AB267" s="2"/>
      <c r="AC267" s="2"/>
      <c r="AD267" s="2">
        <f t="shared" ref="AD267:AD330" si="48">+AC267-AB267</f>
        <v>0</v>
      </c>
      <c r="AE267" s="2"/>
      <c r="AF267" s="2"/>
      <c r="AG267" s="2">
        <f t="shared" ref="AG267:AG330" si="49">+AF267-AE267</f>
        <v>0</v>
      </c>
    </row>
    <row r="268" spans="1:33" x14ac:dyDescent="0.3">
      <c r="B268" s="3"/>
      <c r="C268" t="str">
        <f xml:space="preserve"> _xll.EPMOlapMemberO("[CLACO].[PARENTH1].[AMSAASESORIAS]","","Asesorías y Consulto","","000")</f>
        <v>Asesorías y Consulto</v>
      </c>
      <c r="D268" s="2">
        <v>20720.849999999999</v>
      </c>
      <c r="E268" s="2"/>
      <c r="F268" s="2">
        <f t="shared" si="40"/>
        <v>-20720.849999999999</v>
      </c>
      <c r="G268" s="2">
        <v>4339.63</v>
      </c>
      <c r="H268" s="2"/>
      <c r="I268" s="2">
        <f t="shared" si="41"/>
        <v>-4339.63</v>
      </c>
      <c r="J268" s="2"/>
      <c r="K268" s="2"/>
      <c r="L268" s="2">
        <f t="shared" si="42"/>
        <v>0</v>
      </c>
      <c r="M268" s="2"/>
      <c r="N268" s="2"/>
      <c r="O268" s="2">
        <f t="shared" si="43"/>
        <v>0</v>
      </c>
      <c r="P268" s="2"/>
      <c r="Q268" s="2"/>
      <c r="R268" s="2">
        <f t="shared" si="44"/>
        <v>0</v>
      </c>
      <c r="S268" s="2"/>
      <c r="T268" s="2"/>
      <c r="U268" s="2">
        <f t="shared" si="45"/>
        <v>0</v>
      </c>
      <c r="V268" s="2"/>
      <c r="W268" s="2"/>
      <c r="X268" s="2">
        <f t="shared" si="46"/>
        <v>0</v>
      </c>
      <c r="Y268" s="2"/>
      <c r="Z268" s="2"/>
      <c r="AA268" s="2">
        <f t="shared" si="47"/>
        <v>0</v>
      </c>
      <c r="AB268" s="2"/>
      <c r="AC268" s="2"/>
      <c r="AD268" s="2">
        <f t="shared" si="48"/>
        <v>0</v>
      </c>
      <c r="AE268" s="2"/>
      <c r="AF268" s="2"/>
      <c r="AG268" s="2">
        <f t="shared" si="49"/>
        <v>0</v>
      </c>
    </row>
    <row r="269" spans="1:33" x14ac:dyDescent="0.3">
      <c r="B269" s="3"/>
      <c r="C269" t="str">
        <f xml:space="preserve"> _xll.EPMOlapMemberO("[CLACO].[PARENTH1].[AMSAARRIENDOS]","","Arriendos","","000")</f>
        <v>Arriendos</v>
      </c>
      <c r="D269" s="2">
        <v>3536.84</v>
      </c>
      <c r="E269" s="2"/>
      <c r="F269" s="2">
        <f t="shared" si="40"/>
        <v>-3536.84</v>
      </c>
      <c r="G269" s="2">
        <v>0</v>
      </c>
      <c r="H269" s="2"/>
      <c r="I269" s="2">
        <f t="shared" si="41"/>
        <v>0</v>
      </c>
      <c r="J269" s="2">
        <v>0</v>
      </c>
      <c r="K269" s="2"/>
      <c r="L269" s="2">
        <f t="shared" si="42"/>
        <v>0</v>
      </c>
      <c r="M269" s="2">
        <v>0</v>
      </c>
      <c r="N269" s="2"/>
      <c r="O269" s="2">
        <f t="shared" si="43"/>
        <v>0</v>
      </c>
      <c r="P269" s="2"/>
      <c r="Q269" s="2"/>
      <c r="R269" s="2">
        <f t="shared" si="44"/>
        <v>0</v>
      </c>
      <c r="S269" s="2"/>
      <c r="T269" s="2"/>
      <c r="U269" s="2">
        <f t="shared" si="45"/>
        <v>0</v>
      </c>
      <c r="V269" s="2"/>
      <c r="W269" s="2"/>
      <c r="X269" s="2">
        <f t="shared" si="46"/>
        <v>0</v>
      </c>
      <c r="Y269" s="2"/>
      <c r="Z269" s="2"/>
      <c r="AA269" s="2">
        <f t="shared" si="47"/>
        <v>0</v>
      </c>
      <c r="AB269" s="2"/>
      <c r="AC269" s="2"/>
      <c r="AD269" s="2">
        <f t="shared" si="48"/>
        <v>0</v>
      </c>
      <c r="AE269" s="2"/>
      <c r="AF269" s="2"/>
      <c r="AG269" s="2">
        <f t="shared" si="49"/>
        <v>0</v>
      </c>
    </row>
    <row r="270" spans="1:33" x14ac:dyDescent="0.3">
      <c r="B270" s="3"/>
      <c r="C270" t="str">
        <f xml:space="preserve"> _xll.EPMOlapMemberO("[CLACO].[PARENTH1].[AMSASERVICIOS]","","Servicios","","000")</f>
        <v>Servicios</v>
      </c>
      <c r="D270" s="2">
        <v>32928.400000000001</v>
      </c>
      <c r="E270" s="2"/>
      <c r="F270" s="2">
        <f t="shared" si="40"/>
        <v>-32928.400000000001</v>
      </c>
      <c r="G270" s="2">
        <v>2473.9699999999998</v>
      </c>
      <c r="H270" s="2"/>
      <c r="I270" s="2">
        <f t="shared" si="41"/>
        <v>-2473.9699999999998</v>
      </c>
      <c r="J270" s="2"/>
      <c r="K270" s="2"/>
      <c r="L270" s="2">
        <f t="shared" si="42"/>
        <v>0</v>
      </c>
      <c r="M270" s="2">
        <v>-734.63</v>
      </c>
      <c r="N270" s="2"/>
      <c r="O270" s="2">
        <f t="shared" si="43"/>
        <v>734.63</v>
      </c>
      <c r="P270" s="2">
        <v>4874.96</v>
      </c>
      <c r="Q270" s="2"/>
      <c r="R270" s="2">
        <f t="shared" si="44"/>
        <v>-4874.96</v>
      </c>
      <c r="S270" s="2"/>
      <c r="T270" s="2"/>
      <c r="U270" s="2">
        <f t="shared" si="45"/>
        <v>0</v>
      </c>
      <c r="V270" s="2"/>
      <c r="W270" s="2"/>
      <c r="X270" s="2">
        <f t="shared" si="46"/>
        <v>0</v>
      </c>
      <c r="Y270" s="2"/>
      <c r="Z270" s="2"/>
      <c r="AA270" s="2">
        <f t="shared" si="47"/>
        <v>0</v>
      </c>
      <c r="AB270" s="2"/>
      <c r="AC270" s="2"/>
      <c r="AD270" s="2">
        <f t="shared" si="48"/>
        <v>0</v>
      </c>
      <c r="AE270" s="2">
        <v>4759.42</v>
      </c>
      <c r="AF270" s="2"/>
      <c r="AG270" s="2">
        <f t="shared" si="49"/>
        <v>-4759.42</v>
      </c>
    </row>
    <row r="271" spans="1:33" x14ac:dyDescent="0.3">
      <c r="B271" s="3"/>
      <c r="C271" t="str">
        <f xml:space="preserve"> _xll.EPMOlapMemberO("[CLACO].[PARENTH1].[AMSASERMANTO.REPA]","","Servicios Mantenimie","","000")</f>
        <v>Servicios Mantenimie</v>
      </c>
      <c r="D271" s="2">
        <v>96711.11</v>
      </c>
      <c r="E271" s="2">
        <v>123186.11</v>
      </c>
      <c r="F271" s="2">
        <f t="shared" si="40"/>
        <v>26475</v>
      </c>
      <c r="G271" s="2">
        <v>114772.32</v>
      </c>
      <c r="H271" s="2">
        <v>111478.76</v>
      </c>
      <c r="I271" s="2">
        <f t="shared" si="41"/>
        <v>-3293.5600000000122</v>
      </c>
      <c r="J271" s="2">
        <v>84785.14</v>
      </c>
      <c r="K271" s="2">
        <v>141511.74</v>
      </c>
      <c r="L271" s="2">
        <f t="shared" si="42"/>
        <v>56726.599999999991</v>
      </c>
      <c r="M271" s="2">
        <v>177403.02</v>
      </c>
      <c r="N271" s="2">
        <v>140930.31</v>
      </c>
      <c r="O271" s="2">
        <f t="shared" si="43"/>
        <v>-36472.709999999992</v>
      </c>
      <c r="P271" s="2">
        <v>6122.61</v>
      </c>
      <c r="Q271" s="2">
        <v>9075.83</v>
      </c>
      <c r="R271" s="2">
        <f t="shared" si="44"/>
        <v>2953.2200000000003</v>
      </c>
      <c r="S271" s="2">
        <v>9125.85</v>
      </c>
      <c r="T271" s="2">
        <v>9058.56</v>
      </c>
      <c r="U271" s="2">
        <f t="shared" si="45"/>
        <v>-67.290000000000873</v>
      </c>
      <c r="V271" s="2">
        <v>2476.2399999999998</v>
      </c>
      <c r="W271" s="2">
        <v>9041.2999999999993</v>
      </c>
      <c r="X271" s="2">
        <f t="shared" si="46"/>
        <v>6565.0599999999995</v>
      </c>
      <c r="Y271" s="2">
        <v>15041.28</v>
      </c>
      <c r="Z271" s="2">
        <v>9024.31</v>
      </c>
      <c r="AA271" s="2">
        <f t="shared" si="47"/>
        <v>-6016.9700000000012</v>
      </c>
      <c r="AB271" s="2"/>
      <c r="AC271" s="2">
        <v>9007.33</v>
      </c>
      <c r="AD271" s="2">
        <f t="shared" si="48"/>
        <v>9007.33</v>
      </c>
      <c r="AE271" s="2">
        <v>36399.17</v>
      </c>
      <c r="AF271" s="2">
        <v>140771.06</v>
      </c>
      <c r="AG271" s="2">
        <f t="shared" si="49"/>
        <v>104371.89</v>
      </c>
    </row>
    <row r="272" spans="1:33" x14ac:dyDescent="0.3">
      <c r="B272" s="3"/>
      <c r="C272" t="str">
        <f xml:space="preserve"> _xll.EPMOlapMemberO("[CLACO].[PARENTH1].[AMSAINFORMATIC]","","Informática y Comuni","","000")</f>
        <v>Informática y Comuni</v>
      </c>
      <c r="D272" s="2">
        <v>4092323.57</v>
      </c>
      <c r="E272" s="2">
        <v>4140819.24</v>
      </c>
      <c r="F272" s="2">
        <f t="shared" si="40"/>
        <v>48495.670000000391</v>
      </c>
      <c r="G272" s="2">
        <v>4156491.71</v>
      </c>
      <c r="H272" s="2">
        <v>4241459.33</v>
      </c>
      <c r="I272" s="2">
        <f t="shared" si="41"/>
        <v>84967.620000000112</v>
      </c>
      <c r="J272" s="2">
        <v>3747139.22</v>
      </c>
      <c r="K272" s="2">
        <v>3912305.99</v>
      </c>
      <c r="L272" s="2">
        <f t="shared" si="42"/>
        <v>165166.77000000002</v>
      </c>
      <c r="M272" s="2">
        <v>3894001.95</v>
      </c>
      <c r="N272" s="2">
        <v>3985652.33</v>
      </c>
      <c r="O272" s="2">
        <f t="shared" si="43"/>
        <v>91650.379999999888</v>
      </c>
      <c r="P272" s="2">
        <v>748416.17</v>
      </c>
      <c r="Q272" s="2">
        <v>751782.74</v>
      </c>
      <c r="R272" s="2">
        <f t="shared" si="44"/>
        <v>3366.5699999999488</v>
      </c>
      <c r="S272" s="2">
        <v>193119.87</v>
      </c>
      <c r="T272" s="2">
        <v>230869.92</v>
      </c>
      <c r="U272" s="2">
        <f t="shared" si="45"/>
        <v>37750.050000000017</v>
      </c>
      <c r="V272" s="2">
        <v>556939.15</v>
      </c>
      <c r="W272" s="2">
        <v>570236.57999999996</v>
      </c>
      <c r="X272" s="2">
        <f t="shared" si="46"/>
        <v>13297.429999999935</v>
      </c>
      <c r="Y272" s="2">
        <v>299724.28999999998</v>
      </c>
      <c r="Z272" s="2">
        <v>265291.25</v>
      </c>
      <c r="AA272" s="2">
        <f t="shared" si="47"/>
        <v>-34433.039999999979</v>
      </c>
      <c r="AB272" s="2">
        <v>387875.58</v>
      </c>
      <c r="AC272" s="2">
        <v>393625.13</v>
      </c>
      <c r="AD272" s="2">
        <f t="shared" si="48"/>
        <v>5749.5499999999884</v>
      </c>
      <c r="AE272" s="2">
        <v>1455415.94</v>
      </c>
      <c r="AF272" s="2">
        <v>4134458.37</v>
      </c>
      <c r="AG272" s="2">
        <f t="shared" si="49"/>
        <v>2679042.4300000002</v>
      </c>
    </row>
    <row r="273" spans="1:33" x14ac:dyDescent="0.3">
      <c r="B273" s="3"/>
      <c r="C273" t="str">
        <f xml:space="preserve"> _xll.EPMOlapMemberO("[CLACO].[PARENTH1].[AMSAG_VIAJES]","","Gastos de Viajes","","000")</f>
        <v>Gastos de Viajes</v>
      </c>
      <c r="D273" s="2">
        <v>66340.55</v>
      </c>
      <c r="E273" s="2">
        <v>43122.19</v>
      </c>
      <c r="F273" s="2">
        <f t="shared" si="40"/>
        <v>-23218.36</v>
      </c>
      <c r="G273" s="2">
        <v>91188.53</v>
      </c>
      <c r="H273" s="2">
        <v>51022.01</v>
      </c>
      <c r="I273" s="2">
        <f t="shared" si="41"/>
        <v>-40166.519999999997</v>
      </c>
      <c r="J273" s="2">
        <v>97345.03</v>
      </c>
      <c r="K273" s="2">
        <v>52039.98</v>
      </c>
      <c r="L273" s="2">
        <f t="shared" si="42"/>
        <v>-45305.049999999996</v>
      </c>
      <c r="M273" s="2">
        <v>91988.41</v>
      </c>
      <c r="N273" s="2">
        <v>75117.64</v>
      </c>
      <c r="O273" s="2">
        <f t="shared" si="43"/>
        <v>-16870.770000000004</v>
      </c>
      <c r="P273" s="2">
        <v>792.34</v>
      </c>
      <c r="Q273" s="2">
        <v>6248.16</v>
      </c>
      <c r="R273" s="2">
        <f t="shared" si="44"/>
        <v>5455.82</v>
      </c>
      <c r="S273" s="2">
        <v>6659.3</v>
      </c>
      <c r="T273" s="2">
        <v>5031.45</v>
      </c>
      <c r="U273" s="2">
        <f t="shared" si="45"/>
        <v>-1627.8500000000004</v>
      </c>
      <c r="V273" s="2">
        <v>5705.77</v>
      </c>
      <c r="W273" s="2">
        <v>6230.26</v>
      </c>
      <c r="X273" s="2">
        <f t="shared" si="46"/>
        <v>524.48999999999978</v>
      </c>
      <c r="Y273" s="2">
        <v>2180.29</v>
      </c>
      <c r="Z273" s="2">
        <v>5018.21</v>
      </c>
      <c r="AA273" s="2">
        <f t="shared" si="47"/>
        <v>2837.92</v>
      </c>
      <c r="AB273" s="2">
        <v>5155.7700000000004</v>
      </c>
      <c r="AC273" s="2">
        <v>5011.82</v>
      </c>
      <c r="AD273" s="2">
        <f t="shared" si="48"/>
        <v>-143.95000000000073</v>
      </c>
      <c r="AE273" s="2">
        <v>22105.19</v>
      </c>
      <c r="AF273" s="2">
        <v>71061.47</v>
      </c>
      <c r="AG273" s="2">
        <f t="shared" si="49"/>
        <v>48956.28</v>
      </c>
    </row>
    <row r="274" spans="1:33" x14ac:dyDescent="0.3">
      <c r="B274" s="3"/>
      <c r="C274" t="str">
        <f xml:space="preserve"> _xll.EPMOlapMemberO("[CLACO].[PARENTH1].[AMSAGGENERALES.2]","","Otros Gastos","","000")</f>
        <v>Otros Gastos</v>
      </c>
      <c r="D274" s="2">
        <v>43175.72</v>
      </c>
      <c r="E274" s="2">
        <v>9541.7099999999991</v>
      </c>
      <c r="F274" s="2">
        <f t="shared" si="40"/>
        <v>-33634.01</v>
      </c>
      <c r="G274" s="2">
        <v>5960.44</v>
      </c>
      <c r="H274" s="2">
        <v>7976.53</v>
      </c>
      <c r="I274" s="2">
        <f t="shared" si="41"/>
        <v>2016.0900000000001</v>
      </c>
      <c r="J274" s="2">
        <v>7891.59</v>
      </c>
      <c r="K274" s="2">
        <v>7721.41</v>
      </c>
      <c r="L274" s="2">
        <f t="shared" si="42"/>
        <v>-170.18000000000029</v>
      </c>
      <c r="M274" s="2">
        <v>3708.75</v>
      </c>
      <c r="N274" s="2">
        <v>2446.8000000000002</v>
      </c>
      <c r="O274" s="2">
        <f t="shared" si="43"/>
        <v>-1261.9499999999998</v>
      </c>
      <c r="P274" s="2">
        <v>119.36</v>
      </c>
      <c r="Q274" s="2">
        <v>201.69</v>
      </c>
      <c r="R274" s="2">
        <f t="shared" si="44"/>
        <v>82.33</v>
      </c>
      <c r="S274" s="2">
        <v>90.99</v>
      </c>
      <c r="T274" s="2">
        <v>201.13</v>
      </c>
      <c r="U274" s="2">
        <f t="shared" si="45"/>
        <v>110.14</v>
      </c>
      <c r="V274" s="2">
        <v>104.32</v>
      </c>
      <c r="W274" s="2">
        <v>200.56</v>
      </c>
      <c r="X274" s="2">
        <f t="shared" si="46"/>
        <v>96.240000000000009</v>
      </c>
      <c r="Y274" s="2">
        <v>154.37</v>
      </c>
      <c r="Z274" s="2">
        <v>200</v>
      </c>
      <c r="AA274" s="2">
        <f t="shared" si="47"/>
        <v>45.629999999999995</v>
      </c>
      <c r="AB274" s="2">
        <v>466.89</v>
      </c>
      <c r="AC274" s="2">
        <v>199.45</v>
      </c>
      <c r="AD274" s="2">
        <f t="shared" si="48"/>
        <v>-267.44</v>
      </c>
      <c r="AE274" s="2">
        <v>937.8</v>
      </c>
      <c r="AF274" s="2">
        <v>2430.4699999999998</v>
      </c>
      <c r="AG274" s="2">
        <f t="shared" si="49"/>
        <v>1492.6699999999998</v>
      </c>
    </row>
    <row r="275" spans="1:33" x14ac:dyDescent="0.3">
      <c r="A275" t="s">
        <v>30</v>
      </c>
      <c r="B275" s="3" t="str">
        <f xml:space="preserve"> _xll.EPMOlapMemberO("[CECO].[PARENTH3].[AMSA1000AC3506]","","Gcia Inv y Finanzas","","000")</f>
        <v>Gcia Inv y Finanzas</v>
      </c>
      <c r="C275" t="str">
        <f xml:space="preserve"> _xll.EPMOlapMemberO("[CLACO].[PARENTH1].[AMSAREMUNERACI.EE]","","Remuneraciones emple","","000")</f>
        <v>Remuneraciones emple</v>
      </c>
      <c r="D275" s="2">
        <v>113358.18</v>
      </c>
      <c r="E275" s="2">
        <v>123071.02</v>
      </c>
      <c r="F275" s="2">
        <f t="shared" si="40"/>
        <v>9712.8400000000111</v>
      </c>
      <c r="G275" s="2">
        <v>118291.96</v>
      </c>
      <c r="H275" s="2">
        <v>126408.98</v>
      </c>
      <c r="I275" s="2">
        <f t="shared" si="41"/>
        <v>8117.0199999999895</v>
      </c>
      <c r="J275" s="2">
        <v>116970.64</v>
      </c>
      <c r="K275" s="2">
        <v>140539.57</v>
      </c>
      <c r="L275" s="2">
        <f t="shared" si="42"/>
        <v>23568.930000000008</v>
      </c>
      <c r="M275" s="2">
        <v>132025.85</v>
      </c>
      <c r="N275" s="2">
        <v>135699.45000000001</v>
      </c>
      <c r="O275" s="2">
        <f t="shared" si="43"/>
        <v>3673.6000000000058</v>
      </c>
      <c r="P275" s="2">
        <v>8528.35</v>
      </c>
      <c r="Q275" s="2">
        <v>11749.48</v>
      </c>
      <c r="R275" s="2">
        <f t="shared" si="44"/>
        <v>3221.1299999999992</v>
      </c>
      <c r="S275" s="2">
        <v>8327.92</v>
      </c>
      <c r="T275" s="2">
        <v>15322.89</v>
      </c>
      <c r="U275" s="2">
        <f t="shared" si="45"/>
        <v>6994.9699999999993</v>
      </c>
      <c r="V275" s="2">
        <v>10481.780000000001</v>
      </c>
      <c r="W275" s="2">
        <v>11738.3</v>
      </c>
      <c r="X275" s="2">
        <f t="shared" si="46"/>
        <v>1256.5199999999986</v>
      </c>
      <c r="Y275" s="2">
        <v>22176.880000000001</v>
      </c>
      <c r="Z275" s="2">
        <v>15244.97</v>
      </c>
      <c r="AA275" s="2">
        <f t="shared" si="47"/>
        <v>-6931.9100000000017</v>
      </c>
      <c r="AB275" s="2">
        <v>13208.07</v>
      </c>
      <c r="AC275" s="2">
        <v>11660.42</v>
      </c>
      <c r="AD275" s="2">
        <f t="shared" si="48"/>
        <v>-1547.6499999999996</v>
      </c>
      <c r="AE275" s="2">
        <v>62612.73</v>
      </c>
      <c r="AF275" s="2">
        <v>154292.57</v>
      </c>
      <c r="AG275" s="2">
        <f t="shared" si="49"/>
        <v>91679.84</v>
      </c>
    </row>
    <row r="276" spans="1:33" x14ac:dyDescent="0.3">
      <c r="B276" s="3"/>
      <c r="C276" t="str">
        <f xml:space="preserve"> _xll.EPMOlapMemberO("[CLACO].[PARENTH1].[AMSAREMUNERACI.SS]","","Remuneraciones Super","","000")</f>
        <v>Remuneraciones Super</v>
      </c>
      <c r="D276" s="2">
        <v>3290724.91</v>
      </c>
      <c r="E276" s="2">
        <v>1551507.9</v>
      </c>
      <c r="F276" s="2">
        <f t="shared" si="40"/>
        <v>-1739217.0100000002</v>
      </c>
      <c r="G276" s="2">
        <v>3943515.49</v>
      </c>
      <c r="H276" s="2">
        <v>3390251.82</v>
      </c>
      <c r="I276" s="2">
        <f t="shared" si="41"/>
        <v>-553263.67000000039</v>
      </c>
      <c r="J276" s="2">
        <v>4436377.74</v>
      </c>
      <c r="K276" s="2">
        <v>4177525.56</v>
      </c>
      <c r="L276" s="2">
        <f t="shared" si="42"/>
        <v>-258852.18000000017</v>
      </c>
      <c r="M276" s="2">
        <v>4219019.47</v>
      </c>
      <c r="N276" s="2">
        <v>1773062</v>
      </c>
      <c r="O276" s="2">
        <f t="shared" si="43"/>
        <v>-2445957.4699999997</v>
      </c>
      <c r="P276" s="2">
        <v>359901.46</v>
      </c>
      <c r="Q276" s="2">
        <v>333777.78000000003</v>
      </c>
      <c r="R276" s="2">
        <f t="shared" si="44"/>
        <v>-26123.679999999993</v>
      </c>
      <c r="S276" s="2">
        <v>509998.91</v>
      </c>
      <c r="T276" s="2">
        <v>374601.45</v>
      </c>
      <c r="U276" s="2">
        <f t="shared" si="45"/>
        <v>-135397.45999999996</v>
      </c>
      <c r="V276" s="2">
        <v>337821.19</v>
      </c>
      <c r="W276" s="2">
        <v>330597.23</v>
      </c>
      <c r="X276" s="2">
        <f t="shared" si="46"/>
        <v>-7223.960000000021</v>
      </c>
      <c r="Y276" s="2">
        <v>390960.17</v>
      </c>
      <c r="Z276" s="2">
        <v>363189.89</v>
      </c>
      <c r="AA276" s="2">
        <f t="shared" si="47"/>
        <v>-27770.27999999997</v>
      </c>
      <c r="AB276" s="2">
        <v>330951.01</v>
      </c>
      <c r="AC276" s="2">
        <v>329879.81</v>
      </c>
      <c r="AD276" s="2">
        <f t="shared" si="48"/>
        <v>-1071.2000000000116</v>
      </c>
      <c r="AE276" s="2">
        <v>1931515.6</v>
      </c>
      <c r="AF276" s="2">
        <v>4139086.35</v>
      </c>
      <c r="AG276" s="2">
        <f t="shared" si="49"/>
        <v>2207570.75</v>
      </c>
    </row>
    <row r="277" spans="1:33" x14ac:dyDescent="0.3">
      <c r="B277" s="3"/>
      <c r="C277" t="str">
        <f xml:space="preserve"> _xll.EPMOlapMemberO("[CLACO].[PARENTH1].[AMSAMAT_Y_REP.2]","","Materiales y repuest","","000")</f>
        <v>Materiales y repuest</v>
      </c>
      <c r="D277" s="2"/>
      <c r="E277" s="2"/>
      <c r="F277" s="2">
        <f t="shared" si="40"/>
        <v>0</v>
      </c>
      <c r="G277" s="2">
        <v>0</v>
      </c>
      <c r="H277" s="2"/>
      <c r="I277" s="2">
        <f t="shared" si="41"/>
        <v>0</v>
      </c>
      <c r="J277" s="2"/>
      <c r="K277" s="2"/>
      <c r="L277" s="2">
        <f t="shared" si="42"/>
        <v>0</v>
      </c>
      <c r="M277" s="2"/>
      <c r="N277" s="2"/>
      <c r="O277" s="2">
        <f t="shared" si="43"/>
        <v>0</v>
      </c>
      <c r="P277" s="2"/>
      <c r="Q277" s="2"/>
      <c r="R277" s="2">
        <f t="shared" si="44"/>
        <v>0</v>
      </c>
      <c r="S277" s="2"/>
      <c r="T277" s="2"/>
      <c r="U277" s="2">
        <f t="shared" si="45"/>
        <v>0</v>
      </c>
      <c r="V277" s="2"/>
      <c r="W277" s="2"/>
      <c r="X277" s="2">
        <f t="shared" si="46"/>
        <v>0</v>
      </c>
      <c r="Y277" s="2"/>
      <c r="Z277" s="2"/>
      <c r="AA277" s="2">
        <f t="shared" si="47"/>
        <v>0</v>
      </c>
      <c r="AB277" s="2"/>
      <c r="AC277" s="2"/>
      <c r="AD277" s="2">
        <f t="shared" si="48"/>
        <v>0</v>
      </c>
      <c r="AE277" s="2"/>
      <c r="AF277" s="2"/>
      <c r="AG277" s="2">
        <f t="shared" si="49"/>
        <v>0</v>
      </c>
    </row>
    <row r="278" spans="1:33" x14ac:dyDescent="0.3">
      <c r="B278" s="3"/>
      <c r="C278" t="str">
        <f xml:space="preserve"> _xll.EPMOlapMemberO("[CLACO].[PARENTH1].[AMSAADM_PERSON]","","Administración Perso","","000")</f>
        <v>Administración Perso</v>
      </c>
      <c r="D278" s="2"/>
      <c r="E278" s="2"/>
      <c r="F278" s="2">
        <f t="shared" si="40"/>
        <v>0</v>
      </c>
      <c r="G278" s="2">
        <v>0</v>
      </c>
      <c r="H278" s="2"/>
      <c r="I278" s="2">
        <f t="shared" si="41"/>
        <v>0</v>
      </c>
      <c r="J278" s="2">
        <v>63.5</v>
      </c>
      <c r="K278" s="2"/>
      <c r="L278" s="2">
        <f t="shared" si="42"/>
        <v>-63.5</v>
      </c>
      <c r="M278" s="2">
        <v>0</v>
      </c>
      <c r="N278" s="2"/>
      <c r="O278" s="2">
        <f t="shared" si="43"/>
        <v>0</v>
      </c>
      <c r="P278" s="2"/>
      <c r="Q278" s="2"/>
      <c r="R278" s="2">
        <f t="shared" si="44"/>
        <v>0</v>
      </c>
      <c r="S278" s="2"/>
      <c r="T278" s="2"/>
      <c r="U278" s="2">
        <f t="shared" si="45"/>
        <v>0</v>
      </c>
      <c r="V278" s="2"/>
      <c r="W278" s="2"/>
      <c r="X278" s="2">
        <f t="shared" si="46"/>
        <v>0</v>
      </c>
      <c r="Y278" s="2"/>
      <c r="Z278" s="2"/>
      <c r="AA278" s="2">
        <f t="shared" si="47"/>
        <v>0</v>
      </c>
      <c r="AB278" s="2"/>
      <c r="AC278" s="2"/>
      <c r="AD278" s="2">
        <f t="shared" si="48"/>
        <v>0</v>
      </c>
      <c r="AE278" s="2"/>
      <c r="AF278" s="2"/>
      <c r="AG278" s="2">
        <f t="shared" si="49"/>
        <v>0</v>
      </c>
    </row>
    <row r="279" spans="1:33" x14ac:dyDescent="0.3">
      <c r="B279" s="3"/>
      <c r="C279" t="str">
        <f xml:space="preserve"> _xll.EPMOlapMemberO("[CLACO].[PARENTH1].[AMSAENTRENAMI]","","Entrenamiento","","000")</f>
        <v>Entrenamiento</v>
      </c>
      <c r="D279" s="2">
        <v>17183.53</v>
      </c>
      <c r="E279" s="2">
        <v>16657.990000000002</v>
      </c>
      <c r="F279" s="2">
        <f t="shared" si="40"/>
        <v>-525.53999999999724</v>
      </c>
      <c r="G279" s="2">
        <v>-13130.23</v>
      </c>
      <c r="H279" s="2">
        <v>15042.32</v>
      </c>
      <c r="I279" s="2">
        <f t="shared" si="41"/>
        <v>28172.55</v>
      </c>
      <c r="J279" s="2">
        <v>5171.09</v>
      </c>
      <c r="K279" s="2">
        <v>2470.59</v>
      </c>
      <c r="L279" s="2">
        <f t="shared" si="42"/>
        <v>-2700.5</v>
      </c>
      <c r="M279" s="2">
        <v>1689.24</v>
      </c>
      <c r="N279" s="2">
        <v>2644.45</v>
      </c>
      <c r="O279" s="2">
        <f t="shared" si="43"/>
        <v>955.20999999999981</v>
      </c>
      <c r="P279" s="2"/>
      <c r="Q279" s="2"/>
      <c r="R279" s="2">
        <f t="shared" si="44"/>
        <v>0</v>
      </c>
      <c r="S279" s="2"/>
      <c r="T279" s="2"/>
      <c r="U279" s="2">
        <f t="shared" si="45"/>
        <v>0</v>
      </c>
      <c r="V279" s="2"/>
      <c r="W279" s="2"/>
      <c r="X279" s="2">
        <f t="shared" si="46"/>
        <v>0</v>
      </c>
      <c r="Y279" s="2">
        <v>120.02</v>
      </c>
      <c r="Z279" s="2"/>
      <c r="AA279" s="2">
        <f t="shared" si="47"/>
        <v>-120.02</v>
      </c>
      <c r="AB279" s="2">
        <v>-547.86</v>
      </c>
      <c r="AC279" s="2"/>
      <c r="AD279" s="2">
        <f t="shared" si="48"/>
        <v>547.86</v>
      </c>
      <c r="AE279" s="2">
        <v>-427.84</v>
      </c>
      <c r="AF279" s="2">
        <v>2641.52</v>
      </c>
      <c r="AG279" s="2">
        <f t="shared" si="49"/>
        <v>3069.36</v>
      </c>
    </row>
    <row r="280" spans="1:33" x14ac:dyDescent="0.3">
      <c r="B280" s="3"/>
      <c r="C280" t="str">
        <f xml:space="preserve"> _xll.EPMOlapMemberO("[CLACO].[PARENTH1].[AMSAASESORIAS]","","Asesorías y Consulto","","000")</f>
        <v>Asesorías y Consulto</v>
      </c>
      <c r="D280" s="2">
        <v>36663.129999999997</v>
      </c>
      <c r="E280" s="2">
        <v>52686.77</v>
      </c>
      <c r="F280" s="2">
        <f t="shared" si="40"/>
        <v>16023.64</v>
      </c>
      <c r="G280" s="2">
        <v>37719.07</v>
      </c>
      <c r="H280" s="2">
        <v>48635.26</v>
      </c>
      <c r="I280" s="2">
        <f t="shared" si="41"/>
        <v>10916.190000000002</v>
      </c>
      <c r="J280" s="2">
        <v>28143.11</v>
      </c>
      <c r="K280" s="2">
        <v>33211.410000000003</v>
      </c>
      <c r="L280" s="2">
        <f t="shared" si="42"/>
        <v>5068.3000000000029</v>
      </c>
      <c r="M280" s="2">
        <v>29240.43</v>
      </c>
      <c r="N280" s="2">
        <v>37681.08</v>
      </c>
      <c r="O280" s="2">
        <f t="shared" si="43"/>
        <v>8440.6500000000015</v>
      </c>
      <c r="P280" s="2">
        <v>73953.02</v>
      </c>
      <c r="Q280" s="2">
        <v>2303.87</v>
      </c>
      <c r="R280" s="2">
        <f t="shared" si="44"/>
        <v>-71649.150000000009</v>
      </c>
      <c r="S280" s="2">
        <v>1986.8</v>
      </c>
      <c r="T280" s="2">
        <v>2297.79</v>
      </c>
      <c r="U280" s="2">
        <f t="shared" si="45"/>
        <v>310.99</v>
      </c>
      <c r="V280" s="2">
        <v>2196.4299999999998</v>
      </c>
      <c r="W280" s="2">
        <v>2291.7199999999998</v>
      </c>
      <c r="X280" s="2">
        <f t="shared" si="46"/>
        <v>95.289999999999964</v>
      </c>
      <c r="Y280" s="2">
        <v>2421.5500000000002</v>
      </c>
      <c r="Z280" s="2">
        <v>2285.66</v>
      </c>
      <c r="AA280" s="2">
        <f t="shared" si="47"/>
        <v>-135.89000000000033</v>
      </c>
      <c r="AB280" s="2">
        <v>2154.38</v>
      </c>
      <c r="AC280" s="2">
        <v>2279.62</v>
      </c>
      <c r="AD280" s="2">
        <f t="shared" si="48"/>
        <v>125.23999999999978</v>
      </c>
      <c r="AE280" s="2">
        <v>85245.64</v>
      </c>
      <c r="AF280" s="2">
        <v>67520.649999999994</v>
      </c>
      <c r="AG280" s="2">
        <f t="shared" si="49"/>
        <v>-17724.990000000005</v>
      </c>
    </row>
    <row r="281" spans="1:33" x14ac:dyDescent="0.3">
      <c r="B281" s="3"/>
      <c r="C281" t="str">
        <f xml:space="preserve"> _xll.EPMOlapMemberO("[CLACO].[PARENTH1].[AMSAARRIENDOS]","","Arriendos","","000")</f>
        <v>Arriendos</v>
      </c>
      <c r="D281" s="2">
        <v>0</v>
      </c>
      <c r="E281" s="2"/>
      <c r="F281" s="2">
        <f t="shared" si="40"/>
        <v>0</v>
      </c>
      <c r="G281" s="2"/>
      <c r="H281" s="2"/>
      <c r="I281" s="2">
        <f t="shared" si="41"/>
        <v>0</v>
      </c>
      <c r="J281" s="2"/>
      <c r="K281" s="2"/>
      <c r="L281" s="2">
        <f t="shared" si="42"/>
        <v>0</v>
      </c>
      <c r="M281" s="2"/>
      <c r="N281" s="2"/>
      <c r="O281" s="2">
        <f t="shared" si="43"/>
        <v>0</v>
      </c>
      <c r="P281" s="2"/>
      <c r="Q281" s="2"/>
      <c r="R281" s="2">
        <f t="shared" si="44"/>
        <v>0</v>
      </c>
      <c r="S281" s="2"/>
      <c r="T281" s="2"/>
      <c r="U281" s="2">
        <f t="shared" si="45"/>
        <v>0</v>
      </c>
      <c r="V281" s="2"/>
      <c r="W281" s="2"/>
      <c r="X281" s="2">
        <f t="shared" si="46"/>
        <v>0</v>
      </c>
      <c r="Y281" s="2"/>
      <c r="Z281" s="2"/>
      <c r="AA281" s="2">
        <f t="shared" si="47"/>
        <v>0</v>
      </c>
      <c r="AB281" s="2"/>
      <c r="AC281" s="2"/>
      <c r="AD281" s="2">
        <f t="shared" si="48"/>
        <v>0</v>
      </c>
      <c r="AE281" s="2"/>
      <c r="AF281" s="2"/>
      <c r="AG281" s="2">
        <f t="shared" si="49"/>
        <v>0</v>
      </c>
    </row>
    <row r="282" spans="1:33" x14ac:dyDescent="0.3">
      <c r="B282" s="3"/>
      <c r="C282" t="str">
        <f xml:space="preserve"> _xll.EPMOlapMemberO("[CLACO].[PARENTH1].[AMSASERVICIOS]","","Servicios","","000")</f>
        <v>Servicios</v>
      </c>
      <c r="D282" s="2">
        <v>2093.9499999999998</v>
      </c>
      <c r="E282" s="2">
        <v>2339</v>
      </c>
      <c r="F282" s="2">
        <f t="shared" si="40"/>
        <v>245.05000000000018</v>
      </c>
      <c r="G282" s="2">
        <v>2813.73</v>
      </c>
      <c r="H282" s="2">
        <v>5080.42</v>
      </c>
      <c r="I282" s="2">
        <f t="shared" si="41"/>
        <v>2266.69</v>
      </c>
      <c r="J282" s="2">
        <v>3568.42</v>
      </c>
      <c r="K282" s="2">
        <v>2823.48</v>
      </c>
      <c r="L282" s="2">
        <f t="shared" si="42"/>
        <v>-744.94</v>
      </c>
      <c r="M282" s="2"/>
      <c r="N282" s="2">
        <v>2666.64</v>
      </c>
      <c r="O282" s="2">
        <f t="shared" si="43"/>
        <v>2666.64</v>
      </c>
      <c r="P282" s="2"/>
      <c r="Q282" s="2">
        <v>110.87</v>
      </c>
      <c r="R282" s="2">
        <f t="shared" si="44"/>
        <v>110.87</v>
      </c>
      <c r="S282" s="2"/>
      <c r="T282" s="2">
        <v>110.85</v>
      </c>
      <c r="U282" s="2">
        <f t="shared" si="45"/>
        <v>110.85</v>
      </c>
      <c r="V282" s="2"/>
      <c r="W282" s="2">
        <v>110.83</v>
      </c>
      <c r="X282" s="2">
        <f t="shared" si="46"/>
        <v>110.83</v>
      </c>
      <c r="Y282" s="2"/>
      <c r="Z282" s="2">
        <v>110.82</v>
      </c>
      <c r="AA282" s="2">
        <f t="shared" si="47"/>
        <v>110.82</v>
      </c>
      <c r="AB282" s="2"/>
      <c r="AC282" s="2">
        <v>110.81</v>
      </c>
      <c r="AD282" s="2">
        <f t="shared" si="48"/>
        <v>110.81</v>
      </c>
      <c r="AE282" s="2"/>
      <c r="AF282" s="2">
        <v>1330.8</v>
      </c>
      <c r="AG282" s="2">
        <f t="shared" si="49"/>
        <v>1330.8</v>
      </c>
    </row>
    <row r="283" spans="1:33" x14ac:dyDescent="0.3">
      <c r="B283" s="3"/>
      <c r="C283" t="str">
        <f xml:space="preserve"> _xll.EPMOlapMemberO("[CLACO].[PARENTH1].[AMSASERMANTO.REPA]","","Servicios Mantenimie","","000")</f>
        <v>Servicios Mantenimie</v>
      </c>
      <c r="D283" s="2"/>
      <c r="E283" s="2"/>
      <c r="F283" s="2">
        <f t="shared" si="40"/>
        <v>0</v>
      </c>
      <c r="G283" s="2">
        <v>324.44</v>
      </c>
      <c r="H283" s="2"/>
      <c r="I283" s="2">
        <f t="shared" si="41"/>
        <v>-324.44</v>
      </c>
      <c r="J283" s="2"/>
      <c r="K283" s="2"/>
      <c r="L283" s="2">
        <f t="shared" si="42"/>
        <v>0</v>
      </c>
      <c r="M283" s="2"/>
      <c r="N283" s="2"/>
      <c r="O283" s="2">
        <f t="shared" si="43"/>
        <v>0</v>
      </c>
      <c r="P283" s="2"/>
      <c r="Q283" s="2"/>
      <c r="R283" s="2">
        <f t="shared" si="44"/>
        <v>0</v>
      </c>
      <c r="S283" s="2"/>
      <c r="T283" s="2"/>
      <c r="U283" s="2">
        <f t="shared" si="45"/>
        <v>0</v>
      </c>
      <c r="V283" s="2"/>
      <c r="W283" s="2"/>
      <c r="X283" s="2">
        <f t="shared" si="46"/>
        <v>0</v>
      </c>
      <c r="Y283" s="2"/>
      <c r="Z283" s="2"/>
      <c r="AA283" s="2">
        <f t="shared" si="47"/>
        <v>0</v>
      </c>
      <c r="AB283" s="2"/>
      <c r="AC283" s="2"/>
      <c r="AD283" s="2">
        <f t="shared" si="48"/>
        <v>0</v>
      </c>
      <c r="AE283" s="2"/>
      <c r="AF283" s="2"/>
      <c r="AG283" s="2">
        <f t="shared" si="49"/>
        <v>0</v>
      </c>
    </row>
    <row r="284" spans="1:33" x14ac:dyDescent="0.3">
      <c r="B284" s="3"/>
      <c r="C284" t="str">
        <f xml:space="preserve"> _xll.EPMOlapMemberO("[CLACO].[PARENTH1].[AMSAINFORMATIC]","","Informática y Comuni","","000")</f>
        <v>Informática y Comuni</v>
      </c>
      <c r="D284" s="2">
        <v>33462.81</v>
      </c>
      <c r="E284" s="2">
        <v>35744.89</v>
      </c>
      <c r="F284" s="2">
        <f t="shared" si="40"/>
        <v>2282.0800000000017</v>
      </c>
      <c r="G284" s="2">
        <v>48520.83</v>
      </c>
      <c r="H284" s="2">
        <v>48093.22</v>
      </c>
      <c r="I284" s="2">
        <f t="shared" si="41"/>
        <v>-427.61000000000058</v>
      </c>
      <c r="J284" s="2">
        <v>51749.3</v>
      </c>
      <c r="K284" s="2">
        <v>50975.75</v>
      </c>
      <c r="L284" s="2">
        <f t="shared" si="42"/>
        <v>-773.55000000000291</v>
      </c>
      <c r="M284" s="2">
        <v>46944.3</v>
      </c>
      <c r="N284" s="2">
        <v>76117.48</v>
      </c>
      <c r="O284" s="2">
        <f t="shared" si="43"/>
        <v>29173.179999999993</v>
      </c>
      <c r="P284" s="2">
        <v>2424.38</v>
      </c>
      <c r="Q284" s="2">
        <v>847.15</v>
      </c>
      <c r="R284" s="2">
        <f t="shared" si="44"/>
        <v>-1577.23</v>
      </c>
      <c r="S284" s="2">
        <v>962.5</v>
      </c>
      <c r="T284" s="2">
        <v>847.32</v>
      </c>
      <c r="U284" s="2">
        <f t="shared" si="45"/>
        <v>-115.17999999999995</v>
      </c>
      <c r="V284" s="2">
        <v>13970.75</v>
      </c>
      <c r="W284" s="2">
        <v>15839.54</v>
      </c>
      <c r="X284" s="2">
        <f t="shared" si="46"/>
        <v>1868.7900000000009</v>
      </c>
      <c r="Y284" s="2">
        <v>1162.58</v>
      </c>
      <c r="Z284" s="2">
        <v>847.63</v>
      </c>
      <c r="AA284" s="2">
        <f t="shared" si="47"/>
        <v>-314.94999999999993</v>
      </c>
      <c r="AB284" s="2">
        <v>-19.579999999999998</v>
      </c>
      <c r="AC284" s="2">
        <v>847.84</v>
      </c>
      <c r="AD284" s="2">
        <f t="shared" si="48"/>
        <v>867.42000000000007</v>
      </c>
      <c r="AE284" s="2">
        <v>-9327.52</v>
      </c>
      <c r="AF284" s="2">
        <v>98270.56</v>
      </c>
      <c r="AG284" s="2">
        <f t="shared" si="49"/>
        <v>107598.08</v>
      </c>
    </row>
    <row r="285" spans="1:33" x14ac:dyDescent="0.3">
      <c r="B285" s="3"/>
      <c r="C285" t="str">
        <f xml:space="preserve"> _xll.EPMOlapMemberO("[CLACO].[PARENTH1].[AMSAG_VIAJES]","","Gastos de Viajes","","000")</f>
        <v>Gastos de Viajes</v>
      </c>
      <c r="D285" s="2">
        <v>4688.6400000000003</v>
      </c>
      <c r="E285" s="2"/>
      <c r="F285" s="2">
        <f t="shared" si="40"/>
        <v>-4688.6400000000003</v>
      </c>
      <c r="G285" s="2">
        <v>5632.36</v>
      </c>
      <c r="H285" s="2">
        <v>11210.06</v>
      </c>
      <c r="I285" s="2">
        <f t="shared" si="41"/>
        <v>5577.7</v>
      </c>
      <c r="J285" s="2">
        <v>35328.449999999997</v>
      </c>
      <c r="K285" s="2">
        <v>4901.84</v>
      </c>
      <c r="L285" s="2">
        <f t="shared" si="42"/>
        <v>-30426.609999999997</v>
      </c>
      <c r="M285" s="2">
        <v>7086.71</v>
      </c>
      <c r="N285" s="2">
        <v>2666.64</v>
      </c>
      <c r="O285" s="2">
        <f t="shared" si="43"/>
        <v>-4420.07</v>
      </c>
      <c r="P285" s="2">
        <v>25261.72</v>
      </c>
      <c r="Q285" s="2">
        <v>221.74</v>
      </c>
      <c r="R285" s="2">
        <f t="shared" si="44"/>
        <v>-25039.98</v>
      </c>
      <c r="S285" s="2">
        <v>336.15</v>
      </c>
      <c r="T285" s="2">
        <v>221.71</v>
      </c>
      <c r="U285" s="2">
        <f t="shared" si="45"/>
        <v>-114.43999999999997</v>
      </c>
      <c r="V285" s="2">
        <v>-1654.31</v>
      </c>
      <c r="W285" s="2">
        <v>221.67</v>
      </c>
      <c r="X285" s="2">
        <f t="shared" si="46"/>
        <v>1875.98</v>
      </c>
      <c r="Y285" s="2">
        <v>2675.76</v>
      </c>
      <c r="Z285" s="2">
        <v>221.63</v>
      </c>
      <c r="AA285" s="2">
        <f t="shared" si="47"/>
        <v>-2454.13</v>
      </c>
      <c r="AB285" s="2">
        <v>-55.46</v>
      </c>
      <c r="AC285" s="2">
        <v>221.62</v>
      </c>
      <c r="AD285" s="2">
        <f t="shared" si="48"/>
        <v>277.08</v>
      </c>
      <c r="AE285" s="2">
        <v>30072</v>
      </c>
      <c r="AF285" s="2">
        <v>2661.61</v>
      </c>
      <c r="AG285" s="2">
        <f t="shared" si="49"/>
        <v>-27410.39</v>
      </c>
    </row>
    <row r="286" spans="1:33" x14ac:dyDescent="0.3">
      <c r="B286" s="3"/>
      <c r="C286" t="str">
        <f xml:space="preserve"> _xll.EPMOlapMemberO("[CLACO].[PARENTH1].[AMSASEGUROS]","","Seguros","","000")</f>
        <v>Seguros</v>
      </c>
      <c r="D286" s="2">
        <v>0</v>
      </c>
      <c r="E286" s="2"/>
      <c r="F286" s="2">
        <f t="shared" si="40"/>
        <v>0</v>
      </c>
      <c r="G286" s="2"/>
      <c r="H286" s="2"/>
      <c r="I286" s="2">
        <f t="shared" si="41"/>
        <v>0</v>
      </c>
      <c r="J286" s="2"/>
      <c r="K286" s="2"/>
      <c r="L286" s="2">
        <f t="shared" si="42"/>
        <v>0</v>
      </c>
      <c r="M286" s="2"/>
      <c r="N286" s="2"/>
      <c r="O286" s="2">
        <f t="shared" si="43"/>
        <v>0</v>
      </c>
      <c r="P286" s="2"/>
      <c r="Q286" s="2"/>
      <c r="R286" s="2">
        <f t="shared" si="44"/>
        <v>0</v>
      </c>
      <c r="S286" s="2"/>
      <c r="T286" s="2"/>
      <c r="U286" s="2">
        <f t="shared" si="45"/>
        <v>0</v>
      </c>
      <c r="V286" s="2"/>
      <c r="W286" s="2"/>
      <c r="X286" s="2">
        <f t="shared" si="46"/>
        <v>0</v>
      </c>
      <c r="Y286" s="2"/>
      <c r="Z286" s="2"/>
      <c r="AA286" s="2">
        <f t="shared" si="47"/>
        <v>0</v>
      </c>
      <c r="AB286" s="2"/>
      <c r="AC286" s="2"/>
      <c r="AD286" s="2">
        <f t="shared" si="48"/>
        <v>0</v>
      </c>
      <c r="AE286" s="2"/>
      <c r="AF286" s="2"/>
      <c r="AG286" s="2">
        <f t="shared" si="49"/>
        <v>0</v>
      </c>
    </row>
    <row r="287" spans="1:33" x14ac:dyDescent="0.3">
      <c r="B287" s="3"/>
      <c r="C287" t="str">
        <f xml:space="preserve"> _xll.EPMOlapMemberO("[CLACO].[PARENTH1].[AMSAIMP_PATEN]","","Impuestos / Patentes","","000")</f>
        <v>Impuestos / Patentes</v>
      </c>
      <c r="D287" s="2">
        <v>67.209999999999994</v>
      </c>
      <c r="E287" s="2"/>
      <c r="F287" s="2">
        <f t="shared" si="40"/>
        <v>-67.209999999999994</v>
      </c>
      <c r="G287" s="2"/>
      <c r="H287" s="2"/>
      <c r="I287" s="2">
        <f t="shared" si="41"/>
        <v>0</v>
      </c>
      <c r="J287" s="2">
        <v>104.77</v>
      </c>
      <c r="K287" s="2"/>
      <c r="L287" s="2">
        <f t="shared" si="42"/>
        <v>-104.77</v>
      </c>
      <c r="M287" s="2">
        <v>215.18</v>
      </c>
      <c r="N287" s="2"/>
      <c r="O287" s="2">
        <f t="shared" si="43"/>
        <v>-215.18</v>
      </c>
      <c r="P287" s="2"/>
      <c r="Q287" s="2"/>
      <c r="R287" s="2">
        <f t="shared" si="44"/>
        <v>0</v>
      </c>
      <c r="S287" s="2"/>
      <c r="T287" s="2"/>
      <c r="U287" s="2">
        <f t="shared" si="45"/>
        <v>0</v>
      </c>
      <c r="V287" s="2">
        <v>38.19</v>
      </c>
      <c r="W287" s="2"/>
      <c r="X287" s="2">
        <f t="shared" si="46"/>
        <v>-38.19</v>
      </c>
      <c r="Y287" s="2">
        <v>69.8</v>
      </c>
      <c r="Z287" s="2"/>
      <c r="AA287" s="2">
        <f t="shared" si="47"/>
        <v>-69.8</v>
      </c>
      <c r="AB287" s="2"/>
      <c r="AC287" s="2"/>
      <c r="AD287" s="2">
        <f t="shared" si="48"/>
        <v>0</v>
      </c>
      <c r="AE287" s="2">
        <v>107.99</v>
      </c>
      <c r="AF287" s="2"/>
      <c r="AG287" s="2">
        <f t="shared" si="49"/>
        <v>-107.99</v>
      </c>
    </row>
    <row r="288" spans="1:33" x14ac:dyDescent="0.3">
      <c r="B288" s="3"/>
      <c r="C288" t="str">
        <f xml:space="preserve"> _xll.EPMOlapMemberO("[CLACO].[PARENTH1].[AMSAGGENERALES.2]","","Otros Gastos","","000")</f>
        <v>Otros Gastos</v>
      </c>
      <c r="D288" s="2">
        <v>8859.77</v>
      </c>
      <c r="E288" s="2">
        <v>17706.330000000002</v>
      </c>
      <c r="F288" s="2">
        <f t="shared" si="40"/>
        <v>8846.5600000000013</v>
      </c>
      <c r="G288" s="2">
        <v>31290.16</v>
      </c>
      <c r="H288" s="2">
        <v>12110.13</v>
      </c>
      <c r="I288" s="2">
        <f t="shared" si="41"/>
        <v>-19180.03</v>
      </c>
      <c r="J288" s="2">
        <v>8706.4699999999993</v>
      </c>
      <c r="K288" s="2">
        <v>8183.46</v>
      </c>
      <c r="L288" s="2">
        <f t="shared" si="42"/>
        <v>-523.00999999999931</v>
      </c>
      <c r="M288" s="2">
        <v>12589.26</v>
      </c>
      <c r="N288" s="2">
        <v>10574.43</v>
      </c>
      <c r="O288" s="2">
        <f t="shared" si="43"/>
        <v>-2014.83</v>
      </c>
      <c r="P288" s="2">
        <v>660.33</v>
      </c>
      <c r="Q288" s="2">
        <v>970.69</v>
      </c>
      <c r="R288" s="2">
        <f t="shared" si="44"/>
        <v>310.36</v>
      </c>
      <c r="S288" s="2">
        <v>563.74</v>
      </c>
      <c r="T288" s="2">
        <v>970.1</v>
      </c>
      <c r="U288" s="2">
        <f t="shared" si="45"/>
        <v>406.36</v>
      </c>
      <c r="V288" s="2">
        <v>432.48</v>
      </c>
      <c r="W288" s="2">
        <v>969.53</v>
      </c>
      <c r="X288" s="2">
        <f t="shared" si="46"/>
        <v>537.04999999999995</v>
      </c>
      <c r="Y288" s="2">
        <v>2997.43</v>
      </c>
      <c r="Z288" s="2">
        <v>968.95</v>
      </c>
      <c r="AA288" s="2">
        <f t="shared" si="47"/>
        <v>-2028.4799999999998</v>
      </c>
      <c r="AB288" s="2">
        <v>222.83</v>
      </c>
      <c r="AC288" s="2">
        <v>968.44</v>
      </c>
      <c r="AD288" s="2">
        <f t="shared" si="48"/>
        <v>745.61</v>
      </c>
      <c r="AE288" s="2">
        <v>5001.71</v>
      </c>
      <c r="AF288" s="2">
        <v>11880.98</v>
      </c>
      <c r="AG288" s="2">
        <f t="shared" si="49"/>
        <v>6879.2699999999995</v>
      </c>
    </row>
    <row r="289" spans="1:33" x14ac:dyDescent="0.3">
      <c r="A289" t="s">
        <v>31</v>
      </c>
      <c r="B289" s="3" t="str">
        <f xml:space="preserve"> _xll.EPMOlapMemberO("[CECO].[PARENTH3].[AMSA1000AC3509]","","Gcia Impuestos","","000")</f>
        <v>Gcia Impuestos</v>
      </c>
      <c r="C289" t="str">
        <f xml:space="preserve"> _xll.EPMOlapMemberO("[CLACO].[PARENTH1].[AMSAREMUNERACI.SS]","","Remuneraciones Super","","000")</f>
        <v>Remuneraciones Super</v>
      </c>
      <c r="D289" s="2">
        <v>893334.96</v>
      </c>
      <c r="E289" s="2">
        <v>877252.44</v>
      </c>
      <c r="F289" s="2">
        <f t="shared" si="40"/>
        <v>-16082.520000000019</v>
      </c>
      <c r="G289" s="2">
        <v>1076895.02</v>
      </c>
      <c r="H289" s="2">
        <v>961528.65</v>
      </c>
      <c r="I289" s="2">
        <f t="shared" si="41"/>
        <v>-115366.37</v>
      </c>
      <c r="J289" s="2">
        <v>1061865.42</v>
      </c>
      <c r="K289" s="2">
        <v>1299882.9099999999</v>
      </c>
      <c r="L289" s="2">
        <f t="shared" si="42"/>
        <v>238017.49</v>
      </c>
      <c r="M289" s="2">
        <v>1169495.23</v>
      </c>
      <c r="N289" s="2">
        <v>1189796.29</v>
      </c>
      <c r="O289" s="2">
        <f t="shared" si="43"/>
        <v>20301.060000000056</v>
      </c>
      <c r="P289" s="2">
        <v>95291.02</v>
      </c>
      <c r="Q289" s="2">
        <v>95224.19</v>
      </c>
      <c r="R289" s="2">
        <f t="shared" si="44"/>
        <v>-66.830000000001746</v>
      </c>
      <c r="S289" s="2">
        <v>109377.38</v>
      </c>
      <c r="T289" s="2">
        <v>116383.11</v>
      </c>
      <c r="U289" s="2">
        <f t="shared" si="45"/>
        <v>7005.7299999999959</v>
      </c>
      <c r="V289" s="2">
        <v>96098.79</v>
      </c>
      <c r="W289" s="2">
        <v>95190.37</v>
      </c>
      <c r="X289" s="2">
        <f t="shared" si="46"/>
        <v>-908.41999999999825</v>
      </c>
      <c r="Y289" s="2">
        <v>159597.53</v>
      </c>
      <c r="Z289" s="2">
        <v>115162.71</v>
      </c>
      <c r="AA289" s="2">
        <f t="shared" si="47"/>
        <v>-44434.819999999992</v>
      </c>
      <c r="AB289" s="2">
        <v>96876.08</v>
      </c>
      <c r="AC289" s="2">
        <v>93970.07</v>
      </c>
      <c r="AD289" s="2">
        <f t="shared" si="48"/>
        <v>-2906.0099999999948</v>
      </c>
      <c r="AE289" s="2">
        <v>558041.85</v>
      </c>
      <c r="AF289" s="2">
        <v>1219610.78</v>
      </c>
      <c r="AG289" s="2">
        <f t="shared" si="49"/>
        <v>661568.93000000005</v>
      </c>
    </row>
    <row r="290" spans="1:33" x14ac:dyDescent="0.3">
      <c r="B290" s="3"/>
      <c r="C290" t="str">
        <f xml:space="preserve"> _xll.EPMOlapMemberO("[CLACO].[PARENTH1].[AMSAMAT_Y_REP.2]","","Materiales y repuest","","000")</f>
        <v>Materiales y repuest</v>
      </c>
      <c r="D290" s="2"/>
      <c r="E290" s="2"/>
      <c r="F290" s="2">
        <f t="shared" si="40"/>
        <v>0</v>
      </c>
      <c r="G290" s="2">
        <v>0</v>
      </c>
      <c r="H290" s="2"/>
      <c r="I290" s="2">
        <f t="shared" si="41"/>
        <v>0</v>
      </c>
      <c r="J290" s="2"/>
      <c r="K290" s="2"/>
      <c r="L290" s="2">
        <f t="shared" si="42"/>
        <v>0</v>
      </c>
      <c r="M290" s="2"/>
      <c r="N290" s="2"/>
      <c r="O290" s="2">
        <f t="shared" si="43"/>
        <v>0</v>
      </c>
      <c r="P290" s="2"/>
      <c r="Q290" s="2"/>
      <c r="R290" s="2">
        <f t="shared" si="44"/>
        <v>0</v>
      </c>
      <c r="S290" s="2"/>
      <c r="T290" s="2"/>
      <c r="U290" s="2">
        <f t="shared" si="45"/>
        <v>0</v>
      </c>
      <c r="V290" s="2"/>
      <c r="W290" s="2"/>
      <c r="X290" s="2">
        <f t="shared" si="46"/>
        <v>0</v>
      </c>
      <c r="Y290" s="2"/>
      <c r="Z290" s="2"/>
      <c r="AA290" s="2">
        <f t="shared" si="47"/>
        <v>0</v>
      </c>
      <c r="AB290" s="2"/>
      <c r="AC290" s="2"/>
      <c r="AD290" s="2">
        <f t="shared" si="48"/>
        <v>0</v>
      </c>
      <c r="AE290" s="2"/>
      <c r="AF290" s="2"/>
      <c r="AG290" s="2">
        <f t="shared" si="49"/>
        <v>0</v>
      </c>
    </row>
    <row r="291" spans="1:33" x14ac:dyDescent="0.3">
      <c r="B291" s="3"/>
      <c r="C291" t="str">
        <f xml:space="preserve"> _xll.EPMOlapMemberO("[CLACO].[PARENTH1].[AMSAADM_PERSON]","","Administración Perso","","000")</f>
        <v>Administración Perso</v>
      </c>
      <c r="D291" s="2"/>
      <c r="E291" s="2"/>
      <c r="F291" s="2">
        <f t="shared" si="40"/>
        <v>0</v>
      </c>
      <c r="G291" s="2"/>
      <c r="H291" s="2"/>
      <c r="I291" s="2">
        <f t="shared" si="41"/>
        <v>0</v>
      </c>
      <c r="J291" s="2">
        <v>0</v>
      </c>
      <c r="K291" s="2"/>
      <c r="L291" s="2">
        <f t="shared" si="42"/>
        <v>0</v>
      </c>
      <c r="M291" s="2">
        <v>302.7</v>
      </c>
      <c r="N291" s="2"/>
      <c r="O291" s="2">
        <f t="shared" si="43"/>
        <v>-302.7</v>
      </c>
      <c r="P291" s="2"/>
      <c r="Q291" s="2"/>
      <c r="R291" s="2">
        <f t="shared" si="44"/>
        <v>0</v>
      </c>
      <c r="S291" s="2"/>
      <c r="T291" s="2"/>
      <c r="U291" s="2">
        <f t="shared" si="45"/>
        <v>0</v>
      </c>
      <c r="V291" s="2"/>
      <c r="W291" s="2"/>
      <c r="X291" s="2">
        <f t="shared" si="46"/>
        <v>0</v>
      </c>
      <c r="Y291" s="2"/>
      <c r="Z291" s="2"/>
      <c r="AA291" s="2">
        <f t="shared" si="47"/>
        <v>0</v>
      </c>
      <c r="AB291" s="2"/>
      <c r="AC291" s="2"/>
      <c r="AD291" s="2">
        <f t="shared" si="48"/>
        <v>0</v>
      </c>
      <c r="AE291" s="2"/>
      <c r="AF291" s="2"/>
      <c r="AG291" s="2">
        <f t="shared" si="49"/>
        <v>0</v>
      </c>
    </row>
    <row r="292" spans="1:33" x14ac:dyDescent="0.3">
      <c r="B292" s="3"/>
      <c r="C292" t="str">
        <f xml:space="preserve"> _xll.EPMOlapMemberO("[CLACO].[PARENTH1].[AMSAENTRENAMI]","","Entrenamiento","","000")</f>
        <v>Entrenamiento</v>
      </c>
      <c r="D292" s="2">
        <v>-8295.7900000000009</v>
      </c>
      <c r="E292" s="2">
        <v>12339.57</v>
      </c>
      <c r="F292" s="2">
        <f t="shared" si="40"/>
        <v>20635.36</v>
      </c>
      <c r="G292" s="2">
        <v>1692.28</v>
      </c>
      <c r="H292" s="2">
        <v>12000</v>
      </c>
      <c r="I292" s="2">
        <f t="shared" si="41"/>
        <v>10307.719999999999</v>
      </c>
      <c r="J292" s="2">
        <v>2025.53</v>
      </c>
      <c r="K292" s="2">
        <v>12916</v>
      </c>
      <c r="L292" s="2">
        <f t="shared" si="42"/>
        <v>10890.47</v>
      </c>
      <c r="M292" s="2">
        <v>8343.31</v>
      </c>
      <c r="N292" s="2">
        <v>12700</v>
      </c>
      <c r="O292" s="2">
        <f t="shared" si="43"/>
        <v>4356.6900000000005</v>
      </c>
      <c r="P292" s="2">
        <v>-1735.1</v>
      </c>
      <c r="Q292" s="2">
        <v>1022.03</v>
      </c>
      <c r="R292" s="2">
        <f t="shared" si="44"/>
        <v>2757.13</v>
      </c>
      <c r="S292" s="2">
        <v>194.03</v>
      </c>
      <c r="T292" s="2">
        <v>1022.46</v>
      </c>
      <c r="U292" s="2">
        <f t="shared" si="45"/>
        <v>828.43000000000006</v>
      </c>
      <c r="V292" s="2">
        <v>-398.64</v>
      </c>
      <c r="W292" s="2">
        <v>1022.86</v>
      </c>
      <c r="X292" s="2">
        <f t="shared" si="46"/>
        <v>1421.5</v>
      </c>
      <c r="Y292" s="2">
        <v>29.05</v>
      </c>
      <c r="Z292" s="2">
        <v>1023.31</v>
      </c>
      <c r="AA292" s="2">
        <f t="shared" si="47"/>
        <v>994.26</v>
      </c>
      <c r="AB292" s="2">
        <v>364.78</v>
      </c>
      <c r="AC292" s="2">
        <v>1023.77</v>
      </c>
      <c r="AD292" s="2">
        <f t="shared" si="48"/>
        <v>658.99</v>
      </c>
      <c r="AE292" s="2">
        <v>-6544.6</v>
      </c>
      <c r="AF292" s="2">
        <v>12972.86</v>
      </c>
      <c r="AG292" s="2">
        <f t="shared" si="49"/>
        <v>19517.46</v>
      </c>
    </row>
    <row r="293" spans="1:33" x14ac:dyDescent="0.3">
      <c r="B293" s="3"/>
      <c r="C293" t="str">
        <f xml:space="preserve"> _xll.EPMOlapMemberO("[CLACO].[PARENTH1].[AMSAASESORIAS]","","Asesorías y Consulto","","000")</f>
        <v>Asesorías y Consulto</v>
      </c>
      <c r="D293" s="2">
        <v>111878.39</v>
      </c>
      <c r="E293" s="2">
        <v>134803.81</v>
      </c>
      <c r="F293" s="2">
        <f t="shared" si="40"/>
        <v>22925.42</v>
      </c>
      <c r="G293" s="2">
        <v>108488.72</v>
      </c>
      <c r="H293" s="2">
        <v>99950.43</v>
      </c>
      <c r="I293" s="2">
        <f t="shared" si="41"/>
        <v>-8538.2900000000081</v>
      </c>
      <c r="J293" s="2">
        <v>264136.46000000002</v>
      </c>
      <c r="K293" s="2">
        <v>90830.25</v>
      </c>
      <c r="L293" s="2">
        <f t="shared" si="42"/>
        <v>-173306.21000000002</v>
      </c>
      <c r="M293" s="2">
        <v>175252.53</v>
      </c>
      <c r="N293" s="2">
        <v>80531.53</v>
      </c>
      <c r="O293" s="2">
        <f t="shared" si="43"/>
        <v>-94721</v>
      </c>
      <c r="P293" s="2">
        <v>-7923.27</v>
      </c>
      <c r="Q293" s="2">
        <v>3310.51</v>
      </c>
      <c r="R293" s="2">
        <f t="shared" si="44"/>
        <v>11233.78</v>
      </c>
      <c r="S293" s="2">
        <v>19788.400000000001</v>
      </c>
      <c r="T293" s="2">
        <v>3311.91</v>
      </c>
      <c r="U293" s="2">
        <f t="shared" si="45"/>
        <v>-16476.490000000002</v>
      </c>
      <c r="V293" s="2">
        <v>23226.85</v>
      </c>
      <c r="W293" s="2">
        <v>3313.21</v>
      </c>
      <c r="X293" s="2">
        <f t="shared" si="46"/>
        <v>-19913.64</v>
      </c>
      <c r="Y293" s="2">
        <v>-20466.78</v>
      </c>
      <c r="Z293" s="2">
        <v>3314.63</v>
      </c>
      <c r="AA293" s="2">
        <f t="shared" si="47"/>
        <v>23781.41</v>
      </c>
      <c r="AB293" s="2">
        <v>31349.33</v>
      </c>
      <c r="AC293" s="2">
        <v>3316.16</v>
      </c>
      <c r="AD293" s="2">
        <f t="shared" si="48"/>
        <v>-28033.170000000002</v>
      </c>
      <c r="AE293" s="2">
        <v>-10520.23</v>
      </c>
      <c r="AF293" s="2">
        <v>82337.36</v>
      </c>
      <c r="AG293" s="2">
        <f t="shared" si="49"/>
        <v>92857.59</v>
      </c>
    </row>
    <row r="294" spans="1:33" x14ac:dyDescent="0.3">
      <c r="B294" s="3"/>
      <c r="C294" t="str">
        <f xml:space="preserve"> _xll.EPMOlapMemberO("[CLACO].[PARENTH1].[AMSAARRIENDOS]","","Arriendos","","000")</f>
        <v>Arriendos</v>
      </c>
      <c r="D294" s="2"/>
      <c r="E294" s="2"/>
      <c r="F294" s="2">
        <f t="shared" si="40"/>
        <v>0</v>
      </c>
      <c r="G294" s="2"/>
      <c r="H294" s="2"/>
      <c r="I294" s="2">
        <f t="shared" si="41"/>
        <v>0</v>
      </c>
      <c r="J294" s="2">
        <v>1491.94</v>
      </c>
      <c r="K294" s="2"/>
      <c r="L294" s="2">
        <f t="shared" si="42"/>
        <v>-1491.94</v>
      </c>
      <c r="M294" s="2"/>
      <c r="N294" s="2"/>
      <c r="O294" s="2">
        <f t="shared" si="43"/>
        <v>0</v>
      </c>
      <c r="P294" s="2"/>
      <c r="Q294" s="2"/>
      <c r="R294" s="2">
        <f t="shared" si="44"/>
        <v>0</v>
      </c>
      <c r="S294" s="2"/>
      <c r="T294" s="2"/>
      <c r="U294" s="2">
        <f t="shared" si="45"/>
        <v>0</v>
      </c>
      <c r="V294" s="2"/>
      <c r="W294" s="2"/>
      <c r="X294" s="2">
        <f t="shared" si="46"/>
        <v>0</v>
      </c>
      <c r="Y294" s="2"/>
      <c r="Z294" s="2"/>
      <c r="AA294" s="2">
        <f t="shared" si="47"/>
        <v>0</v>
      </c>
      <c r="AB294" s="2"/>
      <c r="AC294" s="2"/>
      <c r="AD294" s="2">
        <f t="shared" si="48"/>
        <v>0</v>
      </c>
      <c r="AE294" s="2"/>
      <c r="AF294" s="2"/>
      <c r="AG294" s="2">
        <f t="shared" si="49"/>
        <v>0</v>
      </c>
    </row>
    <row r="295" spans="1:33" x14ac:dyDescent="0.3">
      <c r="B295" s="3"/>
      <c r="C295" t="str">
        <f xml:space="preserve"> _xll.EPMOlapMemberO("[CLACO].[PARENTH1].[AMSASERVICIOS]","","Servicios","","000")</f>
        <v>Servicios</v>
      </c>
      <c r="D295" s="2"/>
      <c r="E295" s="2"/>
      <c r="F295" s="2">
        <f t="shared" si="40"/>
        <v>0</v>
      </c>
      <c r="G295" s="2">
        <v>13125.8</v>
      </c>
      <c r="H295" s="2">
        <v>66407.210000000006</v>
      </c>
      <c r="I295" s="2">
        <f t="shared" si="41"/>
        <v>53281.41</v>
      </c>
      <c r="J295" s="2">
        <v>26118.69</v>
      </c>
      <c r="K295" s="2">
        <v>67486.14</v>
      </c>
      <c r="L295" s="2">
        <f t="shared" si="42"/>
        <v>41367.449999999997</v>
      </c>
      <c r="M295" s="2">
        <v>10384.02</v>
      </c>
      <c r="N295" s="2">
        <v>50905.01</v>
      </c>
      <c r="O295" s="2">
        <f t="shared" si="43"/>
        <v>40520.990000000005</v>
      </c>
      <c r="P295" s="2">
        <v>3466.51</v>
      </c>
      <c r="Q295" s="2">
        <v>4335.54</v>
      </c>
      <c r="R295" s="2">
        <f t="shared" si="44"/>
        <v>869.02999999999975</v>
      </c>
      <c r="S295" s="2">
        <v>-6385.24</v>
      </c>
      <c r="T295" s="2">
        <v>4337.38</v>
      </c>
      <c r="U295" s="2">
        <f t="shared" si="45"/>
        <v>10722.619999999999</v>
      </c>
      <c r="V295" s="2">
        <v>-4130.0200000000004</v>
      </c>
      <c r="W295" s="2">
        <v>4339.09</v>
      </c>
      <c r="X295" s="2">
        <f t="shared" si="46"/>
        <v>8469.11</v>
      </c>
      <c r="Y295" s="2">
        <v>3539.9</v>
      </c>
      <c r="Z295" s="2">
        <v>4340.9399999999996</v>
      </c>
      <c r="AA295" s="2">
        <f t="shared" si="47"/>
        <v>801.03999999999951</v>
      </c>
      <c r="AB295" s="2">
        <v>488.97</v>
      </c>
      <c r="AC295" s="2">
        <v>4342.93</v>
      </c>
      <c r="AD295" s="2">
        <f t="shared" si="48"/>
        <v>3853.96</v>
      </c>
      <c r="AE295" s="2">
        <v>-9949.81</v>
      </c>
      <c r="AF295" s="2">
        <v>51905.87</v>
      </c>
      <c r="AG295" s="2">
        <f t="shared" si="49"/>
        <v>61855.68</v>
      </c>
    </row>
    <row r="296" spans="1:33" x14ac:dyDescent="0.3">
      <c r="B296" s="3"/>
      <c r="C296" t="str">
        <f xml:space="preserve"> _xll.EPMOlapMemberO("[CLACO].[PARENTH1].[AMSAINFORMATIC]","","Informática y Comuni","","000")</f>
        <v>Informática y Comuni</v>
      </c>
      <c r="D296" s="2">
        <v>943.81</v>
      </c>
      <c r="E296" s="2">
        <v>5579.84</v>
      </c>
      <c r="F296" s="2">
        <f t="shared" si="40"/>
        <v>4636.0300000000007</v>
      </c>
      <c r="G296" s="2">
        <v>9649.59</v>
      </c>
      <c r="H296" s="2">
        <v>5579.83</v>
      </c>
      <c r="I296" s="2">
        <f t="shared" si="41"/>
        <v>-4069.76</v>
      </c>
      <c r="J296" s="2">
        <v>6435.67</v>
      </c>
      <c r="K296" s="2">
        <v>8233.44</v>
      </c>
      <c r="L296" s="2">
        <f t="shared" si="42"/>
        <v>1797.7700000000004</v>
      </c>
      <c r="M296" s="2">
        <v>2533.9499999999998</v>
      </c>
      <c r="N296" s="2">
        <v>3759.81</v>
      </c>
      <c r="O296" s="2">
        <f t="shared" si="43"/>
        <v>1225.8600000000001</v>
      </c>
      <c r="P296" s="2">
        <v>4763.62</v>
      </c>
      <c r="Q296" s="2">
        <v>132.97</v>
      </c>
      <c r="R296" s="2">
        <f t="shared" si="44"/>
        <v>-4630.6499999999996</v>
      </c>
      <c r="S296" s="2">
        <v>38.159999999999997</v>
      </c>
      <c r="T296" s="2">
        <v>133.03</v>
      </c>
      <c r="U296" s="2">
        <f t="shared" si="45"/>
        <v>94.87</v>
      </c>
      <c r="V296" s="2">
        <v>37.97</v>
      </c>
      <c r="W296" s="2">
        <v>133.08000000000001</v>
      </c>
      <c r="X296" s="2">
        <f t="shared" si="46"/>
        <v>95.110000000000014</v>
      </c>
      <c r="Y296" s="2">
        <v>1332.46</v>
      </c>
      <c r="Z296" s="2">
        <v>133.13</v>
      </c>
      <c r="AA296" s="2">
        <f t="shared" si="47"/>
        <v>-1199.33</v>
      </c>
      <c r="AB296" s="2">
        <v>38.69</v>
      </c>
      <c r="AC296" s="2">
        <v>133.19</v>
      </c>
      <c r="AD296" s="2">
        <f t="shared" si="48"/>
        <v>94.5</v>
      </c>
      <c r="AE296" s="2">
        <v>6249.76</v>
      </c>
      <c r="AF296" s="2">
        <v>3840.19</v>
      </c>
      <c r="AG296" s="2">
        <f t="shared" si="49"/>
        <v>-2409.5700000000002</v>
      </c>
    </row>
    <row r="297" spans="1:33" x14ac:dyDescent="0.3">
      <c r="B297" s="3"/>
      <c r="C297" t="str">
        <f xml:space="preserve"> _xll.EPMOlapMemberO("[CLACO].[PARENTH1].[AMSAG_VIAJES]","","Gastos de Viajes","","000")</f>
        <v>Gastos de Viajes</v>
      </c>
      <c r="D297" s="2">
        <v>581.19000000000005</v>
      </c>
      <c r="E297" s="2">
        <v>10736.42</v>
      </c>
      <c r="F297" s="2">
        <f t="shared" si="40"/>
        <v>10155.23</v>
      </c>
      <c r="G297" s="2">
        <v>6460.46</v>
      </c>
      <c r="H297" s="2">
        <v>22791.01</v>
      </c>
      <c r="I297" s="2">
        <f t="shared" si="41"/>
        <v>16330.55</v>
      </c>
      <c r="J297" s="2">
        <v>7584.44</v>
      </c>
      <c r="K297" s="2">
        <v>178.64</v>
      </c>
      <c r="L297" s="2">
        <f t="shared" si="42"/>
        <v>-7405.7999999999993</v>
      </c>
      <c r="M297" s="2">
        <v>1496.28</v>
      </c>
      <c r="N297" s="2">
        <v>180</v>
      </c>
      <c r="O297" s="2">
        <f t="shared" si="43"/>
        <v>-1316.28</v>
      </c>
      <c r="P297" s="2"/>
      <c r="Q297" s="2"/>
      <c r="R297" s="2">
        <f t="shared" si="44"/>
        <v>0</v>
      </c>
      <c r="S297" s="2"/>
      <c r="T297" s="2"/>
      <c r="U297" s="2">
        <f t="shared" si="45"/>
        <v>0</v>
      </c>
      <c r="V297" s="2">
        <v>134.09</v>
      </c>
      <c r="W297" s="2"/>
      <c r="X297" s="2">
        <f t="shared" si="46"/>
        <v>-134.09</v>
      </c>
      <c r="Y297" s="2"/>
      <c r="Z297" s="2"/>
      <c r="AA297" s="2">
        <f t="shared" si="47"/>
        <v>0</v>
      </c>
      <c r="AB297" s="2"/>
      <c r="AC297" s="2"/>
      <c r="AD297" s="2">
        <f t="shared" si="48"/>
        <v>0</v>
      </c>
      <c r="AE297" s="2">
        <v>134.09</v>
      </c>
      <c r="AF297" s="2">
        <v>184.25</v>
      </c>
      <c r="AG297" s="2">
        <f t="shared" si="49"/>
        <v>50.16</v>
      </c>
    </row>
    <row r="298" spans="1:33" x14ac:dyDescent="0.3">
      <c r="B298" s="3"/>
      <c r="C298" t="str">
        <f xml:space="preserve"> _xll.EPMOlapMemberO("[CLACO].[PARENTH1].[AMSAIMP_PATEN]","","Impuestos / Patentes","","000")</f>
        <v>Impuestos / Patentes</v>
      </c>
      <c r="D298" s="2">
        <v>860726.65</v>
      </c>
      <c r="E298" s="2">
        <v>780746.89</v>
      </c>
      <c r="F298" s="2">
        <f t="shared" si="40"/>
        <v>-79979.760000000009</v>
      </c>
      <c r="G298" s="2">
        <v>1083221.79</v>
      </c>
      <c r="H298" s="2">
        <v>885939.38</v>
      </c>
      <c r="I298" s="2">
        <f t="shared" si="41"/>
        <v>-197282.41000000003</v>
      </c>
      <c r="J298" s="2">
        <v>837892.49</v>
      </c>
      <c r="K298" s="2">
        <v>960897.02</v>
      </c>
      <c r="L298" s="2">
        <f t="shared" si="42"/>
        <v>123004.53000000003</v>
      </c>
      <c r="M298" s="2">
        <v>929015.77</v>
      </c>
      <c r="N298" s="2">
        <v>1014722.46</v>
      </c>
      <c r="O298" s="2">
        <f t="shared" si="43"/>
        <v>85706.689999999944</v>
      </c>
      <c r="P298" s="2">
        <v>-188025.87</v>
      </c>
      <c r="Q298" s="2">
        <v>67.83</v>
      </c>
      <c r="R298" s="2">
        <f t="shared" si="44"/>
        <v>188093.69999999998</v>
      </c>
      <c r="S298" s="2">
        <v>334286.19</v>
      </c>
      <c r="T298" s="2">
        <v>136714.09</v>
      </c>
      <c r="U298" s="2">
        <f t="shared" si="45"/>
        <v>-197572.1</v>
      </c>
      <c r="V298" s="2">
        <v>0</v>
      </c>
      <c r="W298" s="2">
        <v>67.89</v>
      </c>
      <c r="X298" s="2">
        <f t="shared" si="46"/>
        <v>67.89</v>
      </c>
      <c r="Y298" s="2">
        <v>0</v>
      </c>
      <c r="Z298" s="2">
        <v>67.91</v>
      </c>
      <c r="AA298" s="2">
        <f t="shared" si="47"/>
        <v>67.91</v>
      </c>
      <c r="AB298" s="2">
        <v>313306.81</v>
      </c>
      <c r="AC298" s="2">
        <v>310509.44</v>
      </c>
      <c r="AD298" s="2">
        <f t="shared" si="48"/>
        <v>-2797.3699999999953</v>
      </c>
      <c r="AE298" s="2">
        <v>422281.87</v>
      </c>
      <c r="AF298" s="2">
        <v>913899.22</v>
      </c>
      <c r="AG298" s="2">
        <f t="shared" si="49"/>
        <v>491617.35</v>
      </c>
    </row>
    <row r="299" spans="1:33" x14ac:dyDescent="0.3">
      <c r="B299" s="3"/>
      <c r="C299" t="str">
        <f xml:space="preserve"> _xll.EPMOlapMemberO("[CLACO].[PARENTH1].[AMSAGGENERALES.2]","","Otros Gastos","","000")</f>
        <v>Otros Gastos</v>
      </c>
      <c r="D299" s="2">
        <v>458.59</v>
      </c>
      <c r="E299" s="2">
        <v>6342.74</v>
      </c>
      <c r="F299" s="2">
        <f t="shared" si="40"/>
        <v>5884.15</v>
      </c>
      <c r="G299" s="2">
        <v>770.54</v>
      </c>
      <c r="H299" s="2">
        <v>4105.41</v>
      </c>
      <c r="I299" s="2">
        <f t="shared" si="41"/>
        <v>3334.87</v>
      </c>
      <c r="J299" s="2">
        <v>1447.11</v>
      </c>
      <c r="K299" s="2">
        <v>4246.66</v>
      </c>
      <c r="L299" s="2">
        <f t="shared" si="42"/>
        <v>2799.55</v>
      </c>
      <c r="M299" s="2">
        <v>733.62</v>
      </c>
      <c r="N299" s="2">
        <v>6203.51</v>
      </c>
      <c r="O299" s="2">
        <f t="shared" si="43"/>
        <v>5469.89</v>
      </c>
      <c r="P299" s="2">
        <v>56.77</v>
      </c>
      <c r="Q299" s="2">
        <v>528.35</v>
      </c>
      <c r="R299" s="2">
        <f t="shared" si="44"/>
        <v>471.58000000000004</v>
      </c>
      <c r="S299" s="2">
        <v>103.61</v>
      </c>
      <c r="T299" s="2">
        <v>528.55999999999995</v>
      </c>
      <c r="U299" s="2">
        <f t="shared" si="45"/>
        <v>424.94999999999993</v>
      </c>
      <c r="V299" s="2">
        <v>21.42</v>
      </c>
      <c r="W299" s="2">
        <v>528.79</v>
      </c>
      <c r="X299" s="2">
        <f t="shared" si="46"/>
        <v>507.36999999999995</v>
      </c>
      <c r="Y299" s="2">
        <v>90.39</v>
      </c>
      <c r="Z299" s="2">
        <v>529</v>
      </c>
      <c r="AA299" s="2">
        <f t="shared" si="47"/>
        <v>438.61</v>
      </c>
      <c r="AB299" s="2">
        <v>79.010000000000005</v>
      </c>
      <c r="AC299" s="2">
        <v>529.26</v>
      </c>
      <c r="AD299" s="2">
        <f t="shared" si="48"/>
        <v>450.25</v>
      </c>
      <c r="AE299" s="2">
        <v>479.25</v>
      </c>
      <c r="AF299" s="2">
        <v>6342.55</v>
      </c>
      <c r="AG299" s="2">
        <f t="shared" si="49"/>
        <v>5863.3</v>
      </c>
    </row>
    <row r="300" spans="1:33" x14ac:dyDescent="0.3">
      <c r="A300" t="s">
        <v>32</v>
      </c>
      <c r="B300" s="3" t="str">
        <f xml:space="preserve"> _xll.EPMOlapMemberO("[CECO].[PARENTH3].[AMSA1000AC3512]","","Prog Compet Costos","","000")</f>
        <v>Prog Compet Costos</v>
      </c>
      <c r="C300" t="str">
        <f xml:space="preserve"> _xll.EPMOlapMemberO("[CLACO].[PARENTH1].[AMSAINFORMATIC]","","Informática y Comuni","","000")</f>
        <v>Informática y Comuni</v>
      </c>
      <c r="D300" s="2">
        <v>0</v>
      </c>
      <c r="E300" s="2"/>
      <c r="F300" s="2">
        <f t="shared" si="40"/>
        <v>0</v>
      </c>
      <c r="G300" s="2"/>
      <c r="H300" s="2"/>
      <c r="I300" s="2">
        <f t="shared" si="41"/>
        <v>0</v>
      </c>
      <c r="J300" s="2"/>
      <c r="K300" s="2"/>
      <c r="L300" s="2">
        <f t="shared" si="42"/>
        <v>0</v>
      </c>
      <c r="M300" s="2"/>
      <c r="N300" s="2"/>
      <c r="O300" s="2">
        <f t="shared" si="43"/>
        <v>0</v>
      </c>
      <c r="P300" s="2"/>
      <c r="Q300" s="2"/>
      <c r="R300" s="2">
        <f t="shared" si="44"/>
        <v>0</v>
      </c>
      <c r="S300" s="2"/>
      <c r="T300" s="2"/>
      <c r="U300" s="2">
        <f t="shared" si="45"/>
        <v>0</v>
      </c>
      <c r="V300" s="2"/>
      <c r="W300" s="2"/>
      <c r="X300" s="2">
        <f t="shared" si="46"/>
        <v>0</v>
      </c>
      <c r="Y300" s="2"/>
      <c r="Z300" s="2"/>
      <c r="AA300" s="2">
        <f t="shared" si="47"/>
        <v>0</v>
      </c>
      <c r="AB300" s="2"/>
      <c r="AC300" s="2"/>
      <c r="AD300" s="2">
        <f t="shared" si="48"/>
        <v>0</v>
      </c>
      <c r="AE300" s="2"/>
      <c r="AF300" s="2"/>
      <c r="AG300" s="2">
        <f t="shared" si="49"/>
        <v>0</v>
      </c>
    </row>
    <row r="301" spans="1:33" x14ac:dyDescent="0.3">
      <c r="A301" t="s">
        <v>33</v>
      </c>
      <c r="B301" s="3" t="str">
        <f xml:space="preserve"> _xll.EPMOlapMemberO("[CECO].[PARENTH3].[AMSA1000AC3513]","","Gcia.Riesgo y Ctrl I","","000")</f>
        <v>Gcia.Riesgo y Ctrl I</v>
      </c>
      <c r="C301" t="str">
        <f xml:space="preserve"> _xll.EPMOlapMemberO("[CLACO].[PARENTH1].[AMSAREMUNERACI.SS]","","Remuneraciones Super","","000")</f>
        <v>Remuneraciones Super</v>
      </c>
      <c r="D301" s="2">
        <v>943776.43</v>
      </c>
      <c r="E301" s="2">
        <v>1058261.1000000001</v>
      </c>
      <c r="F301" s="2">
        <f t="shared" si="40"/>
        <v>114484.67000000004</v>
      </c>
      <c r="G301" s="2">
        <v>1241394.51</v>
      </c>
      <c r="H301" s="2">
        <v>1279212.58</v>
      </c>
      <c r="I301" s="2">
        <f t="shared" si="41"/>
        <v>37818.070000000065</v>
      </c>
      <c r="J301" s="2">
        <v>1300076.8999999999</v>
      </c>
      <c r="K301" s="2">
        <v>1367568.86</v>
      </c>
      <c r="L301" s="2">
        <f t="shared" si="42"/>
        <v>67491.960000000196</v>
      </c>
      <c r="M301" s="2">
        <v>1591432.45</v>
      </c>
      <c r="N301" s="2">
        <v>1422598.78</v>
      </c>
      <c r="O301" s="2">
        <f t="shared" si="43"/>
        <v>-168833.66999999993</v>
      </c>
      <c r="P301" s="2">
        <v>60260.6</v>
      </c>
      <c r="Q301" s="2">
        <v>138635.87</v>
      </c>
      <c r="R301" s="2">
        <f t="shared" si="44"/>
        <v>78375.26999999999</v>
      </c>
      <c r="S301" s="2">
        <v>150380.46</v>
      </c>
      <c r="T301" s="2">
        <v>159903.13</v>
      </c>
      <c r="U301" s="2">
        <f t="shared" si="45"/>
        <v>9522.6700000000128</v>
      </c>
      <c r="V301" s="2">
        <v>108071.46</v>
      </c>
      <c r="W301" s="2">
        <v>137999.03</v>
      </c>
      <c r="X301" s="2">
        <f t="shared" si="46"/>
        <v>29927.569999999992</v>
      </c>
      <c r="Y301" s="2">
        <v>160778.35999999999</v>
      </c>
      <c r="Z301" s="2">
        <v>156865.57</v>
      </c>
      <c r="AA301" s="2">
        <f t="shared" si="47"/>
        <v>-3912.789999999979</v>
      </c>
      <c r="AB301" s="2">
        <v>122777.26</v>
      </c>
      <c r="AC301" s="2">
        <v>136795.48000000001</v>
      </c>
      <c r="AD301" s="2">
        <f t="shared" si="48"/>
        <v>14018.220000000016</v>
      </c>
      <c r="AE301" s="2">
        <v>603111.99</v>
      </c>
      <c r="AF301" s="2">
        <v>1739264.63</v>
      </c>
      <c r="AG301" s="2">
        <f t="shared" si="49"/>
        <v>1136152.6399999999</v>
      </c>
    </row>
    <row r="302" spans="1:33" x14ac:dyDescent="0.3">
      <c r="B302" s="3"/>
      <c r="C302" t="str">
        <f xml:space="preserve"> _xll.EPMOlapMemberO("[CLACO].[PARENTH1].[AMSAMAT_Y_REP.2]","","Materiales y repuest","","000")</f>
        <v>Materiales y repuest</v>
      </c>
      <c r="D302" s="2"/>
      <c r="E302" s="2"/>
      <c r="F302" s="2">
        <f t="shared" si="40"/>
        <v>0</v>
      </c>
      <c r="G302" s="2">
        <v>0</v>
      </c>
      <c r="H302" s="2"/>
      <c r="I302" s="2">
        <f t="shared" si="41"/>
        <v>0</v>
      </c>
      <c r="J302" s="2"/>
      <c r="K302" s="2"/>
      <c r="L302" s="2">
        <f t="shared" si="42"/>
        <v>0</v>
      </c>
      <c r="M302" s="2">
        <v>50.11</v>
      </c>
      <c r="N302" s="2"/>
      <c r="O302" s="2">
        <f t="shared" si="43"/>
        <v>-50.11</v>
      </c>
      <c r="P302" s="2"/>
      <c r="Q302" s="2"/>
      <c r="R302" s="2">
        <f t="shared" si="44"/>
        <v>0</v>
      </c>
      <c r="S302" s="2"/>
      <c r="T302" s="2"/>
      <c r="U302" s="2">
        <f t="shared" si="45"/>
        <v>0</v>
      </c>
      <c r="V302" s="2"/>
      <c r="W302" s="2"/>
      <c r="X302" s="2">
        <f t="shared" si="46"/>
        <v>0</v>
      </c>
      <c r="Y302" s="2">
        <v>75.12</v>
      </c>
      <c r="Z302" s="2"/>
      <c r="AA302" s="2">
        <f t="shared" si="47"/>
        <v>-75.12</v>
      </c>
      <c r="AB302" s="2"/>
      <c r="AC302" s="2"/>
      <c r="AD302" s="2">
        <f t="shared" si="48"/>
        <v>0</v>
      </c>
      <c r="AE302" s="2">
        <v>75.12</v>
      </c>
      <c r="AF302" s="2"/>
      <c r="AG302" s="2">
        <f t="shared" si="49"/>
        <v>-75.12</v>
      </c>
    </row>
    <row r="303" spans="1:33" x14ac:dyDescent="0.3">
      <c r="B303" s="3"/>
      <c r="C303" t="str">
        <f xml:space="preserve"> _xll.EPMOlapMemberO("[CLACO].[PARENTH1].[AMSAADM_PERSON]","","Administración Perso","","000")</f>
        <v>Administración Perso</v>
      </c>
      <c r="D303" s="2"/>
      <c r="E303" s="2"/>
      <c r="F303" s="2">
        <f t="shared" si="40"/>
        <v>0</v>
      </c>
      <c r="G303" s="2">
        <v>29355.38</v>
      </c>
      <c r="H303" s="2"/>
      <c r="I303" s="2">
        <f t="shared" si="41"/>
        <v>-29355.38</v>
      </c>
      <c r="J303" s="2"/>
      <c r="K303" s="2"/>
      <c r="L303" s="2">
        <f t="shared" si="42"/>
        <v>0</v>
      </c>
      <c r="M303" s="2"/>
      <c r="N303" s="2"/>
      <c r="O303" s="2">
        <f t="shared" si="43"/>
        <v>0</v>
      </c>
      <c r="P303" s="2"/>
      <c r="Q303" s="2"/>
      <c r="R303" s="2">
        <f t="shared" si="44"/>
        <v>0</v>
      </c>
      <c r="S303" s="2"/>
      <c r="T303" s="2"/>
      <c r="U303" s="2">
        <f t="shared" si="45"/>
        <v>0</v>
      </c>
      <c r="V303" s="2"/>
      <c r="W303" s="2"/>
      <c r="X303" s="2">
        <f t="shared" si="46"/>
        <v>0</v>
      </c>
      <c r="Y303" s="2"/>
      <c r="Z303" s="2"/>
      <c r="AA303" s="2">
        <f t="shared" si="47"/>
        <v>0</v>
      </c>
      <c r="AB303" s="2"/>
      <c r="AC303" s="2"/>
      <c r="AD303" s="2">
        <f t="shared" si="48"/>
        <v>0</v>
      </c>
      <c r="AE303" s="2"/>
      <c r="AF303" s="2"/>
      <c r="AG303" s="2">
        <f t="shared" si="49"/>
        <v>0</v>
      </c>
    </row>
    <row r="304" spans="1:33" x14ac:dyDescent="0.3">
      <c r="B304" s="3"/>
      <c r="C304" t="str">
        <f xml:space="preserve"> _xll.EPMOlapMemberO("[CLACO].[PARENTH1].[AMSAENTRENAMI]","","Entrenamiento","","000")</f>
        <v>Entrenamiento</v>
      </c>
      <c r="D304" s="2">
        <v>3097.95</v>
      </c>
      <c r="E304" s="2">
        <v>9629.6</v>
      </c>
      <c r="F304" s="2">
        <f t="shared" si="40"/>
        <v>6531.6500000000005</v>
      </c>
      <c r="G304" s="2"/>
      <c r="H304" s="2">
        <v>6032.37</v>
      </c>
      <c r="I304" s="2">
        <f t="shared" si="41"/>
        <v>6032.37</v>
      </c>
      <c r="J304" s="2">
        <v>7146.54</v>
      </c>
      <c r="K304" s="2">
        <v>4455.18</v>
      </c>
      <c r="L304" s="2">
        <f t="shared" si="42"/>
        <v>-2691.3599999999997</v>
      </c>
      <c r="M304" s="2">
        <v>9432.7000000000007</v>
      </c>
      <c r="N304" s="2">
        <v>8729.1</v>
      </c>
      <c r="O304" s="2">
        <f t="shared" si="43"/>
        <v>-703.60000000000036</v>
      </c>
      <c r="P304" s="2">
        <v>2040.71</v>
      </c>
      <c r="Q304" s="2"/>
      <c r="R304" s="2">
        <f t="shared" si="44"/>
        <v>-2040.71</v>
      </c>
      <c r="S304" s="2"/>
      <c r="T304" s="2">
        <v>2637.4</v>
      </c>
      <c r="U304" s="2">
        <f t="shared" si="45"/>
        <v>2637.4</v>
      </c>
      <c r="V304" s="2">
        <v>920.32</v>
      </c>
      <c r="W304" s="2">
        <v>673.07</v>
      </c>
      <c r="X304" s="2">
        <f t="shared" si="46"/>
        <v>-247.25</v>
      </c>
      <c r="Y304" s="2">
        <v>605.84</v>
      </c>
      <c r="Z304" s="2"/>
      <c r="AA304" s="2">
        <f t="shared" si="47"/>
        <v>-605.84</v>
      </c>
      <c r="AB304" s="2">
        <v>-4383.3999999999996</v>
      </c>
      <c r="AC304" s="2"/>
      <c r="AD304" s="2">
        <f t="shared" si="48"/>
        <v>4383.3999999999996</v>
      </c>
      <c r="AE304" s="2">
        <v>798.17</v>
      </c>
      <c r="AF304" s="2">
        <v>8950.8799999999992</v>
      </c>
      <c r="AG304" s="2">
        <f t="shared" si="49"/>
        <v>8152.7099999999991</v>
      </c>
    </row>
    <row r="305" spans="1:33" x14ac:dyDescent="0.3">
      <c r="B305" s="3"/>
      <c r="C305" t="str">
        <f xml:space="preserve"> _xll.EPMOlapMemberO("[CLACO].[PARENTH1].[AMSAASESORIAS]","","Asesorías y Consulto","","000")</f>
        <v>Asesorías y Consulto</v>
      </c>
      <c r="D305" s="2">
        <v>7573.74</v>
      </c>
      <c r="E305" s="2">
        <v>5135.42</v>
      </c>
      <c r="F305" s="2">
        <f t="shared" si="40"/>
        <v>-2438.3199999999997</v>
      </c>
      <c r="G305" s="2">
        <v>71948.850000000006</v>
      </c>
      <c r="H305" s="2">
        <v>24999.99</v>
      </c>
      <c r="I305" s="2">
        <f t="shared" si="41"/>
        <v>-46948.86</v>
      </c>
      <c r="J305" s="2">
        <v>21980.560000000001</v>
      </c>
      <c r="K305" s="2">
        <v>13978.19</v>
      </c>
      <c r="L305" s="2">
        <f t="shared" si="42"/>
        <v>-8002.3700000000008</v>
      </c>
      <c r="M305" s="2">
        <v>12597.5</v>
      </c>
      <c r="N305" s="2">
        <v>10913.25</v>
      </c>
      <c r="O305" s="2">
        <f t="shared" si="43"/>
        <v>-1684.25</v>
      </c>
      <c r="P305" s="2">
        <v>88071.33</v>
      </c>
      <c r="Q305" s="2">
        <v>4517.74</v>
      </c>
      <c r="R305" s="2">
        <f t="shared" si="44"/>
        <v>-83553.59</v>
      </c>
      <c r="S305" s="2">
        <v>65893.98</v>
      </c>
      <c r="T305" s="2"/>
      <c r="U305" s="2">
        <f t="shared" si="45"/>
        <v>-65893.98</v>
      </c>
      <c r="V305" s="2">
        <v>-371</v>
      </c>
      <c r="W305" s="2">
        <v>2341.61</v>
      </c>
      <c r="X305" s="2">
        <f t="shared" si="46"/>
        <v>2712.61</v>
      </c>
      <c r="Y305" s="2">
        <v>10397.950000000001</v>
      </c>
      <c r="Z305" s="2"/>
      <c r="AA305" s="2">
        <f t="shared" si="47"/>
        <v>-10397.950000000001</v>
      </c>
      <c r="AB305" s="2">
        <v>-8912.67</v>
      </c>
      <c r="AC305" s="2"/>
      <c r="AD305" s="2">
        <f t="shared" si="48"/>
        <v>8912.67</v>
      </c>
      <c r="AE305" s="2">
        <v>4554.24</v>
      </c>
      <c r="AF305" s="2">
        <v>23039.88</v>
      </c>
      <c r="AG305" s="2">
        <f t="shared" si="49"/>
        <v>18485.64</v>
      </c>
    </row>
    <row r="306" spans="1:33" x14ac:dyDescent="0.3">
      <c r="B306" s="3"/>
      <c r="C306" t="str">
        <f xml:space="preserve"> _xll.EPMOlapMemberO("[CLACO].[PARENTH1].[AMSASERVICIOS]","","Servicios","","000")</f>
        <v>Servicios</v>
      </c>
      <c r="D306" s="2">
        <v>73627.63</v>
      </c>
      <c r="E306" s="2">
        <v>77795.990000000005</v>
      </c>
      <c r="F306" s="2">
        <f t="shared" si="40"/>
        <v>4168.3600000000006</v>
      </c>
      <c r="G306" s="2">
        <v>105197.42</v>
      </c>
      <c r="H306" s="2">
        <v>71002.16</v>
      </c>
      <c r="I306" s="2">
        <f t="shared" si="41"/>
        <v>-34195.259999999995</v>
      </c>
      <c r="J306" s="2">
        <v>83772.98</v>
      </c>
      <c r="K306" s="2">
        <v>64150.41</v>
      </c>
      <c r="L306" s="2">
        <f t="shared" si="42"/>
        <v>-19622.569999999992</v>
      </c>
      <c r="M306" s="2">
        <v>71785.67</v>
      </c>
      <c r="N306" s="2">
        <v>87626.48</v>
      </c>
      <c r="O306" s="2">
        <f t="shared" si="43"/>
        <v>15840.809999999998</v>
      </c>
      <c r="P306" s="2">
        <v>4680.6099999999997</v>
      </c>
      <c r="Q306" s="2">
        <v>560.25</v>
      </c>
      <c r="R306" s="2">
        <f t="shared" si="44"/>
        <v>-4120.3599999999997</v>
      </c>
      <c r="S306" s="2">
        <v>11775.04</v>
      </c>
      <c r="T306" s="2">
        <v>2993</v>
      </c>
      <c r="U306" s="2">
        <f t="shared" si="45"/>
        <v>-8782.0400000000009</v>
      </c>
      <c r="V306" s="2">
        <v>4477.97</v>
      </c>
      <c r="W306" s="2">
        <v>19801.46</v>
      </c>
      <c r="X306" s="2">
        <f t="shared" si="46"/>
        <v>15323.489999999998</v>
      </c>
      <c r="Y306" s="2">
        <v>12385.99</v>
      </c>
      <c r="Z306" s="2">
        <v>555.54999999999995</v>
      </c>
      <c r="AA306" s="2">
        <f t="shared" si="47"/>
        <v>-11830.44</v>
      </c>
      <c r="AB306" s="2">
        <v>2593.75</v>
      </c>
      <c r="AC306" s="2">
        <v>2414.06</v>
      </c>
      <c r="AD306" s="2">
        <f t="shared" si="48"/>
        <v>-179.69000000000005</v>
      </c>
      <c r="AE306" s="2">
        <v>25148.080000000002</v>
      </c>
      <c r="AF306" s="2">
        <v>91079.46</v>
      </c>
      <c r="AG306" s="2">
        <f t="shared" si="49"/>
        <v>65931.38</v>
      </c>
    </row>
    <row r="307" spans="1:33" x14ac:dyDescent="0.3">
      <c r="B307" s="3"/>
      <c r="C307" t="str">
        <f xml:space="preserve"> _xll.EPMOlapMemberO("[CLACO].[PARENTH1].[AMSASERMANTO.REPA]","","Servicios Mantenimie","","000")</f>
        <v>Servicios Mantenimie</v>
      </c>
      <c r="D307" s="2"/>
      <c r="E307" s="2"/>
      <c r="F307" s="2">
        <f t="shared" si="40"/>
        <v>0</v>
      </c>
      <c r="G307" s="2">
        <v>46.58</v>
      </c>
      <c r="H307" s="2"/>
      <c r="I307" s="2">
        <f t="shared" si="41"/>
        <v>-46.58</v>
      </c>
      <c r="J307" s="2"/>
      <c r="K307" s="2"/>
      <c r="L307" s="2">
        <f t="shared" si="42"/>
        <v>0</v>
      </c>
      <c r="M307" s="2"/>
      <c r="N307" s="2"/>
      <c r="O307" s="2">
        <f t="shared" si="43"/>
        <v>0</v>
      </c>
      <c r="P307" s="2"/>
      <c r="Q307" s="2"/>
      <c r="R307" s="2">
        <f t="shared" si="44"/>
        <v>0</v>
      </c>
      <c r="S307" s="2"/>
      <c r="T307" s="2"/>
      <c r="U307" s="2">
        <f t="shared" si="45"/>
        <v>0</v>
      </c>
      <c r="V307" s="2"/>
      <c r="W307" s="2"/>
      <c r="X307" s="2">
        <f t="shared" si="46"/>
        <v>0</v>
      </c>
      <c r="Y307" s="2"/>
      <c r="Z307" s="2"/>
      <c r="AA307" s="2">
        <f t="shared" si="47"/>
        <v>0</v>
      </c>
      <c r="AB307" s="2"/>
      <c r="AC307" s="2"/>
      <c r="AD307" s="2">
        <f t="shared" si="48"/>
        <v>0</v>
      </c>
      <c r="AE307" s="2"/>
      <c r="AF307" s="2"/>
      <c r="AG307" s="2">
        <f t="shared" si="49"/>
        <v>0</v>
      </c>
    </row>
    <row r="308" spans="1:33" x14ac:dyDescent="0.3">
      <c r="B308" s="3"/>
      <c r="C308" t="str">
        <f xml:space="preserve"> _xll.EPMOlapMemberO("[CLACO].[PARENTH1].[AMSAINFORMATIC]","","Informática y Comuni","","000")</f>
        <v>Informática y Comuni</v>
      </c>
      <c r="D308" s="2">
        <v>40021.379999999997</v>
      </c>
      <c r="E308" s="2">
        <v>62068.38</v>
      </c>
      <c r="F308" s="2">
        <f t="shared" si="40"/>
        <v>22047</v>
      </c>
      <c r="G308" s="2">
        <v>72565.52</v>
      </c>
      <c r="H308" s="2">
        <v>74512.240000000005</v>
      </c>
      <c r="I308" s="2">
        <f t="shared" si="41"/>
        <v>1946.7200000000012</v>
      </c>
      <c r="J308" s="2">
        <v>164262.03</v>
      </c>
      <c r="K308" s="2">
        <v>68716.97</v>
      </c>
      <c r="L308" s="2">
        <f t="shared" si="42"/>
        <v>-95545.06</v>
      </c>
      <c r="M308" s="2">
        <v>128462.46</v>
      </c>
      <c r="N308" s="2">
        <v>112430.56</v>
      </c>
      <c r="O308" s="2">
        <f t="shared" si="43"/>
        <v>-16031.900000000009</v>
      </c>
      <c r="P308" s="2">
        <v>6428.61</v>
      </c>
      <c r="Q308" s="2">
        <v>5872.84</v>
      </c>
      <c r="R308" s="2">
        <f t="shared" si="44"/>
        <v>-555.76999999999953</v>
      </c>
      <c r="S308" s="2">
        <v>2156.2399999999998</v>
      </c>
      <c r="T308" s="2">
        <v>67994.350000000006</v>
      </c>
      <c r="U308" s="2">
        <f t="shared" si="45"/>
        <v>65838.11</v>
      </c>
      <c r="V308" s="2">
        <v>58899.519999999997</v>
      </c>
      <c r="W308" s="2">
        <v>8702.24</v>
      </c>
      <c r="X308" s="2">
        <f t="shared" si="46"/>
        <v>-50197.279999999999</v>
      </c>
      <c r="Y308" s="2">
        <v>22474.43</v>
      </c>
      <c r="Z308" s="2">
        <v>662.99</v>
      </c>
      <c r="AA308" s="2">
        <f t="shared" si="47"/>
        <v>-21811.439999999999</v>
      </c>
      <c r="AB308" s="2">
        <v>-15687.18</v>
      </c>
      <c r="AC308" s="2">
        <v>661.25</v>
      </c>
      <c r="AD308" s="2">
        <f t="shared" si="48"/>
        <v>16348.43</v>
      </c>
      <c r="AE308" s="2">
        <v>62951.48</v>
      </c>
      <c r="AF308" s="2">
        <v>126588.6</v>
      </c>
      <c r="AG308" s="2">
        <f t="shared" si="49"/>
        <v>63637.120000000003</v>
      </c>
    </row>
    <row r="309" spans="1:33" x14ac:dyDescent="0.3">
      <c r="B309" s="3"/>
      <c r="C309" t="str">
        <f xml:space="preserve"> _xll.EPMOlapMemberO("[CLACO].[PARENTH1].[AMSAG_VIAJES]","","Gastos de Viajes","","000")</f>
        <v>Gastos de Viajes</v>
      </c>
      <c r="D309" s="2">
        <v>13208.69</v>
      </c>
      <c r="E309" s="2">
        <v>18451.82</v>
      </c>
      <c r="F309" s="2">
        <f t="shared" si="40"/>
        <v>5243.1299999999992</v>
      </c>
      <c r="G309" s="2">
        <v>14025.58</v>
      </c>
      <c r="H309" s="2">
        <v>18362.669999999998</v>
      </c>
      <c r="I309" s="2">
        <f t="shared" si="41"/>
        <v>4337.0899999999983</v>
      </c>
      <c r="J309" s="2">
        <v>12254.08</v>
      </c>
      <c r="K309" s="2">
        <v>20325.490000000002</v>
      </c>
      <c r="L309" s="2">
        <f t="shared" si="42"/>
        <v>8071.4100000000017</v>
      </c>
      <c r="M309" s="2">
        <v>2893.45</v>
      </c>
      <c r="N309" s="2">
        <v>14293.92</v>
      </c>
      <c r="O309" s="2">
        <f t="shared" si="43"/>
        <v>11400.470000000001</v>
      </c>
      <c r="P309" s="2"/>
      <c r="Q309" s="2">
        <v>1590.78</v>
      </c>
      <c r="R309" s="2">
        <f t="shared" si="44"/>
        <v>1590.78</v>
      </c>
      <c r="S309" s="2"/>
      <c r="T309" s="2">
        <v>1587.76</v>
      </c>
      <c r="U309" s="2">
        <f t="shared" si="45"/>
        <v>1587.76</v>
      </c>
      <c r="V309" s="2"/>
      <c r="W309" s="2">
        <v>1584.72</v>
      </c>
      <c r="X309" s="2">
        <f t="shared" si="46"/>
        <v>1584.72</v>
      </c>
      <c r="Y309" s="2">
        <v>644.72</v>
      </c>
      <c r="Z309" s="2">
        <v>1581.74</v>
      </c>
      <c r="AA309" s="2">
        <f t="shared" si="47"/>
        <v>937.02</v>
      </c>
      <c r="AB309" s="2">
        <v>474.2</v>
      </c>
      <c r="AC309" s="2">
        <v>1578.77</v>
      </c>
      <c r="AD309" s="2">
        <f t="shared" si="48"/>
        <v>1104.57</v>
      </c>
      <c r="AE309" s="2">
        <v>1118.92</v>
      </c>
      <c r="AF309" s="2">
        <v>19144.02</v>
      </c>
      <c r="AG309" s="2">
        <f t="shared" si="49"/>
        <v>18025.099999999999</v>
      </c>
    </row>
    <row r="310" spans="1:33" x14ac:dyDescent="0.3">
      <c r="B310" s="3"/>
      <c r="C310" t="str">
        <f xml:space="preserve"> _xll.EPMOlapMemberO("[CLACO].[PARENTH1].[AMSAGGENERALES.2]","","Otros Gastos","","000")</f>
        <v>Otros Gastos</v>
      </c>
      <c r="D310" s="2">
        <v>3459.75</v>
      </c>
      <c r="E310" s="2">
        <v>3669.34</v>
      </c>
      <c r="F310" s="2">
        <f t="shared" si="40"/>
        <v>209.59000000000015</v>
      </c>
      <c r="G310" s="2">
        <v>3277.64</v>
      </c>
      <c r="H310" s="2">
        <v>4879.78</v>
      </c>
      <c r="I310" s="2">
        <f t="shared" si="41"/>
        <v>1602.1399999999999</v>
      </c>
      <c r="J310" s="2">
        <v>2204.67</v>
      </c>
      <c r="K310" s="2">
        <v>5341.29</v>
      </c>
      <c r="L310" s="2">
        <f t="shared" si="42"/>
        <v>3136.62</v>
      </c>
      <c r="M310" s="2">
        <v>3533.61</v>
      </c>
      <c r="N310" s="2">
        <v>4550.5</v>
      </c>
      <c r="O310" s="2">
        <f t="shared" si="43"/>
        <v>1016.8899999999999</v>
      </c>
      <c r="P310" s="2">
        <v>87.22</v>
      </c>
      <c r="Q310" s="2">
        <v>115.96</v>
      </c>
      <c r="R310" s="2">
        <f t="shared" si="44"/>
        <v>28.739999999999995</v>
      </c>
      <c r="S310" s="2">
        <v>754.35</v>
      </c>
      <c r="T310" s="2">
        <v>115.72</v>
      </c>
      <c r="U310" s="2">
        <f t="shared" si="45"/>
        <v>-638.63</v>
      </c>
      <c r="V310" s="2">
        <v>34.700000000000003</v>
      </c>
      <c r="W310" s="2">
        <v>2158.61</v>
      </c>
      <c r="X310" s="2">
        <f t="shared" si="46"/>
        <v>2123.9100000000003</v>
      </c>
      <c r="Y310" s="2">
        <v>17.989999999999998</v>
      </c>
      <c r="Z310" s="2">
        <v>115.26</v>
      </c>
      <c r="AA310" s="2">
        <f t="shared" si="47"/>
        <v>97.27000000000001</v>
      </c>
      <c r="AB310" s="2">
        <v>32.299999999999997</v>
      </c>
      <c r="AC310" s="2">
        <v>115.03</v>
      </c>
      <c r="AD310" s="2">
        <f t="shared" si="48"/>
        <v>82.73</v>
      </c>
      <c r="AE310" s="2">
        <v>533.70000000000005</v>
      </c>
      <c r="AF310" s="2">
        <v>9934.34</v>
      </c>
      <c r="AG310" s="2">
        <f t="shared" si="49"/>
        <v>9400.64</v>
      </c>
    </row>
    <row r="311" spans="1:33" x14ac:dyDescent="0.3">
      <c r="A311" t="s">
        <v>34</v>
      </c>
      <c r="B311" s="3" t="str">
        <f xml:space="preserve"> _xll.EPMOlapMemberO("[CECO].[PARENTH3].[AMSA1000AC3515]","","Gcia Planif Financie","","000")</f>
        <v>Gcia Planif Financie</v>
      </c>
      <c r="C311" t="str">
        <f xml:space="preserve"> _xll.EPMOlapMemberO("[CLACO].[PARENTH1].[AMSAREMUNERACI.SS]","","Remuneraciones Super","","000")</f>
        <v>Remuneraciones Super</v>
      </c>
      <c r="D311" s="2"/>
      <c r="E311" s="2">
        <v>572596.94999999995</v>
      </c>
      <c r="F311" s="2">
        <f t="shared" si="40"/>
        <v>572596.94999999995</v>
      </c>
      <c r="G311" s="2"/>
      <c r="H311" s="2"/>
      <c r="I311" s="2">
        <f t="shared" si="41"/>
        <v>0</v>
      </c>
      <c r="J311" s="2"/>
      <c r="K311" s="2"/>
      <c r="L311" s="2">
        <f t="shared" si="42"/>
        <v>0</v>
      </c>
      <c r="M311" s="2"/>
      <c r="N311" s="2">
        <v>566381.27</v>
      </c>
      <c r="O311" s="2">
        <f t="shared" si="43"/>
        <v>566381.27</v>
      </c>
      <c r="P311" s="2"/>
      <c r="Q311" s="2"/>
      <c r="R311" s="2">
        <f t="shared" si="44"/>
        <v>0</v>
      </c>
      <c r="S311" s="2"/>
      <c r="T311" s="2"/>
      <c r="U311" s="2">
        <f t="shared" si="45"/>
        <v>0</v>
      </c>
      <c r="V311" s="2"/>
      <c r="W311" s="2"/>
      <c r="X311" s="2">
        <f t="shared" si="46"/>
        <v>0</v>
      </c>
      <c r="Y311" s="2"/>
      <c r="Z311" s="2"/>
      <c r="AA311" s="2">
        <f t="shared" si="47"/>
        <v>0</v>
      </c>
      <c r="AB311" s="2"/>
      <c r="AC311" s="2"/>
      <c r="AD311" s="2">
        <f t="shared" si="48"/>
        <v>0</v>
      </c>
      <c r="AE311" s="2"/>
      <c r="AF311" s="2"/>
      <c r="AG311" s="2">
        <f t="shared" si="49"/>
        <v>0</v>
      </c>
    </row>
    <row r="312" spans="1:33" x14ac:dyDescent="0.3">
      <c r="B312" s="3"/>
      <c r="C312" t="str">
        <f xml:space="preserve"> _xll.EPMOlapMemberO("[CLACO].[PARENTH1].[AMSAADM_PERSON]","","Administración Perso","","000")</f>
        <v>Administración Perso</v>
      </c>
      <c r="D312" s="2">
        <v>198.3</v>
      </c>
      <c r="E312" s="2"/>
      <c r="F312" s="2">
        <f t="shared" si="40"/>
        <v>-198.3</v>
      </c>
      <c r="G312" s="2"/>
      <c r="H312" s="2"/>
      <c r="I312" s="2">
        <f t="shared" si="41"/>
        <v>0</v>
      </c>
      <c r="J312" s="2"/>
      <c r="K312" s="2"/>
      <c r="L312" s="2">
        <f t="shared" si="42"/>
        <v>0</v>
      </c>
      <c r="M312" s="2">
        <v>1039.51</v>
      </c>
      <c r="N312" s="2"/>
      <c r="O312" s="2">
        <f t="shared" si="43"/>
        <v>-1039.51</v>
      </c>
      <c r="P312" s="2"/>
      <c r="Q312" s="2"/>
      <c r="R312" s="2">
        <f t="shared" si="44"/>
        <v>0</v>
      </c>
      <c r="S312" s="2"/>
      <c r="T312" s="2"/>
      <c r="U312" s="2">
        <f t="shared" si="45"/>
        <v>0</v>
      </c>
      <c r="V312" s="2"/>
      <c r="W312" s="2"/>
      <c r="X312" s="2">
        <f t="shared" si="46"/>
        <v>0</v>
      </c>
      <c r="Y312" s="2"/>
      <c r="Z312" s="2"/>
      <c r="AA312" s="2">
        <f t="shared" si="47"/>
        <v>0</v>
      </c>
      <c r="AB312" s="2"/>
      <c r="AC312" s="2"/>
      <c r="AD312" s="2">
        <f t="shared" si="48"/>
        <v>0</v>
      </c>
      <c r="AE312" s="2"/>
      <c r="AF312" s="2"/>
      <c r="AG312" s="2">
        <f t="shared" si="49"/>
        <v>0</v>
      </c>
    </row>
    <row r="313" spans="1:33" x14ac:dyDescent="0.3">
      <c r="B313" s="3"/>
      <c r="C313" t="str">
        <f xml:space="preserve"> _xll.EPMOlapMemberO("[CLACO].[PARENTH1].[AMSAENTRENAMI]","","Entrenamiento","","000")</f>
        <v>Entrenamiento</v>
      </c>
      <c r="D313" s="2">
        <v>1988</v>
      </c>
      <c r="E313" s="2">
        <v>9034.25</v>
      </c>
      <c r="F313" s="2">
        <f t="shared" si="40"/>
        <v>7046.25</v>
      </c>
      <c r="G313" s="2">
        <v>2354.21</v>
      </c>
      <c r="H313" s="2">
        <v>18903.740000000002</v>
      </c>
      <c r="I313" s="2">
        <f t="shared" si="41"/>
        <v>16549.530000000002</v>
      </c>
      <c r="J313" s="2">
        <v>365.17</v>
      </c>
      <c r="K313" s="2">
        <v>3855.21</v>
      </c>
      <c r="L313" s="2">
        <f t="shared" si="42"/>
        <v>3490.04</v>
      </c>
      <c r="M313" s="2">
        <v>-312.06</v>
      </c>
      <c r="N313" s="2">
        <v>1700.66</v>
      </c>
      <c r="O313" s="2">
        <f t="shared" si="43"/>
        <v>2012.72</v>
      </c>
      <c r="P313" s="2"/>
      <c r="Q313" s="2">
        <v>672.3</v>
      </c>
      <c r="R313" s="2">
        <f t="shared" si="44"/>
        <v>672.3</v>
      </c>
      <c r="S313" s="2"/>
      <c r="T313" s="2"/>
      <c r="U313" s="2">
        <f t="shared" si="45"/>
        <v>0</v>
      </c>
      <c r="V313" s="2"/>
      <c r="W313" s="2">
        <v>334.27</v>
      </c>
      <c r="X313" s="2">
        <f t="shared" si="46"/>
        <v>334.27</v>
      </c>
      <c r="Y313" s="2"/>
      <c r="Z313" s="2"/>
      <c r="AA313" s="2">
        <f t="shared" si="47"/>
        <v>0</v>
      </c>
      <c r="AB313" s="2"/>
      <c r="AC313" s="2"/>
      <c r="AD313" s="2">
        <f t="shared" si="48"/>
        <v>0</v>
      </c>
      <c r="AE313" s="2"/>
      <c r="AF313" s="2">
        <v>1689.23</v>
      </c>
      <c r="AG313" s="2">
        <f t="shared" si="49"/>
        <v>1689.23</v>
      </c>
    </row>
    <row r="314" spans="1:33" x14ac:dyDescent="0.3">
      <c r="B314" s="3"/>
      <c r="C314" t="str">
        <f xml:space="preserve"> _xll.EPMOlapMemberO("[CLACO].[PARENTH1].[AMSAASESORIAS]","","Asesorías y Consulto","","000")</f>
        <v>Asesorías y Consulto</v>
      </c>
      <c r="D314" s="2">
        <v>8753.15</v>
      </c>
      <c r="E314" s="2"/>
      <c r="F314" s="2">
        <f t="shared" si="40"/>
        <v>-8753.15</v>
      </c>
      <c r="G314" s="2"/>
      <c r="H314" s="2"/>
      <c r="I314" s="2">
        <f t="shared" si="41"/>
        <v>0</v>
      </c>
      <c r="J314" s="2">
        <v>30000</v>
      </c>
      <c r="K314" s="2"/>
      <c r="L314" s="2">
        <f t="shared" si="42"/>
        <v>-30000</v>
      </c>
      <c r="M314" s="2"/>
      <c r="N314" s="2">
        <v>4023</v>
      </c>
      <c r="O314" s="2">
        <f t="shared" si="43"/>
        <v>4023</v>
      </c>
      <c r="P314" s="2"/>
      <c r="Q314" s="2"/>
      <c r="R314" s="2">
        <f t="shared" si="44"/>
        <v>0</v>
      </c>
      <c r="S314" s="2">
        <v>6526.01</v>
      </c>
      <c r="T314" s="2"/>
      <c r="U314" s="2">
        <f t="shared" si="45"/>
        <v>-6526.01</v>
      </c>
      <c r="V314" s="2"/>
      <c r="W314" s="2"/>
      <c r="X314" s="2">
        <f t="shared" si="46"/>
        <v>0</v>
      </c>
      <c r="Y314" s="2"/>
      <c r="Z314" s="2"/>
      <c r="AA314" s="2">
        <f t="shared" si="47"/>
        <v>0</v>
      </c>
      <c r="AB314" s="2"/>
      <c r="AC314" s="2"/>
      <c r="AD314" s="2">
        <f t="shared" si="48"/>
        <v>0</v>
      </c>
      <c r="AE314" s="2">
        <v>14220.68</v>
      </c>
      <c r="AF314" s="2">
        <v>16715.37</v>
      </c>
      <c r="AG314" s="2">
        <f t="shared" si="49"/>
        <v>2494.6899999999987</v>
      </c>
    </row>
    <row r="315" spans="1:33" x14ac:dyDescent="0.3">
      <c r="B315" s="3"/>
      <c r="C315" t="str">
        <f xml:space="preserve"> _xll.EPMOlapMemberO("[CLACO].[PARENTH1].[AMSASERVICIOS]","","Servicios","","000")</f>
        <v>Servicios</v>
      </c>
      <c r="D315" s="2">
        <v>10544.19</v>
      </c>
      <c r="E315" s="2">
        <v>24191.19</v>
      </c>
      <c r="F315" s="2">
        <f t="shared" si="40"/>
        <v>13646.999999999998</v>
      </c>
      <c r="G315" s="2">
        <v>33138.879999999997</v>
      </c>
      <c r="H315" s="2"/>
      <c r="I315" s="2">
        <f t="shared" si="41"/>
        <v>-33138.879999999997</v>
      </c>
      <c r="J315" s="2"/>
      <c r="K315" s="2"/>
      <c r="L315" s="2">
        <f t="shared" si="42"/>
        <v>0</v>
      </c>
      <c r="M315" s="2">
        <v>10367.379999999999</v>
      </c>
      <c r="N315" s="2"/>
      <c r="O315" s="2">
        <f t="shared" si="43"/>
        <v>-10367.379999999999</v>
      </c>
      <c r="P315" s="2"/>
      <c r="Q315" s="2"/>
      <c r="R315" s="2">
        <f t="shared" si="44"/>
        <v>0</v>
      </c>
      <c r="S315" s="2"/>
      <c r="T315" s="2"/>
      <c r="U315" s="2">
        <f t="shared" si="45"/>
        <v>0</v>
      </c>
      <c r="V315" s="2"/>
      <c r="W315" s="2"/>
      <c r="X315" s="2">
        <f t="shared" si="46"/>
        <v>0</v>
      </c>
      <c r="Y315" s="2">
        <v>17.21</v>
      </c>
      <c r="Z315" s="2"/>
      <c r="AA315" s="2">
        <f t="shared" si="47"/>
        <v>-17.21</v>
      </c>
      <c r="AB315" s="2">
        <v>1998.56</v>
      </c>
      <c r="AC315" s="2"/>
      <c r="AD315" s="2">
        <f t="shared" si="48"/>
        <v>-1998.56</v>
      </c>
      <c r="AE315" s="2">
        <v>2015.77</v>
      </c>
      <c r="AF315" s="2"/>
      <c r="AG315" s="2">
        <f t="shared" si="49"/>
        <v>-2015.77</v>
      </c>
    </row>
    <row r="316" spans="1:33" x14ac:dyDescent="0.3">
      <c r="B316" s="3"/>
      <c r="C316" t="str">
        <f xml:space="preserve"> _xll.EPMOlapMemberO("[CLACO].[PARENTH1].[AMSASERMANTO.REPA]","","Servicios Mantenimie","","000")</f>
        <v>Servicios Mantenimie</v>
      </c>
      <c r="D316" s="2"/>
      <c r="E316" s="2"/>
      <c r="F316" s="2">
        <f t="shared" si="40"/>
        <v>0</v>
      </c>
      <c r="G316" s="2">
        <v>1119.06</v>
      </c>
      <c r="H316" s="2"/>
      <c r="I316" s="2">
        <f t="shared" si="41"/>
        <v>-1119.06</v>
      </c>
      <c r="J316" s="2"/>
      <c r="K316" s="2"/>
      <c r="L316" s="2">
        <f t="shared" si="42"/>
        <v>0</v>
      </c>
      <c r="M316" s="2"/>
      <c r="N316" s="2"/>
      <c r="O316" s="2">
        <f t="shared" si="43"/>
        <v>0</v>
      </c>
      <c r="P316" s="2"/>
      <c r="Q316" s="2"/>
      <c r="R316" s="2">
        <f t="shared" si="44"/>
        <v>0</v>
      </c>
      <c r="S316" s="2"/>
      <c r="T316" s="2"/>
      <c r="U316" s="2">
        <f t="shared" si="45"/>
        <v>0</v>
      </c>
      <c r="V316" s="2"/>
      <c r="W316" s="2"/>
      <c r="X316" s="2">
        <f t="shared" si="46"/>
        <v>0</v>
      </c>
      <c r="Y316" s="2"/>
      <c r="Z316" s="2"/>
      <c r="AA316" s="2">
        <f t="shared" si="47"/>
        <v>0</v>
      </c>
      <c r="AB316" s="2"/>
      <c r="AC316" s="2"/>
      <c r="AD316" s="2">
        <f t="shared" si="48"/>
        <v>0</v>
      </c>
      <c r="AE316" s="2"/>
      <c r="AF316" s="2"/>
      <c r="AG316" s="2">
        <f t="shared" si="49"/>
        <v>0</v>
      </c>
    </row>
    <row r="317" spans="1:33" x14ac:dyDescent="0.3">
      <c r="B317" s="3"/>
      <c r="C317" t="str">
        <f xml:space="preserve"> _xll.EPMOlapMemberO("[CLACO].[PARENTH1].[AMSAINFORMATIC]","","Informática y Comuni","","000")</f>
        <v>Informática y Comuni</v>
      </c>
      <c r="D317" s="2">
        <v>632.88</v>
      </c>
      <c r="E317" s="2">
        <v>539.38</v>
      </c>
      <c r="F317" s="2">
        <f t="shared" si="40"/>
        <v>-93.5</v>
      </c>
      <c r="G317" s="2">
        <v>8058.3</v>
      </c>
      <c r="H317" s="2">
        <v>437.8</v>
      </c>
      <c r="I317" s="2">
        <f t="shared" si="41"/>
        <v>-7620.5</v>
      </c>
      <c r="J317" s="2">
        <v>6098.39</v>
      </c>
      <c r="K317" s="2">
        <v>760.47</v>
      </c>
      <c r="L317" s="2">
        <f t="shared" si="42"/>
        <v>-5337.92</v>
      </c>
      <c r="M317" s="2">
        <v>12014.11</v>
      </c>
      <c r="N317" s="2">
        <v>12407.63</v>
      </c>
      <c r="O317" s="2">
        <f t="shared" si="43"/>
        <v>393.51999999999862</v>
      </c>
      <c r="P317" s="2">
        <v>214.2</v>
      </c>
      <c r="Q317" s="2">
        <v>41.46</v>
      </c>
      <c r="R317" s="2">
        <f t="shared" si="44"/>
        <v>-172.73999999999998</v>
      </c>
      <c r="S317" s="2">
        <v>143.26</v>
      </c>
      <c r="T317" s="2">
        <v>41.34</v>
      </c>
      <c r="U317" s="2">
        <f t="shared" si="45"/>
        <v>-101.91999999999999</v>
      </c>
      <c r="V317" s="2">
        <v>2552.7199999999998</v>
      </c>
      <c r="W317" s="2">
        <v>629.91999999999996</v>
      </c>
      <c r="X317" s="2">
        <f t="shared" si="46"/>
        <v>-1922.7999999999997</v>
      </c>
      <c r="Y317" s="2">
        <v>187.71</v>
      </c>
      <c r="Z317" s="2">
        <v>41.11</v>
      </c>
      <c r="AA317" s="2">
        <f t="shared" si="47"/>
        <v>-146.60000000000002</v>
      </c>
      <c r="AB317" s="2">
        <v>-1002.62</v>
      </c>
      <c r="AC317" s="2">
        <v>872.68</v>
      </c>
      <c r="AD317" s="2">
        <f t="shared" si="48"/>
        <v>1875.3</v>
      </c>
      <c r="AE317" s="2">
        <v>2200.2800000000002</v>
      </c>
      <c r="AF317" s="2">
        <v>1919.97</v>
      </c>
      <c r="AG317" s="2">
        <f t="shared" si="49"/>
        <v>-280.31000000000017</v>
      </c>
    </row>
    <row r="318" spans="1:33" x14ac:dyDescent="0.3">
      <c r="B318" s="3"/>
      <c r="C318" t="str">
        <f xml:space="preserve"> _xll.EPMOlapMemberO("[CLACO].[PARENTH1].[AMSAG_VIAJES]","","Gastos de Viajes","","000")</f>
        <v>Gastos de Viajes</v>
      </c>
      <c r="D318" s="2">
        <v>2346.59</v>
      </c>
      <c r="E318" s="2"/>
      <c r="F318" s="2">
        <f t="shared" si="40"/>
        <v>-2346.59</v>
      </c>
      <c r="G318" s="2">
        <v>6579.53</v>
      </c>
      <c r="H318" s="2"/>
      <c r="I318" s="2">
        <f t="shared" si="41"/>
        <v>-6579.53</v>
      </c>
      <c r="J318" s="2">
        <v>1133.5899999999999</v>
      </c>
      <c r="K318" s="2">
        <v>1697.69</v>
      </c>
      <c r="L318" s="2">
        <f t="shared" si="42"/>
        <v>564.10000000000014</v>
      </c>
      <c r="M318" s="2"/>
      <c r="N318" s="2">
        <v>908.62</v>
      </c>
      <c r="O318" s="2">
        <f t="shared" si="43"/>
        <v>908.62</v>
      </c>
      <c r="P318" s="2"/>
      <c r="Q318" s="2">
        <v>988.26</v>
      </c>
      <c r="R318" s="2">
        <f t="shared" si="44"/>
        <v>988.26</v>
      </c>
      <c r="S318" s="2"/>
      <c r="T318" s="2"/>
      <c r="U318" s="2">
        <f t="shared" si="45"/>
        <v>0</v>
      </c>
      <c r="V318" s="2"/>
      <c r="W318" s="2"/>
      <c r="X318" s="2">
        <f t="shared" si="46"/>
        <v>0</v>
      </c>
      <c r="Y318" s="2"/>
      <c r="Z318" s="2"/>
      <c r="AA318" s="2">
        <f t="shared" si="47"/>
        <v>0</v>
      </c>
      <c r="AB318" s="2"/>
      <c r="AC318" s="2"/>
      <c r="AD318" s="2">
        <f t="shared" si="48"/>
        <v>0</v>
      </c>
      <c r="AE318" s="2"/>
      <c r="AF318" s="2">
        <v>988.26</v>
      </c>
      <c r="AG318" s="2">
        <f t="shared" si="49"/>
        <v>988.26</v>
      </c>
    </row>
    <row r="319" spans="1:33" x14ac:dyDescent="0.3">
      <c r="B319" s="3"/>
      <c r="C319" t="str">
        <f xml:space="preserve"> _xll.EPMOlapMemberO("[CLACO].[PARENTH1].[AMSAGGENERALES.2]","","Otros Gastos","","000")</f>
        <v>Otros Gastos</v>
      </c>
      <c r="D319" s="2">
        <v>124.29</v>
      </c>
      <c r="E319" s="2">
        <v>1482.5</v>
      </c>
      <c r="F319" s="2">
        <f t="shared" si="40"/>
        <v>1358.21</v>
      </c>
      <c r="G319" s="2">
        <v>8287.99</v>
      </c>
      <c r="H319" s="2">
        <v>671.46</v>
      </c>
      <c r="I319" s="2">
        <f t="shared" si="41"/>
        <v>-7616.53</v>
      </c>
      <c r="J319" s="2">
        <v>160.82</v>
      </c>
      <c r="K319" s="2">
        <v>937.69</v>
      </c>
      <c r="L319" s="2">
        <f t="shared" si="42"/>
        <v>776.87000000000012</v>
      </c>
      <c r="M319" s="2">
        <v>225.56</v>
      </c>
      <c r="N319" s="2">
        <v>803.87</v>
      </c>
      <c r="O319" s="2">
        <f t="shared" si="43"/>
        <v>578.30999999999995</v>
      </c>
      <c r="P319" s="2"/>
      <c r="Q319" s="2">
        <v>408.17</v>
      </c>
      <c r="R319" s="2">
        <f t="shared" si="44"/>
        <v>408.17</v>
      </c>
      <c r="S319" s="2"/>
      <c r="T319" s="2">
        <v>35.76</v>
      </c>
      <c r="U319" s="2">
        <f t="shared" si="45"/>
        <v>35.76</v>
      </c>
      <c r="V319" s="2"/>
      <c r="W319" s="2">
        <v>35.659999999999997</v>
      </c>
      <c r="X319" s="2">
        <f t="shared" si="46"/>
        <v>35.659999999999997</v>
      </c>
      <c r="Y319" s="2"/>
      <c r="Z319" s="2">
        <v>35.56</v>
      </c>
      <c r="AA319" s="2">
        <f t="shared" si="47"/>
        <v>35.56</v>
      </c>
      <c r="AB319" s="2"/>
      <c r="AC319" s="2">
        <v>35.46</v>
      </c>
      <c r="AD319" s="2">
        <f t="shared" si="48"/>
        <v>35.46</v>
      </c>
      <c r="AE319" s="2"/>
      <c r="AF319" s="2">
        <v>804.43</v>
      </c>
      <c r="AG319" s="2">
        <f t="shared" si="49"/>
        <v>804.43</v>
      </c>
    </row>
    <row r="320" spans="1:33" x14ac:dyDescent="0.3">
      <c r="A320" t="s">
        <v>35</v>
      </c>
      <c r="B320" s="3" t="str">
        <f xml:space="preserve"> _xll.EPMOlapMemberO("[CECO].[PARENTH3].[AMSA1000AC3516]","","Seguros Corp","","000")</f>
        <v>Seguros Corp</v>
      </c>
      <c r="C320" t="str">
        <f xml:space="preserve"> _xll.EPMOlapMemberO("[CLACO].[PARENTH1].[AMSAENTRENAMI]","","Entrenamiento","","000")</f>
        <v>Entrenamiento</v>
      </c>
      <c r="D320" s="2"/>
      <c r="E320" s="2"/>
      <c r="F320" s="2">
        <f t="shared" si="40"/>
        <v>0</v>
      </c>
      <c r="G320" s="2"/>
      <c r="H320" s="2"/>
      <c r="I320" s="2">
        <f t="shared" si="41"/>
        <v>0</v>
      </c>
      <c r="J320" s="2">
        <v>252</v>
      </c>
      <c r="K320" s="2">
        <v>251.57</v>
      </c>
      <c r="L320" s="2">
        <f t="shared" si="42"/>
        <v>-0.43000000000000682</v>
      </c>
      <c r="M320" s="2">
        <v>-252</v>
      </c>
      <c r="N320" s="2">
        <v>450</v>
      </c>
      <c r="O320" s="2">
        <f t="shared" si="43"/>
        <v>702</v>
      </c>
      <c r="P320" s="2"/>
      <c r="Q320" s="2"/>
      <c r="R320" s="2">
        <f t="shared" si="44"/>
        <v>0</v>
      </c>
      <c r="S320" s="2"/>
      <c r="T320" s="2"/>
      <c r="U320" s="2">
        <f t="shared" si="45"/>
        <v>0</v>
      </c>
      <c r="V320" s="2"/>
      <c r="W320" s="2"/>
      <c r="X320" s="2">
        <f t="shared" si="46"/>
        <v>0</v>
      </c>
      <c r="Y320" s="2"/>
      <c r="Z320" s="2"/>
      <c r="AA320" s="2">
        <f t="shared" si="47"/>
        <v>0</v>
      </c>
      <c r="AB320" s="2"/>
      <c r="AC320" s="2"/>
      <c r="AD320" s="2">
        <f t="shared" si="48"/>
        <v>0</v>
      </c>
      <c r="AE320" s="2"/>
      <c r="AF320" s="2">
        <v>448.36</v>
      </c>
      <c r="AG320" s="2">
        <f t="shared" si="49"/>
        <v>448.36</v>
      </c>
    </row>
    <row r="321" spans="1:33" x14ac:dyDescent="0.3">
      <c r="B321" s="3"/>
      <c r="C321" t="str">
        <f xml:space="preserve"> _xll.EPMOlapMemberO("[CLACO].[PARENTH1].[AMSAINFORMATIC]","","Informática y Comuni","","000")</f>
        <v>Informática y Comuni</v>
      </c>
      <c r="D321" s="2"/>
      <c r="E321" s="2"/>
      <c r="F321" s="2">
        <f t="shared" si="40"/>
        <v>0</v>
      </c>
      <c r="G321" s="2"/>
      <c r="H321" s="2"/>
      <c r="I321" s="2">
        <f t="shared" si="41"/>
        <v>0</v>
      </c>
      <c r="J321" s="2"/>
      <c r="K321" s="2"/>
      <c r="L321" s="2">
        <f t="shared" si="42"/>
        <v>0</v>
      </c>
      <c r="M321" s="2">
        <v>132.69</v>
      </c>
      <c r="N321" s="2"/>
      <c r="O321" s="2">
        <f t="shared" si="43"/>
        <v>-132.69</v>
      </c>
      <c r="P321" s="2"/>
      <c r="Q321" s="2"/>
      <c r="R321" s="2">
        <f t="shared" si="44"/>
        <v>0</v>
      </c>
      <c r="S321" s="2"/>
      <c r="T321" s="2"/>
      <c r="U321" s="2">
        <f t="shared" si="45"/>
        <v>0</v>
      </c>
      <c r="V321" s="2"/>
      <c r="W321" s="2"/>
      <c r="X321" s="2">
        <f t="shared" si="46"/>
        <v>0</v>
      </c>
      <c r="Y321" s="2"/>
      <c r="Z321" s="2"/>
      <c r="AA321" s="2">
        <f t="shared" si="47"/>
        <v>0</v>
      </c>
      <c r="AB321" s="2">
        <v>-0.54</v>
      </c>
      <c r="AC321" s="2"/>
      <c r="AD321" s="2">
        <f t="shared" si="48"/>
        <v>0.54</v>
      </c>
      <c r="AE321" s="2">
        <v>-0.54</v>
      </c>
      <c r="AF321" s="2"/>
      <c r="AG321" s="2">
        <f t="shared" si="49"/>
        <v>0.54</v>
      </c>
    </row>
    <row r="322" spans="1:33" x14ac:dyDescent="0.3">
      <c r="B322" s="3"/>
      <c r="C322" t="str">
        <f xml:space="preserve"> _xll.EPMOlapMemberO("[CLACO].[PARENTH1].[AMSAG_VIAJES]","","Gastos de Viajes","","000")</f>
        <v>Gastos de Viajes</v>
      </c>
      <c r="D322" s="2"/>
      <c r="E322" s="2"/>
      <c r="F322" s="2">
        <f t="shared" si="40"/>
        <v>0</v>
      </c>
      <c r="G322" s="2">
        <v>43.78</v>
      </c>
      <c r="H322" s="2"/>
      <c r="I322" s="2">
        <f t="shared" si="41"/>
        <v>-43.78</v>
      </c>
      <c r="J322" s="2">
        <v>14.87</v>
      </c>
      <c r="K322" s="2"/>
      <c r="L322" s="2">
        <f t="shared" si="42"/>
        <v>-14.87</v>
      </c>
      <c r="M322" s="2">
        <v>412.04</v>
      </c>
      <c r="N322" s="2"/>
      <c r="O322" s="2">
        <f t="shared" si="43"/>
        <v>-412.04</v>
      </c>
      <c r="P322" s="2">
        <v>0.03</v>
      </c>
      <c r="Q322" s="2"/>
      <c r="R322" s="2">
        <f t="shared" si="44"/>
        <v>-0.03</v>
      </c>
      <c r="S322" s="2"/>
      <c r="T322" s="2"/>
      <c r="U322" s="2">
        <f t="shared" si="45"/>
        <v>0</v>
      </c>
      <c r="V322" s="2"/>
      <c r="W322" s="2"/>
      <c r="X322" s="2">
        <f t="shared" si="46"/>
        <v>0</v>
      </c>
      <c r="Y322" s="2"/>
      <c r="Z322" s="2"/>
      <c r="AA322" s="2">
        <f t="shared" si="47"/>
        <v>0</v>
      </c>
      <c r="AB322" s="2"/>
      <c r="AC322" s="2"/>
      <c r="AD322" s="2">
        <f t="shared" si="48"/>
        <v>0</v>
      </c>
      <c r="AE322" s="2">
        <v>0.03</v>
      </c>
      <c r="AF322" s="2"/>
      <c r="AG322" s="2">
        <f t="shared" si="49"/>
        <v>-0.03</v>
      </c>
    </row>
    <row r="323" spans="1:33" x14ac:dyDescent="0.3">
      <c r="B323" s="3"/>
      <c r="C323" t="str">
        <f xml:space="preserve"> _xll.EPMOlapMemberO("[CLACO].[PARENTH1].[AMSASEGUROS]","","Seguros","","000")</f>
        <v>Seguros</v>
      </c>
      <c r="D323" s="2">
        <v>147737.60000000001</v>
      </c>
      <c r="E323" s="2">
        <v>149391.95000000001</v>
      </c>
      <c r="F323" s="2">
        <f t="shared" si="40"/>
        <v>1654.3500000000058</v>
      </c>
      <c r="G323" s="2">
        <v>167857.34</v>
      </c>
      <c r="H323" s="2">
        <v>165470.56</v>
      </c>
      <c r="I323" s="2">
        <f t="shared" si="41"/>
        <v>-2386.7799999999988</v>
      </c>
      <c r="J323" s="2">
        <v>203523.96</v>
      </c>
      <c r="K323" s="2">
        <v>194218.14</v>
      </c>
      <c r="L323" s="2">
        <f t="shared" si="42"/>
        <v>-9305.8199999999779</v>
      </c>
      <c r="M323" s="2">
        <v>171430.02</v>
      </c>
      <c r="N323" s="2">
        <v>221745.64</v>
      </c>
      <c r="O323" s="2">
        <f t="shared" si="43"/>
        <v>50315.620000000024</v>
      </c>
      <c r="P323" s="2">
        <v>43291.81</v>
      </c>
      <c r="Q323" s="2">
        <v>33490.89</v>
      </c>
      <c r="R323" s="2">
        <f t="shared" si="44"/>
        <v>-9800.9199999999983</v>
      </c>
      <c r="S323" s="2">
        <v>4725.41</v>
      </c>
      <c r="T323" s="2">
        <v>10226.6</v>
      </c>
      <c r="U323" s="2">
        <f t="shared" si="45"/>
        <v>5501.1900000000005</v>
      </c>
      <c r="V323" s="2">
        <v>8187</v>
      </c>
      <c r="W323" s="2">
        <v>10230.629999999999</v>
      </c>
      <c r="X323" s="2">
        <f t="shared" si="46"/>
        <v>2043.6299999999992</v>
      </c>
      <c r="Y323" s="2">
        <v>21637.58</v>
      </c>
      <c r="Z323" s="2">
        <v>33532.559999999998</v>
      </c>
      <c r="AA323" s="2">
        <f t="shared" si="47"/>
        <v>11894.979999999996</v>
      </c>
      <c r="AB323" s="2">
        <v>18020.05</v>
      </c>
      <c r="AC323" s="2">
        <v>10239.700000000001</v>
      </c>
      <c r="AD323" s="2">
        <f t="shared" si="48"/>
        <v>-7780.3499999999985</v>
      </c>
      <c r="AE323" s="2">
        <v>49476.11</v>
      </c>
      <c r="AF323" s="2">
        <v>221421.4</v>
      </c>
      <c r="AG323" s="2">
        <f t="shared" si="49"/>
        <v>171945.28999999998</v>
      </c>
    </row>
    <row r="324" spans="1:33" x14ac:dyDescent="0.3">
      <c r="B324" s="3"/>
      <c r="C324" t="str">
        <f xml:space="preserve"> _xll.EPMOlapMemberO("[CLACO].[PARENTH1].[AMSAGGENERALES.2]","","Otros Gastos","","000")</f>
        <v>Otros Gastos</v>
      </c>
      <c r="D324" s="2">
        <v>0.24</v>
      </c>
      <c r="E324" s="2"/>
      <c r="F324" s="2">
        <f t="shared" si="40"/>
        <v>-0.24</v>
      </c>
      <c r="G324" s="2">
        <v>19.82</v>
      </c>
      <c r="H324" s="2"/>
      <c r="I324" s="2">
        <f t="shared" si="41"/>
        <v>-19.82</v>
      </c>
      <c r="J324" s="2">
        <v>12.64</v>
      </c>
      <c r="K324" s="2"/>
      <c r="L324" s="2">
        <f t="shared" si="42"/>
        <v>-12.64</v>
      </c>
      <c r="M324" s="2"/>
      <c r="N324" s="2"/>
      <c r="O324" s="2">
        <f t="shared" si="43"/>
        <v>0</v>
      </c>
      <c r="P324" s="2"/>
      <c r="Q324" s="2"/>
      <c r="R324" s="2">
        <f t="shared" si="44"/>
        <v>0</v>
      </c>
      <c r="S324" s="2"/>
      <c r="T324" s="2"/>
      <c r="U324" s="2">
        <f t="shared" si="45"/>
        <v>0</v>
      </c>
      <c r="V324" s="2"/>
      <c r="W324" s="2"/>
      <c r="X324" s="2">
        <f t="shared" si="46"/>
        <v>0</v>
      </c>
      <c r="Y324" s="2"/>
      <c r="Z324" s="2"/>
      <c r="AA324" s="2">
        <f t="shared" si="47"/>
        <v>0</v>
      </c>
      <c r="AB324" s="2"/>
      <c r="AC324" s="2"/>
      <c r="AD324" s="2">
        <f t="shared" si="48"/>
        <v>0</v>
      </c>
      <c r="AE324" s="2"/>
      <c r="AF324" s="2"/>
      <c r="AG324" s="2">
        <f t="shared" si="49"/>
        <v>0</v>
      </c>
    </row>
    <row r="325" spans="1:33" x14ac:dyDescent="0.3">
      <c r="A325" t="s">
        <v>36</v>
      </c>
      <c r="B325" s="3" t="str">
        <f xml:space="preserve"> _xll.EPMOlapMemberO("[CECO].[PARENTH3].[AMSA1000AC3530]","","Gcia Competitividad","","000")</f>
        <v>Gcia Competitividad</v>
      </c>
      <c r="C325" t="str">
        <f xml:space="preserve"> _xll.EPMOlapMemberO("[CLACO].[PARENTH1].[AMSAENTRENAMI]","","Entrenamiento","","000")</f>
        <v>Entrenamiento</v>
      </c>
      <c r="D325" s="2"/>
      <c r="E325" s="2"/>
      <c r="F325" s="2">
        <f t="shared" si="40"/>
        <v>0</v>
      </c>
      <c r="G325" s="2"/>
      <c r="H325" s="2"/>
      <c r="I325" s="2">
        <f t="shared" si="41"/>
        <v>0</v>
      </c>
      <c r="J325" s="2">
        <v>0</v>
      </c>
      <c r="K325" s="2"/>
      <c r="L325" s="2">
        <f t="shared" si="42"/>
        <v>0</v>
      </c>
      <c r="M325" s="2"/>
      <c r="N325" s="2">
        <v>9103.5</v>
      </c>
      <c r="O325" s="2">
        <f t="shared" si="43"/>
        <v>9103.5</v>
      </c>
      <c r="P325" s="2"/>
      <c r="Q325" s="2"/>
      <c r="R325" s="2">
        <f t="shared" si="44"/>
        <v>0</v>
      </c>
      <c r="S325" s="2"/>
      <c r="T325" s="2"/>
      <c r="U325" s="2">
        <f t="shared" si="45"/>
        <v>0</v>
      </c>
      <c r="V325" s="2"/>
      <c r="W325" s="2"/>
      <c r="X325" s="2">
        <f t="shared" si="46"/>
        <v>0</v>
      </c>
      <c r="Y325" s="2"/>
      <c r="Z325" s="2"/>
      <c r="AA325" s="2">
        <f t="shared" si="47"/>
        <v>0</v>
      </c>
      <c r="AB325" s="2"/>
      <c r="AC325" s="2"/>
      <c r="AD325" s="2">
        <f t="shared" si="48"/>
        <v>0</v>
      </c>
      <c r="AE325" s="2"/>
      <c r="AF325" s="2"/>
      <c r="AG325" s="2">
        <f t="shared" si="49"/>
        <v>0</v>
      </c>
    </row>
    <row r="326" spans="1:33" x14ac:dyDescent="0.3">
      <c r="B326" s="3"/>
      <c r="C326" t="str">
        <f xml:space="preserve"> _xll.EPMOlapMemberO("[CLACO].[PARENTH1].[AMSAASESORIAS]","","Asesorías y Consulto","","000")</f>
        <v>Asesorías y Consulto</v>
      </c>
      <c r="D326" s="2"/>
      <c r="E326" s="2"/>
      <c r="F326" s="2">
        <f t="shared" si="40"/>
        <v>0</v>
      </c>
      <c r="G326" s="2"/>
      <c r="H326" s="2"/>
      <c r="I326" s="2">
        <f t="shared" si="41"/>
        <v>0</v>
      </c>
      <c r="J326" s="2">
        <v>153379.91</v>
      </c>
      <c r="K326" s="2">
        <v>5093.75</v>
      </c>
      <c r="L326" s="2">
        <f t="shared" si="42"/>
        <v>-148286.16</v>
      </c>
      <c r="M326" s="2">
        <v>29385.75</v>
      </c>
      <c r="N326" s="2">
        <v>15158.13</v>
      </c>
      <c r="O326" s="2">
        <f t="shared" si="43"/>
        <v>-14227.62</v>
      </c>
      <c r="P326" s="2"/>
      <c r="Q326" s="2"/>
      <c r="R326" s="2">
        <f t="shared" si="44"/>
        <v>0</v>
      </c>
      <c r="S326" s="2">
        <v>1419.91</v>
      </c>
      <c r="T326" s="2"/>
      <c r="U326" s="2">
        <f t="shared" si="45"/>
        <v>-1419.91</v>
      </c>
      <c r="V326" s="2"/>
      <c r="W326" s="2"/>
      <c r="X326" s="2">
        <f t="shared" si="46"/>
        <v>0</v>
      </c>
      <c r="Y326" s="2"/>
      <c r="Z326" s="2"/>
      <c r="AA326" s="2">
        <f t="shared" si="47"/>
        <v>0</v>
      </c>
      <c r="AB326" s="2"/>
      <c r="AC326" s="2"/>
      <c r="AD326" s="2">
        <f t="shared" si="48"/>
        <v>0</v>
      </c>
      <c r="AE326" s="2">
        <v>1419.91</v>
      </c>
      <c r="AF326" s="2"/>
      <c r="AG326" s="2">
        <f t="shared" si="49"/>
        <v>-1419.91</v>
      </c>
    </row>
    <row r="327" spans="1:33" x14ac:dyDescent="0.3">
      <c r="B327" s="3"/>
      <c r="C327" t="str">
        <f xml:space="preserve"> _xll.EPMOlapMemberO("[CLACO].[PARENTH1].[AMSASERVICIOS]","","Servicios","","000")</f>
        <v>Servicios</v>
      </c>
      <c r="D327" s="2"/>
      <c r="E327" s="2"/>
      <c r="F327" s="2">
        <f t="shared" si="40"/>
        <v>0</v>
      </c>
      <c r="G327" s="2"/>
      <c r="H327" s="2"/>
      <c r="I327" s="2">
        <f t="shared" si="41"/>
        <v>0</v>
      </c>
      <c r="J327" s="2">
        <v>5629.4</v>
      </c>
      <c r="K327" s="2">
        <v>129811.76</v>
      </c>
      <c r="L327" s="2">
        <f t="shared" si="42"/>
        <v>124182.36</v>
      </c>
      <c r="M327" s="2"/>
      <c r="N327" s="2">
        <v>66124.75</v>
      </c>
      <c r="O327" s="2">
        <f t="shared" si="43"/>
        <v>66124.75</v>
      </c>
      <c r="P327" s="2"/>
      <c r="Q327" s="2"/>
      <c r="R327" s="2">
        <f t="shared" si="44"/>
        <v>0</v>
      </c>
      <c r="S327" s="2"/>
      <c r="T327" s="2"/>
      <c r="U327" s="2">
        <f t="shared" si="45"/>
        <v>0</v>
      </c>
      <c r="V327" s="2"/>
      <c r="W327" s="2"/>
      <c r="X327" s="2">
        <f t="shared" si="46"/>
        <v>0</v>
      </c>
      <c r="Y327" s="2"/>
      <c r="Z327" s="2"/>
      <c r="AA327" s="2">
        <f t="shared" si="47"/>
        <v>0</v>
      </c>
      <c r="AB327" s="2"/>
      <c r="AC327" s="2"/>
      <c r="AD327" s="2">
        <f t="shared" si="48"/>
        <v>0</v>
      </c>
      <c r="AE327" s="2"/>
      <c r="AF327" s="2"/>
      <c r="AG327" s="2">
        <f t="shared" si="49"/>
        <v>0</v>
      </c>
    </row>
    <row r="328" spans="1:33" x14ac:dyDescent="0.3">
      <c r="B328" s="3"/>
      <c r="C328" t="str">
        <f xml:space="preserve"> _xll.EPMOlapMemberO("[CLACO].[PARENTH1].[AMSAINFORMATIC]","","Informática y Comuni","","000")</f>
        <v>Informática y Comuni</v>
      </c>
      <c r="D328" s="2"/>
      <c r="E328" s="2"/>
      <c r="F328" s="2">
        <f t="shared" si="40"/>
        <v>0</v>
      </c>
      <c r="G328" s="2"/>
      <c r="H328" s="2"/>
      <c r="I328" s="2">
        <f t="shared" si="41"/>
        <v>0</v>
      </c>
      <c r="J328" s="2">
        <v>1834.47</v>
      </c>
      <c r="K328" s="2">
        <v>3408.5</v>
      </c>
      <c r="L328" s="2">
        <f t="shared" si="42"/>
        <v>1574.03</v>
      </c>
      <c r="M328" s="2">
        <v>2418.59</v>
      </c>
      <c r="N328" s="2">
        <v>651.73</v>
      </c>
      <c r="O328" s="2">
        <f t="shared" si="43"/>
        <v>-1766.8600000000001</v>
      </c>
      <c r="P328" s="2"/>
      <c r="Q328" s="2"/>
      <c r="R328" s="2">
        <f t="shared" si="44"/>
        <v>0</v>
      </c>
      <c r="S328" s="2"/>
      <c r="T328" s="2"/>
      <c r="U328" s="2">
        <f t="shared" si="45"/>
        <v>0</v>
      </c>
      <c r="V328" s="2"/>
      <c r="W328" s="2"/>
      <c r="X328" s="2">
        <f t="shared" si="46"/>
        <v>0</v>
      </c>
      <c r="Y328" s="2"/>
      <c r="Z328" s="2"/>
      <c r="AA328" s="2">
        <f t="shared" si="47"/>
        <v>0</v>
      </c>
      <c r="AB328" s="2"/>
      <c r="AC328" s="2"/>
      <c r="AD328" s="2">
        <f t="shared" si="48"/>
        <v>0</v>
      </c>
      <c r="AE328" s="2"/>
      <c r="AF328" s="2"/>
      <c r="AG328" s="2">
        <f t="shared" si="49"/>
        <v>0</v>
      </c>
    </row>
    <row r="329" spans="1:33" x14ac:dyDescent="0.3">
      <c r="B329" s="3"/>
      <c r="C329" t="str">
        <f xml:space="preserve"> _xll.EPMOlapMemberO("[CLACO].[PARENTH1].[AMSAG_VIAJES]","","Gastos de Viajes","","000")</f>
        <v>Gastos de Viajes</v>
      </c>
      <c r="D329" s="2"/>
      <c r="E329" s="2"/>
      <c r="F329" s="2">
        <f t="shared" si="40"/>
        <v>0</v>
      </c>
      <c r="G329" s="2">
        <v>727.83</v>
      </c>
      <c r="H329" s="2"/>
      <c r="I329" s="2">
        <f t="shared" si="41"/>
        <v>-727.83</v>
      </c>
      <c r="J329" s="2">
        <v>5532.82</v>
      </c>
      <c r="K329" s="2">
        <v>13829.22</v>
      </c>
      <c r="L329" s="2">
        <f t="shared" si="42"/>
        <v>8296.4</v>
      </c>
      <c r="M329" s="2">
        <v>181.68</v>
      </c>
      <c r="N329" s="2">
        <v>8672.6299999999992</v>
      </c>
      <c r="O329" s="2">
        <f t="shared" si="43"/>
        <v>8490.9499999999989</v>
      </c>
      <c r="P329" s="2"/>
      <c r="Q329" s="2"/>
      <c r="R329" s="2">
        <f t="shared" si="44"/>
        <v>0</v>
      </c>
      <c r="S329" s="2"/>
      <c r="T329" s="2"/>
      <c r="U329" s="2">
        <f t="shared" si="45"/>
        <v>0</v>
      </c>
      <c r="V329" s="2"/>
      <c r="W329" s="2"/>
      <c r="X329" s="2">
        <f t="shared" si="46"/>
        <v>0</v>
      </c>
      <c r="Y329" s="2"/>
      <c r="Z329" s="2"/>
      <c r="AA329" s="2">
        <f t="shared" si="47"/>
        <v>0</v>
      </c>
      <c r="AB329" s="2"/>
      <c r="AC329" s="2"/>
      <c r="AD329" s="2">
        <f t="shared" si="48"/>
        <v>0</v>
      </c>
      <c r="AE329" s="2"/>
      <c r="AF329" s="2"/>
      <c r="AG329" s="2">
        <f t="shared" si="49"/>
        <v>0</v>
      </c>
    </row>
    <row r="330" spans="1:33" x14ac:dyDescent="0.3">
      <c r="B330" s="3"/>
      <c r="C330" t="str">
        <f xml:space="preserve"> _xll.EPMOlapMemberO("[CLACO].[PARENTH1].[AMSAGGENERALES.2]","","Otros Gastos","","000")</f>
        <v>Otros Gastos</v>
      </c>
      <c r="D330" s="2"/>
      <c r="E330" s="2"/>
      <c r="F330" s="2">
        <f t="shared" si="40"/>
        <v>0</v>
      </c>
      <c r="G330" s="2">
        <v>5028.28</v>
      </c>
      <c r="H330" s="2"/>
      <c r="I330" s="2">
        <f t="shared" si="41"/>
        <v>-5028.28</v>
      </c>
      <c r="J330" s="2">
        <v>295.41000000000003</v>
      </c>
      <c r="K330" s="2"/>
      <c r="L330" s="2">
        <f t="shared" si="42"/>
        <v>-295.41000000000003</v>
      </c>
      <c r="M330" s="2">
        <v>657.69</v>
      </c>
      <c r="N330" s="2"/>
      <c r="O330" s="2">
        <f t="shared" si="43"/>
        <v>-657.69</v>
      </c>
      <c r="P330" s="2"/>
      <c r="Q330" s="2"/>
      <c r="R330" s="2">
        <f t="shared" si="44"/>
        <v>0</v>
      </c>
      <c r="S330" s="2"/>
      <c r="T330" s="2"/>
      <c r="U330" s="2">
        <f t="shared" si="45"/>
        <v>0</v>
      </c>
      <c r="V330" s="2"/>
      <c r="W330" s="2"/>
      <c r="X330" s="2">
        <f t="shared" si="46"/>
        <v>0</v>
      </c>
      <c r="Y330" s="2"/>
      <c r="Z330" s="2"/>
      <c r="AA330" s="2">
        <f t="shared" si="47"/>
        <v>0</v>
      </c>
      <c r="AB330" s="2"/>
      <c r="AC330" s="2"/>
      <c r="AD330" s="2">
        <f t="shared" si="48"/>
        <v>0</v>
      </c>
      <c r="AE330" s="2"/>
      <c r="AF330" s="2"/>
      <c r="AG330" s="2">
        <f t="shared" si="49"/>
        <v>0</v>
      </c>
    </row>
    <row r="331" spans="1:33" x14ac:dyDescent="0.3">
      <c r="A331" t="s">
        <v>37</v>
      </c>
      <c r="B331" s="3" t="str">
        <f xml:space="preserve"> _xll.EPMOlapMemberO("[CECO].[PARENTH3].[AMSA1000AC3531]","","Gcia Eng y Serv Estr","","000")</f>
        <v>Gcia Eng y Serv Estr</v>
      </c>
      <c r="C331" t="str">
        <f xml:space="preserve"> _xll.EPMOlapMemberO("[CLACO].[PARENTH1].[AMSAREMUNERACI.SS]","","Remuneraciones Super","","000")</f>
        <v>Remuneraciones Super</v>
      </c>
      <c r="D331" s="2"/>
      <c r="E331" s="2"/>
      <c r="F331" s="2">
        <f t="shared" ref="F331:F394" si="50">+E331-D331</f>
        <v>0</v>
      </c>
      <c r="G331" s="2"/>
      <c r="H331" s="2"/>
      <c r="I331" s="2">
        <f t="shared" ref="I331:I394" si="51">+H331-G331</f>
        <v>0</v>
      </c>
      <c r="J331" s="2">
        <v>751056.57</v>
      </c>
      <c r="K331" s="2"/>
      <c r="L331" s="2">
        <f t="shared" ref="L331:L394" si="52">+K331-J331</f>
        <v>-751056.57</v>
      </c>
      <c r="M331" s="2">
        <v>931691</v>
      </c>
      <c r="N331" s="2">
        <v>808409.97</v>
      </c>
      <c r="O331" s="2">
        <f t="shared" ref="O331:O394" si="53">+N331-M331</f>
        <v>-123281.03000000003</v>
      </c>
      <c r="P331" s="2">
        <v>71959.820000000007</v>
      </c>
      <c r="Q331" s="2">
        <v>73888.2</v>
      </c>
      <c r="R331" s="2">
        <f t="shared" ref="R331:R394" si="54">+Q331-P331</f>
        <v>1928.3799999999901</v>
      </c>
      <c r="S331" s="2">
        <v>102202.24000000001</v>
      </c>
      <c r="T331" s="2">
        <v>80112.83</v>
      </c>
      <c r="U331" s="2">
        <f t="shared" ref="U331:U394" si="55">+T331-S331</f>
        <v>-22089.410000000003</v>
      </c>
      <c r="V331" s="2">
        <v>87056.4</v>
      </c>
      <c r="W331" s="2">
        <v>73336.41</v>
      </c>
      <c r="X331" s="2">
        <f t="shared" ref="X331:X394" si="56">+W331-V331</f>
        <v>-13719.989999999991</v>
      </c>
      <c r="Y331" s="2">
        <v>94768.99</v>
      </c>
      <c r="Z331" s="2">
        <v>78023.63</v>
      </c>
      <c r="AA331" s="2">
        <f t="shared" ref="AA331:AA394" si="57">+Z331-Y331</f>
        <v>-16745.36</v>
      </c>
      <c r="AB331" s="2">
        <v>77344.800000000003</v>
      </c>
      <c r="AC331" s="2">
        <v>72915.88</v>
      </c>
      <c r="AD331" s="2">
        <f t="shared" ref="AD331:AD394" si="58">+AC331-AB331</f>
        <v>-4428.9199999999983</v>
      </c>
      <c r="AE331" s="2">
        <v>434285.63</v>
      </c>
      <c r="AF331" s="2">
        <v>907769.74</v>
      </c>
      <c r="AG331" s="2">
        <f t="shared" ref="AG331:AG394" si="59">+AF331-AE331</f>
        <v>473484.11</v>
      </c>
    </row>
    <row r="332" spans="1:33" x14ac:dyDescent="0.3">
      <c r="B332" s="3"/>
      <c r="C332" t="str">
        <f xml:space="preserve"> _xll.EPMOlapMemberO("[CLACO].[PARENTH1].[AMSAENTRENAMI]","","Entrenamiento","","000")</f>
        <v>Entrenamiento</v>
      </c>
      <c r="D332" s="2"/>
      <c r="E332" s="2"/>
      <c r="F332" s="2">
        <f t="shared" si="50"/>
        <v>0</v>
      </c>
      <c r="G332" s="2"/>
      <c r="H332" s="2"/>
      <c r="I332" s="2">
        <f t="shared" si="51"/>
        <v>0</v>
      </c>
      <c r="J332" s="2">
        <v>0</v>
      </c>
      <c r="K332" s="2"/>
      <c r="L332" s="2">
        <f t="shared" si="52"/>
        <v>0</v>
      </c>
      <c r="M332" s="2">
        <v>-2929.98</v>
      </c>
      <c r="N332" s="2"/>
      <c r="O332" s="2">
        <f t="shared" si="53"/>
        <v>2929.98</v>
      </c>
      <c r="P332" s="2"/>
      <c r="Q332" s="2"/>
      <c r="R332" s="2">
        <f t="shared" si="54"/>
        <v>0</v>
      </c>
      <c r="S332" s="2"/>
      <c r="T332" s="2"/>
      <c r="U332" s="2">
        <f t="shared" si="55"/>
        <v>0</v>
      </c>
      <c r="V332" s="2"/>
      <c r="W332" s="2"/>
      <c r="X332" s="2">
        <f t="shared" si="56"/>
        <v>0</v>
      </c>
      <c r="Y332" s="2"/>
      <c r="Z332" s="2"/>
      <c r="AA332" s="2">
        <f t="shared" si="57"/>
        <v>0</v>
      </c>
      <c r="AB332" s="2"/>
      <c r="AC332" s="2"/>
      <c r="AD332" s="2">
        <f t="shared" si="58"/>
        <v>0</v>
      </c>
      <c r="AE332" s="2"/>
      <c r="AF332" s="2"/>
      <c r="AG332" s="2">
        <f t="shared" si="59"/>
        <v>0</v>
      </c>
    </row>
    <row r="333" spans="1:33" x14ac:dyDescent="0.3">
      <c r="B333" s="3"/>
      <c r="C333" t="str">
        <f xml:space="preserve"> _xll.EPMOlapMemberO("[CLACO].[PARENTH1].[AMSAASESORIAS]","","Asesorías y Consulto","","000")</f>
        <v>Asesorías y Consulto</v>
      </c>
      <c r="D333" s="2"/>
      <c r="E333" s="2"/>
      <c r="F333" s="2">
        <f t="shared" si="50"/>
        <v>0</v>
      </c>
      <c r="G333" s="2"/>
      <c r="H333" s="2"/>
      <c r="I333" s="2">
        <f t="shared" si="51"/>
        <v>0</v>
      </c>
      <c r="J333" s="2">
        <v>14955.73</v>
      </c>
      <c r="K333" s="2">
        <v>15041.8</v>
      </c>
      <c r="L333" s="2">
        <f t="shared" si="52"/>
        <v>86.069999999999709</v>
      </c>
      <c r="M333" s="2">
        <v>2643.93</v>
      </c>
      <c r="N333" s="2">
        <v>18901.87</v>
      </c>
      <c r="O333" s="2">
        <f t="shared" si="53"/>
        <v>16257.939999999999</v>
      </c>
      <c r="P333" s="2"/>
      <c r="Q333" s="2">
        <v>881.59</v>
      </c>
      <c r="R333" s="2">
        <f t="shared" si="54"/>
        <v>881.59</v>
      </c>
      <c r="S333" s="2"/>
      <c r="T333" s="2">
        <v>879.13</v>
      </c>
      <c r="U333" s="2">
        <f t="shared" si="55"/>
        <v>879.13</v>
      </c>
      <c r="V333" s="2"/>
      <c r="W333" s="2">
        <v>876.69</v>
      </c>
      <c r="X333" s="2">
        <f t="shared" si="56"/>
        <v>876.69</v>
      </c>
      <c r="Y333" s="2"/>
      <c r="Z333" s="2">
        <v>874.25</v>
      </c>
      <c r="AA333" s="2">
        <f t="shared" si="57"/>
        <v>874.25</v>
      </c>
      <c r="AB333" s="2"/>
      <c r="AC333" s="2">
        <v>871.82</v>
      </c>
      <c r="AD333" s="2">
        <f t="shared" si="58"/>
        <v>871.82</v>
      </c>
      <c r="AE333" s="2"/>
      <c r="AF333" s="2">
        <v>19488.97</v>
      </c>
      <c r="AG333" s="2">
        <f t="shared" si="59"/>
        <v>19488.97</v>
      </c>
    </row>
    <row r="334" spans="1:33" x14ac:dyDescent="0.3">
      <c r="B334" s="3"/>
      <c r="C334" t="str">
        <f xml:space="preserve"> _xll.EPMOlapMemberO("[CLACO].[PARENTH1].[AMSASERVICIOS]","","Servicios","","000")</f>
        <v>Servicios</v>
      </c>
      <c r="D334" s="2"/>
      <c r="E334" s="2"/>
      <c r="F334" s="2">
        <f t="shared" si="50"/>
        <v>0</v>
      </c>
      <c r="G334" s="2"/>
      <c r="H334" s="2"/>
      <c r="I334" s="2">
        <f t="shared" si="51"/>
        <v>0</v>
      </c>
      <c r="J334" s="2">
        <v>210702.15</v>
      </c>
      <c r="K334" s="2">
        <v>430535.14</v>
      </c>
      <c r="L334" s="2">
        <f t="shared" si="52"/>
        <v>219832.99000000002</v>
      </c>
      <c r="M334" s="2">
        <v>147905.98000000001</v>
      </c>
      <c r="N334" s="2">
        <v>421881.55</v>
      </c>
      <c r="O334" s="2">
        <f t="shared" si="53"/>
        <v>273975.56999999995</v>
      </c>
      <c r="P334" s="2">
        <v>19198.77</v>
      </c>
      <c r="Q334" s="2">
        <v>39583.629999999997</v>
      </c>
      <c r="R334" s="2">
        <f t="shared" si="54"/>
        <v>20384.859999999997</v>
      </c>
      <c r="S334" s="2">
        <v>15098.2</v>
      </c>
      <c r="T334" s="2">
        <v>50888.57</v>
      </c>
      <c r="U334" s="2">
        <f t="shared" si="55"/>
        <v>35790.369999999995</v>
      </c>
      <c r="V334" s="2">
        <v>22950.76</v>
      </c>
      <c r="W334" s="2">
        <v>41284.86</v>
      </c>
      <c r="X334" s="2">
        <f t="shared" si="56"/>
        <v>18334.100000000002</v>
      </c>
      <c r="Y334" s="2">
        <v>16524.27</v>
      </c>
      <c r="Z334" s="2">
        <v>24523.08</v>
      </c>
      <c r="AA334" s="2">
        <f t="shared" si="57"/>
        <v>7998.8100000000013</v>
      </c>
      <c r="AB334" s="2">
        <v>286.86</v>
      </c>
      <c r="AC334" s="2">
        <v>68045.600000000006</v>
      </c>
      <c r="AD334" s="2">
        <f t="shared" si="58"/>
        <v>67758.740000000005</v>
      </c>
      <c r="AE334" s="2">
        <v>80860.740000000005</v>
      </c>
      <c r="AF334" s="2">
        <v>417380.24</v>
      </c>
      <c r="AG334" s="2">
        <f t="shared" si="59"/>
        <v>336519.5</v>
      </c>
    </row>
    <row r="335" spans="1:33" x14ac:dyDescent="0.3">
      <c r="B335" s="3"/>
      <c r="C335" t="str">
        <f xml:space="preserve"> _xll.EPMOlapMemberO("[CLACO].[PARENTH1].[AMSAINFORMATIC]","","Informática y Comuni","","000")</f>
        <v>Informática y Comuni</v>
      </c>
      <c r="D335" s="2"/>
      <c r="E335" s="2"/>
      <c r="F335" s="2">
        <f t="shared" si="50"/>
        <v>0</v>
      </c>
      <c r="G335" s="2"/>
      <c r="H335" s="2"/>
      <c r="I335" s="2">
        <f t="shared" si="51"/>
        <v>0</v>
      </c>
      <c r="J335" s="2">
        <v>7256.05</v>
      </c>
      <c r="K335" s="2">
        <v>1341.48</v>
      </c>
      <c r="L335" s="2">
        <f t="shared" si="52"/>
        <v>-5914.57</v>
      </c>
      <c r="M335" s="2">
        <v>4827.0600000000004</v>
      </c>
      <c r="N335" s="2">
        <v>2706.33</v>
      </c>
      <c r="O335" s="2">
        <f t="shared" si="53"/>
        <v>-2120.7300000000005</v>
      </c>
      <c r="P335" s="2">
        <v>438.34</v>
      </c>
      <c r="Q335" s="2">
        <v>223.98</v>
      </c>
      <c r="R335" s="2">
        <f t="shared" si="54"/>
        <v>-214.35999999999999</v>
      </c>
      <c r="S335" s="2">
        <v>80.14</v>
      </c>
      <c r="T335" s="2">
        <v>223.13</v>
      </c>
      <c r="U335" s="2">
        <f t="shared" si="55"/>
        <v>142.99</v>
      </c>
      <c r="V335" s="2">
        <v>37.97</v>
      </c>
      <c r="W335" s="2">
        <v>222.29</v>
      </c>
      <c r="X335" s="2">
        <f t="shared" si="56"/>
        <v>184.32</v>
      </c>
      <c r="Y335" s="2">
        <v>1358.99</v>
      </c>
      <c r="Z335" s="2">
        <v>221.44</v>
      </c>
      <c r="AA335" s="2">
        <f t="shared" si="57"/>
        <v>-1137.55</v>
      </c>
      <c r="AB335" s="2">
        <v>127.69</v>
      </c>
      <c r="AC335" s="2">
        <v>220.6</v>
      </c>
      <c r="AD335" s="2">
        <f t="shared" si="58"/>
        <v>92.91</v>
      </c>
      <c r="AE335" s="2">
        <v>2081.9899999999998</v>
      </c>
      <c r="AF335" s="2">
        <v>2703.26</v>
      </c>
      <c r="AG335" s="2">
        <f t="shared" si="59"/>
        <v>621.27000000000044</v>
      </c>
    </row>
    <row r="336" spans="1:33" x14ac:dyDescent="0.3">
      <c r="B336" s="3"/>
      <c r="C336" t="str">
        <f xml:space="preserve"> _xll.EPMOlapMemberO("[CLACO].[PARENTH1].[AMSAG_VIAJES]","","Gastos de Viajes","","000")</f>
        <v>Gastos de Viajes</v>
      </c>
      <c r="D336" s="2"/>
      <c r="E336" s="2"/>
      <c r="F336" s="2">
        <f t="shared" si="50"/>
        <v>0</v>
      </c>
      <c r="G336" s="2"/>
      <c r="H336" s="2"/>
      <c r="I336" s="2">
        <f t="shared" si="51"/>
        <v>0</v>
      </c>
      <c r="J336" s="2">
        <v>11410.31</v>
      </c>
      <c r="K336" s="2">
        <v>10662.51</v>
      </c>
      <c r="L336" s="2">
        <f t="shared" si="52"/>
        <v>-747.79999999999927</v>
      </c>
      <c r="M336" s="2">
        <v>6216.57</v>
      </c>
      <c r="N336" s="2">
        <v>7259.19</v>
      </c>
      <c r="O336" s="2">
        <f t="shared" si="53"/>
        <v>1042.6199999999999</v>
      </c>
      <c r="P336" s="2">
        <v>1264.92</v>
      </c>
      <c r="Q336" s="2"/>
      <c r="R336" s="2">
        <f t="shared" si="54"/>
        <v>-1264.92</v>
      </c>
      <c r="S336" s="2">
        <v>1555.49</v>
      </c>
      <c r="T336" s="2"/>
      <c r="U336" s="2">
        <f t="shared" si="55"/>
        <v>-1555.49</v>
      </c>
      <c r="V336" s="2">
        <v>534.47</v>
      </c>
      <c r="W336" s="2">
        <v>1785.15</v>
      </c>
      <c r="X336" s="2">
        <f t="shared" si="56"/>
        <v>1250.68</v>
      </c>
      <c r="Y336" s="2">
        <v>987.18</v>
      </c>
      <c r="Z336" s="2"/>
      <c r="AA336" s="2">
        <f t="shared" si="57"/>
        <v>-987.18</v>
      </c>
      <c r="AB336" s="2">
        <v>613.91</v>
      </c>
      <c r="AC336" s="2"/>
      <c r="AD336" s="2">
        <f t="shared" si="58"/>
        <v>-613.91</v>
      </c>
      <c r="AE336" s="2">
        <v>5298.5</v>
      </c>
      <c r="AF336" s="2">
        <v>7250.98</v>
      </c>
      <c r="AG336" s="2">
        <f t="shared" si="59"/>
        <v>1952.4799999999996</v>
      </c>
    </row>
    <row r="337" spans="1:33" x14ac:dyDescent="0.3">
      <c r="B337" s="3"/>
      <c r="C337" t="str">
        <f xml:space="preserve"> _xll.EPMOlapMemberO("[CLACO].[PARENTH1].[AMSAGGENERALES.2]","","Otros Gastos","","000")</f>
        <v>Otros Gastos</v>
      </c>
      <c r="D337" s="2"/>
      <c r="E337" s="2"/>
      <c r="F337" s="2">
        <f t="shared" si="50"/>
        <v>0</v>
      </c>
      <c r="G337" s="2"/>
      <c r="H337" s="2"/>
      <c r="I337" s="2">
        <f t="shared" si="51"/>
        <v>0</v>
      </c>
      <c r="J337" s="2">
        <v>16670.47</v>
      </c>
      <c r="K337" s="2">
        <v>32113.91</v>
      </c>
      <c r="L337" s="2">
        <f t="shared" si="52"/>
        <v>15443.439999999999</v>
      </c>
      <c r="M337" s="2">
        <v>30462.83</v>
      </c>
      <c r="N337" s="2">
        <v>27107.1</v>
      </c>
      <c r="O337" s="2">
        <f t="shared" si="53"/>
        <v>-3355.7300000000032</v>
      </c>
      <c r="P337" s="2">
        <v>98.53</v>
      </c>
      <c r="Q337" s="2">
        <v>40.72</v>
      </c>
      <c r="R337" s="2">
        <f t="shared" si="54"/>
        <v>-57.81</v>
      </c>
      <c r="S337" s="2">
        <v>268.89</v>
      </c>
      <c r="T337" s="2">
        <v>294.13</v>
      </c>
      <c r="U337" s="2">
        <f t="shared" si="55"/>
        <v>25.240000000000009</v>
      </c>
      <c r="V337" s="2">
        <v>18398.5</v>
      </c>
      <c r="W337" s="2">
        <v>40.409999999999997</v>
      </c>
      <c r="X337" s="2">
        <f t="shared" si="56"/>
        <v>-18358.09</v>
      </c>
      <c r="Y337" s="2">
        <v>15.43</v>
      </c>
      <c r="Z337" s="2">
        <v>17525.21</v>
      </c>
      <c r="AA337" s="2">
        <f t="shared" si="57"/>
        <v>17509.78</v>
      </c>
      <c r="AB337" s="2">
        <v>596.24</v>
      </c>
      <c r="AC337" s="2">
        <v>290.79000000000002</v>
      </c>
      <c r="AD337" s="2">
        <f t="shared" si="58"/>
        <v>-305.45</v>
      </c>
      <c r="AE337" s="2">
        <v>19379.13</v>
      </c>
      <c r="AF337" s="2">
        <v>27911.19</v>
      </c>
      <c r="AG337" s="2">
        <f t="shared" si="59"/>
        <v>8532.0599999999977</v>
      </c>
    </row>
    <row r="338" spans="1:33" x14ac:dyDescent="0.3">
      <c r="A338" t="s">
        <v>38</v>
      </c>
      <c r="B338" s="3" t="str">
        <f xml:space="preserve"> _xll.EPMOlapMemberO("[CECO].[PARENTH3].[AMSA1000AC3508]","","Depto Serv Generales","","000")</f>
        <v>Depto Serv Generales</v>
      </c>
      <c r="C338" t="str">
        <f xml:space="preserve"> _xll.EPMOlapMemberO("[CLACO].[PARENTH1].[AMSAMAT_Y_REP.2]","","Materiales y repuest","","000")</f>
        <v>Materiales y repuest</v>
      </c>
      <c r="D338" s="2"/>
      <c r="E338" s="2"/>
      <c r="F338" s="2">
        <f t="shared" si="50"/>
        <v>0</v>
      </c>
      <c r="G338" s="2">
        <v>0</v>
      </c>
      <c r="H338" s="2"/>
      <c r="I338" s="2">
        <f t="shared" si="51"/>
        <v>0</v>
      </c>
      <c r="J338" s="2"/>
      <c r="K338" s="2"/>
      <c r="L338" s="2">
        <f t="shared" si="52"/>
        <v>0</v>
      </c>
      <c r="M338" s="2"/>
      <c r="N338" s="2"/>
      <c r="O338" s="2">
        <f t="shared" si="53"/>
        <v>0</v>
      </c>
      <c r="P338" s="2"/>
      <c r="Q338" s="2"/>
      <c r="R338" s="2">
        <f t="shared" si="54"/>
        <v>0</v>
      </c>
      <c r="S338" s="2"/>
      <c r="T338" s="2"/>
      <c r="U338" s="2">
        <f t="shared" si="55"/>
        <v>0</v>
      </c>
      <c r="V338" s="2"/>
      <c r="W338" s="2"/>
      <c r="X338" s="2">
        <f t="shared" si="56"/>
        <v>0</v>
      </c>
      <c r="Y338" s="2"/>
      <c r="Z338" s="2"/>
      <c r="AA338" s="2">
        <f t="shared" si="57"/>
        <v>0</v>
      </c>
      <c r="AB338" s="2"/>
      <c r="AC338" s="2"/>
      <c r="AD338" s="2">
        <f t="shared" si="58"/>
        <v>0</v>
      </c>
      <c r="AE338" s="2"/>
      <c r="AF338" s="2"/>
      <c r="AG338" s="2">
        <f t="shared" si="59"/>
        <v>0</v>
      </c>
    </row>
    <row r="339" spans="1:33" x14ac:dyDescent="0.3">
      <c r="B339" s="3"/>
      <c r="C339" t="str">
        <f xml:space="preserve"> _xll.EPMOlapMemberO("[CLACO].[PARENTH1].[AMSAENERGIA]","","Energía","","000")</f>
        <v>Energía</v>
      </c>
      <c r="D339" s="2">
        <v>185421.71</v>
      </c>
      <c r="E339" s="2">
        <v>214210.6</v>
      </c>
      <c r="F339" s="2">
        <f t="shared" si="50"/>
        <v>28788.890000000014</v>
      </c>
      <c r="G339" s="2">
        <v>172460.65</v>
      </c>
      <c r="H339" s="2">
        <v>217582.44</v>
      </c>
      <c r="I339" s="2">
        <f t="shared" si="51"/>
        <v>45121.790000000008</v>
      </c>
      <c r="J339" s="2">
        <v>220436.43</v>
      </c>
      <c r="K339" s="2">
        <v>141176.51999999999</v>
      </c>
      <c r="L339" s="2">
        <f t="shared" si="52"/>
        <v>-79259.91</v>
      </c>
      <c r="M339" s="2">
        <v>216963.4</v>
      </c>
      <c r="N339" s="2">
        <v>243491.47</v>
      </c>
      <c r="O339" s="2">
        <f t="shared" si="53"/>
        <v>26528.070000000007</v>
      </c>
      <c r="P339" s="2">
        <v>19739.5</v>
      </c>
      <c r="Q339" s="2">
        <v>21046.02</v>
      </c>
      <c r="R339" s="2">
        <f t="shared" si="54"/>
        <v>1306.5200000000004</v>
      </c>
      <c r="S339" s="2">
        <v>21273.69</v>
      </c>
      <c r="T339" s="2">
        <v>20987.23</v>
      </c>
      <c r="U339" s="2">
        <f t="shared" si="55"/>
        <v>-286.45999999999913</v>
      </c>
      <c r="V339" s="2">
        <v>22462.45</v>
      </c>
      <c r="W339" s="2">
        <v>20928.43</v>
      </c>
      <c r="X339" s="2">
        <f t="shared" si="56"/>
        <v>-1534.0200000000004</v>
      </c>
      <c r="Y339" s="2">
        <v>20306.34</v>
      </c>
      <c r="Z339" s="2">
        <v>20869.64</v>
      </c>
      <c r="AA339" s="2">
        <f t="shared" si="57"/>
        <v>563.29999999999927</v>
      </c>
      <c r="AB339" s="2">
        <v>17803.84</v>
      </c>
      <c r="AC339" s="2">
        <v>20812.740000000002</v>
      </c>
      <c r="AD339" s="2">
        <f t="shared" si="58"/>
        <v>3008.9000000000015</v>
      </c>
      <c r="AE339" s="2">
        <v>120361.58</v>
      </c>
      <c r="AF339" s="2">
        <v>253616.47</v>
      </c>
      <c r="AG339" s="2">
        <f t="shared" si="59"/>
        <v>133254.89000000001</v>
      </c>
    </row>
    <row r="340" spans="1:33" x14ac:dyDescent="0.3">
      <c r="B340" s="3"/>
      <c r="C340" t="str">
        <f xml:space="preserve"> _xll.EPMOlapMemberO("[CLACO].[PARENTH1].[AMSAADM_PERSON]","","Administración Perso","","000")</f>
        <v>Administración Perso</v>
      </c>
      <c r="D340" s="2"/>
      <c r="E340" s="2"/>
      <c r="F340" s="2">
        <f t="shared" si="50"/>
        <v>0</v>
      </c>
      <c r="G340" s="2"/>
      <c r="H340" s="2"/>
      <c r="I340" s="2">
        <f t="shared" si="51"/>
        <v>0</v>
      </c>
      <c r="J340" s="2"/>
      <c r="K340" s="2"/>
      <c r="L340" s="2">
        <f t="shared" si="52"/>
        <v>0</v>
      </c>
      <c r="M340" s="2">
        <v>3.25</v>
      </c>
      <c r="N340" s="2"/>
      <c r="O340" s="2">
        <f t="shared" si="53"/>
        <v>-3.25</v>
      </c>
      <c r="P340" s="2"/>
      <c r="Q340" s="2"/>
      <c r="R340" s="2">
        <f t="shared" si="54"/>
        <v>0</v>
      </c>
      <c r="S340" s="2"/>
      <c r="T340" s="2"/>
      <c r="U340" s="2">
        <f t="shared" si="55"/>
        <v>0</v>
      </c>
      <c r="V340" s="2"/>
      <c r="W340" s="2"/>
      <c r="X340" s="2">
        <f t="shared" si="56"/>
        <v>0</v>
      </c>
      <c r="Y340" s="2"/>
      <c r="Z340" s="2"/>
      <c r="AA340" s="2">
        <f t="shared" si="57"/>
        <v>0</v>
      </c>
      <c r="AB340" s="2"/>
      <c r="AC340" s="2"/>
      <c r="AD340" s="2">
        <f t="shared" si="58"/>
        <v>0</v>
      </c>
      <c r="AE340" s="2"/>
      <c r="AF340" s="2"/>
      <c r="AG340" s="2">
        <f t="shared" si="59"/>
        <v>0</v>
      </c>
    </row>
    <row r="341" spans="1:33" x14ac:dyDescent="0.3">
      <c r="B341" s="3"/>
      <c r="C341" t="str">
        <f xml:space="preserve"> _xll.EPMOlapMemberO("[CLACO].[PARENTH1].[AMSAASESORIAS]","","Asesorías y Consulto","","000")</f>
        <v>Asesorías y Consulto</v>
      </c>
      <c r="D341" s="2">
        <v>-3039.02</v>
      </c>
      <c r="E341" s="2"/>
      <c r="F341" s="2">
        <f t="shared" si="50"/>
        <v>3039.02</v>
      </c>
      <c r="G341" s="2">
        <v>18738.57</v>
      </c>
      <c r="H341" s="2"/>
      <c r="I341" s="2">
        <f t="shared" si="51"/>
        <v>-18738.57</v>
      </c>
      <c r="J341" s="2"/>
      <c r="K341" s="2"/>
      <c r="L341" s="2">
        <f t="shared" si="52"/>
        <v>0</v>
      </c>
      <c r="M341" s="2"/>
      <c r="N341" s="2"/>
      <c r="O341" s="2">
        <f t="shared" si="53"/>
        <v>0</v>
      </c>
      <c r="P341" s="2"/>
      <c r="Q341" s="2"/>
      <c r="R341" s="2">
        <f t="shared" si="54"/>
        <v>0</v>
      </c>
      <c r="S341" s="2"/>
      <c r="T341" s="2"/>
      <c r="U341" s="2">
        <f t="shared" si="55"/>
        <v>0</v>
      </c>
      <c r="V341" s="2"/>
      <c r="W341" s="2"/>
      <c r="X341" s="2">
        <f t="shared" si="56"/>
        <v>0</v>
      </c>
      <c r="Y341" s="2"/>
      <c r="Z341" s="2"/>
      <c r="AA341" s="2">
        <f t="shared" si="57"/>
        <v>0</v>
      </c>
      <c r="AB341" s="2"/>
      <c r="AC341" s="2"/>
      <c r="AD341" s="2">
        <f t="shared" si="58"/>
        <v>0</v>
      </c>
      <c r="AE341" s="2"/>
      <c r="AF341" s="2"/>
      <c r="AG341" s="2">
        <f t="shared" si="59"/>
        <v>0</v>
      </c>
    </row>
    <row r="342" spans="1:33" x14ac:dyDescent="0.3">
      <c r="B342" s="3"/>
      <c r="C342" t="str">
        <f xml:space="preserve"> _xll.EPMOlapMemberO("[CLACO].[PARENTH1].[AMSAARRIENDOS]","","Arriendos","","000")</f>
        <v>Arriendos</v>
      </c>
      <c r="D342" s="2">
        <v>133708</v>
      </c>
      <c r="E342" s="2">
        <v>112739.25</v>
      </c>
      <c r="F342" s="2">
        <f t="shared" si="50"/>
        <v>-20968.75</v>
      </c>
      <c r="G342" s="2">
        <v>136813.75</v>
      </c>
      <c r="H342" s="2">
        <v>116331.82</v>
      </c>
      <c r="I342" s="2">
        <f t="shared" si="51"/>
        <v>-20481.929999999993</v>
      </c>
      <c r="J342" s="2">
        <v>133191.87</v>
      </c>
      <c r="K342" s="2">
        <v>148364.79</v>
      </c>
      <c r="L342" s="2">
        <f t="shared" si="52"/>
        <v>15172.920000000013</v>
      </c>
      <c r="M342" s="2">
        <v>259994.94</v>
      </c>
      <c r="N342" s="2">
        <v>334368.19</v>
      </c>
      <c r="O342" s="2">
        <f t="shared" si="53"/>
        <v>74373.25</v>
      </c>
      <c r="P342" s="2">
        <v>27381.15</v>
      </c>
      <c r="Q342" s="2">
        <v>33705.22</v>
      </c>
      <c r="R342" s="2">
        <f t="shared" si="54"/>
        <v>6324.07</v>
      </c>
      <c r="S342" s="2">
        <v>26754.36</v>
      </c>
      <c r="T342" s="2">
        <v>33611.449999999997</v>
      </c>
      <c r="U342" s="2">
        <f t="shared" si="55"/>
        <v>6857.0899999999965</v>
      </c>
      <c r="V342" s="2">
        <v>26626.44</v>
      </c>
      <c r="W342" s="2">
        <v>33517.93</v>
      </c>
      <c r="X342" s="2">
        <f t="shared" si="56"/>
        <v>6891.4900000000016</v>
      </c>
      <c r="Y342" s="2">
        <v>28905.200000000001</v>
      </c>
      <c r="Z342" s="2">
        <v>33424.68</v>
      </c>
      <c r="AA342" s="2">
        <f t="shared" si="57"/>
        <v>4519.4799999999996</v>
      </c>
      <c r="AB342" s="2">
        <v>27823.18</v>
      </c>
      <c r="AC342" s="2">
        <v>33331.660000000003</v>
      </c>
      <c r="AD342" s="2">
        <f t="shared" si="58"/>
        <v>5508.4800000000032</v>
      </c>
      <c r="AE342" s="2">
        <v>166550.89000000001</v>
      </c>
      <c r="AF342" s="2">
        <v>406175.43</v>
      </c>
      <c r="AG342" s="2">
        <f t="shared" si="59"/>
        <v>239624.53999999998</v>
      </c>
    </row>
    <row r="343" spans="1:33" x14ac:dyDescent="0.3">
      <c r="B343" s="3"/>
      <c r="C343" t="str">
        <f xml:space="preserve"> _xll.EPMOlapMemberO("[CLACO].[PARENTH1].[AMSASERVICIOS]","","Servicios","","000")</f>
        <v>Servicios</v>
      </c>
      <c r="D343" s="2">
        <v>25733.16</v>
      </c>
      <c r="E343" s="2">
        <v>262751.01</v>
      </c>
      <c r="F343" s="2">
        <f t="shared" si="50"/>
        <v>237017.85</v>
      </c>
      <c r="G343" s="2">
        <v>1883.36</v>
      </c>
      <c r="H343" s="2"/>
      <c r="I343" s="2">
        <f t="shared" si="51"/>
        <v>-1883.36</v>
      </c>
      <c r="J343" s="2">
        <v>6449.26</v>
      </c>
      <c r="K343" s="2"/>
      <c r="L343" s="2">
        <f t="shared" si="52"/>
        <v>-6449.26</v>
      </c>
      <c r="M343" s="2">
        <v>3676.78</v>
      </c>
      <c r="N343" s="2"/>
      <c r="O343" s="2">
        <f t="shared" si="53"/>
        <v>-3676.78</v>
      </c>
      <c r="P343" s="2">
        <v>697.38</v>
      </c>
      <c r="Q343" s="2"/>
      <c r="R343" s="2">
        <f t="shared" si="54"/>
        <v>-697.38</v>
      </c>
      <c r="S343" s="2">
        <v>657.26</v>
      </c>
      <c r="T343" s="2"/>
      <c r="U343" s="2">
        <f t="shared" si="55"/>
        <v>-657.26</v>
      </c>
      <c r="V343" s="2">
        <v>324.99</v>
      </c>
      <c r="W343" s="2"/>
      <c r="X343" s="2">
        <f t="shared" si="56"/>
        <v>-324.99</v>
      </c>
      <c r="Y343" s="2">
        <v>3402.81</v>
      </c>
      <c r="Z343" s="2"/>
      <c r="AA343" s="2">
        <f t="shared" si="57"/>
        <v>-3402.81</v>
      </c>
      <c r="AB343" s="2">
        <v>347.86</v>
      </c>
      <c r="AC343" s="2"/>
      <c r="AD343" s="2">
        <f t="shared" si="58"/>
        <v>-347.86</v>
      </c>
      <c r="AE343" s="2">
        <v>5783.09</v>
      </c>
      <c r="AF343" s="2"/>
      <c r="AG343" s="2">
        <f t="shared" si="59"/>
        <v>-5783.09</v>
      </c>
    </row>
    <row r="344" spans="1:33" x14ac:dyDescent="0.3">
      <c r="B344" s="3"/>
      <c r="C344" t="str">
        <f xml:space="preserve"> _xll.EPMOlapMemberO("[CLACO].[PARENTH1].[AMSASERMANTO.REPA]","","Servicios Mantenimie","","000")</f>
        <v>Servicios Mantenimie</v>
      </c>
      <c r="D344" s="2">
        <v>541771.93999999994</v>
      </c>
      <c r="E344" s="2">
        <v>586768.73</v>
      </c>
      <c r="F344" s="2">
        <f t="shared" si="50"/>
        <v>44996.790000000037</v>
      </c>
      <c r="G344" s="2">
        <v>420634.32</v>
      </c>
      <c r="H344" s="2">
        <v>603676.12</v>
      </c>
      <c r="I344" s="2">
        <f t="shared" si="51"/>
        <v>183041.8</v>
      </c>
      <c r="J344" s="2">
        <v>513452.07</v>
      </c>
      <c r="K344" s="2">
        <v>641888.28</v>
      </c>
      <c r="L344" s="2">
        <f t="shared" si="52"/>
        <v>128436.21000000002</v>
      </c>
      <c r="M344" s="2">
        <v>686683.45</v>
      </c>
      <c r="N344" s="2">
        <v>610740.57999999996</v>
      </c>
      <c r="O344" s="2">
        <f t="shared" si="53"/>
        <v>-75942.87</v>
      </c>
      <c r="P344" s="2">
        <v>58057.46</v>
      </c>
      <c r="Q344" s="2">
        <v>52740.51</v>
      </c>
      <c r="R344" s="2">
        <f t="shared" si="54"/>
        <v>-5316.9499999999971</v>
      </c>
      <c r="S344" s="2">
        <v>54023.11</v>
      </c>
      <c r="T344" s="2">
        <v>53093.74</v>
      </c>
      <c r="U344" s="2">
        <f t="shared" si="55"/>
        <v>-929.37000000000262</v>
      </c>
      <c r="V344" s="2">
        <v>46112.76</v>
      </c>
      <c r="W344" s="2">
        <v>52445.82</v>
      </c>
      <c r="X344" s="2">
        <f t="shared" si="56"/>
        <v>6333.0599999999977</v>
      </c>
      <c r="Y344" s="2">
        <v>59110.47</v>
      </c>
      <c r="Z344" s="2">
        <v>52796.25</v>
      </c>
      <c r="AA344" s="2">
        <f t="shared" si="57"/>
        <v>-6314.2200000000012</v>
      </c>
      <c r="AB344" s="2">
        <v>47941.9</v>
      </c>
      <c r="AC344" s="2">
        <v>52155.87</v>
      </c>
      <c r="AD344" s="2">
        <f t="shared" si="58"/>
        <v>4213.9700000000012</v>
      </c>
      <c r="AE344" s="2">
        <v>319061.40999999997</v>
      </c>
      <c r="AF344" s="2">
        <v>638581.32999999996</v>
      </c>
      <c r="AG344" s="2">
        <f t="shared" si="59"/>
        <v>319519.92</v>
      </c>
    </row>
    <row r="345" spans="1:33" x14ac:dyDescent="0.3">
      <c r="B345" s="3"/>
      <c r="C345" t="str">
        <f xml:space="preserve"> _xll.EPMOlapMemberO("[CLACO].[PARENTH1].[AMSAINFORMATIC]","","Informática y Comuni","","000")</f>
        <v>Informática y Comuni</v>
      </c>
      <c r="D345" s="2">
        <v>9875.33</v>
      </c>
      <c r="E345" s="2"/>
      <c r="F345" s="2">
        <f t="shared" si="50"/>
        <v>-9875.33</v>
      </c>
      <c r="G345" s="2">
        <v>185.05</v>
      </c>
      <c r="H345" s="2"/>
      <c r="I345" s="2">
        <f t="shared" si="51"/>
        <v>-185.05</v>
      </c>
      <c r="J345" s="2"/>
      <c r="K345" s="2"/>
      <c r="L345" s="2">
        <f t="shared" si="52"/>
        <v>0</v>
      </c>
      <c r="M345" s="2">
        <v>4910.5600000000004</v>
      </c>
      <c r="N345" s="2"/>
      <c r="O345" s="2">
        <f t="shared" si="53"/>
        <v>-4910.5600000000004</v>
      </c>
      <c r="P345" s="2"/>
      <c r="Q345" s="2"/>
      <c r="R345" s="2">
        <f t="shared" si="54"/>
        <v>0</v>
      </c>
      <c r="S345" s="2">
        <v>38.159999999999997</v>
      </c>
      <c r="T345" s="2"/>
      <c r="U345" s="2">
        <f t="shared" si="55"/>
        <v>-38.159999999999997</v>
      </c>
      <c r="V345" s="2">
        <v>-2977.09</v>
      </c>
      <c r="W345" s="2"/>
      <c r="X345" s="2">
        <f t="shared" si="56"/>
        <v>2977.09</v>
      </c>
      <c r="Y345" s="2">
        <v>61.61</v>
      </c>
      <c r="Z345" s="2"/>
      <c r="AA345" s="2">
        <f t="shared" si="57"/>
        <v>-61.61</v>
      </c>
      <c r="AB345" s="2">
        <v>178.47</v>
      </c>
      <c r="AC345" s="2"/>
      <c r="AD345" s="2">
        <f t="shared" si="58"/>
        <v>-178.47</v>
      </c>
      <c r="AE345" s="2">
        <v>-2659.99</v>
      </c>
      <c r="AF345" s="2"/>
      <c r="AG345" s="2">
        <f t="shared" si="59"/>
        <v>2659.99</v>
      </c>
    </row>
    <row r="346" spans="1:33" x14ac:dyDescent="0.3">
      <c r="B346" s="3"/>
      <c r="C346" t="str">
        <f xml:space="preserve"> _xll.EPMOlapMemberO("[CLACO].[PARENTH1].[AMSAG_VIAJES]","","Gastos de Viajes","","000")</f>
        <v>Gastos de Viajes</v>
      </c>
      <c r="D346" s="2"/>
      <c r="E346" s="2"/>
      <c r="F346" s="2">
        <f t="shared" si="50"/>
        <v>0</v>
      </c>
      <c r="G346" s="2"/>
      <c r="H346" s="2"/>
      <c r="I346" s="2">
        <f t="shared" si="51"/>
        <v>0</v>
      </c>
      <c r="J346" s="2">
        <v>-817.3</v>
      </c>
      <c r="K346" s="2"/>
      <c r="L346" s="2">
        <f t="shared" si="52"/>
        <v>817.3</v>
      </c>
      <c r="M346" s="2">
        <v>511.87</v>
      </c>
      <c r="N346" s="2"/>
      <c r="O346" s="2">
        <f t="shared" si="53"/>
        <v>-511.87</v>
      </c>
      <c r="P346" s="2"/>
      <c r="Q346" s="2"/>
      <c r="R346" s="2">
        <f t="shared" si="54"/>
        <v>0</v>
      </c>
      <c r="S346" s="2">
        <v>0</v>
      </c>
      <c r="T346" s="2"/>
      <c r="U346" s="2">
        <f t="shared" si="55"/>
        <v>0</v>
      </c>
      <c r="V346" s="2"/>
      <c r="W346" s="2"/>
      <c r="X346" s="2">
        <f t="shared" si="56"/>
        <v>0</v>
      </c>
      <c r="Y346" s="2"/>
      <c r="Z346" s="2"/>
      <c r="AA346" s="2">
        <f t="shared" si="57"/>
        <v>0</v>
      </c>
      <c r="AB346" s="2">
        <v>183.81</v>
      </c>
      <c r="AC346" s="2"/>
      <c r="AD346" s="2">
        <f t="shared" si="58"/>
        <v>-183.81</v>
      </c>
      <c r="AE346" s="2">
        <v>201.77</v>
      </c>
      <c r="AF346" s="2"/>
      <c r="AG346" s="2">
        <f t="shared" si="59"/>
        <v>-201.77</v>
      </c>
    </row>
    <row r="347" spans="1:33" x14ac:dyDescent="0.3">
      <c r="B347" s="3"/>
      <c r="C347" t="str">
        <f xml:space="preserve"> _xll.EPMOlapMemberO("[CLACO].[PARENTH1].[AMSASEGUROS]","","Seguros","","000")</f>
        <v>Seguros</v>
      </c>
      <c r="D347" s="2"/>
      <c r="E347" s="2"/>
      <c r="F347" s="2">
        <f t="shared" si="50"/>
        <v>0</v>
      </c>
      <c r="G347" s="2">
        <v>0.02</v>
      </c>
      <c r="H347" s="2"/>
      <c r="I347" s="2">
        <f t="shared" si="51"/>
        <v>-0.02</v>
      </c>
      <c r="J347" s="2"/>
      <c r="K347" s="2"/>
      <c r="L347" s="2">
        <f t="shared" si="52"/>
        <v>0</v>
      </c>
      <c r="M347" s="2"/>
      <c r="N347" s="2"/>
      <c r="O347" s="2">
        <f t="shared" si="53"/>
        <v>0</v>
      </c>
      <c r="P347" s="2"/>
      <c r="Q347" s="2"/>
      <c r="R347" s="2">
        <f t="shared" si="54"/>
        <v>0</v>
      </c>
      <c r="S347" s="2"/>
      <c r="T347" s="2"/>
      <c r="U347" s="2">
        <f t="shared" si="55"/>
        <v>0</v>
      </c>
      <c r="V347" s="2"/>
      <c r="W347" s="2"/>
      <c r="X347" s="2">
        <f t="shared" si="56"/>
        <v>0</v>
      </c>
      <c r="Y347" s="2"/>
      <c r="Z347" s="2"/>
      <c r="AA347" s="2">
        <f t="shared" si="57"/>
        <v>0</v>
      </c>
      <c r="AB347" s="2"/>
      <c r="AC347" s="2"/>
      <c r="AD347" s="2">
        <f t="shared" si="58"/>
        <v>0</v>
      </c>
      <c r="AE347" s="2"/>
      <c r="AF347" s="2"/>
      <c r="AG347" s="2">
        <f t="shared" si="59"/>
        <v>0</v>
      </c>
    </row>
    <row r="348" spans="1:33" x14ac:dyDescent="0.3">
      <c r="B348" s="3"/>
      <c r="C348" t="str">
        <f xml:space="preserve"> _xll.EPMOlapMemberO("[CLACO].[PARENTH1].[AMSAIMP_PATEN]","","Impuestos / Patentes","","000")</f>
        <v>Impuestos / Patentes</v>
      </c>
      <c r="D348" s="2"/>
      <c r="E348" s="2"/>
      <c r="F348" s="2">
        <f t="shared" si="50"/>
        <v>0</v>
      </c>
      <c r="G348" s="2">
        <v>-539.86</v>
      </c>
      <c r="H348" s="2"/>
      <c r="I348" s="2">
        <f t="shared" si="51"/>
        <v>539.86</v>
      </c>
      <c r="J348" s="2"/>
      <c r="K348" s="2"/>
      <c r="L348" s="2">
        <f t="shared" si="52"/>
        <v>0</v>
      </c>
      <c r="M348" s="2"/>
      <c r="N348" s="2"/>
      <c r="O348" s="2">
        <f t="shared" si="53"/>
        <v>0</v>
      </c>
      <c r="P348" s="2"/>
      <c r="Q348" s="2"/>
      <c r="R348" s="2">
        <f t="shared" si="54"/>
        <v>0</v>
      </c>
      <c r="S348" s="2"/>
      <c r="T348" s="2"/>
      <c r="U348" s="2">
        <f t="shared" si="55"/>
        <v>0</v>
      </c>
      <c r="V348" s="2"/>
      <c r="W348" s="2"/>
      <c r="X348" s="2">
        <f t="shared" si="56"/>
        <v>0</v>
      </c>
      <c r="Y348" s="2"/>
      <c r="Z348" s="2"/>
      <c r="AA348" s="2">
        <f t="shared" si="57"/>
        <v>0</v>
      </c>
      <c r="AB348" s="2"/>
      <c r="AC348" s="2"/>
      <c r="AD348" s="2">
        <f t="shared" si="58"/>
        <v>0</v>
      </c>
      <c r="AE348" s="2"/>
      <c r="AF348" s="2"/>
      <c r="AG348" s="2">
        <f t="shared" si="59"/>
        <v>0</v>
      </c>
    </row>
    <row r="349" spans="1:33" x14ac:dyDescent="0.3">
      <c r="B349" s="3"/>
      <c r="C349" t="str">
        <f xml:space="preserve"> _xll.EPMOlapMemberO("[CLACO].[PARENTH1].[AMSAGGENERALES.2]","","Otros Gastos","","000")</f>
        <v>Otros Gastos</v>
      </c>
      <c r="D349" s="2">
        <v>564743.26</v>
      </c>
      <c r="E349" s="2">
        <v>723016.78</v>
      </c>
      <c r="F349" s="2">
        <f t="shared" si="50"/>
        <v>158273.52000000002</v>
      </c>
      <c r="G349" s="2">
        <v>887819.81</v>
      </c>
      <c r="H349" s="2">
        <v>700530.65</v>
      </c>
      <c r="I349" s="2">
        <f t="shared" si="51"/>
        <v>-187289.16000000003</v>
      </c>
      <c r="J349" s="2">
        <v>798764.51</v>
      </c>
      <c r="K349" s="2">
        <v>926181.2</v>
      </c>
      <c r="L349" s="2">
        <f t="shared" si="52"/>
        <v>127416.68999999994</v>
      </c>
      <c r="M349" s="2">
        <v>748944.66</v>
      </c>
      <c r="N349" s="2">
        <v>877392.11</v>
      </c>
      <c r="O349" s="2">
        <f t="shared" si="53"/>
        <v>128447.44999999995</v>
      </c>
      <c r="P349" s="2">
        <v>81379.100000000006</v>
      </c>
      <c r="Q349" s="2">
        <v>99897.43</v>
      </c>
      <c r="R349" s="2">
        <f t="shared" si="54"/>
        <v>18518.329999999987</v>
      </c>
      <c r="S349" s="2">
        <v>82857.87</v>
      </c>
      <c r="T349" s="2">
        <v>103549.39</v>
      </c>
      <c r="U349" s="2">
        <f t="shared" si="55"/>
        <v>20691.520000000004</v>
      </c>
      <c r="V349" s="2">
        <v>86357.79</v>
      </c>
      <c r="W349" s="2">
        <v>104509.97</v>
      </c>
      <c r="X349" s="2">
        <f t="shared" si="56"/>
        <v>18152.180000000008</v>
      </c>
      <c r="Y349" s="2">
        <v>82673.350000000006</v>
      </c>
      <c r="Z349" s="2">
        <v>101505.67</v>
      </c>
      <c r="AA349" s="2">
        <f t="shared" si="57"/>
        <v>18832.319999999992</v>
      </c>
      <c r="AB349" s="2">
        <v>62522.05</v>
      </c>
      <c r="AC349" s="2">
        <v>106352.31</v>
      </c>
      <c r="AD349" s="2">
        <f t="shared" si="58"/>
        <v>43830.259999999995</v>
      </c>
      <c r="AE349" s="2">
        <v>473410.49</v>
      </c>
      <c r="AF349" s="2">
        <v>1252067.23</v>
      </c>
      <c r="AG349" s="2">
        <f t="shared" si="59"/>
        <v>778656.74</v>
      </c>
    </row>
    <row r="350" spans="1:33" x14ac:dyDescent="0.3">
      <c r="B350" s="3"/>
      <c r="C350" t="str">
        <f xml:space="preserve"> _xll.EPMOlapMemberO("[CLACO].[PARENTH1].[AMSASERV_CORP]","","Servicios Corporativ","","000")</f>
        <v>Servicios Corporativ</v>
      </c>
      <c r="D350" s="2"/>
      <c r="E350" s="2"/>
      <c r="F350" s="2">
        <f t="shared" si="50"/>
        <v>0</v>
      </c>
      <c r="G350" s="2"/>
      <c r="H350" s="2"/>
      <c r="I350" s="2">
        <f t="shared" si="51"/>
        <v>0</v>
      </c>
      <c r="J350" s="2"/>
      <c r="K350" s="2"/>
      <c r="L350" s="2">
        <f t="shared" si="52"/>
        <v>0</v>
      </c>
      <c r="M350" s="2">
        <v>147.37</v>
      </c>
      <c r="N350" s="2"/>
      <c r="O350" s="2">
        <f t="shared" si="53"/>
        <v>-147.37</v>
      </c>
      <c r="P350" s="2"/>
      <c r="Q350" s="2"/>
      <c r="R350" s="2">
        <f t="shared" si="54"/>
        <v>0</v>
      </c>
      <c r="S350" s="2"/>
      <c r="T350" s="2"/>
      <c r="U350" s="2">
        <f t="shared" si="55"/>
        <v>0</v>
      </c>
      <c r="V350" s="2"/>
      <c r="W350" s="2"/>
      <c r="X350" s="2">
        <f t="shared" si="56"/>
        <v>0</v>
      </c>
      <c r="Y350" s="2"/>
      <c r="Z350" s="2"/>
      <c r="AA350" s="2">
        <f t="shared" si="57"/>
        <v>0</v>
      </c>
      <c r="AB350" s="2"/>
      <c r="AC350" s="2"/>
      <c r="AD350" s="2">
        <f t="shared" si="58"/>
        <v>0</v>
      </c>
      <c r="AE350" s="2"/>
      <c r="AF350" s="2"/>
      <c r="AG350" s="2">
        <f t="shared" si="59"/>
        <v>0</v>
      </c>
    </row>
    <row r="351" spans="1:33" x14ac:dyDescent="0.3">
      <c r="A351" t="s">
        <v>39</v>
      </c>
      <c r="B351" s="3" t="str">
        <f xml:space="preserve"> _xll.EPMOlapMemberO("[CECO].[PARENTH3].[AMSA1000AC4001]","","VP Recursos Humanos","","000")</f>
        <v>VP Recursos Humanos</v>
      </c>
      <c r="C351" t="str">
        <f xml:space="preserve"> _xll.EPMOlapMemberO("[CLACO].[PARENTH1].[AMSAREMUNERACI.SS]","","Remuneraciones Super","","000")</f>
        <v>Remuneraciones Super</v>
      </c>
      <c r="D351" s="2">
        <v>5785874.1900000004</v>
      </c>
      <c r="E351" s="2">
        <v>6151404.7199999997</v>
      </c>
      <c r="F351" s="2">
        <f t="shared" si="50"/>
        <v>365530.52999999933</v>
      </c>
      <c r="G351" s="2">
        <v>6328448.8899999997</v>
      </c>
      <c r="H351" s="2">
        <v>6030302.96</v>
      </c>
      <c r="I351" s="2">
        <f t="shared" si="51"/>
        <v>-298145.9299999997</v>
      </c>
      <c r="J351" s="2">
        <v>6170784.75</v>
      </c>
      <c r="K351" s="2">
        <v>6769773.1600000001</v>
      </c>
      <c r="L351" s="2">
        <f t="shared" si="52"/>
        <v>598988.41000000015</v>
      </c>
      <c r="M351" s="2">
        <v>6806711.4000000004</v>
      </c>
      <c r="N351" s="2">
        <v>6822292.9400000004</v>
      </c>
      <c r="O351" s="2">
        <f t="shared" si="53"/>
        <v>15581.540000000037</v>
      </c>
      <c r="P351" s="2">
        <v>461746.81</v>
      </c>
      <c r="Q351" s="2">
        <v>581066.43000000005</v>
      </c>
      <c r="R351" s="2">
        <f t="shared" si="54"/>
        <v>119319.62000000005</v>
      </c>
      <c r="S351" s="2">
        <v>728749.96</v>
      </c>
      <c r="T351" s="2">
        <v>672281.02</v>
      </c>
      <c r="U351" s="2">
        <f t="shared" si="55"/>
        <v>-56468.939999999944</v>
      </c>
      <c r="V351" s="2">
        <v>533826.77</v>
      </c>
      <c r="W351" s="2">
        <v>564987.9</v>
      </c>
      <c r="X351" s="2">
        <f t="shared" si="56"/>
        <v>31161.130000000005</v>
      </c>
      <c r="Y351" s="2">
        <v>587042.27</v>
      </c>
      <c r="Z351" s="2">
        <v>639387.72</v>
      </c>
      <c r="AA351" s="2">
        <f t="shared" si="57"/>
        <v>52345.449999999953</v>
      </c>
      <c r="AB351" s="2">
        <v>323057.19</v>
      </c>
      <c r="AC351" s="2">
        <v>562244.86</v>
      </c>
      <c r="AD351" s="2">
        <f t="shared" si="58"/>
        <v>239187.66999999998</v>
      </c>
      <c r="AE351" s="2">
        <v>2614532.62</v>
      </c>
      <c r="AF351" s="2">
        <v>7249332.04</v>
      </c>
      <c r="AG351" s="2">
        <f t="shared" si="59"/>
        <v>4634799.42</v>
      </c>
    </row>
    <row r="352" spans="1:33" x14ac:dyDescent="0.3">
      <c r="B352" s="3"/>
      <c r="C352" t="str">
        <f xml:space="preserve"> _xll.EPMOlapMemberO("[CLACO].[PARENTH1].[AMSAMAT_Y_REP.2]","","Materiales y repuest","","000")</f>
        <v>Materiales y repuest</v>
      </c>
      <c r="D352" s="2"/>
      <c r="E352" s="2"/>
      <c r="F352" s="2">
        <f t="shared" si="50"/>
        <v>0</v>
      </c>
      <c r="G352" s="2">
        <v>0</v>
      </c>
      <c r="H352" s="2"/>
      <c r="I352" s="2">
        <f t="shared" si="51"/>
        <v>0</v>
      </c>
      <c r="J352" s="2"/>
      <c r="K352" s="2"/>
      <c r="L352" s="2">
        <f t="shared" si="52"/>
        <v>0</v>
      </c>
      <c r="M352" s="2">
        <v>69.260000000000005</v>
      </c>
      <c r="N352" s="2"/>
      <c r="O352" s="2">
        <f t="shared" si="53"/>
        <v>-69.260000000000005</v>
      </c>
      <c r="P352" s="2"/>
      <c r="Q352" s="2"/>
      <c r="R352" s="2">
        <f t="shared" si="54"/>
        <v>0</v>
      </c>
      <c r="S352" s="2"/>
      <c r="T352" s="2"/>
      <c r="U352" s="2">
        <f t="shared" si="55"/>
        <v>0</v>
      </c>
      <c r="V352" s="2"/>
      <c r="W352" s="2"/>
      <c r="X352" s="2">
        <f t="shared" si="56"/>
        <v>0</v>
      </c>
      <c r="Y352" s="2"/>
      <c r="Z352" s="2"/>
      <c r="AA352" s="2">
        <f t="shared" si="57"/>
        <v>0</v>
      </c>
      <c r="AB352" s="2"/>
      <c r="AC352" s="2"/>
      <c r="AD352" s="2">
        <f t="shared" si="58"/>
        <v>0</v>
      </c>
      <c r="AE352" s="2"/>
      <c r="AF352" s="2"/>
      <c r="AG352" s="2">
        <f t="shared" si="59"/>
        <v>0</v>
      </c>
    </row>
    <row r="353" spans="1:33" x14ac:dyDescent="0.3">
      <c r="B353" s="3"/>
      <c r="C353" t="str">
        <f xml:space="preserve"> _xll.EPMOlapMemberO("[CLACO].[PARENTH1].[AMSAADM_PERSON]","","Administración Perso","","000")</f>
        <v>Administración Perso</v>
      </c>
      <c r="D353" s="2">
        <v>78750.990000000005</v>
      </c>
      <c r="E353" s="2"/>
      <c r="F353" s="2">
        <f t="shared" si="50"/>
        <v>-78750.990000000005</v>
      </c>
      <c r="G353" s="2">
        <v>287.07</v>
      </c>
      <c r="H353" s="2"/>
      <c r="I353" s="2">
        <f t="shared" si="51"/>
        <v>-287.07</v>
      </c>
      <c r="J353" s="2">
        <v>65403.17</v>
      </c>
      <c r="K353" s="2">
        <v>49876.55</v>
      </c>
      <c r="L353" s="2">
        <f t="shared" si="52"/>
        <v>-15526.619999999995</v>
      </c>
      <c r="M353" s="2">
        <v>163077.79999999999</v>
      </c>
      <c r="N353" s="2">
        <v>51050</v>
      </c>
      <c r="O353" s="2">
        <f t="shared" si="53"/>
        <v>-112027.79999999999</v>
      </c>
      <c r="P353" s="2"/>
      <c r="Q353" s="2"/>
      <c r="R353" s="2">
        <f t="shared" si="54"/>
        <v>0</v>
      </c>
      <c r="S353" s="2"/>
      <c r="T353" s="2"/>
      <c r="U353" s="2">
        <f t="shared" si="55"/>
        <v>0</v>
      </c>
      <c r="V353" s="2"/>
      <c r="W353" s="2"/>
      <c r="X353" s="2">
        <f t="shared" si="56"/>
        <v>0</v>
      </c>
      <c r="Y353" s="2">
        <v>87.83</v>
      </c>
      <c r="Z353" s="2"/>
      <c r="AA353" s="2">
        <f t="shared" si="57"/>
        <v>-87.83</v>
      </c>
      <c r="AB353" s="2">
        <v>991.45</v>
      </c>
      <c r="AC353" s="2"/>
      <c r="AD353" s="2">
        <f t="shared" si="58"/>
        <v>-991.45</v>
      </c>
      <c r="AE353" s="2">
        <v>1098.83</v>
      </c>
      <c r="AF353" s="2">
        <v>50704.09</v>
      </c>
      <c r="AG353" s="2">
        <f t="shared" si="59"/>
        <v>49605.259999999995</v>
      </c>
    </row>
    <row r="354" spans="1:33" x14ac:dyDescent="0.3">
      <c r="B354" s="3"/>
      <c r="C354" t="str">
        <f xml:space="preserve"> _xll.EPMOlapMemberO("[CLACO].[PARENTH1].[AMSAENTRENAMI]","","Entrenamiento","","000")</f>
        <v>Entrenamiento</v>
      </c>
      <c r="D354" s="2">
        <v>7328.22</v>
      </c>
      <c r="E354" s="2"/>
      <c r="F354" s="2">
        <f t="shared" si="50"/>
        <v>-7328.22</v>
      </c>
      <c r="G354" s="2">
        <v>1208.51</v>
      </c>
      <c r="H354" s="2">
        <v>40000</v>
      </c>
      <c r="I354" s="2">
        <f t="shared" si="51"/>
        <v>38791.49</v>
      </c>
      <c r="J354" s="2">
        <v>11675.79</v>
      </c>
      <c r="K354" s="2"/>
      <c r="L354" s="2">
        <f t="shared" si="52"/>
        <v>-11675.79</v>
      </c>
      <c r="M354" s="2">
        <v>2459.73</v>
      </c>
      <c r="N354" s="2"/>
      <c r="O354" s="2">
        <f t="shared" si="53"/>
        <v>-2459.73</v>
      </c>
      <c r="P354" s="2"/>
      <c r="Q354" s="2"/>
      <c r="R354" s="2">
        <f t="shared" si="54"/>
        <v>0</v>
      </c>
      <c r="S354" s="2"/>
      <c r="T354" s="2"/>
      <c r="U354" s="2">
        <f t="shared" si="55"/>
        <v>0</v>
      </c>
      <c r="V354" s="2"/>
      <c r="W354" s="2"/>
      <c r="X354" s="2">
        <f t="shared" si="56"/>
        <v>0</v>
      </c>
      <c r="Y354" s="2"/>
      <c r="Z354" s="2"/>
      <c r="AA354" s="2">
        <f t="shared" si="57"/>
        <v>0</v>
      </c>
      <c r="AB354" s="2"/>
      <c r="AC354" s="2"/>
      <c r="AD354" s="2">
        <f t="shared" si="58"/>
        <v>0</v>
      </c>
      <c r="AE354" s="2"/>
      <c r="AF354" s="2"/>
      <c r="AG354" s="2">
        <f t="shared" si="59"/>
        <v>0</v>
      </c>
    </row>
    <row r="355" spans="1:33" x14ac:dyDescent="0.3">
      <c r="B355" s="3"/>
      <c r="C355" t="str">
        <f xml:space="preserve"> _xll.EPMOlapMemberO("[CLACO].[PARENTH1].[AMSAASESORIAS]","","Asesorías y Consulto","","000")</f>
        <v>Asesorías y Consulto</v>
      </c>
      <c r="D355" s="2">
        <v>23189.07</v>
      </c>
      <c r="E355" s="2">
        <v>206373.18</v>
      </c>
      <c r="F355" s="2">
        <f t="shared" si="50"/>
        <v>183184.11</v>
      </c>
      <c r="G355" s="2">
        <v>49651.82</v>
      </c>
      <c r="H355" s="2">
        <v>50000</v>
      </c>
      <c r="I355" s="2">
        <f t="shared" si="51"/>
        <v>348.18000000000029</v>
      </c>
      <c r="J355" s="2"/>
      <c r="K355" s="2"/>
      <c r="L355" s="2">
        <f t="shared" si="52"/>
        <v>0</v>
      </c>
      <c r="M355" s="2"/>
      <c r="N355" s="2"/>
      <c r="O355" s="2">
        <f t="shared" si="53"/>
        <v>0</v>
      </c>
      <c r="P355" s="2"/>
      <c r="Q355" s="2"/>
      <c r="R355" s="2">
        <f t="shared" si="54"/>
        <v>0</v>
      </c>
      <c r="S355" s="2"/>
      <c r="T355" s="2"/>
      <c r="U355" s="2">
        <f t="shared" si="55"/>
        <v>0</v>
      </c>
      <c r="V355" s="2"/>
      <c r="W355" s="2"/>
      <c r="X355" s="2">
        <f t="shared" si="56"/>
        <v>0</v>
      </c>
      <c r="Y355" s="2"/>
      <c r="Z355" s="2"/>
      <c r="AA355" s="2">
        <f t="shared" si="57"/>
        <v>0</v>
      </c>
      <c r="AB355" s="2"/>
      <c r="AC355" s="2"/>
      <c r="AD355" s="2">
        <f t="shared" si="58"/>
        <v>0</v>
      </c>
      <c r="AE355" s="2"/>
      <c r="AF355" s="2"/>
      <c r="AG355" s="2">
        <f t="shared" si="59"/>
        <v>0</v>
      </c>
    </row>
    <row r="356" spans="1:33" x14ac:dyDescent="0.3">
      <c r="B356" s="3"/>
      <c r="C356" t="str">
        <f xml:space="preserve"> _xll.EPMOlapMemberO("[CLACO].[PARENTH1].[AMSASERVICIOS]","","Servicios","","000")</f>
        <v>Servicios</v>
      </c>
      <c r="D356" s="2">
        <v>55194.04</v>
      </c>
      <c r="E356" s="2"/>
      <c r="F356" s="2">
        <f t="shared" si="50"/>
        <v>-55194.04</v>
      </c>
      <c r="G356" s="2">
        <v>32016.81</v>
      </c>
      <c r="H356" s="2">
        <v>1933.53</v>
      </c>
      <c r="I356" s="2">
        <f t="shared" si="51"/>
        <v>-30083.280000000002</v>
      </c>
      <c r="J356" s="2"/>
      <c r="K356" s="2"/>
      <c r="L356" s="2">
        <f t="shared" si="52"/>
        <v>0</v>
      </c>
      <c r="M356" s="2"/>
      <c r="N356" s="2"/>
      <c r="O356" s="2">
        <f t="shared" si="53"/>
        <v>0</v>
      </c>
      <c r="P356" s="2"/>
      <c r="Q356" s="2"/>
      <c r="R356" s="2">
        <f t="shared" si="54"/>
        <v>0</v>
      </c>
      <c r="S356" s="2"/>
      <c r="T356" s="2"/>
      <c r="U356" s="2">
        <f t="shared" si="55"/>
        <v>0</v>
      </c>
      <c r="V356" s="2"/>
      <c r="W356" s="2"/>
      <c r="X356" s="2">
        <f t="shared" si="56"/>
        <v>0</v>
      </c>
      <c r="Y356" s="2"/>
      <c r="Z356" s="2"/>
      <c r="AA356" s="2">
        <f t="shared" si="57"/>
        <v>0</v>
      </c>
      <c r="AB356" s="2"/>
      <c r="AC356" s="2"/>
      <c r="AD356" s="2">
        <f t="shared" si="58"/>
        <v>0</v>
      </c>
      <c r="AE356" s="2"/>
      <c r="AF356" s="2"/>
      <c r="AG356" s="2">
        <f t="shared" si="59"/>
        <v>0</v>
      </c>
    </row>
    <row r="357" spans="1:33" x14ac:dyDescent="0.3">
      <c r="B357" s="3"/>
      <c r="C357" t="str">
        <f xml:space="preserve"> _xll.EPMOlapMemberO("[CLACO].[PARENTH1].[AMSASERMANTO.REPA]","","Servicios Mantenimie","","000")</f>
        <v>Servicios Mantenimie</v>
      </c>
      <c r="D357" s="2">
        <v>55.64</v>
      </c>
      <c r="E357" s="2"/>
      <c r="F357" s="2">
        <f t="shared" si="50"/>
        <v>-55.64</v>
      </c>
      <c r="G357" s="2"/>
      <c r="H357" s="2"/>
      <c r="I357" s="2">
        <f t="shared" si="51"/>
        <v>0</v>
      </c>
      <c r="J357" s="2"/>
      <c r="K357" s="2"/>
      <c r="L357" s="2">
        <f t="shared" si="52"/>
        <v>0</v>
      </c>
      <c r="M357" s="2">
        <v>77.430000000000007</v>
      </c>
      <c r="N357" s="2"/>
      <c r="O357" s="2">
        <f t="shared" si="53"/>
        <v>-77.430000000000007</v>
      </c>
      <c r="P357" s="2"/>
      <c r="Q357" s="2"/>
      <c r="R357" s="2">
        <f t="shared" si="54"/>
        <v>0</v>
      </c>
      <c r="S357" s="2"/>
      <c r="T357" s="2"/>
      <c r="U357" s="2">
        <f t="shared" si="55"/>
        <v>0</v>
      </c>
      <c r="V357" s="2"/>
      <c r="W357" s="2"/>
      <c r="X357" s="2">
        <f t="shared" si="56"/>
        <v>0</v>
      </c>
      <c r="Y357" s="2"/>
      <c r="Z357" s="2"/>
      <c r="AA357" s="2">
        <f t="shared" si="57"/>
        <v>0</v>
      </c>
      <c r="AB357" s="2"/>
      <c r="AC357" s="2"/>
      <c r="AD357" s="2">
        <f t="shared" si="58"/>
        <v>0</v>
      </c>
      <c r="AE357" s="2"/>
      <c r="AF357" s="2"/>
      <c r="AG357" s="2">
        <f t="shared" si="59"/>
        <v>0</v>
      </c>
    </row>
    <row r="358" spans="1:33" x14ac:dyDescent="0.3">
      <c r="B358" s="3"/>
      <c r="C358" t="str">
        <f xml:space="preserve"> _xll.EPMOlapMemberO("[CLACO].[PARENTH1].[AMSAINFORMATIC]","","Informática y Comuni","","000")</f>
        <v>Informática y Comuni</v>
      </c>
      <c r="D358" s="2">
        <v>11763.51</v>
      </c>
      <c r="E358" s="2">
        <v>1165.03</v>
      </c>
      <c r="F358" s="2">
        <f t="shared" si="50"/>
        <v>-10598.48</v>
      </c>
      <c r="G358" s="2">
        <v>22647.58</v>
      </c>
      <c r="H358" s="2">
        <v>996.84</v>
      </c>
      <c r="I358" s="2">
        <f t="shared" si="51"/>
        <v>-21650.74</v>
      </c>
      <c r="J358" s="2">
        <v>28807.13</v>
      </c>
      <c r="K358" s="2">
        <v>6879.48</v>
      </c>
      <c r="L358" s="2">
        <f t="shared" si="52"/>
        <v>-21927.65</v>
      </c>
      <c r="M358" s="2">
        <v>13315.11</v>
      </c>
      <c r="N358" s="2">
        <v>502.94</v>
      </c>
      <c r="O358" s="2">
        <f t="shared" si="53"/>
        <v>-12812.17</v>
      </c>
      <c r="P358" s="2">
        <v>-1005.97</v>
      </c>
      <c r="Q358" s="2">
        <v>41.46</v>
      </c>
      <c r="R358" s="2">
        <f t="shared" si="54"/>
        <v>1047.43</v>
      </c>
      <c r="S358" s="2">
        <v>7799.2</v>
      </c>
      <c r="T358" s="2">
        <v>41.34</v>
      </c>
      <c r="U358" s="2">
        <f t="shared" si="55"/>
        <v>-7757.86</v>
      </c>
      <c r="V358" s="2">
        <v>971.14</v>
      </c>
      <c r="W358" s="2">
        <v>41.23</v>
      </c>
      <c r="X358" s="2">
        <f t="shared" si="56"/>
        <v>-929.91</v>
      </c>
      <c r="Y358" s="2">
        <v>2992.99</v>
      </c>
      <c r="Z358" s="2">
        <v>41.11</v>
      </c>
      <c r="AA358" s="2">
        <f t="shared" si="57"/>
        <v>-2951.8799999999997</v>
      </c>
      <c r="AB358" s="2">
        <v>396.88</v>
      </c>
      <c r="AC358" s="2">
        <v>41</v>
      </c>
      <c r="AD358" s="2">
        <f t="shared" si="58"/>
        <v>-355.88</v>
      </c>
      <c r="AE358" s="2">
        <v>12131</v>
      </c>
      <c r="AF358" s="2">
        <v>499.6</v>
      </c>
      <c r="AG358" s="2">
        <f t="shared" si="59"/>
        <v>-11631.4</v>
      </c>
    </row>
    <row r="359" spans="1:33" x14ac:dyDescent="0.3">
      <c r="B359" s="3"/>
      <c r="C359" t="str">
        <f xml:space="preserve"> _xll.EPMOlapMemberO("[CLACO].[PARENTH1].[AMSAG_VIAJES]","","Gastos de Viajes","","000")</f>
        <v>Gastos de Viajes</v>
      </c>
      <c r="D359" s="2">
        <v>18345.11</v>
      </c>
      <c r="E359" s="2">
        <v>17664.189999999999</v>
      </c>
      <c r="F359" s="2">
        <f t="shared" si="50"/>
        <v>-680.92000000000189</v>
      </c>
      <c r="G359" s="2">
        <v>35648.19</v>
      </c>
      <c r="H359" s="2">
        <v>22681.439999999999</v>
      </c>
      <c r="I359" s="2">
        <f t="shared" si="51"/>
        <v>-12966.750000000004</v>
      </c>
      <c r="J359" s="2">
        <v>52700</v>
      </c>
      <c r="K359" s="2">
        <v>88973.88</v>
      </c>
      <c r="L359" s="2">
        <f t="shared" si="52"/>
        <v>36273.880000000005</v>
      </c>
      <c r="M359" s="2">
        <v>50233.89</v>
      </c>
      <c r="N359" s="2">
        <v>85387.41</v>
      </c>
      <c r="O359" s="2">
        <f t="shared" si="53"/>
        <v>35153.520000000004</v>
      </c>
      <c r="P359" s="2">
        <v>-70.849999999999994</v>
      </c>
      <c r="Q359" s="2">
        <v>4262.62</v>
      </c>
      <c r="R359" s="2">
        <f t="shared" si="54"/>
        <v>4333.47</v>
      </c>
      <c r="S359" s="2">
        <v>18770.62</v>
      </c>
      <c r="T359" s="2">
        <v>4095.47</v>
      </c>
      <c r="U359" s="2">
        <f t="shared" si="55"/>
        <v>-14675.15</v>
      </c>
      <c r="V359" s="2">
        <v>2014.79</v>
      </c>
      <c r="W359" s="2">
        <v>6576.04</v>
      </c>
      <c r="X359" s="2">
        <f t="shared" si="56"/>
        <v>4561.25</v>
      </c>
      <c r="Y359" s="2">
        <v>3008.13</v>
      </c>
      <c r="Z359" s="2">
        <v>2899.8</v>
      </c>
      <c r="AA359" s="2">
        <f t="shared" si="57"/>
        <v>-108.32999999999993</v>
      </c>
      <c r="AB359" s="2">
        <v>1846.36</v>
      </c>
      <c r="AC359" s="2">
        <v>2894.34</v>
      </c>
      <c r="AD359" s="2">
        <f t="shared" si="58"/>
        <v>1047.9800000000002</v>
      </c>
      <c r="AE359" s="2">
        <v>32185</v>
      </c>
      <c r="AF359" s="2">
        <v>76526.41</v>
      </c>
      <c r="AG359" s="2">
        <f t="shared" si="59"/>
        <v>44341.41</v>
      </c>
    </row>
    <row r="360" spans="1:33" x14ac:dyDescent="0.3">
      <c r="B360" s="3"/>
      <c r="C360" t="str">
        <f xml:space="preserve"> _xll.EPMOlapMemberO("[CLACO].[PARENTH1].[AMSAIMP_PATEN]","","Impuestos / Patentes","","000")</f>
        <v>Impuestos / Patentes</v>
      </c>
      <c r="D360" s="2">
        <v>44.05</v>
      </c>
      <c r="E360" s="2"/>
      <c r="F360" s="2">
        <f t="shared" si="50"/>
        <v>-44.05</v>
      </c>
      <c r="G360" s="2">
        <v>7.51</v>
      </c>
      <c r="H360" s="2"/>
      <c r="I360" s="2">
        <f t="shared" si="51"/>
        <v>-7.51</v>
      </c>
      <c r="J360" s="2">
        <v>12.45</v>
      </c>
      <c r="K360" s="2"/>
      <c r="L360" s="2">
        <f t="shared" si="52"/>
        <v>-12.45</v>
      </c>
      <c r="M360" s="2"/>
      <c r="N360" s="2"/>
      <c r="O360" s="2">
        <f t="shared" si="53"/>
        <v>0</v>
      </c>
      <c r="P360" s="2"/>
      <c r="Q360" s="2"/>
      <c r="R360" s="2">
        <f t="shared" si="54"/>
        <v>0</v>
      </c>
      <c r="S360" s="2"/>
      <c r="T360" s="2"/>
      <c r="U360" s="2">
        <f t="shared" si="55"/>
        <v>0</v>
      </c>
      <c r="V360" s="2"/>
      <c r="W360" s="2"/>
      <c r="X360" s="2">
        <f t="shared" si="56"/>
        <v>0</v>
      </c>
      <c r="Y360" s="2">
        <v>20.94</v>
      </c>
      <c r="Z360" s="2"/>
      <c r="AA360" s="2">
        <f t="shared" si="57"/>
        <v>-20.94</v>
      </c>
      <c r="AB360" s="2"/>
      <c r="AC360" s="2"/>
      <c r="AD360" s="2">
        <f t="shared" si="58"/>
        <v>0</v>
      </c>
      <c r="AE360" s="2">
        <v>20.94</v>
      </c>
      <c r="AF360" s="2"/>
      <c r="AG360" s="2">
        <f t="shared" si="59"/>
        <v>-20.94</v>
      </c>
    </row>
    <row r="361" spans="1:33" x14ac:dyDescent="0.3">
      <c r="B361" s="3"/>
      <c r="C361" t="str">
        <f xml:space="preserve"> _xll.EPMOlapMemberO("[CLACO].[PARENTH1].[AMSAGGENERALES.2]","","Otros Gastos","","000")</f>
        <v>Otros Gastos</v>
      </c>
      <c r="D361" s="2">
        <v>-15681.04</v>
      </c>
      <c r="E361" s="2">
        <v>1060.1400000000001</v>
      </c>
      <c r="F361" s="2">
        <f t="shared" si="50"/>
        <v>16741.18</v>
      </c>
      <c r="G361" s="2">
        <v>6454.89</v>
      </c>
      <c r="H361" s="2">
        <v>907.08</v>
      </c>
      <c r="I361" s="2">
        <f t="shared" si="51"/>
        <v>-5547.81</v>
      </c>
      <c r="J361" s="2">
        <v>8632.2800000000007</v>
      </c>
      <c r="K361" s="2">
        <v>13761.39</v>
      </c>
      <c r="L361" s="2">
        <f t="shared" si="52"/>
        <v>5129.1099999999988</v>
      </c>
      <c r="M361" s="2">
        <v>20237.830000000002</v>
      </c>
      <c r="N361" s="2"/>
      <c r="O361" s="2">
        <f t="shared" si="53"/>
        <v>-20237.830000000002</v>
      </c>
      <c r="P361" s="2">
        <v>966.8</v>
      </c>
      <c r="Q361" s="2"/>
      <c r="R361" s="2">
        <f t="shared" si="54"/>
        <v>-966.8</v>
      </c>
      <c r="S361" s="2">
        <v>719.44</v>
      </c>
      <c r="T361" s="2"/>
      <c r="U361" s="2">
        <f t="shared" si="55"/>
        <v>-719.44</v>
      </c>
      <c r="V361" s="2">
        <v>429.57</v>
      </c>
      <c r="W361" s="2"/>
      <c r="X361" s="2">
        <f t="shared" si="56"/>
        <v>-429.57</v>
      </c>
      <c r="Y361" s="2">
        <v>927.04</v>
      </c>
      <c r="Z361" s="2"/>
      <c r="AA361" s="2">
        <f t="shared" si="57"/>
        <v>-927.04</v>
      </c>
      <c r="AB361" s="2">
        <v>1108.51</v>
      </c>
      <c r="AC361" s="2"/>
      <c r="AD361" s="2">
        <f t="shared" si="58"/>
        <v>-1108.51</v>
      </c>
      <c r="AE361" s="2">
        <v>4173.66</v>
      </c>
      <c r="AF361" s="2"/>
      <c r="AG361" s="2">
        <f t="shared" si="59"/>
        <v>-4173.66</v>
      </c>
    </row>
    <row r="362" spans="1:33" x14ac:dyDescent="0.3">
      <c r="A362" t="s">
        <v>40</v>
      </c>
      <c r="B362" s="3" t="str">
        <f xml:space="preserve"> _xll.EPMOlapMemberO("[CECO].[PARENTH3].[AMSA1000AC4002]","","Administ de Personal","","000")</f>
        <v>Administ de Personal</v>
      </c>
      <c r="C362" t="str">
        <f xml:space="preserve"> _xll.EPMOlapMemberO("[CLACO].[PARENTH1].[AMSAADM_PERSON]","","Administración Perso","","000")</f>
        <v>Administración Perso</v>
      </c>
      <c r="D362" s="2">
        <v>188.06</v>
      </c>
      <c r="E362" s="2">
        <v>963.77</v>
      </c>
      <c r="F362" s="2">
        <f t="shared" si="50"/>
        <v>775.71</v>
      </c>
      <c r="G362" s="2"/>
      <c r="H362" s="2">
        <v>637.36</v>
      </c>
      <c r="I362" s="2">
        <f t="shared" si="51"/>
        <v>637.36</v>
      </c>
      <c r="J362" s="2">
        <v>291.83</v>
      </c>
      <c r="K362" s="2">
        <v>682.35</v>
      </c>
      <c r="L362" s="2">
        <f t="shared" si="52"/>
        <v>390.52000000000004</v>
      </c>
      <c r="M362" s="2"/>
      <c r="N362" s="2"/>
      <c r="O362" s="2">
        <f t="shared" si="53"/>
        <v>0</v>
      </c>
      <c r="P362" s="2"/>
      <c r="Q362" s="2"/>
      <c r="R362" s="2">
        <f t="shared" si="54"/>
        <v>0</v>
      </c>
      <c r="S362" s="2"/>
      <c r="T362" s="2"/>
      <c r="U362" s="2">
        <f t="shared" si="55"/>
        <v>0</v>
      </c>
      <c r="V362" s="2"/>
      <c r="W362" s="2"/>
      <c r="X362" s="2">
        <f t="shared" si="56"/>
        <v>0</v>
      </c>
      <c r="Y362" s="2"/>
      <c r="Z362" s="2"/>
      <c r="AA362" s="2">
        <f t="shared" si="57"/>
        <v>0</v>
      </c>
      <c r="AB362" s="2"/>
      <c r="AC362" s="2"/>
      <c r="AD362" s="2">
        <f t="shared" si="58"/>
        <v>0</v>
      </c>
      <c r="AE362" s="2"/>
      <c r="AF362" s="2"/>
      <c r="AG362" s="2">
        <f t="shared" si="59"/>
        <v>0</v>
      </c>
    </row>
    <row r="363" spans="1:33" x14ac:dyDescent="0.3">
      <c r="B363" s="3"/>
      <c r="C363" t="str">
        <f xml:space="preserve"> _xll.EPMOlapMemberO("[CLACO].[PARENTH1].[AMSAENTRENAMI]","","Entrenamiento","","000")</f>
        <v>Entrenamiento</v>
      </c>
      <c r="D363" s="2">
        <v>1974.07</v>
      </c>
      <c r="E363" s="2"/>
      <c r="F363" s="2">
        <f t="shared" si="50"/>
        <v>-1974.07</v>
      </c>
      <c r="G363" s="2">
        <v>-545.78</v>
      </c>
      <c r="H363" s="2"/>
      <c r="I363" s="2">
        <f t="shared" si="51"/>
        <v>545.78</v>
      </c>
      <c r="J363" s="2"/>
      <c r="K363" s="2"/>
      <c r="L363" s="2">
        <f t="shared" si="52"/>
        <v>0</v>
      </c>
      <c r="M363" s="2"/>
      <c r="N363" s="2"/>
      <c r="O363" s="2">
        <f t="shared" si="53"/>
        <v>0</v>
      </c>
      <c r="P363" s="2"/>
      <c r="Q363" s="2"/>
      <c r="R363" s="2">
        <f t="shared" si="54"/>
        <v>0</v>
      </c>
      <c r="S363" s="2"/>
      <c r="T363" s="2"/>
      <c r="U363" s="2">
        <f t="shared" si="55"/>
        <v>0</v>
      </c>
      <c r="V363" s="2"/>
      <c r="W363" s="2"/>
      <c r="X363" s="2">
        <f t="shared" si="56"/>
        <v>0</v>
      </c>
      <c r="Y363" s="2"/>
      <c r="Z363" s="2"/>
      <c r="AA363" s="2">
        <f t="shared" si="57"/>
        <v>0</v>
      </c>
      <c r="AB363" s="2"/>
      <c r="AC363" s="2"/>
      <c r="AD363" s="2">
        <f t="shared" si="58"/>
        <v>0</v>
      </c>
      <c r="AE363" s="2"/>
      <c r="AF363" s="2"/>
      <c r="AG363" s="2">
        <f t="shared" si="59"/>
        <v>0</v>
      </c>
    </row>
    <row r="364" spans="1:33" x14ac:dyDescent="0.3">
      <c r="B364" s="3"/>
      <c r="C364" t="str">
        <f xml:space="preserve"> _xll.EPMOlapMemberO("[CLACO].[PARENTH1].[AMSAASESORIAS]","","Asesorías y Consulto","","000")</f>
        <v>Asesorías y Consulto</v>
      </c>
      <c r="D364" s="2"/>
      <c r="E364" s="2"/>
      <c r="F364" s="2">
        <f t="shared" si="50"/>
        <v>0</v>
      </c>
      <c r="G364" s="2">
        <v>227.03</v>
      </c>
      <c r="H364" s="2"/>
      <c r="I364" s="2">
        <f t="shared" si="51"/>
        <v>-227.03</v>
      </c>
      <c r="J364" s="2"/>
      <c r="K364" s="2"/>
      <c r="L364" s="2">
        <f t="shared" si="52"/>
        <v>0</v>
      </c>
      <c r="M364" s="2"/>
      <c r="N364" s="2"/>
      <c r="O364" s="2">
        <f t="shared" si="53"/>
        <v>0</v>
      </c>
      <c r="P364" s="2"/>
      <c r="Q364" s="2"/>
      <c r="R364" s="2">
        <f t="shared" si="54"/>
        <v>0</v>
      </c>
      <c r="S364" s="2"/>
      <c r="T364" s="2"/>
      <c r="U364" s="2">
        <f t="shared" si="55"/>
        <v>0</v>
      </c>
      <c r="V364" s="2"/>
      <c r="W364" s="2"/>
      <c r="X364" s="2">
        <f t="shared" si="56"/>
        <v>0</v>
      </c>
      <c r="Y364" s="2"/>
      <c r="Z364" s="2"/>
      <c r="AA364" s="2">
        <f t="shared" si="57"/>
        <v>0</v>
      </c>
      <c r="AB364" s="2"/>
      <c r="AC364" s="2"/>
      <c r="AD364" s="2">
        <f t="shared" si="58"/>
        <v>0</v>
      </c>
      <c r="AE364" s="2"/>
      <c r="AF364" s="2"/>
      <c r="AG364" s="2">
        <f t="shared" si="59"/>
        <v>0</v>
      </c>
    </row>
    <row r="365" spans="1:33" x14ac:dyDescent="0.3">
      <c r="B365" s="3"/>
      <c r="C365" t="str">
        <f xml:space="preserve"> _xll.EPMOlapMemberO("[CLACO].[PARENTH1].[AMSASERVICIOS]","","Servicios","","000")</f>
        <v>Servicios</v>
      </c>
      <c r="D365" s="2">
        <v>35067.379999999997</v>
      </c>
      <c r="E365" s="2">
        <v>24657.89</v>
      </c>
      <c r="F365" s="2">
        <f t="shared" si="50"/>
        <v>-10409.489999999998</v>
      </c>
      <c r="G365" s="2">
        <v>9130.74</v>
      </c>
      <c r="H365" s="2">
        <v>19780.2</v>
      </c>
      <c r="I365" s="2">
        <f t="shared" si="51"/>
        <v>10649.460000000001</v>
      </c>
      <c r="J365" s="2">
        <v>8.26</v>
      </c>
      <c r="K365" s="2">
        <v>20723.46</v>
      </c>
      <c r="L365" s="2">
        <f t="shared" si="52"/>
        <v>20715.2</v>
      </c>
      <c r="M365" s="2">
        <v>21956.14</v>
      </c>
      <c r="N365" s="2"/>
      <c r="O365" s="2">
        <f t="shared" si="53"/>
        <v>-21956.14</v>
      </c>
      <c r="P365" s="2"/>
      <c r="Q365" s="2"/>
      <c r="R365" s="2">
        <f t="shared" si="54"/>
        <v>0</v>
      </c>
      <c r="S365" s="2"/>
      <c r="T365" s="2"/>
      <c r="U365" s="2">
        <f t="shared" si="55"/>
        <v>0</v>
      </c>
      <c r="V365" s="2"/>
      <c r="W365" s="2"/>
      <c r="X365" s="2">
        <f t="shared" si="56"/>
        <v>0</v>
      </c>
      <c r="Y365" s="2"/>
      <c r="Z365" s="2"/>
      <c r="AA365" s="2">
        <f t="shared" si="57"/>
        <v>0</v>
      </c>
      <c r="AB365" s="2"/>
      <c r="AC365" s="2"/>
      <c r="AD365" s="2">
        <f t="shared" si="58"/>
        <v>0</v>
      </c>
      <c r="AE365" s="2"/>
      <c r="AF365" s="2"/>
      <c r="AG365" s="2">
        <f t="shared" si="59"/>
        <v>0</v>
      </c>
    </row>
    <row r="366" spans="1:33" x14ac:dyDescent="0.3">
      <c r="B366" s="3"/>
      <c r="C366" t="str">
        <f xml:space="preserve"> _xll.EPMOlapMemberO("[CLACO].[PARENTH1].[AMSAINFORMATIC]","","Informática y Comuni","","000")</f>
        <v>Informática y Comuni</v>
      </c>
      <c r="D366" s="2">
        <v>884.8</v>
      </c>
      <c r="E366" s="2"/>
      <c r="F366" s="2">
        <f t="shared" si="50"/>
        <v>-884.8</v>
      </c>
      <c r="G366" s="2">
        <v>0.52</v>
      </c>
      <c r="H366" s="2"/>
      <c r="I366" s="2">
        <f t="shared" si="51"/>
        <v>-0.52</v>
      </c>
      <c r="J366" s="2"/>
      <c r="K366" s="2"/>
      <c r="L366" s="2">
        <f t="shared" si="52"/>
        <v>0</v>
      </c>
      <c r="M366" s="2">
        <v>326.63</v>
      </c>
      <c r="N366" s="2"/>
      <c r="O366" s="2">
        <f t="shared" si="53"/>
        <v>-326.63</v>
      </c>
      <c r="P366" s="2"/>
      <c r="Q366" s="2"/>
      <c r="R366" s="2">
        <f t="shared" si="54"/>
        <v>0</v>
      </c>
      <c r="S366" s="2"/>
      <c r="T366" s="2"/>
      <c r="U366" s="2">
        <f t="shared" si="55"/>
        <v>0</v>
      </c>
      <c r="V366" s="2"/>
      <c r="W366" s="2"/>
      <c r="X366" s="2">
        <f t="shared" si="56"/>
        <v>0</v>
      </c>
      <c r="Y366" s="2"/>
      <c r="Z366" s="2"/>
      <c r="AA366" s="2">
        <f t="shared" si="57"/>
        <v>0</v>
      </c>
      <c r="AB366" s="2"/>
      <c r="AC366" s="2"/>
      <c r="AD366" s="2">
        <f t="shared" si="58"/>
        <v>0</v>
      </c>
      <c r="AE366" s="2"/>
      <c r="AF366" s="2"/>
      <c r="AG366" s="2">
        <f t="shared" si="59"/>
        <v>0</v>
      </c>
    </row>
    <row r="367" spans="1:33" x14ac:dyDescent="0.3">
      <c r="B367" s="3"/>
      <c r="C367" t="str">
        <f xml:space="preserve"> _xll.EPMOlapMemberO("[CLACO].[PARENTH1].[AMSAG_VIAJES]","","Gastos de Viajes","","000")</f>
        <v>Gastos de Viajes</v>
      </c>
      <c r="D367" s="2">
        <v>7199.16</v>
      </c>
      <c r="E367" s="2">
        <v>19554.55</v>
      </c>
      <c r="F367" s="2">
        <f t="shared" si="50"/>
        <v>12355.39</v>
      </c>
      <c r="G367" s="2">
        <v>18418.759999999998</v>
      </c>
      <c r="H367" s="2">
        <v>15472.5</v>
      </c>
      <c r="I367" s="2">
        <f t="shared" si="51"/>
        <v>-2946.2599999999984</v>
      </c>
      <c r="J367" s="2">
        <v>4548.07</v>
      </c>
      <c r="K367" s="2"/>
      <c r="L367" s="2">
        <f t="shared" si="52"/>
        <v>-4548.07</v>
      </c>
      <c r="M367" s="2">
        <v>256.8</v>
      </c>
      <c r="N367" s="2"/>
      <c r="O367" s="2">
        <f t="shared" si="53"/>
        <v>-256.8</v>
      </c>
      <c r="P367" s="2"/>
      <c r="Q367" s="2"/>
      <c r="R367" s="2">
        <f t="shared" si="54"/>
        <v>0</v>
      </c>
      <c r="S367" s="2"/>
      <c r="T367" s="2"/>
      <c r="U367" s="2">
        <f t="shared" si="55"/>
        <v>0</v>
      </c>
      <c r="V367" s="2"/>
      <c r="W367" s="2"/>
      <c r="X367" s="2">
        <f t="shared" si="56"/>
        <v>0</v>
      </c>
      <c r="Y367" s="2"/>
      <c r="Z367" s="2"/>
      <c r="AA367" s="2">
        <f t="shared" si="57"/>
        <v>0</v>
      </c>
      <c r="AB367" s="2"/>
      <c r="AC367" s="2"/>
      <c r="AD367" s="2">
        <f t="shared" si="58"/>
        <v>0</v>
      </c>
      <c r="AE367" s="2"/>
      <c r="AF367" s="2"/>
      <c r="AG367" s="2">
        <f t="shared" si="59"/>
        <v>0</v>
      </c>
    </row>
    <row r="368" spans="1:33" x14ac:dyDescent="0.3">
      <c r="B368" s="3"/>
      <c r="C368" t="str">
        <f xml:space="preserve"> _xll.EPMOlapMemberO("[CLACO].[PARENTH1].[AMSAGGENERALES.2]","","Otros Gastos","","000")</f>
        <v>Otros Gastos</v>
      </c>
      <c r="D368" s="2"/>
      <c r="E368" s="2">
        <v>1793.45</v>
      </c>
      <c r="F368" s="2">
        <f t="shared" si="50"/>
        <v>1793.45</v>
      </c>
      <c r="G368" s="2">
        <v>15.82</v>
      </c>
      <c r="H368" s="2"/>
      <c r="I368" s="2">
        <f t="shared" si="51"/>
        <v>-15.82</v>
      </c>
      <c r="J368" s="2"/>
      <c r="K368" s="2"/>
      <c r="L368" s="2">
        <f t="shared" si="52"/>
        <v>0</v>
      </c>
      <c r="M368" s="2">
        <v>0.21</v>
      </c>
      <c r="N368" s="2"/>
      <c r="O368" s="2">
        <f t="shared" si="53"/>
        <v>-0.21</v>
      </c>
      <c r="P368" s="2">
        <v>12.42</v>
      </c>
      <c r="Q368" s="2"/>
      <c r="R368" s="2">
        <f t="shared" si="54"/>
        <v>-12.42</v>
      </c>
      <c r="S368" s="2">
        <v>7.02</v>
      </c>
      <c r="T368" s="2"/>
      <c r="U368" s="2">
        <f t="shared" si="55"/>
        <v>-7.02</v>
      </c>
      <c r="V368" s="2">
        <v>6.41</v>
      </c>
      <c r="W368" s="2"/>
      <c r="X368" s="2">
        <f t="shared" si="56"/>
        <v>-6.41</v>
      </c>
      <c r="Y368" s="2">
        <v>12.63</v>
      </c>
      <c r="Z368" s="2"/>
      <c r="AA368" s="2">
        <f t="shared" si="57"/>
        <v>-12.63</v>
      </c>
      <c r="AB368" s="2">
        <v>4.1100000000000003</v>
      </c>
      <c r="AC368" s="2"/>
      <c r="AD368" s="2">
        <f t="shared" si="58"/>
        <v>-4.1100000000000003</v>
      </c>
      <c r="AE368" s="2">
        <v>42.6</v>
      </c>
      <c r="AF368" s="2"/>
      <c r="AG368" s="2">
        <f t="shared" si="59"/>
        <v>-42.6</v>
      </c>
    </row>
    <row r="369" spans="1:33" x14ac:dyDescent="0.3">
      <c r="A369" t="s">
        <v>41</v>
      </c>
      <c r="B369" s="3" t="str">
        <f xml:space="preserve"> _xll.EPMOlapMemberO("[CECO].[PARENTH3].[AMSA1000AC4003]","","G de Relaciones Lab","","000")</f>
        <v>G de Relaciones Lab</v>
      </c>
      <c r="C369" t="str">
        <f xml:space="preserve"> _xll.EPMOlapMemberO("[CLACO].[PARENTH1].[AMSAADM_PERSON]","","Administración Perso","","000")</f>
        <v>Administración Perso</v>
      </c>
      <c r="D369" s="2"/>
      <c r="E369" s="2"/>
      <c r="F369" s="2">
        <f t="shared" si="50"/>
        <v>0</v>
      </c>
      <c r="G369" s="2"/>
      <c r="H369" s="2"/>
      <c r="I369" s="2">
        <f t="shared" si="51"/>
        <v>0</v>
      </c>
      <c r="J369" s="2">
        <v>25058.58</v>
      </c>
      <c r="K369" s="2">
        <v>14117.64</v>
      </c>
      <c r="L369" s="2">
        <f t="shared" si="52"/>
        <v>-10940.940000000002</v>
      </c>
      <c r="M369" s="2">
        <v>14911.93</v>
      </c>
      <c r="N369" s="2">
        <v>6599.67</v>
      </c>
      <c r="O369" s="2">
        <f t="shared" si="53"/>
        <v>-8312.26</v>
      </c>
      <c r="P369" s="2"/>
      <c r="Q369" s="2"/>
      <c r="R369" s="2">
        <f t="shared" si="54"/>
        <v>0</v>
      </c>
      <c r="S369" s="2"/>
      <c r="T369" s="2"/>
      <c r="U369" s="2">
        <f t="shared" si="55"/>
        <v>0</v>
      </c>
      <c r="V369" s="2"/>
      <c r="W369" s="2">
        <v>5022.9399999999996</v>
      </c>
      <c r="X369" s="2">
        <f t="shared" si="56"/>
        <v>5022.9399999999996</v>
      </c>
      <c r="Y369" s="2"/>
      <c r="Z369" s="2"/>
      <c r="AA369" s="2">
        <f t="shared" si="57"/>
        <v>0</v>
      </c>
      <c r="AB369" s="2"/>
      <c r="AC369" s="2"/>
      <c r="AD369" s="2">
        <f t="shared" si="58"/>
        <v>0</v>
      </c>
      <c r="AE369" s="2"/>
      <c r="AF369" s="2">
        <v>15164.74</v>
      </c>
      <c r="AG369" s="2">
        <f t="shared" si="59"/>
        <v>15164.74</v>
      </c>
    </row>
    <row r="370" spans="1:33" x14ac:dyDescent="0.3">
      <c r="B370" s="3"/>
      <c r="C370" t="str">
        <f xml:space="preserve"> _xll.EPMOlapMemberO("[CLACO].[PARENTH1].[AMSAENTRENAMI]","","Entrenamiento","","000")</f>
        <v>Entrenamiento</v>
      </c>
      <c r="D370" s="2">
        <v>12358.08</v>
      </c>
      <c r="E370" s="2">
        <v>46027.98</v>
      </c>
      <c r="F370" s="2">
        <f t="shared" si="50"/>
        <v>33669.9</v>
      </c>
      <c r="G370" s="2">
        <v>15212.77</v>
      </c>
      <c r="H370" s="2">
        <v>28480.22</v>
      </c>
      <c r="I370" s="2">
        <f t="shared" si="51"/>
        <v>13267.45</v>
      </c>
      <c r="J370" s="2">
        <v>-41962.35</v>
      </c>
      <c r="K370" s="2">
        <v>14117.64</v>
      </c>
      <c r="L370" s="2">
        <f t="shared" si="52"/>
        <v>56079.99</v>
      </c>
      <c r="M370" s="2">
        <v>4582.1899999999996</v>
      </c>
      <c r="N370" s="2">
        <v>15182.09</v>
      </c>
      <c r="O370" s="2">
        <f t="shared" si="53"/>
        <v>10599.900000000001</v>
      </c>
      <c r="P370" s="2"/>
      <c r="Q370" s="2">
        <v>3025.28</v>
      </c>
      <c r="R370" s="2">
        <f t="shared" si="54"/>
        <v>3025.28</v>
      </c>
      <c r="S370" s="2">
        <v>4373.2700000000004</v>
      </c>
      <c r="T370" s="2"/>
      <c r="U370" s="2">
        <f t="shared" si="55"/>
        <v>-4373.2700000000004</v>
      </c>
      <c r="V370" s="2"/>
      <c r="W370" s="2"/>
      <c r="X370" s="2">
        <f t="shared" si="56"/>
        <v>0</v>
      </c>
      <c r="Y370" s="2"/>
      <c r="Z370" s="2"/>
      <c r="AA370" s="2">
        <f t="shared" si="57"/>
        <v>0</v>
      </c>
      <c r="AB370" s="2"/>
      <c r="AC370" s="2"/>
      <c r="AD370" s="2">
        <f t="shared" si="58"/>
        <v>0</v>
      </c>
      <c r="AE370" s="2">
        <v>4373.2700000000004</v>
      </c>
      <c r="AF370" s="2">
        <v>15172.42</v>
      </c>
      <c r="AG370" s="2">
        <f t="shared" si="59"/>
        <v>10799.15</v>
      </c>
    </row>
    <row r="371" spans="1:33" x14ac:dyDescent="0.3">
      <c r="B371" s="3"/>
      <c r="C371" t="str">
        <f xml:space="preserve"> _xll.EPMOlapMemberO("[CLACO].[PARENTH1].[AMSAASESORIAS]","","Asesorías y Consulto","","000")</f>
        <v>Asesorías y Consulto</v>
      </c>
      <c r="D371" s="2">
        <v>51004.21</v>
      </c>
      <c r="E371" s="2">
        <v>56605.69</v>
      </c>
      <c r="F371" s="2">
        <f t="shared" si="50"/>
        <v>5601.4800000000032</v>
      </c>
      <c r="G371" s="2">
        <v>83884.009999999995</v>
      </c>
      <c r="H371" s="2">
        <v>56546.34</v>
      </c>
      <c r="I371" s="2">
        <f t="shared" si="51"/>
        <v>-27337.67</v>
      </c>
      <c r="J371" s="2">
        <v>87699.74</v>
      </c>
      <c r="K371" s="2">
        <v>151381.57</v>
      </c>
      <c r="L371" s="2">
        <f t="shared" si="52"/>
        <v>63681.83</v>
      </c>
      <c r="M371" s="2">
        <v>136610.39000000001</v>
      </c>
      <c r="N371" s="2">
        <v>119645.83</v>
      </c>
      <c r="O371" s="2">
        <f t="shared" si="53"/>
        <v>-16964.560000000012</v>
      </c>
      <c r="P371" s="2">
        <v>37587.660000000003</v>
      </c>
      <c r="Q371" s="2">
        <v>8571.6200000000008</v>
      </c>
      <c r="R371" s="2">
        <f t="shared" si="54"/>
        <v>-29016.04</v>
      </c>
      <c r="S371" s="2">
        <v>3539.9</v>
      </c>
      <c r="T371" s="2">
        <v>12078.07</v>
      </c>
      <c r="U371" s="2">
        <f t="shared" si="55"/>
        <v>8538.17</v>
      </c>
      <c r="V371" s="2">
        <v>13501.95</v>
      </c>
      <c r="W371" s="2">
        <v>8539</v>
      </c>
      <c r="X371" s="2">
        <f t="shared" si="56"/>
        <v>-4962.9500000000007</v>
      </c>
      <c r="Y371" s="2">
        <v>4133.3599999999997</v>
      </c>
      <c r="Z371" s="2">
        <v>8522.9699999999993</v>
      </c>
      <c r="AA371" s="2">
        <f t="shared" si="57"/>
        <v>4389.6099999999997</v>
      </c>
      <c r="AB371" s="2">
        <v>-2666.77</v>
      </c>
      <c r="AC371" s="2">
        <v>8506.92</v>
      </c>
      <c r="AD371" s="2">
        <f t="shared" si="58"/>
        <v>11173.69</v>
      </c>
      <c r="AE371" s="2">
        <v>62932.76</v>
      </c>
      <c r="AF371" s="2">
        <v>112258.51</v>
      </c>
      <c r="AG371" s="2">
        <f t="shared" si="59"/>
        <v>49325.749999999993</v>
      </c>
    </row>
    <row r="372" spans="1:33" x14ac:dyDescent="0.3">
      <c r="B372" s="3"/>
      <c r="C372" t="str">
        <f xml:space="preserve"> _xll.EPMOlapMemberO("[CLACO].[PARENTH1].[AMSASERVICIOS]","","Servicios","","000")</f>
        <v>Servicios</v>
      </c>
      <c r="D372" s="2">
        <v>33608.71</v>
      </c>
      <c r="E372" s="2"/>
      <c r="F372" s="2">
        <f t="shared" si="50"/>
        <v>-33608.71</v>
      </c>
      <c r="G372" s="2">
        <v>18622.11</v>
      </c>
      <c r="H372" s="2"/>
      <c r="I372" s="2">
        <f t="shared" si="51"/>
        <v>-18622.11</v>
      </c>
      <c r="J372" s="2">
        <v>390.4</v>
      </c>
      <c r="K372" s="2"/>
      <c r="L372" s="2">
        <f t="shared" si="52"/>
        <v>-390.4</v>
      </c>
      <c r="M372" s="2"/>
      <c r="N372" s="2"/>
      <c r="O372" s="2">
        <f t="shared" si="53"/>
        <v>0</v>
      </c>
      <c r="P372" s="2"/>
      <c r="Q372" s="2"/>
      <c r="R372" s="2">
        <f t="shared" si="54"/>
        <v>0</v>
      </c>
      <c r="S372" s="2"/>
      <c r="T372" s="2"/>
      <c r="U372" s="2">
        <f t="shared" si="55"/>
        <v>0</v>
      </c>
      <c r="V372" s="2"/>
      <c r="W372" s="2"/>
      <c r="X372" s="2">
        <f t="shared" si="56"/>
        <v>0</v>
      </c>
      <c r="Y372" s="2"/>
      <c r="Z372" s="2"/>
      <c r="AA372" s="2">
        <f t="shared" si="57"/>
        <v>0</v>
      </c>
      <c r="AB372" s="2"/>
      <c r="AC372" s="2"/>
      <c r="AD372" s="2">
        <f t="shared" si="58"/>
        <v>0</v>
      </c>
      <c r="AE372" s="2"/>
      <c r="AF372" s="2"/>
      <c r="AG372" s="2">
        <f t="shared" si="59"/>
        <v>0</v>
      </c>
    </row>
    <row r="373" spans="1:33" x14ac:dyDescent="0.3">
      <c r="B373" s="3"/>
      <c r="C373" t="str">
        <f xml:space="preserve"> _xll.EPMOlapMemberO("[CLACO].[PARENTH1].[AMSASERMANTO.REPA]","","Servicios Mantenimie","","000")</f>
        <v>Servicios Mantenimie</v>
      </c>
      <c r="D373" s="2"/>
      <c r="E373" s="2"/>
      <c r="F373" s="2">
        <f t="shared" si="50"/>
        <v>0</v>
      </c>
      <c r="G373" s="2"/>
      <c r="H373" s="2"/>
      <c r="I373" s="2">
        <f t="shared" si="51"/>
        <v>0</v>
      </c>
      <c r="J373" s="2">
        <v>235.77</v>
      </c>
      <c r="K373" s="2"/>
      <c r="L373" s="2">
        <f t="shared" si="52"/>
        <v>-235.77</v>
      </c>
      <c r="M373" s="2"/>
      <c r="N373" s="2"/>
      <c r="O373" s="2">
        <f t="shared" si="53"/>
        <v>0</v>
      </c>
      <c r="P373" s="2"/>
      <c r="Q373" s="2"/>
      <c r="R373" s="2">
        <f t="shared" si="54"/>
        <v>0</v>
      </c>
      <c r="S373" s="2"/>
      <c r="T373" s="2"/>
      <c r="U373" s="2">
        <f t="shared" si="55"/>
        <v>0</v>
      </c>
      <c r="V373" s="2"/>
      <c r="W373" s="2"/>
      <c r="X373" s="2">
        <f t="shared" si="56"/>
        <v>0</v>
      </c>
      <c r="Y373" s="2"/>
      <c r="Z373" s="2"/>
      <c r="AA373" s="2">
        <f t="shared" si="57"/>
        <v>0</v>
      </c>
      <c r="AB373" s="2"/>
      <c r="AC373" s="2"/>
      <c r="AD373" s="2">
        <f t="shared" si="58"/>
        <v>0</v>
      </c>
      <c r="AE373" s="2"/>
      <c r="AF373" s="2"/>
      <c r="AG373" s="2">
        <f t="shared" si="59"/>
        <v>0</v>
      </c>
    </row>
    <row r="374" spans="1:33" x14ac:dyDescent="0.3">
      <c r="B374" s="3"/>
      <c r="C374" t="str">
        <f xml:space="preserve"> _xll.EPMOlapMemberO("[CLACO].[PARENTH1].[AMSAINFORMATIC]","","Informática y Comuni","","000")</f>
        <v>Informática y Comuni</v>
      </c>
      <c r="D374" s="2">
        <v>15123.69</v>
      </c>
      <c r="E374" s="2"/>
      <c r="F374" s="2">
        <f t="shared" si="50"/>
        <v>-15123.69</v>
      </c>
      <c r="G374" s="2">
        <v>35118.06</v>
      </c>
      <c r="H374" s="2"/>
      <c r="I374" s="2">
        <f t="shared" si="51"/>
        <v>-35118.06</v>
      </c>
      <c r="J374" s="2">
        <v>20382.32</v>
      </c>
      <c r="K374" s="2"/>
      <c r="L374" s="2">
        <f t="shared" si="52"/>
        <v>-20382.32</v>
      </c>
      <c r="M374" s="2">
        <v>400.99</v>
      </c>
      <c r="N374" s="2"/>
      <c r="O374" s="2">
        <f t="shared" si="53"/>
        <v>-400.99</v>
      </c>
      <c r="P374" s="2">
        <v>1250</v>
      </c>
      <c r="Q374" s="2"/>
      <c r="R374" s="2">
        <f t="shared" si="54"/>
        <v>-1250</v>
      </c>
      <c r="S374" s="2"/>
      <c r="T374" s="2"/>
      <c r="U374" s="2">
        <f t="shared" si="55"/>
        <v>0</v>
      </c>
      <c r="V374" s="2"/>
      <c r="W374" s="2"/>
      <c r="X374" s="2">
        <f t="shared" si="56"/>
        <v>0</v>
      </c>
      <c r="Y374" s="2">
        <v>24.9</v>
      </c>
      <c r="Z374" s="2"/>
      <c r="AA374" s="2">
        <f t="shared" si="57"/>
        <v>-24.9</v>
      </c>
      <c r="AB374" s="2">
        <v>72.41</v>
      </c>
      <c r="AC374" s="2"/>
      <c r="AD374" s="2">
        <f t="shared" si="58"/>
        <v>-72.41</v>
      </c>
      <c r="AE374" s="2">
        <v>1347.31</v>
      </c>
      <c r="AF374" s="2"/>
      <c r="AG374" s="2">
        <f t="shared" si="59"/>
        <v>-1347.31</v>
      </c>
    </row>
    <row r="375" spans="1:33" x14ac:dyDescent="0.3">
      <c r="B375" s="3"/>
      <c r="C375" t="str">
        <f xml:space="preserve"> _xll.EPMOlapMemberO("[CLACO].[PARENTH1].[AMSAG_VIAJES]","","Gastos de Viajes","","000")</f>
        <v>Gastos de Viajes</v>
      </c>
      <c r="D375" s="2">
        <v>7913.85</v>
      </c>
      <c r="E375" s="2">
        <v>23333.31</v>
      </c>
      <c r="F375" s="2">
        <f t="shared" si="50"/>
        <v>15419.460000000001</v>
      </c>
      <c r="G375" s="2">
        <v>29324.71</v>
      </c>
      <c r="H375" s="2">
        <v>9450.6</v>
      </c>
      <c r="I375" s="2">
        <f t="shared" si="51"/>
        <v>-19874.11</v>
      </c>
      <c r="J375" s="2">
        <v>10656.66</v>
      </c>
      <c r="K375" s="2"/>
      <c r="L375" s="2">
        <f t="shared" si="52"/>
        <v>-10656.66</v>
      </c>
      <c r="M375" s="2">
        <v>9520.2000000000007</v>
      </c>
      <c r="N375" s="2"/>
      <c r="O375" s="2">
        <f t="shared" si="53"/>
        <v>-9520.2000000000007</v>
      </c>
      <c r="P375" s="2"/>
      <c r="Q375" s="2"/>
      <c r="R375" s="2">
        <f t="shared" si="54"/>
        <v>0</v>
      </c>
      <c r="S375" s="2">
        <v>503.3</v>
      </c>
      <c r="T375" s="2"/>
      <c r="U375" s="2">
        <f t="shared" si="55"/>
        <v>-503.3</v>
      </c>
      <c r="V375" s="2"/>
      <c r="W375" s="2"/>
      <c r="X375" s="2">
        <f t="shared" si="56"/>
        <v>0</v>
      </c>
      <c r="Y375" s="2"/>
      <c r="Z375" s="2"/>
      <c r="AA375" s="2">
        <f t="shared" si="57"/>
        <v>0</v>
      </c>
      <c r="AB375" s="2"/>
      <c r="AC375" s="2"/>
      <c r="AD375" s="2">
        <f t="shared" si="58"/>
        <v>0</v>
      </c>
      <c r="AE375" s="2">
        <v>2627.93</v>
      </c>
      <c r="AF375" s="2"/>
      <c r="AG375" s="2">
        <f t="shared" si="59"/>
        <v>-2627.93</v>
      </c>
    </row>
    <row r="376" spans="1:33" x14ac:dyDescent="0.3">
      <c r="B376" s="3"/>
      <c r="C376" t="str">
        <f xml:space="preserve"> _xll.EPMOlapMemberO("[CLACO].[PARENTH1].[AMSAGGENERALES.2]","","Otros Gastos","","000")</f>
        <v>Otros Gastos</v>
      </c>
      <c r="D376" s="2">
        <v>-154.02000000000001</v>
      </c>
      <c r="E376" s="2">
        <v>42705.29</v>
      </c>
      <c r="F376" s="2">
        <f t="shared" si="50"/>
        <v>42859.31</v>
      </c>
      <c r="G376" s="2">
        <v>46835.12</v>
      </c>
      <c r="H376" s="2">
        <v>38087.760000000002</v>
      </c>
      <c r="I376" s="2">
        <f t="shared" si="51"/>
        <v>-8747.36</v>
      </c>
      <c r="J376" s="2">
        <v>23439.35</v>
      </c>
      <c r="K376" s="2">
        <v>22362.16</v>
      </c>
      <c r="L376" s="2">
        <f t="shared" si="52"/>
        <v>-1077.1899999999987</v>
      </c>
      <c r="M376" s="2">
        <v>23301.74</v>
      </c>
      <c r="N376" s="2">
        <v>22790.61</v>
      </c>
      <c r="O376" s="2">
        <f t="shared" si="53"/>
        <v>-511.13000000000102</v>
      </c>
      <c r="P376" s="2">
        <v>699.92</v>
      </c>
      <c r="Q376" s="2"/>
      <c r="R376" s="2">
        <f t="shared" si="54"/>
        <v>-699.92</v>
      </c>
      <c r="S376" s="2">
        <v>97.68</v>
      </c>
      <c r="T376" s="2"/>
      <c r="U376" s="2">
        <f t="shared" si="55"/>
        <v>-97.68</v>
      </c>
      <c r="V376" s="2">
        <v>157.53</v>
      </c>
      <c r="W376" s="2"/>
      <c r="X376" s="2">
        <f t="shared" si="56"/>
        <v>-157.53</v>
      </c>
      <c r="Y376" s="2"/>
      <c r="Z376" s="2"/>
      <c r="AA376" s="2">
        <f t="shared" si="57"/>
        <v>0</v>
      </c>
      <c r="AB376" s="2"/>
      <c r="AC376" s="2"/>
      <c r="AD376" s="2">
        <f t="shared" si="58"/>
        <v>0</v>
      </c>
      <c r="AE376" s="2">
        <v>1024.5999999999999</v>
      </c>
      <c r="AF376" s="2">
        <v>39053.14</v>
      </c>
      <c r="AG376" s="2">
        <f t="shared" si="59"/>
        <v>38028.54</v>
      </c>
    </row>
    <row r="377" spans="1:33" x14ac:dyDescent="0.3">
      <c r="A377" t="s">
        <v>42</v>
      </c>
      <c r="B377" s="3" t="str">
        <f xml:space="preserve"> _xll.EPMOlapMemberO("[CECO].[PARENTH3].[AMSA1000AC4004]","","Compensaciones","","000")</f>
        <v>Compensaciones</v>
      </c>
      <c r="C377" t="str">
        <f xml:space="preserve"> _xll.EPMOlapMemberO("[CLACO].[PARENTH1].[AMSAADM_PERSON]","","Administración Perso","","000")</f>
        <v>Administración Perso</v>
      </c>
      <c r="D377" s="2">
        <v>16947.189999999999</v>
      </c>
      <c r="E377" s="2"/>
      <c r="F377" s="2">
        <f t="shared" si="50"/>
        <v>-16947.189999999999</v>
      </c>
      <c r="G377" s="2">
        <v>-2873.47</v>
      </c>
      <c r="H377" s="2"/>
      <c r="I377" s="2">
        <f t="shared" si="51"/>
        <v>2873.47</v>
      </c>
      <c r="J377" s="2">
        <v>0</v>
      </c>
      <c r="K377" s="2"/>
      <c r="L377" s="2">
        <f t="shared" si="52"/>
        <v>0</v>
      </c>
      <c r="M377" s="2"/>
      <c r="N377" s="2"/>
      <c r="O377" s="2">
        <f t="shared" si="53"/>
        <v>0</v>
      </c>
      <c r="P377" s="2"/>
      <c r="Q377" s="2"/>
      <c r="R377" s="2">
        <f t="shared" si="54"/>
        <v>0</v>
      </c>
      <c r="S377" s="2"/>
      <c r="T377" s="2"/>
      <c r="U377" s="2">
        <f t="shared" si="55"/>
        <v>0</v>
      </c>
      <c r="V377" s="2"/>
      <c r="W377" s="2"/>
      <c r="X377" s="2">
        <f t="shared" si="56"/>
        <v>0</v>
      </c>
      <c r="Y377" s="2"/>
      <c r="Z377" s="2"/>
      <c r="AA377" s="2">
        <f t="shared" si="57"/>
        <v>0</v>
      </c>
      <c r="AB377" s="2"/>
      <c r="AC377" s="2"/>
      <c r="AD377" s="2">
        <f t="shared" si="58"/>
        <v>0</v>
      </c>
      <c r="AE377" s="2"/>
      <c r="AF377" s="2"/>
      <c r="AG377" s="2">
        <f t="shared" si="59"/>
        <v>0</v>
      </c>
    </row>
    <row r="378" spans="1:33" x14ac:dyDescent="0.3">
      <c r="B378" s="3"/>
      <c r="C378" t="str">
        <f xml:space="preserve"> _xll.EPMOlapMemberO("[CLACO].[PARENTH1].[AMSAENTRENAMI]","","Entrenamiento","","000")</f>
        <v>Entrenamiento</v>
      </c>
      <c r="D378" s="2">
        <v>23921.32</v>
      </c>
      <c r="E378" s="2"/>
      <c r="F378" s="2">
        <f t="shared" si="50"/>
        <v>-23921.32</v>
      </c>
      <c r="G378" s="2">
        <v>-3413.04</v>
      </c>
      <c r="H378" s="2"/>
      <c r="I378" s="2">
        <f t="shared" si="51"/>
        <v>3413.04</v>
      </c>
      <c r="J378" s="2"/>
      <c r="K378" s="2"/>
      <c r="L378" s="2">
        <f t="shared" si="52"/>
        <v>0</v>
      </c>
      <c r="M378" s="2">
        <v>4266.97</v>
      </c>
      <c r="N378" s="2"/>
      <c r="O378" s="2">
        <f t="shared" si="53"/>
        <v>-4266.97</v>
      </c>
      <c r="P378" s="2"/>
      <c r="Q378" s="2"/>
      <c r="R378" s="2">
        <f t="shared" si="54"/>
        <v>0</v>
      </c>
      <c r="S378" s="2"/>
      <c r="T378" s="2"/>
      <c r="U378" s="2">
        <f t="shared" si="55"/>
        <v>0</v>
      </c>
      <c r="V378" s="2"/>
      <c r="W378" s="2"/>
      <c r="X378" s="2">
        <f t="shared" si="56"/>
        <v>0</v>
      </c>
      <c r="Y378" s="2"/>
      <c r="Z378" s="2"/>
      <c r="AA378" s="2">
        <f t="shared" si="57"/>
        <v>0</v>
      </c>
      <c r="AB378" s="2"/>
      <c r="AC378" s="2"/>
      <c r="AD378" s="2">
        <f t="shared" si="58"/>
        <v>0</v>
      </c>
      <c r="AE378" s="2"/>
      <c r="AF378" s="2"/>
      <c r="AG378" s="2">
        <f t="shared" si="59"/>
        <v>0</v>
      </c>
    </row>
    <row r="379" spans="1:33" x14ac:dyDescent="0.3">
      <c r="B379" s="3"/>
      <c r="C379" t="str">
        <f xml:space="preserve"> _xll.EPMOlapMemberO("[CLACO].[PARENTH1].[AMSAASESORIAS]","","Asesorías y Consulto","","000")</f>
        <v>Asesorías y Consulto</v>
      </c>
      <c r="D379" s="2">
        <v>148912.79999999999</v>
      </c>
      <c r="E379" s="2">
        <v>255086.72</v>
      </c>
      <c r="F379" s="2">
        <f t="shared" si="50"/>
        <v>106173.92000000001</v>
      </c>
      <c r="G379" s="2">
        <v>136099.39000000001</v>
      </c>
      <c r="H379" s="2">
        <v>241441.99</v>
      </c>
      <c r="I379" s="2">
        <f t="shared" si="51"/>
        <v>105342.59999999998</v>
      </c>
      <c r="J379" s="2">
        <v>108878.63</v>
      </c>
      <c r="K379" s="2">
        <v>109757.03</v>
      </c>
      <c r="L379" s="2">
        <f t="shared" si="52"/>
        <v>878.39999999999418</v>
      </c>
      <c r="M379" s="2">
        <v>132720.19</v>
      </c>
      <c r="N379" s="2">
        <v>86949.8</v>
      </c>
      <c r="O379" s="2">
        <f t="shared" si="53"/>
        <v>-45770.39</v>
      </c>
      <c r="P379" s="2">
        <v>5341.63</v>
      </c>
      <c r="Q379" s="2">
        <v>2521.06</v>
      </c>
      <c r="R379" s="2">
        <f t="shared" si="54"/>
        <v>-2820.57</v>
      </c>
      <c r="S379" s="2">
        <v>685</v>
      </c>
      <c r="T379" s="2">
        <v>22589.55</v>
      </c>
      <c r="U379" s="2">
        <f t="shared" si="55"/>
        <v>21904.55</v>
      </c>
      <c r="V379" s="2">
        <v>-5041.8</v>
      </c>
      <c r="W379" s="2">
        <v>5022.9399999999996</v>
      </c>
      <c r="X379" s="2">
        <f t="shared" si="56"/>
        <v>10064.74</v>
      </c>
      <c r="Y379" s="2">
        <v>397.88</v>
      </c>
      <c r="Z379" s="2"/>
      <c r="AA379" s="2">
        <f t="shared" si="57"/>
        <v>-397.88</v>
      </c>
      <c r="AB379" s="2">
        <v>1522.76</v>
      </c>
      <c r="AC379" s="2">
        <v>6672.1</v>
      </c>
      <c r="AD379" s="2">
        <f t="shared" si="58"/>
        <v>5149.34</v>
      </c>
      <c r="AE379" s="2">
        <v>-19926.32</v>
      </c>
      <c r="AF379" s="2">
        <v>87299.91</v>
      </c>
      <c r="AG379" s="2">
        <f t="shared" si="59"/>
        <v>107226.23000000001</v>
      </c>
    </row>
    <row r="380" spans="1:33" x14ac:dyDescent="0.3">
      <c r="B380" s="3"/>
      <c r="C380" t="str">
        <f xml:space="preserve"> _xll.EPMOlapMemberO("[CLACO].[PARENTH1].[AMSASERVICIOS]","","Servicios","","000")</f>
        <v>Servicios</v>
      </c>
      <c r="D380" s="2">
        <v>10945.8</v>
      </c>
      <c r="E380" s="2"/>
      <c r="F380" s="2">
        <f t="shared" si="50"/>
        <v>-10945.8</v>
      </c>
      <c r="G380" s="2">
        <v>8946.0499999999993</v>
      </c>
      <c r="H380" s="2"/>
      <c r="I380" s="2">
        <f t="shared" si="51"/>
        <v>-8946.0499999999993</v>
      </c>
      <c r="J380" s="2">
        <v>7462.36</v>
      </c>
      <c r="K380" s="2"/>
      <c r="L380" s="2">
        <f t="shared" si="52"/>
        <v>-7462.36</v>
      </c>
      <c r="M380" s="2">
        <v>2558.38</v>
      </c>
      <c r="N380" s="2"/>
      <c r="O380" s="2">
        <f t="shared" si="53"/>
        <v>-2558.38</v>
      </c>
      <c r="P380" s="2">
        <v>-20.309999999999999</v>
      </c>
      <c r="Q380" s="2"/>
      <c r="R380" s="2">
        <f t="shared" si="54"/>
        <v>20.309999999999999</v>
      </c>
      <c r="S380" s="2">
        <v>56.2</v>
      </c>
      <c r="T380" s="2"/>
      <c r="U380" s="2">
        <f t="shared" si="55"/>
        <v>-56.2</v>
      </c>
      <c r="V380" s="2">
        <v>2661.62</v>
      </c>
      <c r="W380" s="2"/>
      <c r="X380" s="2">
        <f t="shared" si="56"/>
        <v>-2661.62</v>
      </c>
      <c r="Y380" s="2">
        <v>4803.95</v>
      </c>
      <c r="Z380" s="2"/>
      <c r="AA380" s="2">
        <f t="shared" si="57"/>
        <v>-4803.95</v>
      </c>
      <c r="AB380" s="2">
        <v>3018.34</v>
      </c>
      <c r="AC380" s="2"/>
      <c r="AD380" s="2">
        <f t="shared" si="58"/>
        <v>-3018.34</v>
      </c>
      <c r="AE380" s="2">
        <v>10519.8</v>
      </c>
      <c r="AF380" s="2"/>
      <c r="AG380" s="2">
        <f t="shared" si="59"/>
        <v>-10519.8</v>
      </c>
    </row>
    <row r="381" spans="1:33" x14ac:dyDescent="0.3">
      <c r="B381" s="3"/>
      <c r="C381" t="str">
        <f xml:space="preserve"> _xll.EPMOlapMemberO("[CLACO].[PARENTH1].[AMSAINFORMATIC]","","Informática y Comuni","","000")</f>
        <v>Informática y Comuni</v>
      </c>
      <c r="D381" s="2">
        <v>-3488.45</v>
      </c>
      <c r="E381" s="2"/>
      <c r="F381" s="2">
        <f t="shared" si="50"/>
        <v>3488.45</v>
      </c>
      <c r="G381" s="2">
        <v>-15922.73</v>
      </c>
      <c r="H381" s="2"/>
      <c r="I381" s="2">
        <f t="shared" si="51"/>
        <v>15922.73</v>
      </c>
      <c r="J381" s="2">
        <v>1526.42</v>
      </c>
      <c r="K381" s="2"/>
      <c r="L381" s="2">
        <f t="shared" si="52"/>
        <v>-1526.42</v>
      </c>
      <c r="M381" s="2">
        <v>0</v>
      </c>
      <c r="N381" s="2"/>
      <c r="O381" s="2">
        <f t="shared" si="53"/>
        <v>0</v>
      </c>
      <c r="P381" s="2"/>
      <c r="Q381" s="2"/>
      <c r="R381" s="2">
        <f t="shared" si="54"/>
        <v>0</v>
      </c>
      <c r="S381" s="2">
        <v>125.94</v>
      </c>
      <c r="T381" s="2"/>
      <c r="U381" s="2">
        <f t="shared" si="55"/>
        <v>-125.94</v>
      </c>
      <c r="V381" s="2"/>
      <c r="W381" s="2"/>
      <c r="X381" s="2">
        <f t="shared" si="56"/>
        <v>0</v>
      </c>
      <c r="Y381" s="2">
        <v>213.18</v>
      </c>
      <c r="Z381" s="2"/>
      <c r="AA381" s="2">
        <f t="shared" si="57"/>
        <v>-213.18</v>
      </c>
      <c r="AB381" s="2"/>
      <c r="AC381" s="2"/>
      <c r="AD381" s="2">
        <f t="shared" si="58"/>
        <v>0</v>
      </c>
      <c r="AE381" s="2">
        <v>339.12</v>
      </c>
      <c r="AF381" s="2"/>
      <c r="AG381" s="2">
        <f t="shared" si="59"/>
        <v>-339.12</v>
      </c>
    </row>
    <row r="382" spans="1:33" x14ac:dyDescent="0.3">
      <c r="B382" s="3"/>
      <c r="C382" t="str">
        <f xml:space="preserve"> _xll.EPMOlapMemberO("[CLACO].[PARENTH1].[AMSAG_VIAJES]","","Gastos de Viajes","","000")</f>
        <v>Gastos de Viajes</v>
      </c>
      <c r="D382" s="2"/>
      <c r="E382" s="2">
        <v>2538.2800000000002</v>
      </c>
      <c r="F382" s="2">
        <f t="shared" si="50"/>
        <v>2538.2800000000002</v>
      </c>
      <c r="G382" s="2"/>
      <c r="H382" s="2">
        <v>2197.8000000000002</v>
      </c>
      <c r="I382" s="2">
        <f t="shared" si="51"/>
        <v>2197.8000000000002</v>
      </c>
      <c r="J382" s="2"/>
      <c r="K382" s="2"/>
      <c r="L382" s="2">
        <f t="shared" si="52"/>
        <v>0</v>
      </c>
      <c r="M382" s="2">
        <v>2562.59</v>
      </c>
      <c r="N382" s="2"/>
      <c r="O382" s="2">
        <f t="shared" si="53"/>
        <v>-2562.59</v>
      </c>
      <c r="P382" s="2"/>
      <c r="Q382" s="2"/>
      <c r="R382" s="2">
        <f t="shared" si="54"/>
        <v>0</v>
      </c>
      <c r="S382" s="2"/>
      <c r="T382" s="2"/>
      <c r="U382" s="2">
        <f t="shared" si="55"/>
        <v>0</v>
      </c>
      <c r="V382" s="2"/>
      <c r="W382" s="2"/>
      <c r="X382" s="2">
        <f t="shared" si="56"/>
        <v>0</v>
      </c>
      <c r="Y382" s="2"/>
      <c r="Z382" s="2"/>
      <c r="AA382" s="2">
        <f t="shared" si="57"/>
        <v>0</v>
      </c>
      <c r="AB382" s="2"/>
      <c r="AC382" s="2"/>
      <c r="AD382" s="2">
        <f t="shared" si="58"/>
        <v>0</v>
      </c>
      <c r="AE382" s="2"/>
      <c r="AF382" s="2"/>
      <c r="AG382" s="2">
        <f t="shared" si="59"/>
        <v>0</v>
      </c>
    </row>
    <row r="383" spans="1:33" x14ac:dyDescent="0.3">
      <c r="B383" s="3"/>
      <c r="C383" t="str">
        <f xml:space="preserve"> _xll.EPMOlapMemberO("[CLACO].[PARENTH1].[AMSASEGUROS]","","Seguros","","000")</f>
        <v>Seguros</v>
      </c>
      <c r="D383" s="2">
        <v>42076.6</v>
      </c>
      <c r="E383" s="2">
        <v>90118.39</v>
      </c>
      <c r="F383" s="2">
        <f t="shared" si="50"/>
        <v>48041.79</v>
      </c>
      <c r="G383" s="2">
        <v>52533.77</v>
      </c>
      <c r="H383" s="2">
        <v>87435.16</v>
      </c>
      <c r="I383" s="2">
        <f t="shared" si="51"/>
        <v>34901.390000000007</v>
      </c>
      <c r="J383" s="2">
        <v>38945.93</v>
      </c>
      <c r="K383" s="2">
        <v>98172.44</v>
      </c>
      <c r="L383" s="2">
        <f t="shared" si="52"/>
        <v>59226.51</v>
      </c>
      <c r="M383" s="2">
        <v>39891.64</v>
      </c>
      <c r="N383" s="2">
        <v>107838.39999999999</v>
      </c>
      <c r="O383" s="2">
        <f t="shared" si="53"/>
        <v>67946.759999999995</v>
      </c>
      <c r="P383" s="2">
        <v>2728.84</v>
      </c>
      <c r="Q383" s="2">
        <v>16117.99</v>
      </c>
      <c r="R383" s="2">
        <f t="shared" si="54"/>
        <v>13389.15</v>
      </c>
      <c r="S383" s="2">
        <v>97.12</v>
      </c>
      <c r="T383" s="2">
        <v>5183.51</v>
      </c>
      <c r="U383" s="2">
        <f t="shared" si="55"/>
        <v>5086.3900000000003</v>
      </c>
      <c r="V383" s="2">
        <v>1254.43</v>
      </c>
      <c r="W383" s="2">
        <v>17429.62</v>
      </c>
      <c r="X383" s="2">
        <f t="shared" si="56"/>
        <v>16175.189999999999</v>
      </c>
      <c r="Y383" s="2"/>
      <c r="Z383" s="2">
        <v>5163.91</v>
      </c>
      <c r="AA383" s="2">
        <f t="shared" si="57"/>
        <v>5163.91</v>
      </c>
      <c r="AB383" s="2">
        <v>1354.89</v>
      </c>
      <c r="AC383" s="2">
        <v>5154.1899999999996</v>
      </c>
      <c r="AD383" s="2">
        <f t="shared" si="58"/>
        <v>3799.2999999999993</v>
      </c>
      <c r="AE383" s="2">
        <v>7445.2</v>
      </c>
      <c r="AF383" s="2">
        <v>107715.94</v>
      </c>
      <c r="AG383" s="2">
        <f t="shared" si="59"/>
        <v>100270.74</v>
      </c>
    </row>
    <row r="384" spans="1:33" x14ac:dyDescent="0.3">
      <c r="B384" s="3"/>
      <c r="C384" t="str">
        <f xml:space="preserve"> _xll.EPMOlapMemberO("[CLACO].[PARENTH1].[AMSAGGENERALES.2]","","Otros Gastos","","000")</f>
        <v>Otros Gastos</v>
      </c>
      <c r="D384" s="2">
        <v>16750.16</v>
      </c>
      <c r="E384" s="2">
        <v>30313.87</v>
      </c>
      <c r="F384" s="2">
        <f t="shared" si="50"/>
        <v>13563.71</v>
      </c>
      <c r="G384" s="2">
        <v>30014.03</v>
      </c>
      <c r="H384" s="2">
        <v>29617.23</v>
      </c>
      <c r="I384" s="2">
        <f t="shared" si="51"/>
        <v>-396.79999999999927</v>
      </c>
      <c r="J384" s="2">
        <v>28611.43</v>
      </c>
      <c r="K384" s="2">
        <v>32405.46</v>
      </c>
      <c r="L384" s="2">
        <f t="shared" si="52"/>
        <v>3794.0299999999988</v>
      </c>
      <c r="M384" s="2">
        <v>27392.49</v>
      </c>
      <c r="N384" s="2">
        <v>23383.61</v>
      </c>
      <c r="O384" s="2">
        <f t="shared" si="53"/>
        <v>-4008.880000000001</v>
      </c>
      <c r="P384" s="2">
        <v>296.58999999999997</v>
      </c>
      <c r="Q384" s="2"/>
      <c r="R384" s="2">
        <f t="shared" si="54"/>
        <v>-296.58999999999997</v>
      </c>
      <c r="S384" s="2">
        <v>651.54</v>
      </c>
      <c r="T384" s="2"/>
      <c r="U384" s="2">
        <f t="shared" si="55"/>
        <v>-651.54</v>
      </c>
      <c r="V384" s="2">
        <v>24066.43</v>
      </c>
      <c r="W384" s="2"/>
      <c r="X384" s="2">
        <f t="shared" si="56"/>
        <v>-24066.43</v>
      </c>
      <c r="Y384" s="2"/>
      <c r="Z384" s="2">
        <v>24129.23</v>
      </c>
      <c r="AA384" s="2">
        <f t="shared" si="57"/>
        <v>24129.23</v>
      </c>
      <c r="AB384" s="2"/>
      <c r="AC384" s="2"/>
      <c r="AD384" s="2">
        <f t="shared" si="58"/>
        <v>0</v>
      </c>
      <c r="AE384" s="2">
        <v>0</v>
      </c>
      <c r="AF384" s="2">
        <v>24129.23</v>
      </c>
      <c r="AG384" s="2">
        <f t="shared" si="59"/>
        <v>24129.23</v>
      </c>
    </row>
    <row r="385" spans="1:33" x14ac:dyDescent="0.3">
      <c r="A385" t="s">
        <v>43</v>
      </c>
      <c r="B385" s="3" t="str">
        <f xml:space="preserve"> _xll.EPMOlapMemberO("[CECO].[PARENTH3].[AMSA1000AC4005]","","D° Organizacional","","000")</f>
        <v>D° Organizacional</v>
      </c>
      <c r="C385" t="str">
        <f xml:space="preserve"> _xll.EPMOlapMemberO("[CLACO].[PARENTH1].[AMSAMAT_Y_REP.2]","","Materiales y repuest","","000")</f>
        <v>Materiales y repuest</v>
      </c>
      <c r="D385" s="2"/>
      <c r="E385" s="2"/>
      <c r="F385" s="2">
        <f t="shared" si="50"/>
        <v>0</v>
      </c>
      <c r="G385" s="2">
        <v>0</v>
      </c>
      <c r="H385" s="2"/>
      <c r="I385" s="2">
        <f t="shared" si="51"/>
        <v>0</v>
      </c>
      <c r="J385" s="2"/>
      <c r="K385" s="2"/>
      <c r="L385" s="2">
        <f t="shared" si="52"/>
        <v>0</v>
      </c>
      <c r="M385" s="2"/>
      <c r="N385" s="2"/>
      <c r="O385" s="2">
        <f t="shared" si="53"/>
        <v>0</v>
      </c>
      <c r="P385" s="2"/>
      <c r="Q385" s="2"/>
      <c r="R385" s="2">
        <f t="shared" si="54"/>
        <v>0</v>
      </c>
      <c r="S385" s="2"/>
      <c r="T385" s="2"/>
      <c r="U385" s="2">
        <f t="shared" si="55"/>
        <v>0</v>
      </c>
      <c r="V385" s="2"/>
      <c r="W385" s="2"/>
      <c r="X385" s="2">
        <f t="shared" si="56"/>
        <v>0</v>
      </c>
      <c r="Y385" s="2"/>
      <c r="Z385" s="2"/>
      <c r="AA385" s="2">
        <f t="shared" si="57"/>
        <v>0</v>
      </c>
      <c r="AB385" s="2"/>
      <c r="AC385" s="2"/>
      <c r="AD385" s="2">
        <f t="shared" si="58"/>
        <v>0</v>
      </c>
      <c r="AE385" s="2"/>
      <c r="AF385" s="2"/>
      <c r="AG385" s="2">
        <f t="shared" si="59"/>
        <v>0</v>
      </c>
    </row>
    <row r="386" spans="1:33" x14ac:dyDescent="0.3">
      <c r="B386" s="3"/>
      <c r="C386" t="str">
        <f xml:space="preserve"> _xll.EPMOlapMemberO("[CLACO].[PARENTH1].[AMSAADM_PERSON]","","Administración Perso","","000")</f>
        <v>Administración Perso</v>
      </c>
      <c r="D386" s="2">
        <v>25748.38</v>
      </c>
      <c r="E386" s="2"/>
      <c r="F386" s="2">
        <f t="shared" si="50"/>
        <v>-25748.38</v>
      </c>
      <c r="G386" s="2">
        <v>140000</v>
      </c>
      <c r="H386" s="2"/>
      <c r="I386" s="2">
        <f t="shared" si="51"/>
        <v>-140000</v>
      </c>
      <c r="J386" s="2"/>
      <c r="K386" s="2"/>
      <c r="L386" s="2">
        <f t="shared" si="52"/>
        <v>0</v>
      </c>
      <c r="M386" s="2"/>
      <c r="N386" s="2"/>
      <c r="O386" s="2">
        <f t="shared" si="53"/>
        <v>0</v>
      </c>
      <c r="P386" s="2"/>
      <c r="Q386" s="2"/>
      <c r="R386" s="2">
        <f t="shared" si="54"/>
        <v>0</v>
      </c>
      <c r="S386" s="2"/>
      <c r="T386" s="2"/>
      <c r="U386" s="2">
        <f t="shared" si="55"/>
        <v>0</v>
      </c>
      <c r="V386" s="2"/>
      <c r="W386" s="2"/>
      <c r="X386" s="2">
        <f t="shared" si="56"/>
        <v>0</v>
      </c>
      <c r="Y386" s="2"/>
      <c r="Z386" s="2"/>
      <c r="AA386" s="2">
        <f t="shared" si="57"/>
        <v>0</v>
      </c>
      <c r="AB386" s="2"/>
      <c r="AC386" s="2"/>
      <c r="AD386" s="2">
        <f t="shared" si="58"/>
        <v>0</v>
      </c>
      <c r="AE386" s="2"/>
      <c r="AF386" s="2"/>
      <c r="AG386" s="2">
        <f t="shared" si="59"/>
        <v>0</v>
      </c>
    </row>
    <row r="387" spans="1:33" x14ac:dyDescent="0.3">
      <c r="B387" s="3"/>
      <c r="C387" t="str">
        <f xml:space="preserve"> _xll.EPMOlapMemberO("[CLACO].[PARENTH1].[AMSAENTRENAMI]","","Entrenamiento","","000")</f>
        <v>Entrenamiento</v>
      </c>
      <c r="D387" s="2">
        <v>39065.11</v>
      </c>
      <c r="E387" s="2">
        <v>82341.66</v>
      </c>
      <c r="F387" s="2">
        <f t="shared" si="50"/>
        <v>43276.55</v>
      </c>
      <c r="G387" s="2">
        <v>-17019.64</v>
      </c>
      <c r="H387" s="2">
        <v>31529.06</v>
      </c>
      <c r="I387" s="2">
        <f t="shared" si="51"/>
        <v>48548.7</v>
      </c>
      <c r="J387" s="2">
        <v>1742.25</v>
      </c>
      <c r="K387" s="2"/>
      <c r="L387" s="2">
        <f t="shared" si="52"/>
        <v>-1742.25</v>
      </c>
      <c r="M387" s="2">
        <v>15789.53</v>
      </c>
      <c r="N387" s="2">
        <v>12746.38</v>
      </c>
      <c r="O387" s="2">
        <f t="shared" si="53"/>
        <v>-3043.1500000000015</v>
      </c>
      <c r="P387" s="2"/>
      <c r="Q387" s="2"/>
      <c r="R387" s="2">
        <f t="shared" si="54"/>
        <v>0</v>
      </c>
      <c r="S387" s="2">
        <v>73.73</v>
      </c>
      <c r="T387" s="2"/>
      <c r="U387" s="2">
        <f t="shared" si="55"/>
        <v>-73.73</v>
      </c>
      <c r="V387" s="2">
        <v>2662.58</v>
      </c>
      <c r="W387" s="2">
        <v>13150.3</v>
      </c>
      <c r="X387" s="2">
        <f t="shared" si="56"/>
        <v>10487.72</v>
      </c>
      <c r="Y387" s="2">
        <v>10884.7</v>
      </c>
      <c r="Z387" s="2"/>
      <c r="AA387" s="2">
        <f t="shared" si="57"/>
        <v>-10884.7</v>
      </c>
      <c r="AB387" s="2"/>
      <c r="AC387" s="2"/>
      <c r="AD387" s="2">
        <f t="shared" si="58"/>
        <v>0</v>
      </c>
      <c r="AE387" s="2">
        <v>14983.65</v>
      </c>
      <c r="AF387" s="2">
        <v>13150.3</v>
      </c>
      <c r="AG387" s="2">
        <f t="shared" si="59"/>
        <v>-1833.3500000000004</v>
      </c>
    </row>
    <row r="388" spans="1:33" x14ac:dyDescent="0.3">
      <c r="B388" s="3"/>
      <c r="C388" t="str">
        <f xml:space="preserve"> _xll.EPMOlapMemberO("[CLACO].[PARENTH1].[AMSAASESORIAS]","","Asesorías y Consulto","","000")</f>
        <v>Asesorías y Consulto</v>
      </c>
      <c r="D388" s="2">
        <v>118014.94</v>
      </c>
      <c r="E388" s="2">
        <v>115248.75</v>
      </c>
      <c r="F388" s="2">
        <f t="shared" si="50"/>
        <v>-2766.1900000000023</v>
      </c>
      <c r="G388" s="2">
        <v>63875.55</v>
      </c>
      <c r="H388" s="2">
        <v>75233.27</v>
      </c>
      <c r="I388" s="2">
        <f t="shared" si="51"/>
        <v>11357.720000000001</v>
      </c>
      <c r="J388" s="2">
        <v>48929.19</v>
      </c>
      <c r="K388" s="2">
        <v>50910.89</v>
      </c>
      <c r="L388" s="2">
        <f t="shared" si="52"/>
        <v>1981.6999999999971</v>
      </c>
      <c r="M388" s="2">
        <v>21663.11</v>
      </c>
      <c r="N388" s="2">
        <v>41550.269999999997</v>
      </c>
      <c r="O388" s="2">
        <f t="shared" si="53"/>
        <v>19887.159999999996</v>
      </c>
      <c r="P388" s="2">
        <v>6262.53</v>
      </c>
      <c r="Q388" s="2">
        <v>12357.63</v>
      </c>
      <c r="R388" s="2">
        <f t="shared" si="54"/>
        <v>6095.0999999999995</v>
      </c>
      <c r="S388" s="2">
        <v>672.82</v>
      </c>
      <c r="T388" s="2">
        <v>1334.08</v>
      </c>
      <c r="U388" s="2">
        <f t="shared" si="55"/>
        <v>661.25999999999988</v>
      </c>
      <c r="V388" s="2">
        <v>1620.25</v>
      </c>
      <c r="W388" s="2">
        <v>1330.37</v>
      </c>
      <c r="X388" s="2">
        <f t="shared" si="56"/>
        <v>-289.88000000000011</v>
      </c>
      <c r="Y388" s="2">
        <v>569.09</v>
      </c>
      <c r="Z388" s="2">
        <v>1326.67</v>
      </c>
      <c r="AA388" s="2">
        <f t="shared" si="57"/>
        <v>757.58</v>
      </c>
      <c r="AB388" s="2">
        <v>1267.31</v>
      </c>
      <c r="AC388" s="2">
        <v>1322.98</v>
      </c>
      <c r="AD388" s="2">
        <f t="shared" si="58"/>
        <v>55.670000000000073</v>
      </c>
      <c r="AE388" s="2">
        <v>22347.66</v>
      </c>
      <c r="AF388" s="2">
        <v>42354.17</v>
      </c>
      <c r="AG388" s="2">
        <f t="shared" si="59"/>
        <v>20006.509999999998</v>
      </c>
    </row>
    <row r="389" spans="1:33" x14ac:dyDescent="0.3">
      <c r="B389" s="3"/>
      <c r="C389" t="str">
        <f xml:space="preserve"> _xll.EPMOlapMemberO("[CLACO].[PARENTH1].[AMSASERVICIOS]","","Servicios","","000")</f>
        <v>Servicios</v>
      </c>
      <c r="D389" s="2">
        <v>-8559.51</v>
      </c>
      <c r="E389" s="2"/>
      <c r="F389" s="2">
        <f t="shared" si="50"/>
        <v>8559.51</v>
      </c>
      <c r="G389" s="2">
        <v>440.29</v>
      </c>
      <c r="H389" s="2"/>
      <c r="I389" s="2">
        <f t="shared" si="51"/>
        <v>-440.29</v>
      </c>
      <c r="J389" s="2">
        <v>0</v>
      </c>
      <c r="K389" s="2"/>
      <c r="L389" s="2">
        <f t="shared" si="52"/>
        <v>0</v>
      </c>
      <c r="M389" s="2">
        <v>41868.589999999997</v>
      </c>
      <c r="N389" s="2"/>
      <c r="O389" s="2">
        <f t="shared" si="53"/>
        <v>-41868.589999999997</v>
      </c>
      <c r="P389" s="2"/>
      <c r="Q389" s="2"/>
      <c r="R389" s="2">
        <f t="shared" si="54"/>
        <v>0</v>
      </c>
      <c r="S389" s="2"/>
      <c r="T389" s="2"/>
      <c r="U389" s="2">
        <f t="shared" si="55"/>
        <v>0</v>
      </c>
      <c r="V389" s="2"/>
      <c r="W389" s="2"/>
      <c r="X389" s="2">
        <f t="shared" si="56"/>
        <v>0</v>
      </c>
      <c r="Y389" s="2"/>
      <c r="Z389" s="2"/>
      <c r="AA389" s="2">
        <f t="shared" si="57"/>
        <v>0</v>
      </c>
      <c r="AB389" s="2"/>
      <c r="AC389" s="2"/>
      <c r="AD389" s="2">
        <f t="shared" si="58"/>
        <v>0</v>
      </c>
      <c r="AE389" s="2"/>
      <c r="AF389" s="2"/>
      <c r="AG389" s="2">
        <f t="shared" si="59"/>
        <v>0</v>
      </c>
    </row>
    <row r="390" spans="1:33" x14ac:dyDescent="0.3">
      <c r="B390" s="3"/>
      <c r="C390" t="str">
        <f xml:space="preserve"> _xll.EPMOlapMemberO("[CLACO].[PARENTH1].[AMSAINFORMATIC]","","Informática y Comuni","","000")</f>
        <v>Informática y Comuni</v>
      </c>
      <c r="D390" s="2">
        <v>537.1</v>
      </c>
      <c r="E390" s="2">
        <v>734.32</v>
      </c>
      <c r="F390" s="2">
        <f t="shared" si="50"/>
        <v>197.22000000000003</v>
      </c>
      <c r="G390" s="2">
        <v>0.34</v>
      </c>
      <c r="H390" s="2">
        <v>5605.34</v>
      </c>
      <c r="I390" s="2">
        <f t="shared" si="51"/>
        <v>5605</v>
      </c>
      <c r="J390" s="2">
        <v>2639.8</v>
      </c>
      <c r="K390" s="2">
        <v>4561.3</v>
      </c>
      <c r="L390" s="2">
        <f t="shared" si="52"/>
        <v>1921.5</v>
      </c>
      <c r="M390" s="2">
        <v>9604.67</v>
      </c>
      <c r="N390" s="2">
        <v>7224.82</v>
      </c>
      <c r="O390" s="2">
        <f t="shared" si="53"/>
        <v>-2379.8500000000004</v>
      </c>
      <c r="P390" s="2">
        <v>0</v>
      </c>
      <c r="Q390" s="2"/>
      <c r="R390" s="2">
        <f t="shared" si="54"/>
        <v>0</v>
      </c>
      <c r="S390" s="2">
        <v>3146.98</v>
      </c>
      <c r="T390" s="2">
        <v>3167.46</v>
      </c>
      <c r="U390" s="2">
        <f t="shared" si="55"/>
        <v>20.480000000000018</v>
      </c>
      <c r="V390" s="2"/>
      <c r="W390" s="2"/>
      <c r="X390" s="2">
        <f t="shared" si="56"/>
        <v>0</v>
      </c>
      <c r="Y390" s="2"/>
      <c r="Z390" s="2"/>
      <c r="AA390" s="2">
        <f t="shared" si="57"/>
        <v>0</v>
      </c>
      <c r="AB390" s="2"/>
      <c r="AC390" s="2"/>
      <c r="AD390" s="2">
        <f t="shared" si="58"/>
        <v>0</v>
      </c>
      <c r="AE390" s="2">
        <v>0</v>
      </c>
      <c r="AF390" s="2">
        <v>5025.97</v>
      </c>
      <c r="AG390" s="2">
        <f t="shared" si="59"/>
        <v>5025.97</v>
      </c>
    </row>
    <row r="391" spans="1:33" x14ac:dyDescent="0.3">
      <c r="B391" s="3"/>
      <c r="C391" t="str">
        <f xml:space="preserve"> _xll.EPMOlapMemberO("[CLACO].[PARENTH1].[AMSAG_VIAJES]","","Gastos de Viajes","","000")</f>
        <v>Gastos de Viajes</v>
      </c>
      <c r="D391" s="2">
        <v>4419.3</v>
      </c>
      <c r="E391" s="2">
        <v>12165.41</v>
      </c>
      <c r="F391" s="2">
        <f t="shared" si="50"/>
        <v>7746.11</v>
      </c>
      <c r="G391" s="2">
        <v>60.59</v>
      </c>
      <c r="H391" s="2">
        <v>4945.0600000000004</v>
      </c>
      <c r="I391" s="2">
        <f t="shared" si="51"/>
        <v>4884.47</v>
      </c>
      <c r="J391" s="2">
        <v>466.42</v>
      </c>
      <c r="K391" s="2"/>
      <c r="L391" s="2">
        <f t="shared" si="52"/>
        <v>-466.42</v>
      </c>
      <c r="M391" s="2">
        <v>2035.1</v>
      </c>
      <c r="N391" s="2"/>
      <c r="O391" s="2">
        <f t="shared" si="53"/>
        <v>-2035.1</v>
      </c>
      <c r="P391" s="2"/>
      <c r="Q391" s="2"/>
      <c r="R391" s="2">
        <f t="shared" si="54"/>
        <v>0</v>
      </c>
      <c r="S391" s="2"/>
      <c r="T391" s="2"/>
      <c r="U391" s="2">
        <f t="shared" si="55"/>
        <v>0</v>
      </c>
      <c r="V391" s="2"/>
      <c r="W391" s="2"/>
      <c r="X391" s="2">
        <f t="shared" si="56"/>
        <v>0</v>
      </c>
      <c r="Y391" s="2"/>
      <c r="Z391" s="2"/>
      <c r="AA391" s="2">
        <f t="shared" si="57"/>
        <v>0</v>
      </c>
      <c r="AB391" s="2"/>
      <c r="AC391" s="2"/>
      <c r="AD391" s="2">
        <f t="shared" si="58"/>
        <v>0</v>
      </c>
      <c r="AE391" s="2"/>
      <c r="AF391" s="2"/>
      <c r="AG391" s="2">
        <f t="shared" si="59"/>
        <v>0</v>
      </c>
    </row>
    <row r="392" spans="1:33" x14ac:dyDescent="0.3">
      <c r="B392" s="3"/>
      <c r="C392" t="str">
        <f xml:space="preserve"> _xll.EPMOlapMemberO("[CLACO].[PARENTH1].[AMSAGGENERALES.2]","","Otros Gastos","","000")</f>
        <v>Otros Gastos</v>
      </c>
      <c r="D392" s="2">
        <v>4732</v>
      </c>
      <c r="E392" s="2">
        <v>5080.3100000000004</v>
      </c>
      <c r="F392" s="2">
        <f t="shared" si="50"/>
        <v>348.3100000000004</v>
      </c>
      <c r="G392" s="2">
        <v>5252.32</v>
      </c>
      <c r="H392" s="2">
        <v>4928</v>
      </c>
      <c r="I392" s="2">
        <f t="shared" si="51"/>
        <v>-324.31999999999971</v>
      </c>
      <c r="J392" s="2">
        <v>5448.28</v>
      </c>
      <c r="K392" s="2">
        <v>5101.99</v>
      </c>
      <c r="L392" s="2">
        <f t="shared" si="52"/>
        <v>-346.28999999999996</v>
      </c>
      <c r="M392" s="2">
        <v>6633.26</v>
      </c>
      <c r="N392" s="2">
        <v>9406.17</v>
      </c>
      <c r="O392" s="2">
        <f t="shared" si="53"/>
        <v>2772.91</v>
      </c>
      <c r="P392" s="2">
        <v>-0.02</v>
      </c>
      <c r="Q392" s="2"/>
      <c r="R392" s="2">
        <f t="shared" si="54"/>
        <v>0.02</v>
      </c>
      <c r="S392" s="2">
        <v>1.04</v>
      </c>
      <c r="T392" s="2"/>
      <c r="U392" s="2">
        <f t="shared" si="55"/>
        <v>-1.04</v>
      </c>
      <c r="V392" s="2">
        <v>0.68</v>
      </c>
      <c r="W392" s="2"/>
      <c r="X392" s="2">
        <f t="shared" si="56"/>
        <v>-0.68</v>
      </c>
      <c r="Y392" s="2">
        <v>2</v>
      </c>
      <c r="Z392" s="2"/>
      <c r="AA392" s="2">
        <f t="shared" si="57"/>
        <v>-2</v>
      </c>
      <c r="AB392" s="2">
        <v>17.260000000000002</v>
      </c>
      <c r="AC392" s="2"/>
      <c r="AD392" s="2">
        <f t="shared" si="58"/>
        <v>-17.260000000000002</v>
      </c>
      <c r="AE392" s="2">
        <v>20.96</v>
      </c>
      <c r="AF392" s="2">
        <v>9395.44</v>
      </c>
      <c r="AG392" s="2">
        <f t="shared" si="59"/>
        <v>9374.4800000000014</v>
      </c>
    </row>
    <row r="393" spans="1:33" x14ac:dyDescent="0.3">
      <c r="A393" t="s">
        <v>44</v>
      </c>
      <c r="B393" s="3" t="str">
        <f xml:space="preserve"> _xll.EPMOlapMemberO("[CECO].[PARENTH3].[AMSA1000AC4006]","","Gercia Rem y Gestión","","000")</f>
        <v>Gercia Rem y Gestión</v>
      </c>
      <c r="C393" t="str">
        <f xml:space="preserve"> _xll.EPMOlapMemberO("[CLACO].[PARENTH1].[AMSAMAT_Y_REP.2]","","Materiales y repuest","","000")</f>
        <v>Materiales y repuest</v>
      </c>
      <c r="D393" s="2"/>
      <c r="E393" s="2">
        <v>1165.28</v>
      </c>
      <c r="F393" s="2">
        <f t="shared" si="50"/>
        <v>1165.28</v>
      </c>
      <c r="G393" s="2"/>
      <c r="H393" s="2"/>
      <c r="I393" s="2">
        <f t="shared" si="51"/>
        <v>0</v>
      </c>
      <c r="J393" s="2"/>
      <c r="K393" s="2"/>
      <c r="L393" s="2">
        <f t="shared" si="52"/>
        <v>0</v>
      </c>
      <c r="M393" s="2"/>
      <c r="N393" s="2"/>
      <c r="O393" s="2">
        <f t="shared" si="53"/>
        <v>0</v>
      </c>
      <c r="P393" s="2"/>
      <c r="Q393" s="2"/>
      <c r="R393" s="2">
        <f t="shared" si="54"/>
        <v>0</v>
      </c>
      <c r="S393" s="2"/>
      <c r="T393" s="2"/>
      <c r="U393" s="2">
        <f t="shared" si="55"/>
        <v>0</v>
      </c>
      <c r="V393" s="2"/>
      <c r="W393" s="2"/>
      <c r="X393" s="2">
        <f t="shared" si="56"/>
        <v>0</v>
      </c>
      <c r="Y393" s="2"/>
      <c r="Z393" s="2"/>
      <c r="AA393" s="2">
        <f t="shared" si="57"/>
        <v>0</v>
      </c>
      <c r="AB393" s="2"/>
      <c r="AC393" s="2"/>
      <c r="AD393" s="2">
        <f t="shared" si="58"/>
        <v>0</v>
      </c>
      <c r="AE393" s="2"/>
      <c r="AF393" s="2"/>
      <c r="AG393" s="2">
        <f t="shared" si="59"/>
        <v>0</v>
      </c>
    </row>
    <row r="394" spans="1:33" x14ac:dyDescent="0.3">
      <c r="B394" s="3"/>
      <c r="C394" t="str">
        <f xml:space="preserve"> _xll.EPMOlapMemberO("[CLACO].[PARENTH1].[AMSAADM_PERSON]","","Administración Perso","","000")</f>
        <v>Administración Perso</v>
      </c>
      <c r="D394" s="2">
        <v>-35788.35</v>
      </c>
      <c r="E394" s="2"/>
      <c r="F394" s="2">
        <f t="shared" si="50"/>
        <v>35788.35</v>
      </c>
      <c r="G394" s="2"/>
      <c r="H394" s="2"/>
      <c r="I394" s="2">
        <f t="shared" si="51"/>
        <v>0</v>
      </c>
      <c r="J394" s="2"/>
      <c r="K394" s="2"/>
      <c r="L394" s="2">
        <f t="shared" si="52"/>
        <v>0</v>
      </c>
      <c r="M394" s="2"/>
      <c r="N394" s="2"/>
      <c r="O394" s="2">
        <f t="shared" si="53"/>
        <v>0</v>
      </c>
      <c r="P394" s="2"/>
      <c r="Q394" s="2"/>
      <c r="R394" s="2">
        <f t="shared" si="54"/>
        <v>0</v>
      </c>
      <c r="S394" s="2"/>
      <c r="T394" s="2"/>
      <c r="U394" s="2">
        <f t="shared" si="55"/>
        <v>0</v>
      </c>
      <c r="V394" s="2"/>
      <c r="W394" s="2"/>
      <c r="X394" s="2">
        <f t="shared" si="56"/>
        <v>0</v>
      </c>
      <c r="Y394" s="2"/>
      <c r="Z394" s="2"/>
      <c r="AA394" s="2">
        <f t="shared" si="57"/>
        <v>0</v>
      </c>
      <c r="AB394" s="2"/>
      <c r="AC394" s="2"/>
      <c r="AD394" s="2">
        <f t="shared" si="58"/>
        <v>0</v>
      </c>
      <c r="AE394" s="2"/>
      <c r="AF394" s="2"/>
      <c r="AG394" s="2">
        <f t="shared" si="59"/>
        <v>0</v>
      </c>
    </row>
    <row r="395" spans="1:33" x14ac:dyDescent="0.3">
      <c r="B395" s="3"/>
      <c r="C395" t="str">
        <f xml:space="preserve"> _xll.EPMOlapMemberO("[CLACO].[PARENTH1].[AMSAENTRENAMI]","","Entrenamiento","","000")</f>
        <v>Entrenamiento</v>
      </c>
      <c r="D395" s="2">
        <v>-4042.31</v>
      </c>
      <c r="E395" s="2"/>
      <c r="F395" s="2">
        <f t="shared" ref="F395:F458" si="60">+E395-D395</f>
        <v>4042.31</v>
      </c>
      <c r="G395" s="2"/>
      <c r="H395" s="2"/>
      <c r="I395" s="2">
        <f t="shared" ref="I395:I458" si="61">+H395-G395</f>
        <v>0</v>
      </c>
      <c r="J395" s="2"/>
      <c r="K395" s="2"/>
      <c r="L395" s="2">
        <f t="shared" ref="L395:L458" si="62">+K395-J395</f>
        <v>0</v>
      </c>
      <c r="M395" s="2"/>
      <c r="N395" s="2"/>
      <c r="O395" s="2">
        <f t="shared" ref="O395:O458" si="63">+N395-M395</f>
        <v>0</v>
      </c>
      <c r="P395" s="2"/>
      <c r="Q395" s="2"/>
      <c r="R395" s="2">
        <f t="shared" ref="R395:R458" si="64">+Q395-P395</f>
        <v>0</v>
      </c>
      <c r="S395" s="2"/>
      <c r="T395" s="2"/>
      <c r="U395" s="2">
        <f t="shared" ref="U395:U458" si="65">+T395-S395</f>
        <v>0</v>
      </c>
      <c r="V395" s="2"/>
      <c r="W395" s="2"/>
      <c r="X395" s="2">
        <f t="shared" ref="X395:X458" si="66">+W395-V395</f>
        <v>0</v>
      </c>
      <c r="Y395" s="2"/>
      <c r="Z395" s="2"/>
      <c r="AA395" s="2">
        <f t="shared" ref="AA395:AA458" si="67">+Z395-Y395</f>
        <v>0</v>
      </c>
      <c r="AB395" s="2"/>
      <c r="AC395" s="2"/>
      <c r="AD395" s="2">
        <f t="shared" ref="AD395:AD458" si="68">+AC395-AB395</f>
        <v>0</v>
      </c>
      <c r="AE395" s="2"/>
      <c r="AF395" s="2"/>
      <c r="AG395" s="2">
        <f t="shared" ref="AG395:AG458" si="69">+AF395-AE395</f>
        <v>0</v>
      </c>
    </row>
    <row r="396" spans="1:33" x14ac:dyDescent="0.3">
      <c r="B396" s="3"/>
      <c r="C396" t="str">
        <f xml:space="preserve"> _xll.EPMOlapMemberO("[CLACO].[PARENTH1].[AMSAASESORIAS]","","Asesorías y Consulto","","000")</f>
        <v>Asesorías y Consulto</v>
      </c>
      <c r="D396" s="2">
        <v>7201.95</v>
      </c>
      <c r="E396" s="2">
        <v>14937.69</v>
      </c>
      <c r="F396" s="2">
        <f t="shared" si="60"/>
        <v>7735.7400000000007</v>
      </c>
      <c r="G396" s="2">
        <v>802.17</v>
      </c>
      <c r="H396" s="2"/>
      <c r="I396" s="2">
        <f t="shared" si="61"/>
        <v>-802.17</v>
      </c>
      <c r="J396" s="2"/>
      <c r="K396" s="2"/>
      <c r="L396" s="2">
        <f t="shared" si="62"/>
        <v>0</v>
      </c>
      <c r="M396" s="2"/>
      <c r="N396" s="2"/>
      <c r="O396" s="2">
        <f t="shared" si="63"/>
        <v>0</v>
      </c>
      <c r="P396" s="2"/>
      <c r="Q396" s="2"/>
      <c r="R396" s="2">
        <f t="shared" si="64"/>
        <v>0</v>
      </c>
      <c r="S396" s="2"/>
      <c r="T396" s="2"/>
      <c r="U396" s="2">
        <f t="shared" si="65"/>
        <v>0</v>
      </c>
      <c r="V396" s="2"/>
      <c r="W396" s="2"/>
      <c r="X396" s="2">
        <f t="shared" si="66"/>
        <v>0</v>
      </c>
      <c r="Y396" s="2"/>
      <c r="Z396" s="2"/>
      <c r="AA396" s="2">
        <f t="shared" si="67"/>
        <v>0</v>
      </c>
      <c r="AB396" s="2"/>
      <c r="AC396" s="2"/>
      <c r="AD396" s="2">
        <f t="shared" si="68"/>
        <v>0</v>
      </c>
      <c r="AE396" s="2"/>
      <c r="AF396" s="2"/>
      <c r="AG396" s="2">
        <f t="shared" si="69"/>
        <v>0</v>
      </c>
    </row>
    <row r="397" spans="1:33" x14ac:dyDescent="0.3">
      <c r="B397" s="3"/>
      <c r="C397" t="str">
        <f xml:space="preserve"> _xll.EPMOlapMemberO("[CLACO].[PARENTH1].[AMSASERVICIOS]","","Servicios","","000")</f>
        <v>Servicios</v>
      </c>
      <c r="D397" s="2"/>
      <c r="E397" s="2">
        <v>4480.47</v>
      </c>
      <c r="F397" s="2">
        <f t="shared" si="60"/>
        <v>4480.47</v>
      </c>
      <c r="G397" s="2"/>
      <c r="H397" s="2"/>
      <c r="I397" s="2">
        <f t="shared" si="61"/>
        <v>0</v>
      </c>
      <c r="J397" s="2"/>
      <c r="K397" s="2"/>
      <c r="L397" s="2">
        <f t="shared" si="62"/>
        <v>0</v>
      </c>
      <c r="M397" s="2"/>
      <c r="N397" s="2"/>
      <c r="O397" s="2">
        <f t="shared" si="63"/>
        <v>0</v>
      </c>
      <c r="P397" s="2"/>
      <c r="Q397" s="2"/>
      <c r="R397" s="2">
        <f t="shared" si="64"/>
        <v>0</v>
      </c>
      <c r="S397" s="2"/>
      <c r="T397" s="2"/>
      <c r="U397" s="2">
        <f t="shared" si="65"/>
        <v>0</v>
      </c>
      <c r="V397" s="2"/>
      <c r="W397" s="2"/>
      <c r="X397" s="2">
        <f t="shared" si="66"/>
        <v>0</v>
      </c>
      <c r="Y397" s="2"/>
      <c r="Z397" s="2"/>
      <c r="AA397" s="2">
        <f t="shared" si="67"/>
        <v>0</v>
      </c>
      <c r="AB397" s="2"/>
      <c r="AC397" s="2"/>
      <c r="AD397" s="2">
        <f t="shared" si="68"/>
        <v>0</v>
      </c>
      <c r="AE397" s="2"/>
      <c r="AF397" s="2"/>
      <c r="AG397" s="2">
        <f t="shared" si="69"/>
        <v>0</v>
      </c>
    </row>
    <row r="398" spans="1:33" x14ac:dyDescent="0.3">
      <c r="B398" s="3"/>
      <c r="C398" t="str">
        <f xml:space="preserve"> _xll.EPMOlapMemberO("[CLACO].[PARENTH1].[AMSAINFORMATIC]","","Informática y Comuni","","000")</f>
        <v>Informática y Comuni</v>
      </c>
      <c r="D398" s="2">
        <v>-4752.9399999999996</v>
      </c>
      <c r="E398" s="2">
        <v>1886.32</v>
      </c>
      <c r="F398" s="2">
        <f t="shared" si="60"/>
        <v>6639.2599999999993</v>
      </c>
      <c r="G398" s="2">
        <v>1468.78</v>
      </c>
      <c r="H398" s="2"/>
      <c r="I398" s="2">
        <f t="shared" si="61"/>
        <v>-1468.78</v>
      </c>
      <c r="J398" s="2"/>
      <c r="K398" s="2"/>
      <c r="L398" s="2">
        <f t="shared" si="62"/>
        <v>0</v>
      </c>
      <c r="M398" s="2"/>
      <c r="N398" s="2"/>
      <c r="O398" s="2">
        <f t="shared" si="63"/>
        <v>0</v>
      </c>
      <c r="P398" s="2"/>
      <c r="Q398" s="2"/>
      <c r="R398" s="2">
        <f t="shared" si="64"/>
        <v>0</v>
      </c>
      <c r="S398" s="2"/>
      <c r="T398" s="2"/>
      <c r="U398" s="2">
        <f t="shared" si="65"/>
        <v>0</v>
      </c>
      <c r="V398" s="2"/>
      <c r="W398" s="2"/>
      <c r="X398" s="2">
        <f t="shared" si="66"/>
        <v>0</v>
      </c>
      <c r="Y398" s="2"/>
      <c r="Z398" s="2"/>
      <c r="AA398" s="2">
        <f t="shared" si="67"/>
        <v>0</v>
      </c>
      <c r="AB398" s="2"/>
      <c r="AC398" s="2"/>
      <c r="AD398" s="2">
        <f t="shared" si="68"/>
        <v>0</v>
      </c>
      <c r="AE398" s="2"/>
      <c r="AF398" s="2"/>
      <c r="AG398" s="2">
        <f t="shared" si="69"/>
        <v>0</v>
      </c>
    </row>
    <row r="399" spans="1:33" x14ac:dyDescent="0.3">
      <c r="B399" s="3"/>
      <c r="C399" t="str">
        <f xml:space="preserve"> _xll.EPMOlapMemberO("[CLACO].[PARENTH1].[AMSAG_VIAJES]","","Gastos de Viajes","","000")</f>
        <v>Gastos de Viajes</v>
      </c>
      <c r="D399" s="2">
        <v>650.22</v>
      </c>
      <c r="E399" s="2">
        <v>4414.8</v>
      </c>
      <c r="F399" s="2">
        <f t="shared" si="60"/>
        <v>3764.58</v>
      </c>
      <c r="G399" s="2"/>
      <c r="H399" s="2"/>
      <c r="I399" s="2">
        <f t="shared" si="61"/>
        <v>0</v>
      </c>
      <c r="J399" s="2"/>
      <c r="K399" s="2"/>
      <c r="L399" s="2">
        <f t="shared" si="62"/>
        <v>0</v>
      </c>
      <c r="M399" s="2"/>
      <c r="N399" s="2"/>
      <c r="O399" s="2">
        <f t="shared" si="63"/>
        <v>0</v>
      </c>
      <c r="P399" s="2"/>
      <c r="Q399" s="2"/>
      <c r="R399" s="2">
        <f t="shared" si="64"/>
        <v>0</v>
      </c>
      <c r="S399" s="2"/>
      <c r="T399" s="2"/>
      <c r="U399" s="2">
        <f t="shared" si="65"/>
        <v>0</v>
      </c>
      <c r="V399" s="2"/>
      <c r="W399" s="2"/>
      <c r="X399" s="2">
        <f t="shared" si="66"/>
        <v>0</v>
      </c>
      <c r="Y399" s="2"/>
      <c r="Z399" s="2"/>
      <c r="AA399" s="2">
        <f t="shared" si="67"/>
        <v>0</v>
      </c>
      <c r="AB399" s="2"/>
      <c r="AC399" s="2"/>
      <c r="AD399" s="2">
        <f t="shared" si="68"/>
        <v>0</v>
      </c>
      <c r="AE399" s="2"/>
      <c r="AF399" s="2"/>
      <c r="AG399" s="2">
        <f t="shared" si="69"/>
        <v>0</v>
      </c>
    </row>
    <row r="400" spans="1:33" x14ac:dyDescent="0.3">
      <c r="B400" s="3"/>
      <c r="C400" t="str">
        <f xml:space="preserve"> _xll.EPMOlapMemberO("[CLACO].[PARENTH1].[AMSAGGENERALES.2]","","Otros Gastos","","000")</f>
        <v>Otros Gastos</v>
      </c>
      <c r="D400" s="2">
        <v>3105.73</v>
      </c>
      <c r="E400" s="2">
        <v>14036.64</v>
      </c>
      <c r="F400" s="2">
        <f t="shared" si="60"/>
        <v>10930.91</v>
      </c>
      <c r="G400" s="2"/>
      <c r="H400" s="2"/>
      <c r="I400" s="2">
        <f t="shared" si="61"/>
        <v>0</v>
      </c>
      <c r="J400" s="2"/>
      <c r="K400" s="2"/>
      <c r="L400" s="2">
        <f t="shared" si="62"/>
        <v>0</v>
      </c>
      <c r="M400" s="2"/>
      <c r="N400" s="2"/>
      <c r="O400" s="2">
        <f t="shared" si="63"/>
        <v>0</v>
      </c>
      <c r="P400" s="2"/>
      <c r="Q400" s="2"/>
      <c r="R400" s="2">
        <f t="shared" si="64"/>
        <v>0</v>
      </c>
      <c r="S400" s="2"/>
      <c r="T400" s="2"/>
      <c r="U400" s="2">
        <f t="shared" si="65"/>
        <v>0</v>
      </c>
      <c r="V400" s="2"/>
      <c r="W400" s="2"/>
      <c r="X400" s="2">
        <f t="shared" si="66"/>
        <v>0</v>
      </c>
      <c r="Y400" s="2"/>
      <c r="Z400" s="2"/>
      <c r="AA400" s="2">
        <f t="shared" si="67"/>
        <v>0</v>
      </c>
      <c r="AB400" s="2"/>
      <c r="AC400" s="2"/>
      <c r="AD400" s="2">
        <f t="shared" si="68"/>
        <v>0</v>
      </c>
      <c r="AE400" s="2"/>
      <c r="AF400" s="2"/>
      <c r="AG400" s="2">
        <f t="shared" si="69"/>
        <v>0</v>
      </c>
    </row>
    <row r="401" spans="1:33" x14ac:dyDescent="0.3">
      <c r="A401" t="s">
        <v>45</v>
      </c>
      <c r="B401" s="3" t="str">
        <f xml:space="preserve"> _xll.EPMOlapMemberO("[CECO].[PARENTH3].[AMSA1000AC4007]","","Sistemas RH","","000")</f>
        <v>Sistemas RH</v>
      </c>
      <c r="C401" t="str">
        <f xml:space="preserve"> _xll.EPMOlapMemberO("[CLACO].[PARENTH1].[AMSAADM_PERSON]","","Administración Perso","","000")</f>
        <v>Administración Perso</v>
      </c>
      <c r="D401" s="2">
        <v>-7876.24</v>
      </c>
      <c r="E401" s="2"/>
      <c r="F401" s="2">
        <f t="shared" si="60"/>
        <v>7876.24</v>
      </c>
      <c r="G401" s="2"/>
      <c r="H401" s="2"/>
      <c r="I401" s="2">
        <f t="shared" si="61"/>
        <v>0</v>
      </c>
      <c r="J401" s="2"/>
      <c r="K401" s="2"/>
      <c r="L401" s="2">
        <f t="shared" si="62"/>
        <v>0</v>
      </c>
      <c r="M401" s="2"/>
      <c r="N401" s="2"/>
      <c r="O401" s="2">
        <f t="shared" si="63"/>
        <v>0</v>
      </c>
      <c r="P401" s="2"/>
      <c r="Q401" s="2"/>
      <c r="R401" s="2">
        <f t="shared" si="64"/>
        <v>0</v>
      </c>
      <c r="S401" s="2"/>
      <c r="T401" s="2"/>
      <c r="U401" s="2">
        <f t="shared" si="65"/>
        <v>0</v>
      </c>
      <c r="V401" s="2"/>
      <c r="W401" s="2"/>
      <c r="X401" s="2">
        <f t="shared" si="66"/>
        <v>0</v>
      </c>
      <c r="Y401" s="2"/>
      <c r="Z401" s="2"/>
      <c r="AA401" s="2">
        <f t="shared" si="67"/>
        <v>0</v>
      </c>
      <c r="AB401" s="2"/>
      <c r="AC401" s="2"/>
      <c r="AD401" s="2">
        <f t="shared" si="68"/>
        <v>0</v>
      </c>
      <c r="AE401" s="2"/>
      <c r="AF401" s="2"/>
      <c r="AG401" s="2">
        <f t="shared" si="69"/>
        <v>0</v>
      </c>
    </row>
    <row r="402" spans="1:33" x14ac:dyDescent="0.3">
      <c r="B402" s="3"/>
      <c r="C402" t="str">
        <f xml:space="preserve"> _xll.EPMOlapMemberO("[CLACO].[PARENTH1].[AMSAASESORIAS]","","Asesorías y Consulto","","000")</f>
        <v>Asesorías y Consulto</v>
      </c>
      <c r="D402" s="2">
        <v>36357.83</v>
      </c>
      <c r="E402" s="2"/>
      <c r="F402" s="2">
        <f t="shared" si="60"/>
        <v>-36357.83</v>
      </c>
      <c r="G402" s="2">
        <v>16095.76</v>
      </c>
      <c r="H402" s="2"/>
      <c r="I402" s="2">
        <f t="shared" si="61"/>
        <v>-16095.76</v>
      </c>
      <c r="J402" s="2">
        <v>9417.2099999999991</v>
      </c>
      <c r="K402" s="2"/>
      <c r="L402" s="2">
        <f t="shared" si="62"/>
        <v>-9417.2099999999991</v>
      </c>
      <c r="M402" s="2">
        <v>-50320.2</v>
      </c>
      <c r="N402" s="2"/>
      <c r="O402" s="2">
        <f t="shared" si="63"/>
        <v>50320.2</v>
      </c>
      <c r="P402" s="2">
        <v>268.55</v>
      </c>
      <c r="Q402" s="2"/>
      <c r="R402" s="2">
        <f t="shared" si="64"/>
        <v>-268.55</v>
      </c>
      <c r="S402" s="2">
        <v>248.31</v>
      </c>
      <c r="T402" s="2"/>
      <c r="U402" s="2">
        <f t="shared" si="65"/>
        <v>-248.31</v>
      </c>
      <c r="V402" s="2">
        <v>287.73</v>
      </c>
      <c r="W402" s="2"/>
      <c r="X402" s="2">
        <f t="shared" si="66"/>
        <v>-287.73</v>
      </c>
      <c r="Y402" s="2">
        <v>4761.7299999999996</v>
      </c>
      <c r="Z402" s="2"/>
      <c r="AA402" s="2">
        <f t="shared" si="67"/>
        <v>-4761.7299999999996</v>
      </c>
      <c r="AB402" s="2">
        <v>264.2</v>
      </c>
      <c r="AC402" s="2"/>
      <c r="AD402" s="2">
        <f t="shared" si="68"/>
        <v>-264.2</v>
      </c>
      <c r="AE402" s="2">
        <v>5569.95</v>
      </c>
      <c r="AF402" s="2"/>
      <c r="AG402" s="2">
        <f t="shared" si="69"/>
        <v>-5569.95</v>
      </c>
    </row>
    <row r="403" spans="1:33" x14ac:dyDescent="0.3">
      <c r="B403" s="3"/>
      <c r="C403" t="str">
        <f xml:space="preserve"> _xll.EPMOlapMemberO("[CLACO].[PARENTH1].[AMSASERVICIOS]","","Servicios","","000")</f>
        <v>Servicios</v>
      </c>
      <c r="D403" s="2">
        <v>28976.14</v>
      </c>
      <c r="E403" s="2">
        <v>21575.65</v>
      </c>
      <c r="F403" s="2">
        <f t="shared" si="60"/>
        <v>-7400.489999999998</v>
      </c>
      <c r="G403" s="2">
        <v>3639.4</v>
      </c>
      <c r="H403" s="2"/>
      <c r="I403" s="2">
        <f t="shared" si="61"/>
        <v>-3639.4</v>
      </c>
      <c r="J403" s="2"/>
      <c r="K403" s="2"/>
      <c r="L403" s="2">
        <f t="shared" si="62"/>
        <v>0</v>
      </c>
      <c r="M403" s="2"/>
      <c r="N403" s="2"/>
      <c r="O403" s="2">
        <f t="shared" si="63"/>
        <v>0</v>
      </c>
      <c r="P403" s="2">
        <v>3427.39</v>
      </c>
      <c r="Q403" s="2"/>
      <c r="R403" s="2">
        <f t="shared" si="64"/>
        <v>-3427.39</v>
      </c>
      <c r="S403" s="2">
        <v>147.51</v>
      </c>
      <c r="T403" s="2"/>
      <c r="U403" s="2">
        <f t="shared" si="65"/>
        <v>-147.51</v>
      </c>
      <c r="V403" s="2"/>
      <c r="W403" s="2"/>
      <c r="X403" s="2">
        <f t="shared" si="66"/>
        <v>0</v>
      </c>
      <c r="Y403" s="2"/>
      <c r="Z403" s="2"/>
      <c r="AA403" s="2">
        <f t="shared" si="67"/>
        <v>0</v>
      </c>
      <c r="AB403" s="2"/>
      <c r="AC403" s="2"/>
      <c r="AD403" s="2">
        <f t="shared" si="68"/>
        <v>0</v>
      </c>
      <c r="AE403" s="2">
        <v>3493.69</v>
      </c>
      <c r="AF403" s="2"/>
      <c r="AG403" s="2">
        <f t="shared" si="69"/>
        <v>-3493.69</v>
      </c>
    </row>
    <row r="404" spans="1:33" x14ac:dyDescent="0.3">
      <c r="B404" s="3"/>
      <c r="C404" t="str">
        <f xml:space="preserve"> _xll.EPMOlapMemberO("[CLACO].[PARENTH1].[AMSAINFORMATIC]","","Informática y Comuni","","000")</f>
        <v>Informática y Comuni</v>
      </c>
      <c r="D404" s="2">
        <v>315311.48</v>
      </c>
      <c r="E404" s="2">
        <v>291325.06</v>
      </c>
      <c r="F404" s="2">
        <f t="shared" si="60"/>
        <v>-23986.419999999984</v>
      </c>
      <c r="G404" s="2">
        <v>288589.65999999997</v>
      </c>
      <c r="H404" s="2">
        <v>325776.96000000002</v>
      </c>
      <c r="I404" s="2">
        <f t="shared" si="61"/>
        <v>37187.300000000047</v>
      </c>
      <c r="J404" s="2">
        <v>274530.59999999998</v>
      </c>
      <c r="K404" s="2">
        <v>334024.62</v>
      </c>
      <c r="L404" s="2">
        <f t="shared" si="62"/>
        <v>59494.020000000019</v>
      </c>
      <c r="M404" s="2">
        <v>377110.71</v>
      </c>
      <c r="N404" s="2">
        <v>296264.43</v>
      </c>
      <c r="O404" s="2">
        <f t="shared" si="63"/>
        <v>-80846.280000000028</v>
      </c>
      <c r="P404" s="2">
        <v>51163.29</v>
      </c>
      <c r="Q404" s="2">
        <v>42954.46</v>
      </c>
      <c r="R404" s="2">
        <f t="shared" si="64"/>
        <v>-8208.8300000000017</v>
      </c>
      <c r="S404" s="2">
        <v>14884.71</v>
      </c>
      <c r="T404" s="2">
        <v>15426.3</v>
      </c>
      <c r="U404" s="2">
        <f t="shared" si="65"/>
        <v>541.59000000000015</v>
      </c>
      <c r="V404" s="2">
        <v>7957.38</v>
      </c>
      <c r="W404" s="2">
        <v>11849.09</v>
      </c>
      <c r="X404" s="2">
        <f t="shared" si="66"/>
        <v>3891.71</v>
      </c>
      <c r="Y404" s="2">
        <v>-1844.65</v>
      </c>
      <c r="Z404" s="2">
        <v>26628.17</v>
      </c>
      <c r="AA404" s="2">
        <f t="shared" si="67"/>
        <v>28472.82</v>
      </c>
      <c r="AB404" s="2">
        <v>18665.5</v>
      </c>
      <c r="AC404" s="2">
        <v>14855.57</v>
      </c>
      <c r="AD404" s="2">
        <f t="shared" si="68"/>
        <v>-3809.9300000000003</v>
      </c>
      <c r="AE404" s="2">
        <v>62201.98</v>
      </c>
      <c r="AF404" s="2">
        <v>328756.33</v>
      </c>
      <c r="AG404" s="2">
        <f t="shared" si="69"/>
        <v>266554.35000000003</v>
      </c>
    </row>
    <row r="405" spans="1:33" x14ac:dyDescent="0.3">
      <c r="B405" s="3"/>
      <c r="C405" t="str">
        <f xml:space="preserve"> _xll.EPMOlapMemberO("[CLACO].[PARENTH1].[AMSAGGENERALES.2]","","Otros Gastos","","000")</f>
        <v>Otros Gastos</v>
      </c>
      <c r="D405" s="2">
        <v>89.89</v>
      </c>
      <c r="E405" s="2"/>
      <c r="F405" s="2">
        <f t="shared" si="60"/>
        <v>-89.89</v>
      </c>
      <c r="G405" s="2"/>
      <c r="H405" s="2"/>
      <c r="I405" s="2">
        <f t="shared" si="61"/>
        <v>0</v>
      </c>
      <c r="J405" s="2"/>
      <c r="K405" s="2"/>
      <c r="L405" s="2">
        <f t="shared" si="62"/>
        <v>0</v>
      </c>
      <c r="M405" s="2"/>
      <c r="N405" s="2"/>
      <c r="O405" s="2">
        <f t="shared" si="63"/>
        <v>0</v>
      </c>
      <c r="P405" s="2"/>
      <c r="Q405" s="2"/>
      <c r="R405" s="2">
        <f t="shared" si="64"/>
        <v>0</v>
      </c>
      <c r="S405" s="2"/>
      <c r="T405" s="2"/>
      <c r="U405" s="2">
        <f t="shared" si="65"/>
        <v>0</v>
      </c>
      <c r="V405" s="2"/>
      <c r="W405" s="2"/>
      <c r="X405" s="2">
        <f t="shared" si="66"/>
        <v>0</v>
      </c>
      <c r="Y405" s="2"/>
      <c r="Z405" s="2"/>
      <c r="AA405" s="2">
        <f t="shared" si="67"/>
        <v>0</v>
      </c>
      <c r="AB405" s="2"/>
      <c r="AC405" s="2"/>
      <c r="AD405" s="2">
        <f t="shared" si="68"/>
        <v>0</v>
      </c>
      <c r="AE405" s="2"/>
      <c r="AF405" s="2"/>
      <c r="AG405" s="2">
        <f t="shared" si="69"/>
        <v>0</v>
      </c>
    </row>
    <row r="406" spans="1:33" x14ac:dyDescent="0.3">
      <c r="A406" t="s">
        <v>46</v>
      </c>
      <c r="B406" s="3" t="str">
        <f xml:space="preserve"> _xll.EPMOlapMemberO("[CECO].[PARENTH3].[AMSA1000AC4008]","","Calidad de Vida","","000")</f>
        <v>Calidad de Vida</v>
      </c>
      <c r="C406" t="str">
        <f xml:space="preserve"> _xll.EPMOlapMemberO("[CLACO].[PARENTH1].[AMSAMAT_Y_REP.2]","","Materiales y repuest","","000")</f>
        <v>Materiales y repuest</v>
      </c>
      <c r="D406" s="2">
        <v>6829.99</v>
      </c>
      <c r="E406" s="2">
        <v>7727.63</v>
      </c>
      <c r="F406" s="2">
        <f t="shared" si="60"/>
        <v>897.64000000000033</v>
      </c>
      <c r="G406" s="2">
        <v>3820.87</v>
      </c>
      <c r="H406" s="2">
        <v>6593.4</v>
      </c>
      <c r="I406" s="2">
        <f t="shared" si="61"/>
        <v>2772.5299999999997</v>
      </c>
      <c r="J406" s="2">
        <v>6396.91</v>
      </c>
      <c r="K406" s="2">
        <v>7152.94</v>
      </c>
      <c r="L406" s="2">
        <f t="shared" si="62"/>
        <v>756.02999999999975</v>
      </c>
      <c r="M406" s="2"/>
      <c r="N406" s="2"/>
      <c r="O406" s="2">
        <f t="shared" si="63"/>
        <v>0</v>
      </c>
      <c r="P406" s="2"/>
      <c r="Q406" s="2"/>
      <c r="R406" s="2">
        <f t="shared" si="64"/>
        <v>0</v>
      </c>
      <c r="S406" s="2"/>
      <c r="T406" s="2"/>
      <c r="U406" s="2">
        <f t="shared" si="65"/>
        <v>0</v>
      </c>
      <c r="V406" s="2"/>
      <c r="W406" s="2"/>
      <c r="X406" s="2">
        <f t="shared" si="66"/>
        <v>0</v>
      </c>
      <c r="Y406" s="2"/>
      <c r="Z406" s="2"/>
      <c r="AA406" s="2">
        <f t="shared" si="67"/>
        <v>0</v>
      </c>
      <c r="AB406" s="2"/>
      <c r="AC406" s="2"/>
      <c r="AD406" s="2">
        <f t="shared" si="68"/>
        <v>0</v>
      </c>
      <c r="AE406" s="2"/>
      <c r="AF406" s="2"/>
      <c r="AG406" s="2">
        <f t="shared" si="69"/>
        <v>0</v>
      </c>
    </row>
    <row r="407" spans="1:33" x14ac:dyDescent="0.3">
      <c r="B407" s="3"/>
      <c r="C407" t="str">
        <f xml:space="preserve"> _xll.EPMOlapMemberO("[CLACO].[PARENTH1].[AMSAADM_PERSON]","","Administración Perso","","000")</f>
        <v>Administración Perso</v>
      </c>
      <c r="D407" s="2">
        <v>582056.73</v>
      </c>
      <c r="E407" s="2">
        <v>563965.18000000005</v>
      </c>
      <c r="F407" s="2">
        <f t="shared" si="60"/>
        <v>-18091.54999999993</v>
      </c>
      <c r="G407" s="2">
        <v>692281.95</v>
      </c>
      <c r="H407" s="2">
        <v>706751.02</v>
      </c>
      <c r="I407" s="2">
        <f t="shared" si="61"/>
        <v>14469.070000000065</v>
      </c>
      <c r="J407" s="2">
        <v>614953.04</v>
      </c>
      <c r="K407" s="2">
        <v>701390.52</v>
      </c>
      <c r="L407" s="2">
        <f t="shared" si="62"/>
        <v>86437.479999999981</v>
      </c>
      <c r="M407" s="2">
        <v>638400.79</v>
      </c>
      <c r="N407" s="2">
        <v>693949.71</v>
      </c>
      <c r="O407" s="2">
        <f t="shared" si="63"/>
        <v>55548.919999999925</v>
      </c>
      <c r="P407" s="2">
        <v>27067.11</v>
      </c>
      <c r="Q407" s="2">
        <v>56555.839999999997</v>
      </c>
      <c r="R407" s="2">
        <f t="shared" si="64"/>
        <v>29488.729999999996</v>
      </c>
      <c r="S407" s="2">
        <v>22685.85</v>
      </c>
      <c r="T407" s="2">
        <v>43162.36</v>
      </c>
      <c r="U407" s="2">
        <f t="shared" si="65"/>
        <v>20476.510000000002</v>
      </c>
      <c r="V407" s="2">
        <v>61092.92</v>
      </c>
      <c r="W407" s="2">
        <v>55336.09</v>
      </c>
      <c r="X407" s="2">
        <f t="shared" si="66"/>
        <v>-5756.8300000000017</v>
      </c>
      <c r="Y407" s="2">
        <v>110543.61</v>
      </c>
      <c r="Z407" s="2">
        <v>35178.11</v>
      </c>
      <c r="AA407" s="2">
        <f t="shared" si="67"/>
        <v>-75365.5</v>
      </c>
      <c r="AB407" s="2">
        <v>-67721.320000000007</v>
      </c>
      <c r="AC407" s="2">
        <v>35111.9</v>
      </c>
      <c r="AD407" s="2">
        <f t="shared" si="68"/>
        <v>102833.22</v>
      </c>
      <c r="AE407" s="2">
        <v>171651.69</v>
      </c>
      <c r="AF407" s="2">
        <v>693167.58</v>
      </c>
      <c r="AG407" s="2">
        <f t="shared" si="69"/>
        <v>521515.88999999996</v>
      </c>
    </row>
    <row r="408" spans="1:33" x14ac:dyDescent="0.3">
      <c r="B408" s="3"/>
      <c r="C408" t="str">
        <f xml:space="preserve"> _xll.EPMOlapMemberO("[CLACO].[PARENTH1].[AMSAENTRENAMI]","","Entrenamiento","","000")</f>
        <v>Entrenamiento</v>
      </c>
      <c r="D408" s="2">
        <v>-77255.61</v>
      </c>
      <c r="E408" s="2">
        <v>44319.98</v>
      </c>
      <c r="F408" s="2">
        <f t="shared" si="60"/>
        <v>121575.59</v>
      </c>
      <c r="G408" s="2">
        <v>12987.72</v>
      </c>
      <c r="H408" s="2">
        <v>38645.24</v>
      </c>
      <c r="I408" s="2">
        <f t="shared" si="61"/>
        <v>25657.519999999997</v>
      </c>
      <c r="J408" s="2">
        <v>-8325.92</v>
      </c>
      <c r="K408" s="2">
        <v>15492.62</v>
      </c>
      <c r="L408" s="2">
        <f t="shared" si="62"/>
        <v>23818.54</v>
      </c>
      <c r="M408" s="2">
        <v>30000</v>
      </c>
      <c r="N408" s="2"/>
      <c r="O408" s="2">
        <f t="shared" si="63"/>
        <v>-30000</v>
      </c>
      <c r="P408" s="2"/>
      <c r="Q408" s="2"/>
      <c r="R408" s="2">
        <f t="shared" si="64"/>
        <v>0</v>
      </c>
      <c r="S408" s="2"/>
      <c r="T408" s="2"/>
      <c r="U408" s="2">
        <f t="shared" si="65"/>
        <v>0</v>
      </c>
      <c r="V408" s="2"/>
      <c r="W408" s="2"/>
      <c r="X408" s="2">
        <f t="shared" si="66"/>
        <v>0</v>
      </c>
      <c r="Y408" s="2"/>
      <c r="Z408" s="2"/>
      <c r="AA408" s="2">
        <f t="shared" si="67"/>
        <v>0</v>
      </c>
      <c r="AB408" s="2">
        <v>248</v>
      </c>
      <c r="AC408" s="2"/>
      <c r="AD408" s="2">
        <f t="shared" si="68"/>
        <v>-248</v>
      </c>
      <c r="AE408" s="2">
        <v>248</v>
      </c>
      <c r="AF408" s="2"/>
      <c r="AG408" s="2">
        <f t="shared" si="69"/>
        <v>-248</v>
      </c>
    </row>
    <row r="409" spans="1:33" x14ac:dyDescent="0.3">
      <c r="B409" s="3"/>
      <c r="C409" t="str">
        <f xml:space="preserve"> _xll.EPMOlapMemberO("[CLACO].[PARENTH1].[AMSAASESORIAS]","","Asesorías y Consulto","","000")</f>
        <v>Asesorías y Consulto</v>
      </c>
      <c r="D409" s="2">
        <v>23904.32</v>
      </c>
      <c r="E409" s="2">
        <v>25992.080000000002</v>
      </c>
      <c r="F409" s="2">
        <f t="shared" si="60"/>
        <v>2087.760000000002</v>
      </c>
      <c r="G409" s="2">
        <v>29945.919999999998</v>
      </c>
      <c r="H409" s="2">
        <v>25068.97</v>
      </c>
      <c r="I409" s="2">
        <f t="shared" si="61"/>
        <v>-4876.9499999999971</v>
      </c>
      <c r="J409" s="2">
        <v>41240.75</v>
      </c>
      <c r="K409" s="2">
        <v>19062.099999999999</v>
      </c>
      <c r="L409" s="2">
        <f t="shared" si="62"/>
        <v>-22178.65</v>
      </c>
      <c r="M409" s="2">
        <v>43636.65</v>
      </c>
      <c r="N409" s="2">
        <v>54419.76</v>
      </c>
      <c r="O409" s="2">
        <f t="shared" si="63"/>
        <v>10783.11</v>
      </c>
      <c r="P409" s="2">
        <v>3820.25</v>
      </c>
      <c r="Q409" s="2">
        <v>2456.54</v>
      </c>
      <c r="R409" s="2">
        <f t="shared" si="64"/>
        <v>-1363.71</v>
      </c>
      <c r="S409" s="2">
        <v>3264.77</v>
      </c>
      <c r="T409" s="2">
        <v>8992</v>
      </c>
      <c r="U409" s="2">
        <f t="shared" si="65"/>
        <v>5727.23</v>
      </c>
      <c r="V409" s="2">
        <v>2046.84</v>
      </c>
      <c r="W409" s="2">
        <v>8972.7199999999993</v>
      </c>
      <c r="X409" s="2">
        <f t="shared" si="66"/>
        <v>6925.8799999999992</v>
      </c>
      <c r="Y409" s="2">
        <v>2616.62</v>
      </c>
      <c r="Z409" s="2">
        <v>8953.65</v>
      </c>
      <c r="AA409" s="2">
        <f t="shared" si="67"/>
        <v>6337.03</v>
      </c>
      <c r="AB409" s="2">
        <v>2502.1</v>
      </c>
      <c r="AC409" s="2">
        <v>2429.31</v>
      </c>
      <c r="AD409" s="2">
        <f t="shared" si="68"/>
        <v>-72.789999999999964</v>
      </c>
      <c r="AE409" s="2">
        <v>12328.01</v>
      </c>
      <c r="AF409" s="2">
        <v>55283.81</v>
      </c>
      <c r="AG409" s="2">
        <f t="shared" si="69"/>
        <v>42955.799999999996</v>
      </c>
    </row>
    <row r="410" spans="1:33" x14ac:dyDescent="0.3">
      <c r="B410" s="3"/>
      <c r="C410" t="str">
        <f xml:space="preserve"> _xll.EPMOlapMemberO("[CLACO].[PARENTH1].[AMSASERVICIOS]","","Servicios","","000")</f>
        <v>Servicios</v>
      </c>
      <c r="D410" s="2">
        <v>35942.94</v>
      </c>
      <c r="E410" s="2">
        <v>24193.93</v>
      </c>
      <c r="F410" s="2">
        <f t="shared" si="60"/>
        <v>-11749.010000000002</v>
      </c>
      <c r="G410" s="2">
        <v>22550.74</v>
      </c>
      <c r="H410" s="2">
        <v>23272.45</v>
      </c>
      <c r="I410" s="2">
        <f t="shared" si="61"/>
        <v>721.70999999999913</v>
      </c>
      <c r="J410" s="2">
        <v>19249.47</v>
      </c>
      <c r="K410" s="2">
        <v>24083.08</v>
      </c>
      <c r="L410" s="2">
        <f t="shared" si="62"/>
        <v>4833.6100000000006</v>
      </c>
      <c r="M410" s="2">
        <v>22839.78</v>
      </c>
      <c r="N410" s="2">
        <v>27494.93</v>
      </c>
      <c r="O410" s="2">
        <f t="shared" si="63"/>
        <v>4655.1500000000015</v>
      </c>
      <c r="P410" s="2">
        <v>23.03</v>
      </c>
      <c r="Q410" s="2">
        <v>8860.16</v>
      </c>
      <c r="R410" s="2">
        <f t="shared" si="64"/>
        <v>8837.1299999999992</v>
      </c>
      <c r="S410" s="2">
        <v>716.87</v>
      </c>
      <c r="T410" s="2">
        <v>991.79</v>
      </c>
      <c r="U410" s="2">
        <f t="shared" si="65"/>
        <v>274.91999999999996</v>
      </c>
      <c r="V410" s="2">
        <v>733.58</v>
      </c>
      <c r="W410" s="2">
        <v>989.15</v>
      </c>
      <c r="X410" s="2">
        <f t="shared" si="66"/>
        <v>255.56999999999994</v>
      </c>
      <c r="Y410" s="2">
        <v>772.97</v>
      </c>
      <c r="Z410" s="2">
        <v>986.52</v>
      </c>
      <c r="AA410" s="2">
        <f t="shared" si="67"/>
        <v>213.54999999999995</v>
      </c>
      <c r="AB410" s="2">
        <v>775.75</v>
      </c>
      <c r="AC410" s="2">
        <v>983.9</v>
      </c>
      <c r="AD410" s="2">
        <f t="shared" si="68"/>
        <v>208.14999999999998</v>
      </c>
      <c r="AE410" s="2">
        <v>3022.2</v>
      </c>
      <c r="AF410" s="2">
        <v>27787.85</v>
      </c>
      <c r="AG410" s="2">
        <f t="shared" si="69"/>
        <v>24765.649999999998</v>
      </c>
    </row>
    <row r="411" spans="1:33" x14ac:dyDescent="0.3">
      <c r="B411" s="3"/>
      <c r="C411" t="str">
        <f xml:space="preserve"> _xll.EPMOlapMemberO("[CLACO].[PARENTH1].[AMSASERMANTO.REPA]","","Servicios Mantenimie","","000")</f>
        <v>Servicios Mantenimie</v>
      </c>
      <c r="D411" s="2"/>
      <c r="E411" s="2"/>
      <c r="F411" s="2">
        <f t="shared" si="60"/>
        <v>0</v>
      </c>
      <c r="G411" s="2"/>
      <c r="H411" s="2"/>
      <c r="I411" s="2">
        <f t="shared" si="61"/>
        <v>0</v>
      </c>
      <c r="J411" s="2"/>
      <c r="K411" s="2"/>
      <c r="L411" s="2">
        <f t="shared" si="62"/>
        <v>0</v>
      </c>
      <c r="M411" s="2">
        <v>5645</v>
      </c>
      <c r="N411" s="2"/>
      <c r="O411" s="2">
        <f t="shared" si="63"/>
        <v>-5645</v>
      </c>
      <c r="P411" s="2"/>
      <c r="Q411" s="2"/>
      <c r="R411" s="2">
        <f t="shared" si="64"/>
        <v>0</v>
      </c>
      <c r="S411" s="2"/>
      <c r="T411" s="2"/>
      <c r="U411" s="2">
        <f t="shared" si="65"/>
        <v>0</v>
      </c>
      <c r="V411" s="2"/>
      <c r="W411" s="2"/>
      <c r="X411" s="2">
        <f t="shared" si="66"/>
        <v>0</v>
      </c>
      <c r="Y411" s="2"/>
      <c r="Z411" s="2"/>
      <c r="AA411" s="2">
        <f t="shared" si="67"/>
        <v>0</v>
      </c>
      <c r="AB411" s="2"/>
      <c r="AC411" s="2"/>
      <c r="AD411" s="2">
        <f t="shared" si="68"/>
        <v>0</v>
      </c>
      <c r="AE411" s="2"/>
      <c r="AF411" s="2"/>
      <c r="AG411" s="2">
        <f t="shared" si="69"/>
        <v>0</v>
      </c>
    </row>
    <row r="412" spans="1:33" x14ac:dyDescent="0.3">
      <c r="B412" s="3"/>
      <c r="C412" t="str">
        <f xml:space="preserve"> _xll.EPMOlapMemberO("[CLACO].[PARENTH1].[AMSAINFORMATIC]","","Informática y Comuni","","000")</f>
        <v>Informática y Comuni</v>
      </c>
      <c r="D412" s="2">
        <v>0.2</v>
      </c>
      <c r="E412" s="2">
        <v>30848.98</v>
      </c>
      <c r="F412" s="2">
        <f t="shared" si="60"/>
        <v>30848.78</v>
      </c>
      <c r="G412" s="2"/>
      <c r="H412" s="2">
        <v>50000</v>
      </c>
      <c r="I412" s="2">
        <f t="shared" si="61"/>
        <v>50000</v>
      </c>
      <c r="J412" s="2">
        <v>16346.13</v>
      </c>
      <c r="K412" s="2">
        <v>26010</v>
      </c>
      <c r="L412" s="2">
        <f t="shared" si="62"/>
        <v>9663.8700000000008</v>
      </c>
      <c r="M412" s="2">
        <v>25781.65</v>
      </c>
      <c r="N412" s="2"/>
      <c r="O412" s="2">
        <f t="shared" si="63"/>
        <v>-25781.65</v>
      </c>
      <c r="P412" s="2"/>
      <c r="Q412" s="2"/>
      <c r="R412" s="2">
        <f t="shared" si="64"/>
        <v>0</v>
      </c>
      <c r="S412" s="2"/>
      <c r="T412" s="2"/>
      <c r="U412" s="2">
        <f t="shared" si="65"/>
        <v>0</v>
      </c>
      <c r="V412" s="2"/>
      <c r="W412" s="2"/>
      <c r="X412" s="2">
        <f t="shared" si="66"/>
        <v>0</v>
      </c>
      <c r="Y412" s="2"/>
      <c r="Z412" s="2"/>
      <c r="AA412" s="2">
        <f t="shared" si="67"/>
        <v>0</v>
      </c>
      <c r="AB412" s="2"/>
      <c r="AC412" s="2"/>
      <c r="AD412" s="2">
        <f t="shared" si="68"/>
        <v>0</v>
      </c>
      <c r="AE412" s="2"/>
      <c r="AF412" s="2"/>
      <c r="AG412" s="2">
        <f t="shared" si="69"/>
        <v>0</v>
      </c>
    </row>
    <row r="413" spans="1:33" x14ac:dyDescent="0.3">
      <c r="B413" s="3"/>
      <c r="C413" t="str">
        <f xml:space="preserve"> _xll.EPMOlapMemberO("[CLACO].[PARENTH1].[AMSAG_VIAJES]","","Gastos de Viajes","","000")</f>
        <v>Gastos de Viajes</v>
      </c>
      <c r="D413" s="2">
        <v>81.12</v>
      </c>
      <c r="E413" s="2"/>
      <c r="F413" s="2">
        <f t="shared" si="60"/>
        <v>-81.12</v>
      </c>
      <c r="G413" s="2">
        <v>79.86</v>
      </c>
      <c r="H413" s="2"/>
      <c r="I413" s="2">
        <f t="shared" si="61"/>
        <v>-79.86</v>
      </c>
      <c r="J413" s="2">
        <v>1549.28</v>
      </c>
      <c r="K413" s="2"/>
      <c r="L413" s="2">
        <f t="shared" si="62"/>
        <v>-1549.28</v>
      </c>
      <c r="M413" s="2">
        <v>576.27</v>
      </c>
      <c r="N413" s="2"/>
      <c r="O413" s="2">
        <f t="shared" si="63"/>
        <v>-576.27</v>
      </c>
      <c r="P413" s="2"/>
      <c r="Q413" s="2"/>
      <c r="R413" s="2">
        <f t="shared" si="64"/>
        <v>0</v>
      </c>
      <c r="S413" s="2"/>
      <c r="T413" s="2"/>
      <c r="U413" s="2">
        <f t="shared" si="65"/>
        <v>0</v>
      </c>
      <c r="V413" s="2"/>
      <c r="W413" s="2"/>
      <c r="X413" s="2">
        <f t="shared" si="66"/>
        <v>0</v>
      </c>
      <c r="Y413" s="2"/>
      <c r="Z413" s="2"/>
      <c r="AA413" s="2">
        <f t="shared" si="67"/>
        <v>0</v>
      </c>
      <c r="AB413" s="2"/>
      <c r="AC413" s="2"/>
      <c r="AD413" s="2">
        <f t="shared" si="68"/>
        <v>0</v>
      </c>
      <c r="AE413" s="2"/>
      <c r="AF413" s="2"/>
      <c r="AG413" s="2">
        <f t="shared" si="69"/>
        <v>0</v>
      </c>
    </row>
    <row r="414" spans="1:33" x14ac:dyDescent="0.3">
      <c r="B414" s="3"/>
      <c r="C414" t="str">
        <f xml:space="preserve"> _xll.EPMOlapMemberO("[CLACO].[PARENTH1].[AMSASEGUROS]","","Seguros","","000")</f>
        <v>Seguros</v>
      </c>
      <c r="D414" s="2">
        <v>7405.93</v>
      </c>
      <c r="E414" s="2"/>
      <c r="F414" s="2">
        <f t="shared" si="60"/>
        <v>-7405.93</v>
      </c>
      <c r="G414" s="2"/>
      <c r="H414" s="2"/>
      <c r="I414" s="2">
        <f t="shared" si="61"/>
        <v>0</v>
      </c>
      <c r="J414" s="2"/>
      <c r="K414" s="2"/>
      <c r="L414" s="2">
        <f t="shared" si="62"/>
        <v>0</v>
      </c>
      <c r="M414" s="2"/>
      <c r="N414" s="2"/>
      <c r="O414" s="2">
        <f t="shared" si="63"/>
        <v>0</v>
      </c>
      <c r="P414" s="2"/>
      <c r="Q414" s="2"/>
      <c r="R414" s="2">
        <f t="shared" si="64"/>
        <v>0</v>
      </c>
      <c r="S414" s="2"/>
      <c r="T414" s="2"/>
      <c r="U414" s="2">
        <f t="shared" si="65"/>
        <v>0</v>
      </c>
      <c r="V414" s="2"/>
      <c r="W414" s="2"/>
      <c r="X414" s="2">
        <f t="shared" si="66"/>
        <v>0</v>
      </c>
      <c r="Y414" s="2"/>
      <c r="Z414" s="2"/>
      <c r="AA414" s="2">
        <f t="shared" si="67"/>
        <v>0</v>
      </c>
      <c r="AB414" s="2"/>
      <c r="AC414" s="2"/>
      <c r="AD414" s="2">
        <f t="shared" si="68"/>
        <v>0</v>
      </c>
      <c r="AE414" s="2"/>
      <c r="AF414" s="2"/>
      <c r="AG414" s="2">
        <f t="shared" si="69"/>
        <v>0</v>
      </c>
    </row>
    <row r="415" spans="1:33" x14ac:dyDescent="0.3">
      <c r="B415" s="3"/>
      <c r="C415" t="str">
        <f xml:space="preserve"> _xll.EPMOlapMemberO("[CLACO].[PARENTH1].[AMSAIMP_PATEN]","","Impuestos / Patentes","","000")</f>
        <v>Impuestos / Patentes</v>
      </c>
      <c r="D415" s="2"/>
      <c r="E415" s="2"/>
      <c r="F415" s="2">
        <f t="shared" si="60"/>
        <v>0</v>
      </c>
      <c r="G415" s="2"/>
      <c r="H415" s="2"/>
      <c r="I415" s="2">
        <f t="shared" si="61"/>
        <v>0</v>
      </c>
      <c r="J415" s="2"/>
      <c r="K415" s="2"/>
      <c r="L415" s="2">
        <f t="shared" si="62"/>
        <v>0</v>
      </c>
      <c r="M415" s="2">
        <v>2.4300000000000002</v>
      </c>
      <c r="N415" s="2"/>
      <c r="O415" s="2">
        <f t="shared" si="63"/>
        <v>-2.4300000000000002</v>
      </c>
      <c r="P415" s="2"/>
      <c r="Q415" s="2"/>
      <c r="R415" s="2">
        <f t="shared" si="64"/>
        <v>0</v>
      </c>
      <c r="S415" s="2"/>
      <c r="T415" s="2"/>
      <c r="U415" s="2">
        <f t="shared" si="65"/>
        <v>0</v>
      </c>
      <c r="V415" s="2"/>
      <c r="W415" s="2"/>
      <c r="X415" s="2">
        <f t="shared" si="66"/>
        <v>0</v>
      </c>
      <c r="Y415" s="2"/>
      <c r="Z415" s="2"/>
      <c r="AA415" s="2">
        <f t="shared" si="67"/>
        <v>0</v>
      </c>
      <c r="AB415" s="2"/>
      <c r="AC415" s="2"/>
      <c r="AD415" s="2">
        <f t="shared" si="68"/>
        <v>0</v>
      </c>
      <c r="AE415" s="2"/>
      <c r="AF415" s="2"/>
      <c r="AG415" s="2">
        <f t="shared" si="69"/>
        <v>0</v>
      </c>
    </row>
    <row r="416" spans="1:33" x14ac:dyDescent="0.3">
      <c r="B416" s="3"/>
      <c r="C416" t="str">
        <f xml:space="preserve"> _xll.EPMOlapMemberO("[CLACO].[PARENTH1].[AMSAGGENERALES.2]","","Otros Gastos","","000")</f>
        <v>Otros Gastos</v>
      </c>
      <c r="D416" s="2">
        <v>11226.55</v>
      </c>
      <c r="E416" s="2"/>
      <c r="F416" s="2">
        <f t="shared" si="60"/>
        <v>-11226.55</v>
      </c>
      <c r="G416" s="2">
        <v>9898.81</v>
      </c>
      <c r="H416" s="2"/>
      <c r="I416" s="2">
        <f t="shared" si="61"/>
        <v>-9898.81</v>
      </c>
      <c r="J416" s="2">
        <v>20969.82</v>
      </c>
      <c r="K416" s="2"/>
      <c r="L416" s="2">
        <f t="shared" si="62"/>
        <v>-20969.82</v>
      </c>
      <c r="M416" s="2">
        <v>329.79</v>
      </c>
      <c r="N416" s="2"/>
      <c r="O416" s="2">
        <f t="shared" si="63"/>
        <v>-329.79</v>
      </c>
      <c r="P416" s="2">
        <v>256.27</v>
      </c>
      <c r="Q416" s="2"/>
      <c r="R416" s="2">
        <f t="shared" si="64"/>
        <v>-256.27</v>
      </c>
      <c r="S416" s="2">
        <v>20.260000000000002</v>
      </c>
      <c r="T416" s="2"/>
      <c r="U416" s="2">
        <f t="shared" si="65"/>
        <v>-20.260000000000002</v>
      </c>
      <c r="V416" s="2">
        <v>736.86</v>
      </c>
      <c r="W416" s="2"/>
      <c r="X416" s="2">
        <f t="shared" si="66"/>
        <v>-736.86</v>
      </c>
      <c r="Y416" s="2">
        <v>17.5</v>
      </c>
      <c r="Z416" s="2"/>
      <c r="AA416" s="2">
        <f t="shared" si="67"/>
        <v>-17.5</v>
      </c>
      <c r="AB416" s="2">
        <v>10.09</v>
      </c>
      <c r="AC416" s="2"/>
      <c r="AD416" s="2">
        <f t="shared" si="68"/>
        <v>-10.09</v>
      </c>
      <c r="AE416" s="2">
        <v>1041.3800000000001</v>
      </c>
      <c r="AF416" s="2"/>
      <c r="AG416" s="2">
        <f t="shared" si="69"/>
        <v>-1041.3800000000001</v>
      </c>
    </row>
    <row r="417" spans="1:33" x14ac:dyDescent="0.3">
      <c r="A417" t="s">
        <v>47</v>
      </c>
      <c r="B417" s="3" t="str">
        <f xml:space="preserve"> _xll.EPMOlapMemberO("[CECO].[PARENTH3].[AMSA1000AC4009]","","Admin San Lorenzo","","000")</f>
        <v>Admin San Lorenzo</v>
      </c>
      <c r="C417" t="str">
        <f xml:space="preserve"> _xll.EPMOlapMemberO("[CLACO].[PARENTH1].[AMSAADM_PERSON]","","Administración Perso","","000")</f>
        <v>Administración Perso</v>
      </c>
      <c r="D417" s="2">
        <v>22796.18</v>
      </c>
      <c r="E417" s="2">
        <v>23389.88</v>
      </c>
      <c r="F417" s="2">
        <f t="shared" si="60"/>
        <v>593.70000000000073</v>
      </c>
      <c r="G417" s="2">
        <v>24774.02</v>
      </c>
      <c r="H417" s="2">
        <v>22720.7</v>
      </c>
      <c r="I417" s="2">
        <f t="shared" si="61"/>
        <v>-2053.3199999999997</v>
      </c>
      <c r="J417" s="2">
        <v>24943.3</v>
      </c>
      <c r="K417" s="2">
        <v>26531.62</v>
      </c>
      <c r="L417" s="2">
        <f t="shared" si="62"/>
        <v>1588.3199999999997</v>
      </c>
      <c r="M417" s="2">
        <v>25020.23</v>
      </c>
      <c r="N417" s="2">
        <v>27013.74</v>
      </c>
      <c r="O417" s="2">
        <f t="shared" si="63"/>
        <v>1993.510000000002</v>
      </c>
      <c r="P417" s="2">
        <v>-33136.42</v>
      </c>
      <c r="Q417" s="2"/>
      <c r="R417" s="2">
        <f t="shared" si="64"/>
        <v>33136.42</v>
      </c>
      <c r="S417" s="2">
        <v>33136.42</v>
      </c>
      <c r="T417" s="2">
        <v>32527.91</v>
      </c>
      <c r="U417" s="2">
        <f t="shared" si="65"/>
        <v>-608.5099999999984</v>
      </c>
      <c r="V417" s="2"/>
      <c r="W417" s="2"/>
      <c r="X417" s="2">
        <f t="shared" si="66"/>
        <v>0</v>
      </c>
      <c r="Y417" s="2"/>
      <c r="Z417" s="2"/>
      <c r="AA417" s="2">
        <f t="shared" si="67"/>
        <v>0</v>
      </c>
      <c r="AB417" s="2"/>
      <c r="AC417" s="2"/>
      <c r="AD417" s="2">
        <f t="shared" si="68"/>
        <v>0</v>
      </c>
      <c r="AE417" s="2">
        <v>27221.62</v>
      </c>
      <c r="AF417" s="2">
        <v>32527.91</v>
      </c>
      <c r="AG417" s="2">
        <f t="shared" si="69"/>
        <v>5306.2900000000009</v>
      </c>
    </row>
    <row r="418" spans="1:33" x14ac:dyDescent="0.3">
      <c r="B418" s="3"/>
      <c r="C418" t="str">
        <f xml:space="preserve"> _xll.EPMOlapMemberO("[CLACO].[PARENTH1].[AMSAASESORIAS]","","Asesorías y Consulto","","000")</f>
        <v>Asesorías y Consulto</v>
      </c>
      <c r="D418" s="2"/>
      <c r="E418" s="2"/>
      <c r="F418" s="2">
        <f t="shared" si="60"/>
        <v>0</v>
      </c>
      <c r="G418" s="2"/>
      <c r="H418" s="2">
        <v>5250.86</v>
      </c>
      <c r="I418" s="2">
        <f t="shared" si="61"/>
        <v>5250.86</v>
      </c>
      <c r="J418" s="2">
        <v>23.94</v>
      </c>
      <c r="K418" s="2">
        <v>5329.48</v>
      </c>
      <c r="L418" s="2">
        <f t="shared" si="62"/>
        <v>5305.54</v>
      </c>
      <c r="M418" s="2"/>
      <c r="N418" s="2"/>
      <c r="O418" s="2">
        <f t="shared" si="63"/>
        <v>0</v>
      </c>
      <c r="P418" s="2"/>
      <c r="Q418" s="2"/>
      <c r="R418" s="2">
        <f t="shared" si="64"/>
        <v>0</v>
      </c>
      <c r="S418" s="2"/>
      <c r="T418" s="2"/>
      <c r="U418" s="2">
        <f t="shared" si="65"/>
        <v>0</v>
      </c>
      <c r="V418" s="2"/>
      <c r="W418" s="2"/>
      <c r="X418" s="2">
        <f t="shared" si="66"/>
        <v>0</v>
      </c>
      <c r="Y418" s="2"/>
      <c r="Z418" s="2"/>
      <c r="AA418" s="2">
        <f t="shared" si="67"/>
        <v>0</v>
      </c>
      <c r="AB418" s="2"/>
      <c r="AC418" s="2"/>
      <c r="AD418" s="2">
        <f t="shared" si="68"/>
        <v>0</v>
      </c>
      <c r="AE418" s="2"/>
      <c r="AF418" s="2"/>
      <c r="AG418" s="2">
        <f t="shared" si="69"/>
        <v>0</v>
      </c>
    </row>
    <row r="419" spans="1:33" x14ac:dyDescent="0.3">
      <c r="B419" s="3"/>
      <c r="C419" t="str">
        <f xml:space="preserve"> _xll.EPMOlapMemberO("[CLACO].[PARENTH1].[AMSAGGENERALES.2]","","Otros Gastos","","000")</f>
        <v>Otros Gastos</v>
      </c>
      <c r="D419" s="2"/>
      <c r="E419" s="2"/>
      <c r="F419" s="2">
        <f t="shared" si="60"/>
        <v>0</v>
      </c>
      <c r="G419" s="2"/>
      <c r="H419" s="2"/>
      <c r="I419" s="2">
        <f t="shared" si="61"/>
        <v>0</v>
      </c>
      <c r="J419" s="2">
        <v>47.33</v>
      </c>
      <c r="K419" s="2"/>
      <c r="L419" s="2">
        <f t="shared" si="62"/>
        <v>-47.33</v>
      </c>
      <c r="M419" s="2"/>
      <c r="N419" s="2"/>
      <c r="O419" s="2">
        <f t="shared" si="63"/>
        <v>0</v>
      </c>
      <c r="P419" s="2"/>
      <c r="Q419" s="2"/>
      <c r="R419" s="2">
        <f t="shared" si="64"/>
        <v>0</v>
      </c>
      <c r="S419" s="2"/>
      <c r="T419" s="2"/>
      <c r="U419" s="2">
        <f t="shared" si="65"/>
        <v>0</v>
      </c>
      <c r="V419" s="2"/>
      <c r="W419" s="2"/>
      <c r="X419" s="2">
        <f t="shared" si="66"/>
        <v>0</v>
      </c>
      <c r="Y419" s="2"/>
      <c r="Z419" s="2"/>
      <c r="AA419" s="2">
        <f t="shared" si="67"/>
        <v>0</v>
      </c>
      <c r="AB419" s="2"/>
      <c r="AC419" s="2"/>
      <c r="AD419" s="2">
        <f t="shared" si="68"/>
        <v>0</v>
      </c>
      <c r="AE419" s="2"/>
      <c r="AF419" s="2"/>
      <c r="AG419" s="2">
        <f t="shared" si="69"/>
        <v>0</v>
      </c>
    </row>
    <row r="420" spans="1:33" x14ac:dyDescent="0.3">
      <c r="A420" t="s">
        <v>48</v>
      </c>
      <c r="B420" s="3" t="str">
        <f xml:space="preserve"> _xll.EPMOlapMemberO("[CECO].[PARENTH3].[AMSA1000AC4010]","","Admin Programa JP","","000")</f>
        <v>Admin Programa JP</v>
      </c>
      <c r="C420" t="str">
        <f xml:space="preserve"> _xll.EPMOlapMemberO("[CLACO].[PARENTH1].[AMSAENTRENAMI]","","Entrenamiento","","000")</f>
        <v>Entrenamiento</v>
      </c>
      <c r="D420" s="2">
        <v>41310.07</v>
      </c>
      <c r="E420" s="2">
        <v>38952.720000000001</v>
      </c>
      <c r="F420" s="2">
        <f t="shared" si="60"/>
        <v>-2357.3499999999985</v>
      </c>
      <c r="G420" s="2">
        <v>50355.77</v>
      </c>
      <c r="H420" s="2">
        <v>42333.06</v>
      </c>
      <c r="I420" s="2">
        <f t="shared" si="61"/>
        <v>-8022.7099999999991</v>
      </c>
      <c r="J420" s="2">
        <v>42796.26</v>
      </c>
      <c r="K420" s="2">
        <v>46278.85</v>
      </c>
      <c r="L420" s="2">
        <f t="shared" si="62"/>
        <v>3482.5899999999965</v>
      </c>
      <c r="M420" s="2">
        <v>41231.919999999998</v>
      </c>
      <c r="N420" s="2">
        <v>38637.07</v>
      </c>
      <c r="O420" s="2">
        <f t="shared" si="63"/>
        <v>-2594.8499999999985</v>
      </c>
      <c r="P420" s="2">
        <v>266.07</v>
      </c>
      <c r="Q420" s="2"/>
      <c r="R420" s="2">
        <f t="shared" si="64"/>
        <v>-266.07</v>
      </c>
      <c r="S420" s="2">
        <v>22174.98</v>
      </c>
      <c r="T420" s="2">
        <v>21767.77</v>
      </c>
      <c r="U420" s="2">
        <f t="shared" si="65"/>
        <v>-407.20999999999913</v>
      </c>
      <c r="V420" s="2"/>
      <c r="W420" s="2"/>
      <c r="X420" s="2">
        <f t="shared" si="66"/>
        <v>0</v>
      </c>
      <c r="Y420" s="2"/>
      <c r="Z420" s="2"/>
      <c r="AA420" s="2">
        <f t="shared" si="67"/>
        <v>0</v>
      </c>
      <c r="AB420" s="2">
        <v>-7.93</v>
      </c>
      <c r="AC420" s="2"/>
      <c r="AD420" s="2">
        <f t="shared" si="68"/>
        <v>7.93</v>
      </c>
      <c r="AE420" s="2">
        <v>20457.14</v>
      </c>
      <c r="AF420" s="2">
        <v>43840.91</v>
      </c>
      <c r="AG420" s="2">
        <f t="shared" si="69"/>
        <v>23383.770000000004</v>
      </c>
    </row>
    <row r="421" spans="1:33" x14ac:dyDescent="0.3">
      <c r="B421" s="3"/>
      <c r="C421" t="str">
        <f xml:space="preserve"> _xll.EPMOlapMemberO("[CLACO].[PARENTH1].[AMSAASESORIAS]","","Asesorías y Consulto","","000")</f>
        <v>Asesorías y Consulto</v>
      </c>
      <c r="D421" s="2">
        <v>3225.88</v>
      </c>
      <c r="E421" s="2"/>
      <c r="F421" s="2">
        <f t="shared" si="60"/>
        <v>-3225.88</v>
      </c>
      <c r="G421" s="2">
        <v>367.8</v>
      </c>
      <c r="H421" s="2"/>
      <c r="I421" s="2">
        <f t="shared" si="61"/>
        <v>-367.8</v>
      </c>
      <c r="J421" s="2">
        <v>667.08</v>
      </c>
      <c r="K421" s="2"/>
      <c r="L421" s="2">
        <f t="shared" si="62"/>
        <v>-667.08</v>
      </c>
      <c r="M421" s="2">
        <v>10039.299999999999</v>
      </c>
      <c r="N421" s="2"/>
      <c r="O421" s="2">
        <f t="shared" si="63"/>
        <v>-10039.299999999999</v>
      </c>
      <c r="P421" s="2"/>
      <c r="Q421" s="2"/>
      <c r="R421" s="2">
        <f t="shared" si="64"/>
        <v>0</v>
      </c>
      <c r="S421" s="2"/>
      <c r="T421" s="2"/>
      <c r="U421" s="2">
        <f t="shared" si="65"/>
        <v>0</v>
      </c>
      <c r="V421" s="2"/>
      <c r="W421" s="2"/>
      <c r="X421" s="2">
        <f t="shared" si="66"/>
        <v>0</v>
      </c>
      <c r="Y421" s="2"/>
      <c r="Z421" s="2"/>
      <c r="AA421" s="2">
        <f t="shared" si="67"/>
        <v>0</v>
      </c>
      <c r="AB421" s="2"/>
      <c r="AC421" s="2"/>
      <c r="AD421" s="2">
        <f t="shared" si="68"/>
        <v>0</v>
      </c>
      <c r="AE421" s="2"/>
      <c r="AF421" s="2"/>
      <c r="AG421" s="2">
        <f t="shared" si="69"/>
        <v>0</v>
      </c>
    </row>
    <row r="422" spans="1:33" x14ac:dyDescent="0.3">
      <c r="B422" s="3"/>
      <c r="C422" t="str">
        <f xml:space="preserve"> _xll.EPMOlapMemberO("[CLACO].[PARENTH1].[AMSASERMANTO.REPA]","","Servicios Mantenimie","","000")</f>
        <v>Servicios Mantenimie</v>
      </c>
      <c r="D422" s="2"/>
      <c r="E422" s="2"/>
      <c r="F422" s="2">
        <f t="shared" si="60"/>
        <v>0</v>
      </c>
      <c r="G422" s="2"/>
      <c r="H422" s="2"/>
      <c r="I422" s="2">
        <f t="shared" si="61"/>
        <v>0</v>
      </c>
      <c r="J422" s="2"/>
      <c r="K422" s="2"/>
      <c r="L422" s="2">
        <f t="shared" si="62"/>
        <v>0</v>
      </c>
      <c r="M422" s="2">
        <v>41.43</v>
      </c>
      <c r="N422" s="2"/>
      <c r="O422" s="2">
        <f t="shared" si="63"/>
        <v>-41.43</v>
      </c>
      <c r="P422" s="2"/>
      <c r="Q422" s="2"/>
      <c r="R422" s="2">
        <f t="shared" si="64"/>
        <v>0</v>
      </c>
      <c r="S422" s="2"/>
      <c r="T422" s="2"/>
      <c r="U422" s="2">
        <f t="shared" si="65"/>
        <v>0</v>
      </c>
      <c r="V422" s="2"/>
      <c r="W422" s="2"/>
      <c r="X422" s="2">
        <f t="shared" si="66"/>
        <v>0</v>
      </c>
      <c r="Y422" s="2"/>
      <c r="Z422" s="2"/>
      <c r="AA422" s="2">
        <f t="shared" si="67"/>
        <v>0</v>
      </c>
      <c r="AB422" s="2"/>
      <c r="AC422" s="2"/>
      <c r="AD422" s="2">
        <f t="shared" si="68"/>
        <v>0</v>
      </c>
      <c r="AE422" s="2"/>
      <c r="AF422" s="2"/>
      <c r="AG422" s="2">
        <f t="shared" si="69"/>
        <v>0</v>
      </c>
    </row>
    <row r="423" spans="1:33" x14ac:dyDescent="0.3">
      <c r="B423" s="3"/>
      <c r="C423" t="str">
        <f xml:space="preserve"> _xll.EPMOlapMemberO("[CLACO].[PARENTH1].[AMSAG_VIAJES]","","Gastos de Viajes","","000")</f>
        <v>Gastos de Viajes</v>
      </c>
      <c r="D423" s="2">
        <v>-551.57000000000005</v>
      </c>
      <c r="E423" s="2"/>
      <c r="F423" s="2">
        <f t="shared" si="60"/>
        <v>551.57000000000005</v>
      </c>
      <c r="G423" s="2"/>
      <c r="H423" s="2">
        <v>659.34</v>
      </c>
      <c r="I423" s="2">
        <f t="shared" si="61"/>
        <v>659.34</v>
      </c>
      <c r="J423" s="2">
        <v>236.62</v>
      </c>
      <c r="K423" s="2"/>
      <c r="L423" s="2">
        <f t="shared" si="62"/>
        <v>-236.62</v>
      </c>
      <c r="M423" s="2">
        <v>1163.26</v>
      </c>
      <c r="N423" s="2"/>
      <c r="O423" s="2">
        <f t="shared" si="63"/>
        <v>-1163.26</v>
      </c>
      <c r="P423" s="2"/>
      <c r="Q423" s="2"/>
      <c r="R423" s="2">
        <f t="shared" si="64"/>
        <v>0</v>
      </c>
      <c r="S423" s="2"/>
      <c r="T423" s="2"/>
      <c r="U423" s="2">
        <f t="shared" si="65"/>
        <v>0</v>
      </c>
      <c r="V423" s="2"/>
      <c r="W423" s="2"/>
      <c r="X423" s="2">
        <f t="shared" si="66"/>
        <v>0</v>
      </c>
      <c r="Y423" s="2">
        <v>1047.08</v>
      </c>
      <c r="Z423" s="2"/>
      <c r="AA423" s="2">
        <f t="shared" si="67"/>
        <v>-1047.08</v>
      </c>
      <c r="AB423" s="2">
        <v>286.99</v>
      </c>
      <c r="AC423" s="2"/>
      <c r="AD423" s="2">
        <f t="shared" si="68"/>
        <v>-286.99</v>
      </c>
      <c r="AE423" s="2">
        <v>1334.07</v>
      </c>
      <c r="AF423" s="2"/>
      <c r="AG423" s="2">
        <f t="shared" si="69"/>
        <v>-1334.07</v>
      </c>
    </row>
    <row r="424" spans="1:33" x14ac:dyDescent="0.3">
      <c r="B424" s="3"/>
      <c r="C424" t="str">
        <f xml:space="preserve"> _xll.EPMOlapMemberO("[CLACO].[PARENTH1].[AMSAGGENERALES.2]","","Otros Gastos","","000")</f>
        <v>Otros Gastos</v>
      </c>
      <c r="D424" s="2"/>
      <c r="E424" s="2">
        <v>4435.68</v>
      </c>
      <c r="F424" s="2">
        <f t="shared" si="60"/>
        <v>4435.68</v>
      </c>
      <c r="G424" s="2"/>
      <c r="H424" s="2">
        <v>7403.04</v>
      </c>
      <c r="I424" s="2">
        <f t="shared" si="61"/>
        <v>7403.04</v>
      </c>
      <c r="J424" s="2">
        <v>4203.76</v>
      </c>
      <c r="K424" s="2">
        <v>10635.56</v>
      </c>
      <c r="L424" s="2">
        <f t="shared" si="62"/>
        <v>6431.7999999999993</v>
      </c>
      <c r="M424" s="2">
        <v>5601.73</v>
      </c>
      <c r="N424" s="2">
        <v>19574.28</v>
      </c>
      <c r="O424" s="2">
        <f t="shared" si="63"/>
        <v>13972.55</v>
      </c>
      <c r="P424" s="2">
        <v>953.42</v>
      </c>
      <c r="Q424" s="2"/>
      <c r="R424" s="2">
        <f t="shared" si="64"/>
        <v>-953.42</v>
      </c>
      <c r="S424" s="2">
        <v>0</v>
      </c>
      <c r="T424" s="2">
        <v>2040.33</v>
      </c>
      <c r="U424" s="2">
        <f t="shared" si="65"/>
        <v>2040.33</v>
      </c>
      <c r="V424" s="2">
        <v>10110.26</v>
      </c>
      <c r="W424" s="2">
        <v>11073.87</v>
      </c>
      <c r="X424" s="2">
        <f t="shared" si="66"/>
        <v>963.61000000000058</v>
      </c>
      <c r="Y424" s="2">
        <v>153.08000000000001</v>
      </c>
      <c r="Z424" s="2"/>
      <c r="AA424" s="2">
        <f t="shared" si="67"/>
        <v>-153.08000000000001</v>
      </c>
      <c r="AB424" s="2">
        <v>5734.13</v>
      </c>
      <c r="AC424" s="2">
        <v>10723.01</v>
      </c>
      <c r="AD424" s="2">
        <f t="shared" si="68"/>
        <v>4988.88</v>
      </c>
      <c r="AE424" s="2">
        <v>6950.89</v>
      </c>
      <c r="AF424" s="2">
        <v>41225.57</v>
      </c>
      <c r="AG424" s="2">
        <f t="shared" si="69"/>
        <v>34274.68</v>
      </c>
    </row>
    <row r="425" spans="1:33" x14ac:dyDescent="0.3">
      <c r="A425" t="s">
        <v>49</v>
      </c>
      <c r="B425" s="3" t="str">
        <f xml:space="preserve"> _xll.EPMOlapMemberO("[CECO].[PARENTH3].[AMSA1000AC4011]","","SubGn Remuneraciones","","000")</f>
        <v>SubGn Remuneraciones</v>
      </c>
      <c r="C425" t="str">
        <f xml:space="preserve"> _xll.EPMOlapMemberO("[CLACO].[PARENTH1].[AMSAADM_PERSON]","","Administración Perso","","000")</f>
        <v>Administración Perso</v>
      </c>
      <c r="D425" s="2"/>
      <c r="E425" s="2"/>
      <c r="F425" s="2">
        <f t="shared" si="60"/>
        <v>0</v>
      </c>
      <c r="G425" s="2"/>
      <c r="H425" s="2"/>
      <c r="I425" s="2">
        <f t="shared" si="61"/>
        <v>0</v>
      </c>
      <c r="J425" s="2">
        <v>2562.0100000000002</v>
      </c>
      <c r="K425" s="2"/>
      <c r="L425" s="2">
        <f t="shared" si="62"/>
        <v>-2562.0100000000002</v>
      </c>
      <c r="M425" s="2"/>
      <c r="N425" s="2"/>
      <c r="O425" s="2">
        <f t="shared" si="63"/>
        <v>0</v>
      </c>
      <c r="P425" s="2"/>
      <c r="Q425" s="2"/>
      <c r="R425" s="2">
        <f t="shared" si="64"/>
        <v>0</v>
      </c>
      <c r="S425" s="2"/>
      <c r="T425" s="2"/>
      <c r="U425" s="2">
        <f t="shared" si="65"/>
        <v>0</v>
      </c>
      <c r="V425" s="2"/>
      <c r="W425" s="2"/>
      <c r="X425" s="2">
        <f t="shared" si="66"/>
        <v>0</v>
      </c>
      <c r="Y425" s="2"/>
      <c r="Z425" s="2"/>
      <c r="AA425" s="2">
        <f t="shared" si="67"/>
        <v>0</v>
      </c>
      <c r="AB425" s="2"/>
      <c r="AC425" s="2"/>
      <c r="AD425" s="2">
        <f t="shared" si="68"/>
        <v>0</v>
      </c>
      <c r="AE425" s="2"/>
      <c r="AF425" s="2"/>
      <c r="AG425" s="2">
        <f t="shared" si="69"/>
        <v>0</v>
      </c>
    </row>
    <row r="426" spans="1:33" x14ac:dyDescent="0.3">
      <c r="B426" s="3"/>
      <c r="C426" t="str">
        <f xml:space="preserve"> _xll.EPMOlapMemberO("[CLACO].[PARENTH1].[AMSAASESORIAS]","","Asesorías y Consulto","","000")</f>
        <v>Asesorías y Consulto</v>
      </c>
      <c r="D426" s="2">
        <v>1892.37</v>
      </c>
      <c r="E426" s="2"/>
      <c r="F426" s="2">
        <f t="shared" si="60"/>
        <v>-1892.37</v>
      </c>
      <c r="G426" s="2"/>
      <c r="H426" s="2"/>
      <c r="I426" s="2">
        <f t="shared" si="61"/>
        <v>0</v>
      </c>
      <c r="J426" s="2"/>
      <c r="K426" s="2"/>
      <c r="L426" s="2">
        <f t="shared" si="62"/>
        <v>0</v>
      </c>
      <c r="M426" s="2"/>
      <c r="N426" s="2"/>
      <c r="O426" s="2">
        <f t="shared" si="63"/>
        <v>0</v>
      </c>
      <c r="P426" s="2"/>
      <c r="Q426" s="2"/>
      <c r="R426" s="2">
        <f t="shared" si="64"/>
        <v>0</v>
      </c>
      <c r="S426" s="2"/>
      <c r="T426" s="2"/>
      <c r="U426" s="2">
        <f t="shared" si="65"/>
        <v>0</v>
      </c>
      <c r="V426" s="2"/>
      <c r="W426" s="2"/>
      <c r="X426" s="2">
        <f t="shared" si="66"/>
        <v>0</v>
      </c>
      <c r="Y426" s="2"/>
      <c r="Z426" s="2"/>
      <c r="AA426" s="2">
        <f t="shared" si="67"/>
        <v>0</v>
      </c>
      <c r="AB426" s="2"/>
      <c r="AC426" s="2"/>
      <c r="AD426" s="2">
        <f t="shared" si="68"/>
        <v>0</v>
      </c>
      <c r="AE426" s="2"/>
      <c r="AF426" s="2"/>
      <c r="AG426" s="2">
        <f t="shared" si="69"/>
        <v>0</v>
      </c>
    </row>
    <row r="427" spans="1:33" x14ac:dyDescent="0.3">
      <c r="B427" s="3"/>
      <c r="C427" t="str">
        <f xml:space="preserve"> _xll.EPMOlapMemberO("[CLACO].[PARENTH1].[AMSASERVICIOS]","","Servicios","","000")</f>
        <v>Servicios</v>
      </c>
      <c r="D427" s="2"/>
      <c r="E427" s="2"/>
      <c r="F427" s="2">
        <f t="shared" si="60"/>
        <v>0</v>
      </c>
      <c r="G427" s="2"/>
      <c r="H427" s="2"/>
      <c r="I427" s="2">
        <f t="shared" si="61"/>
        <v>0</v>
      </c>
      <c r="J427" s="2">
        <v>235.76</v>
      </c>
      <c r="K427" s="2"/>
      <c r="L427" s="2">
        <f t="shared" si="62"/>
        <v>-235.76</v>
      </c>
      <c r="M427" s="2">
        <v>1185.6199999999999</v>
      </c>
      <c r="N427" s="2"/>
      <c r="O427" s="2">
        <f t="shared" si="63"/>
        <v>-1185.6199999999999</v>
      </c>
      <c r="P427" s="2">
        <v>29.43</v>
      </c>
      <c r="Q427" s="2"/>
      <c r="R427" s="2">
        <f t="shared" si="64"/>
        <v>-29.43</v>
      </c>
      <c r="S427" s="2"/>
      <c r="T427" s="2"/>
      <c r="U427" s="2">
        <f t="shared" si="65"/>
        <v>0</v>
      </c>
      <c r="V427" s="2"/>
      <c r="W427" s="2"/>
      <c r="X427" s="2">
        <f t="shared" si="66"/>
        <v>0</v>
      </c>
      <c r="Y427" s="2">
        <v>2.0099999999999998</v>
      </c>
      <c r="Z427" s="2"/>
      <c r="AA427" s="2">
        <f t="shared" si="67"/>
        <v>-2.0099999999999998</v>
      </c>
      <c r="AB427" s="2">
        <v>156.13</v>
      </c>
      <c r="AC427" s="2"/>
      <c r="AD427" s="2">
        <f t="shared" si="68"/>
        <v>-156.13</v>
      </c>
      <c r="AE427" s="2">
        <v>447.47</v>
      </c>
      <c r="AF427" s="2"/>
      <c r="AG427" s="2">
        <f t="shared" si="69"/>
        <v>-447.47</v>
      </c>
    </row>
    <row r="428" spans="1:33" x14ac:dyDescent="0.3">
      <c r="B428" s="3"/>
      <c r="C428" t="str">
        <f xml:space="preserve"> _xll.EPMOlapMemberO("[CLACO].[PARENTH1].[AMSAINFORMATIC]","","Informática y Comuni","","000")</f>
        <v>Informática y Comuni</v>
      </c>
      <c r="D428" s="2">
        <v>399.61</v>
      </c>
      <c r="E428" s="2">
        <v>747.28</v>
      </c>
      <c r="F428" s="2">
        <f t="shared" si="60"/>
        <v>347.66999999999996</v>
      </c>
      <c r="G428" s="2">
        <v>0.52</v>
      </c>
      <c r="H428" s="2">
        <v>660</v>
      </c>
      <c r="I428" s="2">
        <f t="shared" si="61"/>
        <v>659.48</v>
      </c>
      <c r="J428" s="2"/>
      <c r="K428" s="2"/>
      <c r="L428" s="2">
        <f t="shared" si="62"/>
        <v>0</v>
      </c>
      <c r="M428" s="2"/>
      <c r="N428" s="2"/>
      <c r="O428" s="2">
        <f t="shared" si="63"/>
        <v>0</v>
      </c>
      <c r="P428" s="2"/>
      <c r="Q428" s="2"/>
      <c r="R428" s="2">
        <f t="shared" si="64"/>
        <v>0</v>
      </c>
      <c r="S428" s="2"/>
      <c r="T428" s="2"/>
      <c r="U428" s="2">
        <f t="shared" si="65"/>
        <v>0</v>
      </c>
      <c r="V428" s="2"/>
      <c r="W428" s="2"/>
      <c r="X428" s="2">
        <f t="shared" si="66"/>
        <v>0</v>
      </c>
      <c r="Y428" s="2"/>
      <c r="Z428" s="2"/>
      <c r="AA428" s="2">
        <f t="shared" si="67"/>
        <v>0</v>
      </c>
      <c r="AB428" s="2"/>
      <c r="AC428" s="2"/>
      <c r="AD428" s="2">
        <f t="shared" si="68"/>
        <v>0</v>
      </c>
      <c r="AE428" s="2"/>
      <c r="AF428" s="2"/>
      <c r="AG428" s="2">
        <f t="shared" si="69"/>
        <v>0</v>
      </c>
    </row>
    <row r="429" spans="1:33" x14ac:dyDescent="0.3">
      <c r="B429" s="3"/>
      <c r="C429" t="str">
        <f xml:space="preserve"> _xll.EPMOlapMemberO("[CLACO].[PARENTH1].[AMSAIMP_PATEN]","","Impuestos / Patentes","","000")</f>
        <v>Impuestos / Patentes</v>
      </c>
      <c r="D429" s="2"/>
      <c r="E429" s="2"/>
      <c r="F429" s="2">
        <f t="shared" si="60"/>
        <v>0</v>
      </c>
      <c r="G429" s="2"/>
      <c r="H429" s="2"/>
      <c r="I429" s="2">
        <f t="shared" si="61"/>
        <v>0</v>
      </c>
      <c r="J429" s="2"/>
      <c r="K429" s="2"/>
      <c r="L429" s="2">
        <f t="shared" si="62"/>
        <v>0</v>
      </c>
      <c r="M429" s="2">
        <v>35.75</v>
      </c>
      <c r="N429" s="2"/>
      <c r="O429" s="2">
        <f t="shared" si="63"/>
        <v>-35.75</v>
      </c>
      <c r="P429" s="2"/>
      <c r="Q429" s="2"/>
      <c r="R429" s="2">
        <f t="shared" si="64"/>
        <v>0</v>
      </c>
      <c r="S429" s="2"/>
      <c r="T429" s="2"/>
      <c r="U429" s="2">
        <f t="shared" si="65"/>
        <v>0</v>
      </c>
      <c r="V429" s="2"/>
      <c r="W429" s="2"/>
      <c r="X429" s="2">
        <f t="shared" si="66"/>
        <v>0</v>
      </c>
      <c r="Y429" s="2"/>
      <c r="Z429" s="2"/>
      <c r="AA429" s="2">
        <f t="shared" si="67"/>
        <v>0</v>
      </c>
      <c r="AB429" s="2"/>
      <c r="AC429" s="2"/>
      <c r="AD429" s="2">
        <f t="shared" si="68"/>
        <v>0</v>
      </c>
      <c r="AE429" s="2"/>
      <c r="AF429" s="2"/>
      <c r="AG429" s="2">
        <f t="shared" si="69"/>
        <v>0</v>
      </c>
    </row>
    <row r="430" spans="1:33" x14ac:dyDescent="0.3">
      <c r="B430" s="3"/>
      <c r="C430" t="str">
        <f xml:space="preserve"> _xll.EPMOlapMemberO("[CLACO].[PARENTH1].[AMSAGGENERALES.2]","","Otros Gastos","","000")</f>
        <v>Otros Gastos</v>
      </c>
      <c r="D430" s="2">
        <v>5094.38</v>
      </c>
      <c r="E430" s="2">
        <v>13245.53</v>
      </c>
      <c r="F430" s="2">
        <f t="shared" si="60"/>
        <v>8151.1500000000005</v>
      </c>
      <c r="G430" s="2">
        <v>2926.19</v>
      </c>
      <c r="H430" s="2">
        <v>12600</v>
      </c>
      <c r="I430" s="2">
        <f t="shared" si="61"/>
        <v>9673.81</v>
      </c>
      <c r="J430" s="2">
        <v>722.54</v>
      </c>
      <c r="K430" s="2">
        <v>12019.75</v>
      </c>
      <c r="L430" s="2">
        <f t="shared" si="62"/>
        <v>11297.21</v>
      </c>
      <c r="M430" s="2">
        <v>184.85</v>
      </c>
      <c r="N430" s="2">
        <v>6588.7</v>
      </c>
      <c r="O430" s="2">
        <f t="shared" si="63"/>
        <v>6403.8499999999995</v>
      </c>
      <c r="P430" s="2"/>
      <c r="Q430" s="2">
        <v>401.14</v>
      </c>
      <c r="R430" s="2">
        <f t="shared" si="64"/>
        <v>401.14</v>
      </c>
      <c r="S430" s="2">
        <v>11.86</v>
      </c>
      <c r="T430" s="2">
        <v>400.02</v>
      </c>
      <c r="U430" s="2">
        <f t="shared" si="65"/>
        <v>388.15999999999997</v>
      </c>
      <c r="V430" s="2">
        <v>12.44</v>
      </c>
      <c r="W430" s="2">
        <v>837.23</v>
      </c>
      <c r="X430" s="2">
        <f t="shared" si="66"/>
        <v>824.79</v>
      </c>
      <c r="Y430" s="2">
        <v>11.09</v>
      </c>
      <c r="Z430" s="2">
        <v>397.78</v>
      </c>
      <c r="AA430" s="2">
        <f t="shared" si="67"/>
        <v>386.69</v>
      </c>
      <c r="AB430" s="2"/>
      <c r="AC430" s="2">
        <v>396.69</v>
      </c>
      <c r="AD430" s="2">
        <f t="shared" si="68"/>
        <v>396.69</v>
      </c>
      <c r="AE430" s="2">
        <v>108.94</v>
      </c>
      <c r="AF430" s="2">
        <v>6609.5</v>
      </c>
      <c r="AG430" s="2">
        <f t="shared" si="69"/>
        <v>6500.56</v>
      </c>
    </row>
    <row r="431" spans="1:33" x14ac:dyDescent="0.3">
      <c r="A431" t="s">
        <v>50</v>
      </c>
      <c r="B431" s="3" t="str">
        <f xml:space="preserve"> _xll.EPMOlapMemberO("[CECO].[PARENTH3].[AMSA1000AC4012]","","Progr.Diver e Inclus","","000")</f>
        <v>Progr.Diver e Inclus</v>
      </c>
      <c r="C431" t="str">
        <f xml:space="preserve"> _xll.EPMOlapMemberO("[CLACO].[PARENTH1].[AMSAADM_PERSON]","","Administración Perso","","000")</f>
        <v>Administración Perso</v>
      </c>
      <c r="D431" s="2">
        <v>9300.2800000000007</v>
      </c>
      <c r="E431" s="2"/>
      <c r="F431" s="2">
        <f t="shared" si="60"/>
        <v>-9300.2800000000007</v>
      </c>
      <c r="G431" s="2">
        <v>35421.01</v>
      </c>
      <c r="H431" s="2">
        <v>15000</v>
      </c>
      <c r="I431" s="2">
        <f t="shared" si="61"/>
        <v>-20421.010000000002</v>
      </c>
      <c r="J431" s="2">
        <v>20301.330000000002</v>
      </c>
      <c r="K431" s="2">
        <v>44117.64</v>
      </c>
      <c r="L431" s="2">
        <f t="shared" si="62"/>
        <v>23816.309999999998</v>
      </c>
      <c r="M431" s="2">
        <v>72335.399999999994</v>
      </c>
      <c r="N431" s="2">
        <v>61193.32</v>
      </c>
      <c r="O431" s="2">
        <f t="shared" si="63"/>
        <v>-11142.079999999994</v>
      </c>
      <c r="P431" s="2">
        <v>211.75</v>
      </c>
      <c r="Q431" s="2"/>
      <c r="R431" s="2">
        <f t="shared" si="64"/>
        <v>-211.75</v>
      </c>
      <c r="S431" s="2">
        <v>1506.39</v>
      </c>
      <c r="T431" s="2">
        <v>13408.4</v>
      </c>
      <c r="U431" s="2">
        <f t="shared" si="65"/>
        <v>11902.01</v>
      </c>
      <c r="V431" s="2"/>
      <c r="W431" s="2">
        <v>11142.36</v>
      </c>
      <c r="X431" s="2">
        <f t="shared" si="66"/>
        <v>11142.36</v>
      </c>
      <c r="Y431" s="2"/>
      <c r="Z431" s="2"/>
      <c r="AA431" s="2">
        <f t="shared" si="67"/>
        <v>0</v>
      </c>
      <c r="AB431" s="2"/>
      <c r="AC431" s="2"/>
      <c r="AD431" s="2">
        <f t="shared" si="68"/>
        <v>0</v>
      </c>
      <c r="AE431" s="2">
        <v>3080.79</v>
      </c>
      <c r="AF431" s="2">
        <v>60782.31</v>
      </c>
      <c r="AG431" s="2">
        <f t="shared" si="69"/>
        <v>57701.52</v>
      </c>
    </row>
    <row r="432" spans="1:33" x14ac:dyDescent="0.3">
      <c r="B432" s="3"/>
      <c r="C432" t="str">
        <f xml:space="preserve"> _xll.EPMOlapMemberO("[CLACO].[PARENTH1].[AMSAENTRENAMI]","","Entrenamiento","","000")</f>
        <v>Entrenamiento</v>
      </c>
      <c r="D432" s="2">
        <v>69944.899999999994</v>
      </c>
      <c r="E432" s="2">
        <v>71964.42</v>
      </c>
      <c r="F432" s="2">
        <f t="shared" si="60"/>
        <v>2019.5200000000041</v>
      </c>
      <c r="G432" s="2">
        <v>84438.9</v>
      </c>
      <c r="H432" s="2">
        <v>33721</v>
      </c>
      <c r="I432" s="2">
        <f t="shared" si="61"/>
        <v>-50717.899999999994</v>
      </c>
      <c r="J432" s="2">
        <v>44997.39</v>
      </c>
      <c r="K432" s="2"/>
      <c r="L432" s="2">
        <f t="shared" si="62"/>
        <v>-44997.39</v>
      </c>
      <c r="M432" s="2">
        <v>449.5</v>
      </c>
      <c r="N432" s="2"/>
      <c r="O432" s="2">
        <f t="shared" si="63"/>
        <v>-449.5</v>
      </c>
      <c r="P432" s="2"/>
      <c r="Q432" s="2"/>
      <c r="R432" s="2">
        <f t="shared" si="64"/>
        <v>0</v>
      </c>
      <c r="S432" s="2"/>
      <c r="T432" s="2"/>
      <c r="U432" s="2">
        <f t="shared" si="65"/>
        <v>0</v>
      </c>
      <c r="V432" s="2"/>
      <c r="W432" s="2"/>
      <c r="X432" s="2">
        <f t="shared" si="66"/>
        <v>0</v>
      </c>
      <c r="Y432" s="2"/>
      <c r="Z432" s="2"/>
      <c r="AA432" s="2">
        <f t="shared" si="67"/>
        <v>0</v>
      </c>
      <c r="AB432" s="2"/>
      <c r="AC432" s="2"/>
      <c r="AD432" s="2">
        <f t="shared" si="68"/>
        <v>0</v>
      </c>
      <c r="AE432" s="2"/>
      <c r="AF432" s="2"/>
      <c r="AG432" s="2">
        <f t="shared" si="69"/>
        <v>0</v>
      </c>
    </row>
    <row r="433" spans="1:33" x14ac:dyDescent="0.3">
      <c r="B433" s="3"/>
      <c r="C433" t="str">
        <f xml:space="preserve"> _xll.EPMOlapMemberO("[CLACO].[PARENTH1].[AMSAASESORIAS]","","Asesorías y Consulto","","000")</f>
        <v>Asesorías y Consulto</v>
      </c>
      <c r="D433" s="2">
        <v>71367.81</v>
      </c>
      <c r="E433" s="2">
        <v>126184.85</v>
      </c>
      <c r="F433" s="2">
        <f t="shared" si="60"/>
        <v>54817.040000000008</v>
      </c>
      <c r="G433" s="2">
        <v>102926.93</v>
      </c>
      <c r="H433" s="2">
        <v>64853.68</v>
      </c>
      <c r="I433" s="2">
        <f t="shared" si="61"/>
        <v>-38073.249999999993</v>
      </c>
      <c r="J433" s="2">
        <v>24963.279999999999</v>
      </c>
      <c r="K433" s="2">
        <v>29499.919999999998</v>
      </c>
      <c r="L433" s="2">
        <f t="shared" si="62"/>
        <v>4536.6399999999994</v>
      </c>
      <c r="M433" s="2">
        <v>27753.8</v>
      </c>
      <c r="N433" s="2">
        <v>23983.67</v>
      </c>
      <c r="O433" s="2">
        <f t="shared" si="63"/>
        <v>-3770.130000000001</v>
      </c>
      <c r="P433" s="2">
        <v>461.05</v>
      </c>
      <c r="Q433" s="2">
        <v>1582.44</v>
      </c>
      <c r="R433" s="2">
        <f t="shared" si="64"/>
        <v>1121.3900000000001</v>
      </c>
      <c r="S433" s="2">
        <v>1522.41</v>
      </c>
      <c r="T433" s="2">
        <v>2114.38</v>
      </c>
      <c r="U433" s="2">
        <f t="shared" si="65"/>
        <v>591.97</v>
      </c>
      <c r="V433" s="2">
        <v>1483.45</v>
      </c>
      <c r="W433" s="2">
        <v>3712.99</v>
      </c>
      <c r="X433" s="2">
        <f t="shared" si="66"/>
        <v>2229.54</v>
      </c>
      <c r="Y433" s="2">
        <v>1602.9</v>
      </c>
      <c r="Z433" s="2">
        <v>1569.28</v>
      </c>
      <c r="AA433" s="2">
        <f t="shared" si="67"/>
        <v>-33.620000000000118</v>
      </c>
      <c r="AB433" s="2">
        <v>2435.94</v>
      </c>
      <c r="AC433" s="2">
        <v>1564.91</v>
      </c>
      <c r="AD433" s="2">
        <f t="shared" si="68"/>
        <v>-871.03</v>
      </c>
      <c r="AE433" s="2">
        <v>8178.69</v>
      </c>
      <c r="AF433" s="2">
        <v>24523.34</v>
      </c>
      <c r="AG433" s="2">
        <f t="shared" si="69"/>
        <v>16344.650000000001</v>
      </c>
    </row>
    <row r="434" spans="1:33" x14ac:dyDescent="0.3">
      <c r="B434" s="3"/>
      <c r="C434" t="str">
        <f xml:space="preserve"> _xll.EPMOlapMemberO("[CLACO].[PARENTH1].[AMSASERVICIOS]","","Servicios","","000")</f>
        <v>Servicios</v>
      </c>
      <c r="D434" s="2">
        <v>11180.69</v>
      </c>
      <c r="E434" s="2"/>
      <c r="F434" s="2">
        <f t="shared" si="60"/>
        <v>-11180.69</v>
      </c>
      <c r="G434" s="2">
        <v>31181.94</v>
      </c>
      <c r="H434" s="2">
        <v>22720.83</v>
      </c>
      <c r="I434" s="2">
        <f t="shared" si="61"/>
        <v>-8461.1099999999969</v>
      </c>
      <c r="J434" s="2">
        <v>14083.72</v>
      </c>
      <c r="K434" s="2"/>
      <c r="L434" s="2">
        <f t="shared" si="62"/>
        <v>-14083.72</v>
      </c>
      <c r="M434" s="2">
        <v>-2188.66</v>
      </c>
      <c r="N434" s="2"/>
      <c r="O434" s="2">
        <f t="shared" si="63"/>
        <v>2188.66</v>
      </c>
      <c r="P434" s="2"/>
      <c r="Q434" s="2"/>
      <c r="R434" s="2">
        <f t="shared" si="64"/>
        <v>0</v>
      </c>
      <c r="S434" s="2"/>
      <c r="T434" s="2"/>
      <c r="U434" s="2">
        <f t="shared" si="65"/>
        <v>0</v>
      </c>
      <c r="V434" s="2"/>
      <c r="W434" s="2"/>
      <c r="X434" s="2">
        <f t="shared" si="66"/>
        <v>0</v>
      </c>
      <c r="Y434" s="2"/>
      <c r="Z434" s="2"/>
      <c r="AA434" s="2">
        <f t="shared" si="67"/>
        <v>0</v>
      </c>
      <c r="AB434" s="2"/>
      <c r="AC434" s="2"/>
      <c r="AD434" s="2">
        <f t="shared" si="68"/>
        <v>0</v>
      </c>
      <c r="AE434" s="2"/>
      <c r="AF434" s="2"/>
      <c r="AG434" s="2">
        <f t="shared" si="69"/>
        <v>0</v>
      </c>
    </row>
    <row r="435" spans="1:33" x14ac:dyDescent="0.3">
      <c r="B435" s="3"/>
      <c r="C435" t="str">
        <f xml:space="preserve"> _xll.EPMOlapMemberO("[CLACO].[PARENTH1].[AMSASERMANTO.REPA]","","Servicios Mantenimie","","000")</f>
        <v>Servicios Mantenimie</v>
      </c>
      <c r="D435" s="2">
        <v>-7707.45</v>
      </c>
      <c r="E435" s="2">
        <v>10342.24</v>
      </c>
      <c r="F435" s="2">
        <f t="shared" si="60"/>
        <v>18049.689999999999</v>
      </c>
      <c r="G435" s="2"/>
      <c r="H435" s="2"/>
      <c r="I435" s="2">
        <f t="shared" si="61"/>
        <v>0</v>
      </c>
      <c r="J435" s="2"/>
      <c r="K435" s="2"/>
      <c r="L435" s="2">
        <f t="shared" si="62"/>
        <v>0</v>
      </c>
      <c r="M435" s="2">
        <v>9754.17</v>
      </c>
      <c r="N435" s="2"/>
      <c r="O435" s="2">
        <f t="shared" si="63"/>
        <v>-9754.17</v>
      </c>
      <c r="P435" s="2"/>
      <c r="Q435" s="2"/>
      <c r="R435" s="2">
        <f t="shared" si="64"/>
        <v>0</v>
      </c>
      <c r="S435" s="2"/>
      <c r="T435" s="2"/>
      <c r="U435" s="2">
        <f t="shared" si="65"/>
        <v>0</v>
      </c>
      <c r="V435" s="2"/>
      <c r="W435" s="2"/>
      <c r="X435" s="2">
        <f t="shared" si="66"/>
        <v>0</v>
      </c>
      <c r="Y435" s="2"/>
      <c r="Z435" s="2"/>
      <c r="AA435" s="2">
        <f t="shared" si="67"/>
        <v>0</v>
      </c>
      <c r="AB435" s="2"/>
      <c r="AC435" s="2"/>
      <c r="AD435" s="2">
        <f t="shared" si="68"/>
        <v>0</v>
      </c>
      <c r="AE435" s="2"/>
      <c r="AF435" s="2"/>
      <c r="AG435" s="2">
        <f t="shared" si="69"/>
        <v>0</v>
      </c>
    </row>
    <row r="436" spans="1:33" x14ac:dyDescent="0.3">
      <c r="B436" s="3"/>
      <c r="C436" t="str">
        <f xml:space="preserve"> _xll.EPMOlapMemberO("[CLACO].[PARENTH1].[AMSAINFORMATIC]","","Informática y Comuni","","000")</f>
        <v>Informática y Comuni</v>
      </c>
      <c r="D436" s="2">
        <v>-4848.09</v>
      </c>
      <c r="E436" s="2"/>
      <c r="F436" s="2">
        <f t="shared" si="60"/>
        <v>4848.09</v>
      </c>
      <c r="G436" s="2">
        <v>5984.84</v>
      </c>
      <c r="H436" s="2"/>
      <c r="I436" s="2">
        <f t="shared" si="61"/>
        <v>-5984.84</v>
      </c>
      <c r="J436" s="2">
        <v>162.65</v>
      </c>
      <c r="K436" s="2"/>
      <c r="L436" s="2">
        <f t="shared" si="62"/>
        <v>-162.65</v>
      </c>
      <c r="M436" s="2"/>
      <c r="N436" s="2"/>
      <c r="O436" s="2">
        <f t="shared" si="63"/>
        <v>0</v>
      </c>
      <c r="P436" s="2"/>
      <c r="Q436" s="2"/>
      <c r="R436" s="2">
        <f t="shared" si="64"/>
        <v>0</v>
      </c>
      <c r="S436" s="2"/>
      <c r="T436" s="2"/>
      <c r="U436" s="2">
        <f t="shared" si="65"/>
        <v>0</v>
      </c>
      <c r="V436" s="2"/>
      <c r="W436" s="2"/>
      <c r="X436" s="2">
        <f t="shared" si="66"/>
        <v>0</v>
      </c>
      <c r="Y436" s="2"/>
      <c r="Z436" s="2"/>
      <c r="AA436" s="2">
        <f t="shared" si="67"/>
        <v>0</v>
      </c>
      <c r="AB436" s="2"/>
      <c r="AC436" s="2"/>
      <c r="AD436" s="2">
        <f t="shared" si="68"/>
        <v>0</v>
      </c>
      <c r="AE436" s="2"/>
      <c r="AF436" s="2"/>
      <c r="AG436" s="2">
        <f t="shared" si="69"/>
        <v>0</v>
      </c>
    </row>
    <row r="437" spans="1:33" x14ac:dyDescent="0.3">
      <c r="B437" s="3"/>
      <c r="C437" t="str">
        <f xml:space="preserve"> _xll.EPMOlapMemberO("[CLACO].[PARENTH1].[AMSAG_VIAJES]","","Gastos de Viajes","","000")</f>
        <v>Gastos de Viajes</v>
      </c>
      <c r="D437" s="2">
        <v>6363.58</v>
      </c>
      <c r="E437" s="2"/>
      <c r="F437" s="2">
        <f t="shared" si="60"/>
        <v>-6363.58</v>
      </c>
      <c r="G437" s="2">
        <v>7669.99</v>
      </c>
      <c r="H437" s="2">
        <v>2857.14</v>
      </c>
      <c r="I437" s="2">
        <f t="shared" si="61"/>
        <v>-4812.8500000000004</v>
      </c>
      <c r="J437" s="2">
        <v>2451.08</v>
      </c>
      <c r="K437" s="2"/>
      <c r="L437" s="2">
        <f t="shared" si="62"/>
        <v>-2451.08</v>
      </c>
      <c r="M437" s="2">
        <v>5776.01</v>
      </c>
      <c r="N437" s="2"/>
      <c r="O437" s="2">
        <f t="shared" si="63"/>
        <v>-5776.01</v>
      </c>
      <c r="P437" s="2"/>
      <c r="Q437" s="2"/>
      <c r="R437" s="2">
        <f t="shared" si="64"/>
        <v>0</v>
      </c>
      <c r="S437" s="2"/>
      <c r="T437" s="2"/>
      <c r="U437" s="2">
        <f t="shared" si="65"/>
        <v>0</v>
      </c>
      <c r="V437" s="2"/>
      <c r="W437" s="2"/>
      <c r="X437" s="2">
        <f t="shared" si="66"/>
        <v>0</v>
      </c>
      <c r="Y437" s="2"/>
      <c r="Z437" s="2"/>
      <c r="AA437" s="2">
        <f t="shared" si="67"/>
        <v>0</v>
      </c>
      <c r="AB437" s="2">
        <v>530.04999999999995</v>
      </c>
      <c r="AC437" s="2"/>
      <c r="AD437" s="2">
        <f t="shared" si="68"/>
        <v>-530.04999999999995</v>
      </c>
      <c r="AE437" s="2">
        <v>530.04999999999995</v>
      </c>
      <c r="AF437" s="2"/>
      <c r="AG437" s="2">
        <f t="shared" si="69"/>
        <v>-530.04999999999995</v>
      </c>
    </row>
    <row r="438" spans="1:33" x14ac:dyDescent="0.3">
      <c r="B438" s="3"/>
      <c r="C438" t="str">
        <f xml:space="preserve"> _xll.EPMOlapMemberO("[CLACO].[PARENTH1].[AMSAGGENERALES.2]","","Otros Gastos","","000")</f>
        <v>Otros Gastos</v>
      </c>
      <c r="D438" s="2"/>
      <c r="E438" s="2"/>
      <c r="F438" s="2">
        <f t="shared" si="60"/>
        <v>0</v>
      </c>
      <c r="G438" s="2">
        <v>2553.5100000000002</v>
      </c>
      <c r="H438" s="2"/>
      <c r="I438" s="2">
        <f t="shared" si="61"/>
        <v>-2553.5100000000002</v>
      </c>
      <c r="J438" s="2">
        <v>4695.99</v>
      </c>
      <c r="K438" s="2">
        <v>8872.7199999999993</v>
      </c>
      <c r="L438" s="2">
        <f t="shared" si="62"/>
        <v>4176.7299999999996</v>
      </c>
      <c r="M438" s="2">
        <v>44387.03</v>
      </c>
      <c r="N438" s="2">
        <v>45755.17</v>
      </c>
      <c r="O438" s="2">
        <f t="shared" si="63"/>
        <v>1368.1399999999994</v>
      </c>
      <c r="P438" s="2"/>
      <c r="Q438" s="2">
        <v>35263.43</v>
      </c>
      <c r="R438" s="2">
        <f t="shared" si="64"/>
        <v>35263.43</v>
      </c>
      <c r="S438" s="2"/>
      <c r="T438" s="2">
        <v>5274.8</v>
      </c>
      <c r="U438" s="2">
        <f t="shared" si="65"/>
        <v>5274.8</v>
      </c>
      <c r="V438" s="2">
        <v>17832.46</v>
      </c>
      <c r="W438" s="2"/>
      <c r="X438" s="2">
        <f t="shared" si="66"/>
        <v>-17832.46</v>
      </c>
      <c r="Y438" s="2"/>
      <c r="Z438" s="2"/>
      <c r="AA438" s="2">
        <f t="shared" si="67"/>
        <v>0</v>
      </c>
      <c r="AB438" s="2">
        <v>17952.72</v>
      </c>
      <c r="AC438" s="2"/>
      <c r="AD438" s="2">
        <f t="shared" si="68"/>
        <v>-17952.72</v>
      </c>
      <c r="AE438" s="2">
        <v>35785.18</v>
      </c>
      <c r="AF438" s="2">
        <v>47187.07</v>
      </c>
      <c r="AG438" s="2">
        <f t="shared" si="69"/>
        <v>11401.89</v>
      </c>
    </row>
    <row r="439" spans="1:33" x14ac:dyDescent="0.3">
      <c r="A439" t="s">
        <v>51</v>
      </c>
      <c r="B439" s="3" t="str">
        <f xml:space="preserve"> _xll.EPMOlapMemberO("[CECO].[PARENTH3].[AMSA1000AC4013]","","Efect.Organizacional","","000")</f>
        <v>Efect.Organizacional</v>
      </c>
      <c r="C439" t="str">
        <f xml:space="preserve"> _xll.EPMOlapMemberO("[CLACO].[PARENTH1].[AMSAMAT_Y_REP.2]","","Materiales y repuest","","000")</f>
        <v>Materiales y repuest</v>
      </c>
      <c r="D439" s="2"/>
      <c r="E439" s="2"/>
      <c r="F439" s="2">
        <f t="shared" si="60"/>
        <v>0</v>
      </c>
      <c r="G439" s="2"/>
      <c r="H439" s="2">
        <v>1107.72</v>
      </c>
      <c r="I439" s="2">
        <f t="shared" si="61"/>
        <v>1107.72</v>
      </c>
      <c r="J439" s="2"/>
      <c r="K439" s="2"/>
      <c r="L439" s="2">
        <f t="shared" si="62"/>
        <v>0</v>
      </c>
      <c r="M439" s="2"/>
      <c r="N439" s="2"/>
      <c r="O439" s="2">
        <f t="shared" si="63"/>
        <v>0</v>
      </c>
      <c r="P439" s="2"/>
      <c r="Q439" s="2"/>
      <c r="R439" s="2">
        <f t="shared" si="64"/>
        <v>0</v>
      </c>
      <c r="S439" s="2"/>
      <c r="T439" s="2"/>
      <c r="U439" s="2">
        <f t="shared" si="65"/>
        <v>0</v>
      </c>
      <c r="V439" s="2"/>
      <c r="W439" s="2"/>
      <c r="X439" s="2">
        <f t="shared" si="66"/>
        <v>0</v>
      </c>
      <c r="Y439" s="2"/>
      <c r="Z439" s="2"/>
      <c r="AA439" s="2">
        <f t="shared" si="67"/>
        <v>0</v>
      </c>
      <c r="AB439" s="2"/>
      <c r="AC439" s="2"/>
      <c r="AD439" s="2">
        <f t="shared" si="68"/>
        <v>0</v>
      </c>
      <c r="AE439" s="2"/>
      <c r="AF439" s="2"/>
      <c r="AG439" s="2">
        <f t="shared" si="69"/>
        <v>0</v>
      </c>
    </row>
    <row r="440" spans="1:33" x14ac:dyDescent="0.3">
      <c r="B440" s="3"/>
      <c r="C440" t="str">
        <f xml:space="preserve"> _xll.EPMOlapMemberO("[CLACO].[PARENTH1].[AMSAADM_PERSON]","","Administración Perso","","000")</f>
        <v>Administración Perso</v>
      </c>
      <c r="D440" s="2"/>
      <c r="E440" s="2"/>
      <c r="F440" s="2">
        <f t="shared" si="60"/>
        <v>0</v>
      </c>
      <c r="G440" s="2"/>
      <c r="H440" s="2"/>
      <c r="I440" s="2">
        <f t="shared" si="61"/>
        <v>0</v>
      </c>
      <c r="J440" s="2">
        <v>13988.88</v>
      </c>
      <c r="K440" s="2"/>
      <c r="L440" s="2">
        <f t="shared" si="62"/>
        <v>-13988.88</v>
      </c>
      <c r="M440" s="2">
        <v>53.83</v>
      </c>
      <c r="N440" s="2"/>
      <c r="O440" s="2">
        <f t="shared" si="63"/>
        <v>-53.83</v>
      </c>
      <c r="P440" s="2"/>
      <c r="Q440" s="2"/>
      <c r="R440" s="2">
        <f t="shared" si="64"/>
        <v>0</v>
      </c>
      <c r="S440" s="2"/>
      <c r="T440" s="2"/>
      <c r="U440" s="2">
        <f t="shared" si="65"/>
        <v>0</v>
      </c>
      <c r="V440" s="2"/>
      <c r="W440" s="2"/>
      <c r="X440" s="2">
        <f t="shared" si="66"/>
        <v>0</v>
      </c>
      <c r="Y440" s="2"/>
      <c r="Z440" s="2"/>
      <c r="AA440" s="2">
        <f t="shared" si="67"/>
        <v>0</v>
      </c>
      <c r="AB440" s="2"/>
      <c r="AC440" s="2"/>
      <c r="AD440" s="2">
        <f t="shared" si="68"/>
        <v>0</v>
      </c>
      <c r="AE440" s="2"/>
      <c r="AF440" s="2"/>
      <c r="AG440" s="2">
        <f t="shared" si="69"/>
        <v>0</v>
      </c>
    </row>
    <row r="441" spans="1:33" x14ac:dyDescent="0.3">
      <c r="B441" s="3"/>
      <c r="C441" t="str">
        <f xml:space="preserve"> _xll.EPMOlapMemberO("[CLACO].[PARENTH1].[AMSAENTRENAMI]","","Entrenamiento","","000")</f>
        <v>Entrenamiento</v>
      </c>
      <c r="D441" s="2">
        <v>0</v>
      </c>
      <c r="E441" s="2"/>
      <c r="F441" s="2">
        <f t="shared" si="60"/>
        <v>0</v>
      </c>
      <c r="G441" s="2">
        <v>5056.22</v>
      </c>
      <c r="H441" s="2"/>
      <c r="I441" s="2">
        <f t="shared" si="61"/>
        <v>-5056.22</v>
      </c>
      <c r="J441" s="2">
        <v>5519.19</v>
      </c>
      <c r="K441" s="2"/>
      <c r="L441" s="2">
        <f t="shared" si="62"/>
        <v>-5519.19</v>
      </c>
      <c r="M441" s="2">
        <v>9394.3799999999992</v>
      </c>
      <c r="N441" s="2"/>
      <c r="O441" s="2">
        <f t="shared" si="63"/>
        <v>-9394.3799999999992</v>
      </c>
      <c r="P441" s="2"/>
      <c r="Q441" s="2"/>
      <c r="R441" s="2">
        <f t="shared" si="64"/>
        <v>0</v>
      </c>
      <c r="S441" s="2"/>
      <c r="T441" s="2"/>
      <c r="U441" s="2">
        <f t="shared" si="65"/>
        <v>0</v>
      </c>
      <c r="V441" s="2"/>
      <c r="W441" s="2"/>
      <c r="X441" s="2">
        <f t="shared" si="66"/>
        <v>0</v>
      </c>
      <c r="Y441" s="2"/>
      <c r="Z441" s="2"/>
      <c r="AA441" s="2">
        <f t="shared" si="67"/>
        <v>0</v>
      </c>
      <c r="AB441" s="2"/>
      <c r="AC441" s="2"/>
      <c r="AD441" s="2">
        <f t="shared" si="68"/>
        <v>0</v>
      </c>
      <c r="AE441" s="2"/>
      <c r="AF441" s="2"/>
      <c r="AG441" s="2">
        <f t="shared" si="69"/>
        <v>0</v>
      </c>
    </row>
    <row r="442" spans="1:33" x14ac:dyDescent="0.3">
      <c r="B442" s="3"/>
      <c r="C442" t="str">
        <f xml:space="preserve"> _xll.EPMOlapMemberO("[CLACO].[PARENTH1].[AMSAASESORIAS]","","Asesorías y Consulto","","000")</f>
        <v>Asesorías y Consulto</v>
      </c>
      <c r="D442" s="2"/>
      <c r="E442" s="2"/>
      <c r="F442" s="2">
        <f t="shared" si="60"/>
        <v>0</v>
      </c>
      <c r="G442" s="2">
        <v>145877.98000000001</v>
      </c>
      <c r="H442" s="2">
        <v>253901.08</v>
      </c>
      <c r="I442" s="2">
        <f t="shared" si="61"/>
        <v>108023.09999999998</v>
      </c>
      <c r="J442" s="2">
        <v>26151.73</v>
      </c>
      <c r="K442" s="2">
        <v>115276.37</v>
      </c>
      <c r="L442" s="2">
        <f t="shared" si="62"/>
        <v>89124.64</v>
      </c>
      <c r="M442" s="2">
        <v>8942.51</v>
      </c>
      <c r="N442" s="2">
        <v>9087.44</v>
      </c>
      <c r="O442" s="2">
        <f t="shared" si="63"/>
        <v>144.93000000000029</v>
      </c>
      <c r="P442" s="2">
        <v>464.77</v>
      </c>
      <c r="Q442" s="2">
        <v>777.56</v>
      </c>
      <c r="R442" s="2">
        <f t="shared" si="64"/>
        <v>312.78999999999996</v>
      </c>
      <c r="S442" s="2">
        <v>431.85</v>
      </c>
      <c r="T442" s="2">
        <v>775.4</v>
      </c>
      <c r="U442" s="2">
        <f t="shared" si="65"/>
        <v>343.54999999999995</v>
      </c>
      <c r="V442" s="2">
        <v>439.97</v>
      </c>
      <c r="W442" s="2">
        <v>773.24</v>
      </c>
      <c r="X442" s="2">
        <f t="shared" si="66"/>
        <v>333.27</v>
      </c>
      <c r="Y442" s="2">
        <v>463.22</v>
      </c>
      <c r="Z442" s="2">
        <v>771.09</v>
      </c>
      <c r="AA442" s="2">
        <f t="shared" si="67"/>
        <v>307.87</v>
      </c>
      <c r="AB442" s="2">
        <v>441.07</v>
      </c>
      <c r="AC442" s="2">
        <v>768.94</v>
      </c>
      <c r="AD442" s="2">
        <f t="shared" si="68"/>
        <v>327.87000000000006</v>
      </c>
      <c r="AE442" s="2">
        <v>1789.98</v>
      </c>
      <c r="AF442" s="2">
        <v>9370.23</v>
      </c>
      <c r="AG442" s="2">
        <f t="shared" si="69"/>
        <v>7580.25</v>
      </c>
    </row>
    <row r="443" spans="1:33" x14ac:dyDescent="0.3">
      <c r="B443" s="3"/>
      <c r="C443" t="str">
        <f xml:space="preserve"> _xll.EPMOlapMemberO("[CLACO].[PARENTH1].[AMSASERVICIOS]","","Servicios","","000")</f>
        <v>Servicios</v>
      </c>
      <c r="D443" s="2"/>
      <c r="E443" s="2"/>
      <c r="F443" s="2">
        <f t="shared" si="60"/>
        <v>0</v>
      </c>
      <c r="G443" s="2">
        <v>39380.68</v>
      </c>
      <c r="H443" s="2">
        <v>32967</v>
      </c>
      <c r="I443" s="2">
        <f t="shared" si="61"/>
        <v>-6413.68</v>
      </c>
      <c r="J443" s="2">
        <v>75223.13</v>
      </c>
      <c r="K443" s="2">
        <v>30299.64</v>
      </c>
      <c r="L443" s="2">
        <f t="shared" si="62"/>
        <v>-44923.490000000005</v>
      </c>
      <c r="M443" s="2">
        <v>-5965.9</v>
      </c>
      <c r="N443" s="2"/>
      <c r="O443" s="2">
        <f t="shared" si="63"/>
        <v>5965.9</v>
      </c>
      <c r="P443" s="2"/>
      <c r="Q443" s="2"/>
      <c r="R443" s="2">
        <f t="shared" si="64"/>
        <v>0</v>
      </c>
      <c r="S443" s="2"/>
      <c r="T443" s="2"/>
      <c r="U443" s="2">
        <f t="shared" si="65"/>
        <v>0</v>
      </c>
      <c r="V443" s="2"/>
      <c r="W443" s="2"/>
      <c r="X443" s="2">
        <f t="shared" si="66"/>
        <v>0</v>
      </c>
      <c r="Y443" s="2"/>
      <c r="Z443" s="2"/>
      <c r="AA443" s="2">
        <f t="shared" si="67"/>
        <v>0</v>
      </c>
      <c r="AB443" s="2"/>
      <c r="AC443" s="2"/>
      <c r="AD443" s="2">
        <f t="shared" si="68"/>
        <v>0</v>
      </c>
      <c r="AE443" s="2"/>
      <c r="AF443" s="2"/>
      <c r="AG443" s="2">
        <f t="shared" si="69"/>
        <v>0</v>
      </c>
    </row>
    <row r="444" spans="1:33" x14ac:dyDescent="0.3">
      <c r="B444" s="3"/>
      <c r="C444" t="str">
        <f xml:space="preserve"> _xll.EPMOlapMemberO("[CLACO].[PARENTH1].[AMSASERMANTO.REPA]","","Servicios Mantenimie","","000")</f>
        <v>Servicios Mantenimie</v>
      </c>
      <c r="D444" s="2"/>
      <c r="E444" s="2"/>
      <c r="F444" s="2">
        <f t="shared" si="60"/>
        <v>0</v>
      </c>
      <c r="G444" s="2">
        <v>839.3</v>
      </c>
      <c r="H444" s="2"/>
      <c r="I444" s="2">
        <f t="shared" si="61"/>
        <v>-839.3</v>
      </c>
      <c r="J444" s="2">
        <v>903.37</v>
      </c>
      <c r="K444" s="2"/>
      <c r="L444" s="2">
        <f t="shared" si="62"/>
        <v>-903.37</v>
      </c>
      <c r="M444" s="2">
        <v>251.83</v>
      </c>
      <c r="N444" s="2"/>
      <c r="O444" s="2">
        <f t="shared" si="63"/>
        <v>-251.83</v>
      </c>
      <c r="P444" s="2"/>
      <c r="Q444" s="2"/>
      <c r="R444" s="2">
        <f t="shared" si="64"/>
        <v>0</v>
      </c>
      <c r="S444" s="2"/>
      <c r="T444" s="2"/>
      <c r="U444" s="2">
        <f t="shared" si="65"/>
        <v>0</v>
      </c>
      <c r="V444" s="2"/>
      <c r="W444" s="2"/>
      <c r="X444" s="2">
        <f t="shared" si="66"/>
        <v>0</v>
      </c>
      <c r="Y444" s="2"/>
      <c r="Z444" s="2"/>
      <c r="AA444" s="2">
        <f t="shared" si="67"/>
        <v>0</v>
      </c>
      <c r="AB444" s="2"/>
      <c r="AC444" s="2"/>
      <c r="AD444" s="2">
        <f t="shared" si="68"/>
        <v>0</v>
      </c>
      <c r="AE444" s="2"/>
      <c r="AF444" s="2"/>
      <c r="AG444" s="2">
        <f t="shared" si="69"/>
        <v>0</v>
      </c>
    </row>
    <row r="445" spans="1:33" x14ac:dyDescent="0.3">
      <c r="B445" s="3"/>
      <c r="C445" t="str">
        <f xml:space="preserve"> _xll.EPMOlapMemberO("[CLACO].[PARENTH1].[AMSAINFORMATIC]","","Informática y Comuni","","000")</f>
        <v>Informática y Comuni</v>
      </c>
      <c r="D445" s="2"/>
      <c r="E445" s="2"/>
      <c r="F445" s="2">
        <f t="shared" si="60"/>
        <v>0</v>
      </c>
      <c r="G445" s="2">
        <v>65384.68</v>
      </c>
      <c r="H445" s="2">
        <v>55385.29</v>
      </c>
      <c r="I445" s="2">
        <f t="shared" si="61"/>
        <v>-9999.39</v>
      </c>
      <c r="J445" s="2">
        <v>-20497.88</v>
      </c>
      <c r="K445" s="2">
        <v>59294.16</v>
      </c>
      <c r="L445" s="2">
        <f t="shared" si="62"/>
        <v>79792.040000000008</v>
      </c>
      <c r="M445" s="2">
        <v>989.79</v>
      </c>
      <c r="N445" s="2"/>
      <c r="O445" s="2">
        <f t="shared" si="63"/>
        <v>-989.79</v>
      </c>
      <c r="P445" s="2">
        <v>219.17</v>
      </c>
      <c r="Q445" s="2"/>
      <c r="R445" s="2">
        <f t="shared" si="64"/>
        <v>-219.17</v>
      </c>
      <c r="S445" s="2"/>
      <c r="T445" s="2"/>
      <c r="U445" s="2">
        <f t="shared" si="65"/>
        <v>0</v>
      </c>
      <c r="V445" s="2">
        <v>628</v>
      </c>
      <c r="W445" s="2"/>
      <c r="X445" s="2">
        <f t="shared" si="66"/>
        <v>-628</v>
      </c>
      <c r="Y445" s="2"/>
      <c r="Z445" s="2"/>
      <c r="AA445" s="2">
        <f t="shared" si="67"/>
        <v>0</v>
      </c>
      <c r="AB445" s="2"/>
      <c r="AC445" s="2"/>
      <c r="AD445" s="2">
        <f t="shared" si="68"/>
        <v>0</v>
      </c>
      <c r="AE445" s="2">
        <v>847.17</v>
      </c>
      <c r="AF445" s="2"/>
      <c r="AG445" s="2">
        <f t="shared" si="69"/>
        <v>-847.17</v>
      </c>
    </row>
    <row r="446" spans="1:33" x14ac:dyDescent="0.3">
      <c r="B446" s="3"/>
      <c r="C446" t="str">
        <f xml:space="preserve"> _xll.EPMOlapMemberO("[CLACO].[PARENTH1].[AMSAG_VIAJES]","","Gastos de Viajes","","000")</f>
        <v>Gastos de Viajes</v>
      </c>
      <c r="D446" s="2"/>
      <c r="E446" s="2"/>
      <c r="F446" s="2">
        <f t="shared" si="60"/>
        <v>0</v>
      </c>
      <c r="G446" s="2">
        <v>2252.86</v>
      </c>
      <c r="H446" s="2">
        <v>5142.88</v>
      </c>
      <c r="I446" s="2">
        <f t="shared" si="61"/>
        <v>2890.02</v>
      </c>
      <c r="J446" s="2">
        <v>710.3</v>
      </c>
      <c r="K446" s="2"/>
      <c r="L446" s="2">
        <f t="shared" si="62"/>
        <v>-710.3</v>
      </c>
      <c r="M446" s="2">
        <v>848.45</v>
      </c>
      <c r="N446" s="2"/>
      <c r="O446" s="2">
        <f t="shared" si="63"/>
        <v>-848.45</v>
      </c>
      <c r="P446" s="2">
        <v>9.11</v>
      </c>
      <c r="Q446" s="2"/>
      <c r="R446" s="2">
        <f t="shared" si="64"/>
        <v>-9.11</v>
      </c>
      <c r="S446" s="2"/>
      <c r="T446" s="2"/>
      <c r="U446" s="2">
        <f t="shared" si="65"/>
        <v>0</v>
      </c>
      <c r="V446" s="2">
        <v>24.35</v>
      </c>
      <c r="W446" s="2"/>
      <c r="X446" s="2">
        <f t="shared" si="66"/>
        <v>-24.35</v>
      </c>
      <c r="Y446" s="2"/>
      <c r="Z446" s="2"/>
      <c r="AA446" s="2">
        <f t="shared" si="67"/>
        <v>0</v>
      </c>
      <c r="AB446" s="2">
        <v>136.97999999999999</v>
      </c>
      <c r="AC446" s="2"/>
      <c r="AD446" s="2">
        <f t="shared" si="68"/>
        <v>-136.97999999999999</v>
      </c>
      <c r="AE446" s="2">
        <v>170.44</v>
      </c>
      <c r="AF446" s="2"/>
      <c r="AG446" s="2">
        <f t="shared" si="69"/>
        <v>-170.44</v>
      </c>
    </row>
    <row r="447" spans="1:33" x14ac:dyDescent="0.3">
      <c r="B447" s="3"/>
      <c r="C447" t="str">
        <f xml:space="preserve"> _xll.EPMOlapMemberO("[CLACO].[PARENTH1].[AMSAGGENERALES.2]","","Otros Gastos","","000")</f>
        <v>Otros Gastos</v>
      </c>
      <c r="D447" s="2"/>
      <c r="E447" s="2"/>
      <c r="F447" s="2">
        <f t="shared" si="60"/>
        <v>0</v>
      </c>
      <c r="G447" s="2">
        <v>5695.38</v>
      </c>
      <c r="H447" s="2">
        <v>14285.8</v>
      </c>
      <c r="I447" s="2">
        <f t="shared" si="61"/>
        <v>8590.4199999999983</v>
      </c>
      <c r="J447" s="2">
        <v>9294.67</v>
      </c>
      <c r="K447" s="2">
        <v>2588.25</v>
      </c>
      <c r="L447" s="2">
        <f t="shared" si="62"/>
        <v>-6706.42</v>
      </c>
      <c r="M447" s="2">
        <v>5722.16</v>
      </c>
      <c r="N447" s="2">
        <v>4539.76</v>
      </c>
      <c r="O447" s="2">
        <f t="shared" si="63"/>
        <v>-1182.3999999999996</v>
      </c>
      <c r="P447" s="2">
        <v>807.03</v>
      </c>
      <c r="Q447" s="2">
        <v>840.37</v>
      </c>
      <c r="R447" s="2">
        <f t="shared" si="64"/>
        <v>33.340000000000032</v>
      </c>
      <c r="S447" s="2">
        <v>217.79</v>
      </c>
      <c r="T447" s="2">
        <v>167.6</v>
      </c>
      <c r="U447" s="2">
        <f t="shared" si="65"/>
        <v>-50.19</v>
      </c>
      <c r="V447" s="2">
        <v>60.77</v>
      </c>
      <c r="W447" s="2">
        <v>835.68</v>
      </c>
      <c r="X447" s="2">
        <f t="shared" si="66"/>
        <v>774.91</v>
      </c>
      <c r="Y447" s="2">
        <v>442.46</v>
      </c>
      <c r="Z447" s="2"/>
      <c r="AA447" s="2">
        <f t="shared" si="67"/>
        <v>-442.46</v>
      </c>
      <c r="AB447" s="2">
        <v>221.7</v>
      </c>
      <c r="AC447" s="2"/>
      <c r="AD447" s="2">
        <f t="shared" si="68"/>
        <v>-221.7</v>
      </c>
      <c r="AE447" s="2">
        <v>2273.94</v>
      </c>
      <c r="AF447" s="2">
        <v>4508.9799999999996</v>
      </c>
      <c r="AG447" s="2">
        <f t="shared" si="69"/>
        <v>2235.0399999999995</v>
      </c>
    </row>
    <row r="448" spans="1:33" x14ac:dyDescent="0.3">
      <c r="A448" t="s">
        <v>52</v>
      </c>
      <c r="B448" s="3" t="str">
        <f xml:space="preserve"> _xll.EPMOlapMemberO("[CECO].[PARENTH3].[AMSA1000AC4014]","","Generalistas AMSA","","000")</f>
        <v>Generalistas AMSA</v>
      </c>
      <c r="C448" t="str">
        <f xml:space="preserve"> _xll.EPMOlapMemberO("[CLACO].[PARENTH1].[AMSAADM_PERSON]","","Administración Perso","","000")</f>
        <v>Administración Perso</v>
      </c>
      <c r="D448" s="2">
        <v>151.15</v>
      </c>
      <c r="E448" s="2"/>
      <c r="F448" s="2">
        <f t="shared" si="60"/>
        <v>-151.15</v>
      </c>
      <c r="G448" s="2"/>
      <c r="H448" s="2"/>
      <c r="I448" s="2">
        <f t="shared" si="61"/>
        <v>0</v>
      </c>
      <c r="J448" s="2"/>
      <c r="K448" s="2"/>
      <c r="L448" s="2">
        <f t="shared" si="62"/>
        <v>0</v>
      </c>
      <c r="M448" s="2">
        <v>13823.59</v>
      </c>
      <c r="N448" s="2">
        <v>37082</v>
      </c>
      <c r="O448" s="2">
        <f t="shared" si="63"/>
        <v>23258.41</v>
      </c>
      <c r="P448" s="2">
        <v>0</v>
      </c>
      <c r="Q448" s="2"/>
      <c r="R448" s="2">
        <f t="shared" si="64"/>
        <v>0</v>
      </c>
      <c r="S448" s="2">
        <v>9520</v>
      </c>
      <c r="T448" s="2"/>
      <c r="U448" s="2">
        <f t="shared" si="65"/>
        <v>-9520</v>
      </c>
      <c r="V448" s="2"/>
      <c r="W448" s="2">
        <v>37039.19</v>
      </c>
      <c r="X448" s="2">
        <f t="shared" si="66"/>
        <v>37039.19</v>
      </c>
      <c r="Y448" s="2"/>
      <c r="Z448" s="2"/>
      <c r="AA448" s="2">
        <f t="shared" si="67"/>
        <v>0</v>
      </c>
      <c r="AB448" s="2"/>
      <c r="AC448" s="2"/>
      <c r="AD448" s="2">
        <f t="shared" si="68"/>
        <v>0</v>
      </c>
      <c r="AE448" s="2">
        <v>0</v>
      </c>
      <c r="AF448" s="2">
        <v>37039.19</v>
      </c>
      <c r="AG448" s="2">
        <f t="shared" si="69"/>
        <v>37039.19</v>
      </c>
    </row>
    <row r="449" spans="1:33" x14ac:dyDescent="0.3">
      <c r="B449" s="3"/>
      <c r="C449" t="str">
        <f xml:space="preserve"> _xll.EPMOlapMemberO("[CLACO].[PARENTH1].[AMSAENTRENAMI]","","Entrenamiento","","000")</f>
        <v>Entrenamiento</v>
      </c>
      <c r="D449" s="2">
        <v>423641.7</v>
      </c>
      <c r="E449" s="2">
        <v>371426.04</v>
      </c>
      <c r="F449" s="2">
        <f t="shared" si="60"/>
        <v>-52215.660000000033</v>
      </c>
      <c r="G449" s="2">
        <v>230959.51</v>
      </c>
      <c r="H449" s="2">
        <v>354249.69</v>
      </c>
      <c r="I449" s="2">
        <f t="shared" si="61"/>
        <v>123290.18</v>
      </c>
      <c r="J449" s="2">
        <v>-18414.7</v>
      </c>
      <c r="K449" s="2"/>
      <c r="L449" s="2">
        <f t="shared" si="62"/>
        <v>18414.7</v>
      </c>
      <c r="M449" s="2"/>
      <c r="N449" s="2"/>
      <c r="O449" s="2">
        <f t="shared" si="63"/>
        <v>0</v>
      </c>
      <c r="P449" s="2"/>
      <c r="Q449" s="2"/>
      <c r="R449" s="2">
        <f t="shared" si="64"/>
        <v>0</v>
      </c>
      <c r="S449" s="2"/>
      <c r="T449" s="2"/>
      <c r="U449" s="2">
        <f t="shared" si="65"/>
        <v>0</v>
      </c>
      <c r="V449" s="2"/>
      <c r="W449" s="2"/>
      <c r="X449" s="2">
        <f t="shared" si="66"/>
        <v>0</v>
      </c>
      <c r="Y449" s="2"/>
      <c r="Z449" s="2"/>
      <c r="AA449" s="2">
        <f t="shared" si="67"/>
        <v>0</v>
      </c>
      <c r="AB449" s="2"/>
      <c r="AC449" s="2"/>
      <c r="AD449" s="2">
        <f t="shared" si="68"/>
        <v>0</v>
      </c>
      <c r="AE449" s="2"/>
      <c r="AF449" s="2"/>
      <c r="AG449" s="2">
        <f t="shared" si="69"/>
        <v>0</v>
      </c>
    </row>
    <row r="450" spans="1:33" x14ac:dyDescent="0.3">
      <c r="B450" s="3"/>
      <c r="C450" t="str">
        <f xml:space="preserve"> _xll.EPMOlapMemberO("[CLACO].[PARENTH1].[AMSAASESORIAS]","","Asesorías y Consulto","","000")</f>
        <v>Asesorías y Consulto</v>
      </c>
      <c r="D450" s="2">
        <v>17780.55</v>
      </c>
      <c r="E450" s="2">
        <v>50032.63</v>
      </c>
      <c r="F450" s="2">
        <f t="shared" si="60"/>
        <v>32252.079999999998</v>
      </c>
      <c r="G450" s="2"/>
      <c r="H450" s="2">
        <v>52716.480000000003</v>
      </c>
      <c r="I450" s="2">
        <f t="shared" si="61"/>
        <v>52716.480000000003</v>
      </c>
      <c r="J450" s="2">
        <v>21518.1</v>
      </c>
      <c r="K450" s="2"/>
      <c r="L450" s="2">
        <f t="shared" si="62"/>
        <v>-21518.1</v>
      </c>
      <c r="M450" s="2"/>
      <c r="N450" s="2"/>
      <c r="O450" s="2">
        <f t="shared" si="63"/>
        <v>0</v>
      </c>
      <c r="P450" s="2"/>
      <c r="Q450" s="2"/>
      <c r="R450" s="2">
        <f t="shared" si="64"/>
        <v>0</v>
      </c>
      <c r="S450" s="2"/>
      <c r="T450" s="2"/>
      <c r="U450" s="2">
        <f t="shared" si="65"/>
        <v>0</v>
      </c>
      <c r="V450" s="2"/>
      <c r="W450" s="2"/>
      <c r="X450" s="2">
        <f t="shared" si="66"/>
        <v>0</v>
      </c>
      <c r="Y450" s="2"/>
      <c r="Z450" s="2"/>
      <c r="AA450" s="2">
        <f t="shared" si="67"/>
        <v>0</v>
      </c>
      <c r="AB450" s="2"/>
      <c r="AC450" s="2"/>
      <c r="AD450" s="2">
        <f t="shared" si="68"/>
        <v>0</v>
      </c>
      <c r="AE450" s="2"/>
      <c r="AF450" s="2"/>
      <c r="AG450" s="2">
        <f t="shared" si="69"/>
        <v>0</v>
      </c>
    </row>
    <row r="451" spans="1:33" x14ac:dyDescent="0.3">
      <c r="B451" s="3"/>
      <c r="C451" t="str">
        <f xml:space="preserve"> _xll.EPMOlapMemberO("[CLACO].[PARENTH1].[AMSASERVICIOS]","","Servicios","","000")</f>
        <v>Servicios</v>
      </c>
      <c r="D451" s="2">
        <v>45740.7</v>
      </c>
      <c r="E451" s="2">
        <v>63092.32</v>
      </c>
      <c r="F451" s="2">
        <f t="shared" si="60"/>
        <v>17351.620000000003</v>
      </c>
      <c r="G451" s="2">
        <v>60622.78</v>
      </c>
      <c r="H451" s="2">
        <v>62934.080000000002</v>
      </c>
      <c r="I451" s="2">
        <f t="shared" si="61"/>
        <v>2311.3000000000029</v>
      </c>
      <c r="J451" s="2">
        <v>54849.32</v>
      </c>
      <c r="K451" s="2">
        <v>81114.149999999994</v>
      </c>
      <c r="L451" s="2">
        <f t="shared" si="62"/>
        <v>26264.829999999994</v>
      </c>
      <c r="M451" s="2"/>
      <c r="N451" s="2"/>
      <c r="O451" s="2">
        <f t="shared" si="63"/>
        <v>0</v>
      </c>
      <c r="P451" s="2"/>
      <c r="Q451" s="2"/>
      <c r="R451" s="2">
        <f t="shared" si="64"/>
        <v>0</v>
      </c>
      <c r="S451" s="2"/>
      <c r="T451" s="2"/>
      <c r="U451" s="2">
        <f t="shared" si="65"/>
        <v>0</v>
      </c>
      <c r="V451" s="2"/>
      <c r="W451" s="2"/>
      <c r="X451" s="2">
        <f t="shared" si="66"/>
        <v>0</v>
      </c>
      <c r="Y451" s="2"/>
      <c r="Z451" s="2"/>
      <c r="AA451" s="2">
        <f t="shared" si="67"/>
        <v>0</v>
      </c>
      <c r="AB451" s="2"/>
      <c r="AC451" s="2"/>
      <c r="AD451" s="2">
        <f t="shared" si="68"/>
        <v>0</v>
      </c>
      <c r="AE451" s="2"/>
      <c r="AF451" s="2"/>
      <c r="AG451" s="2">
        <f t="shared" si="69"/>
        <v>0</v>
      </c>
    </row>
    <row r="452" spans="1:33" x14ac:dyDescent="0.3">
      <c r="B452" s="3"/>
      <c r="C452" t="str">
        <f xml:space="preserve"> _xll.EPMOlapMemberO("[CLACO].[PARENTH1].[AMSAINFORMATIC]","","Informática y Comuni","","000")</f>
        <v>Informática y Comuni</v>
      </c>
      <c r="D452" s="2"/>
      <c r="E452" s="2"/>
      <c r="F452" s="2">
        <f t="shared" si="60"/>
        <v>0</v>
      </c>
      <c r="G452" s="2">
        <v>5976.66</v>
      </c>
      <c r="H452" s="2"/>
      <c r="I452" s="2">
        <f t="shared" si="61"/>
        <v>-5976.66</v>
      </c>
      <c r="J452" s="2"/>
      <c r="K452" s="2"/>
      <c r="L452" s="2">
        <f t="shared" si="62"/>
        <v>0</v>
      </c>
      <c r="M452" s="2"/>
      <c r="N452" s="2"/>
      <c r="O452" s="2">
        <f t="shared" si="63"/>
        <v>0</v>
      </c>
      <c r="P452" s="2"/>
      <c r="Q452" s="2"/>
      <c r="R452" s="2">
        <f t="shared" si="64"/>
        <v>0</v>
      </c>
      <c r="S452" s="2"/>
      <c r="T452" s="2"/>
      <c r="U452" s="2">
        <f t="shared" si="65"/>
        <v>0</v>
      </c>
      <c r="V452" s="2"/>
      <c r="W452" s="2"/>
      <c r="X452" s="2">
        <f t="shared" si="66"/>
        <v>0</v>
      </c>
      <c r="Y452" s="2"/>
      <c r="Z452" s="2"/>
      <c r="AA452" s="2">
        <f t="shared" si="67"/>
        <v>0</v>
      </c>
      <c r="AB452" s="2"/>
      <c r="AC452" s="2"/>
      <c r="AD452" s="2">
        <f t="shared" si="68"/>
        <v>0</v>
      </c>
      <c r="AE452" s="2"/>
      <c r="AF452" s="2"/>
      <c r="AG452" s="2">
        <f t="shared" si="69"/>
        <v>0</v>
      </c>
    </row>
    <row r="453" spans="1:33" x14ac:dyDescent="0.3">
      <c r="B453" s="3"/>
      <c r="C453" t="str">
        <f xml:space="preserve"> _xll.EPMOlapMemberO("[CLACO].[PARENTH1].[AMSAG_VIAJES]","","Gastos de Viajes","","000")</f>
        <v>Gastos de Viajes</v>
      </c>
      <c r="D453" s="2"/>
      <c r="E453" s="2">
        <v>8197.5</v>
      </c>
      <c r="F453" s="2">
        <f t="shared" si="60"/>
        <v>8197.5</v>
      </c>
      <c r="G453" s="2"/>
      <c r="H453" s="2"/>
      <c r="I453" s="2">
        <f t="shared" si="61"/>
        <v>0</v>
      </c>
      <c r="J453" s="2"/>
      <c r="K453" s="2"/>
      <c r="L453" s="2">
        <f t="shared" si="62"/>
        <v>0</v>
      </c>
      <c r="M453" s="2">
        <v>22883.51</v>
      </c>
      <c r="N453" s="2"/>
      <c r="O453" s="2">
        <f t="shared" si="63"/>
        <v>-22883.51</v>
      </c>
      <c r="P453" s="2">
        <v>3834.62</v>
      </c>
      <c r="Q453" s="2"/>
      <c r="R453" s="2">
        <f t="shared" si="64"/>
        <v>-3834.62</v>
      </c>
      <c r="S453" s="2">
        <v>9351.89</v>
      </c>
      <c r="T453" s="2"/>
      <c r="U453" s="2">
        <f t="shared" si="65"/>
        <v>-9351.89</v>
      </c>
      <c r="V453" s="2"/>
      <c r="W453" s="2"/>
      <c r="X453" s="2">
        <f t="shared" si="66"/>
        <v>0</v>
      </c>
      <c r="Y453" s="2"/>
      <c r="Z453" s="2"/>
      <c r="AA453" s="2">
        <f t="shared" si="67"/>
        <v>0</v>
      </c>
      <c r="AB453" s="2"/>
      <c r="AC453" s="2"/>
      <c r="AD453" s="2">
        <f t="shared" si="68"/>
        <v>0</v>
      </c>
      <c r="AE453" s="2">
        <v>13195.44</v>
      </c>
      <c r="AF453" s="2"/>
      <c r="AG453" s="2">
        <f t="shared" si="69"/>
        <v>-13195.44</v>
      </c>
    </row>
    <row r="454" spans="1:33" x14ac:dyDescent="0.3">
      <c r="B454" s="3"/>
      <c r="C454" t="str">
        <f xml:space="preserve"> _xll.EPMOlapMemberO("[CLACO].[PARENTH1].[AMSAGGENERALES.2]","","Otros Gastos","","000")</f>
        <v>Otros Gastos</v>
      </c>
      <c r="D454" s="2"/>
      <c r="E454" s="2"/>
      <c r="F454" s="2">
        <f t="shared" si="60"/>
        <v>0</v>
      </c>
      <c r="G454" s="2">
        <v>7.78</v>
      </c>
      <c r="H454" s="2"/>
      <c r="I454" s="2">
        <f t="shared" si="61"/>
        <v>-7.78</v>
      </c>
      <c r="J454" s="2">
        <v>20.6</v>
      </c>
      <c r="K454" s="2"/>
      <c r="L454" s="2">
        <f t="shared" si="62"/>
        <v>-20.6</v>
      </c>
      <c r="M454" s="2">
        <v>730.69</v>
      </c>
      <c r="N454" s="2"/>
      <c r="O454" s="2">
        <f t="shared" si="63"/>
        <v>-730.69</v>
      </c>
      <c r="P454" s="2"/>
      <c r="Q454" s="2"/>
      <c r="R454" s="2">
        <f t="shared" si="64"/>
        <v>0</v>
      </c>
      <c r="S454" s="2"/>
      <c r="T454" s="2"/>
      <c r="U454" s="2">
        <f t="shared" si="65"/>
        <v>0</v>
      </c>
      <c r="V454" s="2"/>
      <c r="W454" s="2"/>
      <c r="X454" s="2">
        <f t="shared" si="66"/>
        <v>0</v>
      </c>
      <c r="Y454" s="2"/>
      <c r="Z454" s="2"/>
      <c r="AA454" s="2">
        <f t="shared" si="67"/>
        <v>0</v>
      </c>
      <c r="AB454" s="2"/>
      <c r="AC454" s="2"/>
      <c r="AD454" s="2">
        <f t="shared" si="68"/>
        <v>0</v>
      </c>
      <c r="AE454" s="2"/>
      <c r="AF454" s="2"/>
      <c r="AG454" s="2">
        <f t="shared" si="69"/>
        <v>0</v>
      </c>
    </row>
    <row r="455" spans="1:33" x14ac:dyDescent="0.3">
      <c r="A455" t="s">
        <v>53</v>
      </c>
      <c r="B455" s="3" t="str">
        <f xml:space="preserve"> _xll.EPMOlapMemberO("[CECO].[PARENTH3].[AMSA1000AC4015]","","Reclutam y Selección","","000")</f>
        <v>Reclutam y Selección</v>
      </c>
      <c r="C455" t="str">
        <f xml:space="preserve"> _xll.EPMOlapMemberO("[CLACO].[PARENTH1].[AMSAADM_PERSON]","","Administración Perso","","000")</f>
        <v>Administración Perso</v>
      </c>
      <c r="D455" s="2">
        <v>258012.09</v>
      </c>
      <c r="E455" s="2">
        <v>194066.88</v>
      </c>
      <c r="F455" s="2">
        <f t="shared" si="60"/>
        <v>-63945.209999999992</v>
      </c>
      <c r="G455" s="2">
        <v>302216.28999999998</v>
      </c>
      <c r="H455" s="2">
        <v>279224.03000000003</v>
      </c>
      <c r="I455" s="2">
        <f t="shared" si="61"/>
        <v>-22992.259999999951</v>
      </c>
      <c r="J455" s="2">
        <v>215242.52</v>
      </c>
      <c r="K455" s="2">
        <v>250151.36</v>
      </c>
      <c r="L455" s="2">
        <f t="shared" si="62"/>
        <v>34908.839999999997</v>
      </c>
      <c r="M455" s="2">
        <v>223600.01</v>
      </c>
      <c r="N455" s="2">
        <v>280066.17</v>
      </c>
      <c r="O455" s="2">
        <f t="shared" si="63"/>
        <v>56466.159999999974</v>
      </c>
      <c r="P455" s="2">
        <v>30268.04</v>
      </c>
      <c r="Q455" s="2">
        <v>23387.34</v>
      </c>
      <c r="R455" s="2">
        <f t="shared" si="64"/>
        <v>-6880.7000000000007</v>
      </c>
      <c r="S455" s="2">
        <v>32429.42</v>
      </c>
      <c r="T455" s="2">
        <v>23322.14</v>
      </c>
      <c r="U455" s="2">
        <f t="shared" si="65"/>
        <v>-9107.2799999999988</v>
      </c>
      <c r="V455" s="2">
        <v>18828.560000000001</v>
      </c>
      <c r="W455" s="2">
        <v>23257.040000000001</v>
      </c>
      <c r="X455" s="2">
        <f t="shared" si="66"/>
        <v>4428.4799999999996</v>
      </c>
      <c r="Y455" s="2">
        <v>23051.31</v>
      </c>
      <c r="Z455" s="2">
        <v>23192.03</v>
      </c>
      <c r="AA455" s="2">
        <f t="shared" si="67"/>
        <v>140.71999999999753</v>
      </c>
      <c r="AB455" s="2">
        <v>1775.72</v>
      </c>
      <c r="AC455" s="2">
        <v>23128.12</v>
      </c>
      <c r="AD455" s="2">
        <f t="shared" si="68"/>
        <v>21352.399999999998</v>
      </c>
      <c r="AE455" s="2">
        <v>92438.54</v>
      </c>
      <c r="AF455" s="2">
        <v>284400.34000000003</v>
      </c>
      <c r="AG455" s="2">
        <f t="shared" si="69"/>
        <v>191961.80000000005</v>
      </c>
    </row>
    <row r="456" spans="1:33" x14ac:dyDescent="0.3">
      <c r="B456" s="3"/>
      <c r="C456" t="str">
        <f xml:space="preserve"> _xll.EPMOlapMemberO("[CLACO].[PARENTH1].[AMSAASESORIAS]","","Asesorías y Consulto","","000")</f>
        <v>Asesorías y Consulto</v>
      </c>
      <c r="D456" s="2">
        <v>9545.66</v>
      </c>
      <c r="E456" s="2">
        <v>6334.38</v>
      </c>
      <c r="F456" s="2">
        <f t="shared" si="60"/>
        <v>-3211.2799999999997</v>
      </c>
      <c r="G456" s="2">
        <v>13004.03</v>
      </c>
      <c r="H456" s="2">
        <v>105898.29</v>
      </c>
      <c r="I456" s="2">
        <f t="shared" si="61"/>
        <v>92894.26</v>
      </c>
      <c r="J456" s="2">
        <v>7342.8</v>
      </c>
      <c r="K456" s="2">
        <v>1591.9</v>
      </c>
      <c r="L456" s="2">
        <f t="shared" si="62"/>
        <v>-5750.9</v>
      </c>
      <c r="M456" s="2">
        <v>5506.28</v>
      </c>
      <c r="N456" s="2">
        <v>953.05</v>
      </c>
      <c r="O456" s="2">
        <f t="shared" si="63"/>
        <v>-4553.2299999999996</v>
      </c>
      <c r="P456" s="2">
        <v>626.29</v>
      </c>
      <c r="Q456" s="2">
        <v>677.94</v>
      </c>
      <c r="R456" s="2">
        <f t="shared" si="64"/>
        <v>51.650000000000091</v>
      </c>
      <c r="S456" s="2">
        <v>579.11</v>
      </c>
      <c r="T456" s="2">
        <v>676.05</v>
      </c>
      <c r="U456" s="2">
        <f t="shared" si="65"/>
        <v>96.939999999999941</v>
      </c>
      <c r="V456" s="2">
        <v>592.96</v>
      </c>
      <c r="W456" s="2">
        <v>674.17</v>
      </c>
      <c r="X456" s="2">
        <f t="shared" si="66"/>
        <v>81.209999999999923</v>
      </c>
      <c r="Y456" s="2">
        <v>624.29</v>
      </c>
      <c r="Z456" s="2">
        <v>672.3</v>
      </c>
      <c r="AA456" s="2">
        <f t="shared" si="67"/>
        <v>48.009999999999991</v>
      </c>
      <c r="AB456" s="2">
        <v>594.45000000000005</v>
      </c>
      <c r="AC456" s="2">
        <v>670.43</v>
      </c>
      <c r="AD456" s="2">
        <f t="shared" si="68"/>
        <v>75.979999999999905</v>
      </c>
      <c r="AE456" s="2">
        <v>2409.41</v>
      </c>
      <c r="AF456" s="2">
        <v>8169.73</v>
      </c>
      <c r="AG456" s="2">
        <f t="shared" si="69"/>
        <v>5760.32</v>
      </c>
    </row>
    <row r="457" spans="1:33" x14ac:dyDescent="0.3">
      <c r="B457" s="3"/>
      <c r="C457" t="str">
        <f xml:space="preserve"> _xll.EPMOlapMemberO("[CLACO].[PARENTH1].[AMSASERVICIOS]","","Servicios","","000")</f>
        <v>Servicios</v>
      </c>
      <c r="D457" s="2">
        <v>103981.74</v>
      </c>
      <c r="E457" s="2">
        <v>21612.23</v>
      </c>
      <c r="F457" s="2">
        <f t="shared" si="60"/>
        <v>-82369.510000000009</v>
      </c>
      <c r="G457" s="2">
        <v>3981.29</v>
      </c>
      <c r="H457" s="2"/>
      <c r="I457" s="2">
        <f t="shared" si="61"/>
        <v>-3981.29</v>
      </c>
      <c r="J457" s="2">
        <v>11835.59</v>
      </c>
      <c r="K457" s="2"/>
      <c r="L457" s="2">
        <f t="shared" si="62"/>
        <v>-11835.59</v>
      </c>
      <c r="M457" s="2">
        <v>22833.25</v>
      </c>
      <c r="N457" s="2"/>
      <c r="O457" s="2">
        <f t="shared" si="63"/>
        <v>-22833.25</v>
      </c>
      <c r="P457" s="2">
        <v>-30.49</v>
      </c>
      <c r="Q457" s="2"/>
      <c r="R457" s="2">
        <f t="shared" si="64"/>
        <v>30.49</v>
      </c>
      <c r="S457" s="2">
        <v>84.39</v>
      </c>
      <c r="T457" s="2"/>
      <c r="U457" s="2">
        <f t="shared" si="65"/>
        <v>-84.39</v>
      </c>
      <c r="V457" s="2">
        <v>4002.41</v>
      </c>
      <c r="W457" s="2"/>
      <c r="X457" s="2">
        <f t="shared" si="66"/>
        <v>-4002.41</v>
      </c>
      <c r="Y457" s="2">
        <v>5785.43</v>
      </c>
      <c r="Z457" s="2"/>
      <c r="AA457" s="2">
        <f t="shared" si="67"/>
        <v>-5785.43</v>
      </c>
      <c r="AB457" s="2">
        <v>5882.54</v>
      </c>
      <c r="AC457" s="2"/>
      <c r="AD457" s="2">
        <f t="shared" si="68"/>
        <v>-5882.54</v>
      </c>
      <c r="AE457" s="2">
        <v>15724.28</v>
      </c>
      <c r="AF457" s="2"/>
      <c r="AG457" s="2">
        <f t="shared" si="69"/>
        <v>-15724.28</v>
      </c>
    </row>
    <row r="458" spans="1:33" x14ac:dyDescent="0.3">
      <c r="B458" s="3"/>
      <c r="C458" t="str">
        <f xml:space="preserve"> _xll.EPMOlapMemberO("[CLACO].[PARENTH1].[AMSAINFORMATIC]","","Informática y Comuni","","000")</f>
        <v>Informática y Comuni</v>
      </c>
      <c r="D458" s="2">
        <v>8070.07</v>
      </c>
      <c r="E458" s="2">
        <v>11151.44</v>
      </c>
      <c r="F458" s="2">
        <f t="shared" si="60"/>
        <v>3081.3700000000008</v>
      </c>
      <c r="G458" s="2">
        <v>26432.98</v>
      </c>
      <c r="H458" s="2">
        <v>24363.75</v>
      </c>
      <c r="I458" s="2">
        <f t="shared" si="61"/>
        <v>-2069.2299999999996</v>
      </c>
      <c r="J458" s="2">
        <v>25548.27</v>
      </c>
      <c r="K458" s="2">
        <v>22428.32</v>
      </c>
      <c r="L458" s="2">
        <f t="shared" si="62"/>
        <v>-3119.9500000000007</v>
      </c>
      <c r="M458" s="2">
        <v>3544.6</v>
      </c>
      <c r="N458" s="2"/>
      <c r="O458" s="2">
        <f t="shared" si="63"/>
        <v>-3544.6</v>
      </c>
      <c r="P458" s="2">
        <v>2500</v>
      </c>
      <c r="Q458" s="2"/>
      <c r="R458" s="2">
        <f t="shared" si="64"/>
        <v>-2500</v>
      </c>
      <c r="S458" s="2">
        <v>41.98</v>
      </c>
      <c r="T458" s="2"/>
      <c r="U458" s="2">
        <f t="shared" si="65"/>
        <v>-41.98</v>
      </c>
      <c r="V458" s="2"/>
      <c r="W458" s="2"/>
      <c r="X458" s="2">
        <f t="shared" si="66"/>
        <v>0</v>
      </c>
      <c r="Y458" s="2">
        <v>71.06</v>
      </c>
      <c r="Z458" s="2"/>
      <c r="AA458" s="2">
        <f t="shared" si="67"/>
        <v>-71.06</v>
      </c>
      <c r="AB458" s="2"/>
      <c r="AC458" s="2"/>
      <c r="AD458" s="2">
        <f t="shared" si="68"/>
        <v>0</v>
      </c>
      <c r="AE458" s="2">
        <v>2613.04</v>
      </c>
      <c r="AF458" s="2"/>
      <c r="AG458" s="2">
        <f t="shared" si="69"/>
        <v>-2613.04</v>
      </c>
    </row>
    <row r="459" spans="1:33" x14ac:dyDescent="0.3">
      <c r="B459" s="3"/>
      <c r="C459" t="str">
        <f xml:space="preserve"> _xll.EPMOlapMemberO("[CLACO].[PARENTH1].[AMSAG_VIAJES]","","Gastos de Viajes","","000")</f>
        <v>Gastos de Viajes</v>
      </c>
      <c r="D459" s="2"/>
      <c r="E459" s="2"/>
      <c r="F459" s="2">
        <f t="shared" ref="F459:F522" si="70">+E459-D459</f>
        <v>0</v>
      </c>
      <c r="G459" s="2">
        <v>380.3</v>
      </c>
      <c r="H459" s="2"/>
      <c r="I459" s="2">
        <f t="shared" ref="I459:I522" si="71">+H459-G459</f>
        <v>-380.3</v>
      </c>
      <c r="J459" s="2"/>
      <c r="K459" s="2"/>
      <c r="L459" s="2">
        <f t="shared" ref="L459:L522" si="72">+K459-J459</f>
        <v>0</v>
      </c>
      <c r="M459" s="2">
        <v>30.69</v>
      </c>
      <c r="N459" s="2"/>
      <c r="O459" s="2">
        <f t="shared" ref="O459:O522" si="73">+N459-M459</f>
        <v>-30.69</v>
      </c>
      <c r="P459" s="2"/>
      <c r="Q459" s="2"/>
      <c r="R459" s="2">
        <f t="shared" ref="R459:R522" si="74">+Q459-P459</f>
        <v>0</v>
      </c>
      <c r="S459" s="2"/>
      <c r="T459" s="2"/>
      <c r="U459" s="2">
        <f t="shared" ref="U459:U522" si="75">+T459-S459</f>
        <v>0</v>
      </c>
      <c r="V459" s="2"/>
      <c r="W459" s="2"/>
      <c r="X459" s="2">
        <f t="shared" ref="X459:X522" si="76">+W459-V459</f>
        <v>0</v>
      </c>
      <c r="Y459" s="2">
        <v>5.25</v>
      </c>
      <c r="Z459" s="2"/>
      <c r="AA459" s="2">
        <f t="shared" ref="AA459:AA522" si="77">+Z459-Y459</f>
        <v>-5.25</v>
      </c>
      <c r="AB459" s="2"/>
      <c r="AC459" s="2"/>
      <c r="AD459" s="2">
        <f t="shared" ref="AD459:AD522" si="78">+AC459-AB459</f>
        <v>0</v>
      </c>
      <c r="AE459" s="2">
        <v>171.8</v>
      </c>
      <c r="AF459" s="2">
        <v>703.2</v>
      </c>
      <c r="AG459" s="2">
        <f t="shared" ref="AG459:AG522" si="79">+AF459-AE459</f>
        <v>531.40000000000009</v>
      </c>
    </row>
    <row r="460" spans="1:33" x14ac:dyDescent="0.3">
      <c r="B460" s="3"/>
      <c r="C460" t="str">
        <f xml:space="preserve"> _xll.EPMOlapMemberO("[CLACO].[PARENTH1].[AMSAGGENERALES.2]","","Otros Gastos","","000")</f>
        <v>Otros Gastos</v>
      </c>
      <c r="D460" s="2">
        <v>14.36</v>
      </c>
      <c r="E460" s="2"/>
      <c r="F460" s="2">
        <f t="shared" si="70"/>
        <v>-14.36</v>
      </c>
      <c r="G460" s="2"/>
      <c r="H460" s="2"/>
      <c r="I460" s="2">
        <f t="shared" si="71"/>
        <v>0</v>
      </c>
      <c r="J460" s="2"/>
      <c r="K460" s="2"/>
      <c r="L460" s="2">
        <f t="shared" si="72"/>
        <v>0</v>
      </c>
      <c r="M460" s="2"/>
      <c r="N460" s="2"/>
      <c r="O460" s="2">
        <f t="shared" si="73"/>
        <v>0</v>
      </c>
      <c r="P460" s="2"/>
      <c r="Q460" s="2"/>
      <c r="R460" s="2">
        <f t="shared" si="74"/>
        <v>0</v>
      </c>
      <c r="S460" s="2"/>
      <c r="T460" s="2"/>
      <c r="U460" s="2">
        <f t="shared" si="75"/>
        <v>0</v>
      </c>
      <c r="V460" s="2"/>
      <c r="W460" s="2"/>
      <c r="X460" s="2">
        <f t="shared" si="76"/>
        <v>0</v>
      </c>
      <c r="Y460" s="2"/>
      <c r="Z460" s="2"/>
      <c r="AA460" s="2">
        <f t="shared" si="77"/>
        <v>0</v>
      </c>
      <c r="AB460" s="2"/>
      <c r="AC460" s="2"/>
      <c r="AD460" s="2">
        <f t="shared" si="78"/>
        <v>0</v>
      </c>
      <c r="AE460" s="2"/>
      <c r="AF460" s="2"/>
      <c r="AG460" s="2">
        <f t="shared" si="79"/>
        <v>0</v>
      </c>
    </row>
    <row r="461" spans="1:33" x14ac:dyDescent="0.3">
      <c r="A461" t="s">
        <v>54</v>
      </c>
      <c r="B461" s="3" t="str">
        <f xml:space="preserve"> _xll.EPMOlapMemberO("[CECO].[PARENTH3].[AMSA1000AC4016]","","Academia Digital","","000")</f>
        <v>Academia Digital</v>
      </c>
      <c r="C461" t="str">
        <f xml:space="preserve"> _xll.EPMOlapMemberO("[CLACO].[PARENTH1].[AMSAGGENERALES.2]","","Otros Gastos","","000")</f>
        <v>Otros Gastos</v>
      </c>
      <c r="D461" s="2"/>
      <c r="E461" s="2"/>
      <c r="F461" s="2">
        <f t="shared" si="70"/>
        <v>0</v>
      </c>
      <c r="G461" s="2"/>
      <c r="H461" s="2"/>
      <c r="I461" s="2">
        <f t="shared" si="71"/>
        <v>0</v>
      </c>
      <c r="J461" s="2"/>
      <c r="K461" s="2"/>
      <c r="L461" s="2">
        <f t="shared" si="72"/>
        <v>0</v>
      </c>
      <c r="M461" s="2"/>
      <c r="N461" s="2"/>
      <c r="O461" s="2">
        <f t="shared" si="73"/>
        <v>0</v>
      </c>
      <c r="P461" s="2"/>
      <c r="Q461" s="2"/>
      <c r="R461" s="2">
        <f t="shared" si="74"/>
        <v>0</v>
      </c>
      <c r="S461" s="2">
        <v>-2.71</v>
      </c>
      <c r="T461" s="2"/>
      <c r="U461" s="2">
        <f t="shared" si="75"/>
        <v>2.71</v>
      </c>
      <c r="V461" s="2">
        <v>116.49</v>
      </c>
      <c r="W461" s="2"/>
      <c r="X461" s="2">
        <f t="shared" si="76"/>
        <v>-116.49</v>
      </c>
      <c r="Y461" s="2"/>
      <c r="Z461" s="2"/>
      <c r="AA461" s="2">
        <f t="shared" si="77"/>
        <v>0</v>
      </c>
      <c r="AB461" s="2"/>
      <c r="AC461" s="2"/>
      <c r="AD461" s="2">
        <f t="shared" si="78"/>
        <v>0</v>
      </c>
      <c r="AE461" s="2">
        <v>113.78</v>
      </c>
      <c r="AF461" s="2"/>
      <c r="AG461" s="2">
        <f t="shared" si="79"/>
        <v>-113.78</v>
      </c>
    </row>
    <row r="462" spans="1:33" x14ac:dyDescent="0.3">
      <c r="A462" t="s">
        <v>55</v>
      </c>
      <c r="B462" s="3" t="str">
        <f xml:space="preserve"> _xll.EPMOlapMemberO("[CECO].[PARENTH3].[AMSA1000AC4017]","","Gcia.Pr.nva form tra","","000")</f>
        <v>Gcia.Pr.nva form tra</v>
      </c>
      <c r="C462" t="str">
        <f xml:space="preserve"> _xll.EPMOlapMemberO("[CLACO].[PARENTH1].[AMSAENTRENAMI]","","Entrenamiento","","000")</f>
        <v>Entrenamiento</v>
      </c>
      <c r="D462" s="2">
        <v>95.47</v>
      </c>
      <c r="E462" s="2"/>
      <c r="F462" s="2">
        <f t="shared" si="70"/>
        <v>-95.47</v>
      </c>
      <c r="G462" s="2"/>
      <c r="H462" s="2"/>
      <c r="I462" s="2">
        <f t="shared" si="71"/>
        <v>0</v>
      </c>
      <c r="J462" s="2"/>
      <c r="K462" s="2"/>
      <c r="L462" s="2">
        <f t="shared" si="72"/>
        <v>0</v>
      </c>
      <c r="M462" s="2"/>
      <c r="N462" s="2"/>
      <c r="O462" s="2">
        <f t="shared" si="73"/>
        <v>0</v>
      </c>
      <c r="P462" s="2"/>
      <c r="Q462" s="2"/>
      <c r="R462" s="2">
        <f t="shared" si="74"/>
        <v>0</v>
      </c>
      <c r="S462" s="2"/>
      <c r="T462" s="2"/>
      <c r="U462" s="2">
        <f t="shared" si="75"/>
        <v>0</v>
      </c>
      <c r="V462" s="2"/>
      <c r="W462" s="2"/>
      <c r="X462" s="2">
        <f t="shared" si="76"/>
        <v>0</v>
      </c>
      <c r="Y462" s="2"/>
      <c r="Z462" s="2"/>
      <c r="AA462" s="2">
        <f t="shared" si="77"/>
        <v>0</v>
      </c>
      <c r="AB462" s="2"/>
      <c r="AC462" s="2"/>
      <c r="AD462" s="2">
        <f t="shared" si="78"/>
        <v>0</v>
      </c>
      <c r="AE462" s="2"/>
      <c r="AF462" s="2"/>
      <c r="AG462" s="2">
        <f t="shared" si="79"/>
        <v>0</v>
      </c>
    </row>
    <row r="463" spans="1:33" x14ac:dyDescent="0.3">
      <c r="B463" s="3"/>
      <c r="C463" t="str">
        <f xml:space="preserve"> _xll.EPMOlapMemberO("[CLACO].[PARENTH1].[AMSAASESORIAS]","","Asesorías y Consulto","","000")</f>
        <v>Asesorías y Consulto</v>
      </c>
      <c r="D463" s="2">
        <v>-37395.769999999997</v>
      </c>
      <c r="E463" s="2">
        <v>103422.39999999999</v>
      </c>
      <c r="F463" s="2">
        <f t="shared" si="70"/>
        <v>140818.16999999998</v>
      </c>
      <c r="G463" s="2"/>
      <c r="H463" s="2"/>
      <c r="I463" s="2">
        <f t="shared" si="71"/>
        <v>0</v>
      </c>
      <c r="J463" s="2"/>
      <c r="K463" s="2"/>
      <c r="L463" s="2">
        <f t="shared" si="72"/>
        <v>0</v>
      </c>
      <c r="M463" s="2"/>
      <c r="N463" s="2"/>
      <c r="O463" s="2">
        <f t="shared" si="73"/>
        <v>0</v>
      </c>
      <c r="P463" s="2"/>
      <c r="Q463" s="2"/>
      <c r="R463" s="2">
        <f t="shared" si="74"/>
        <v>0</v>
      </c>
      <c r="S463" s="2"/>
      <c r="T463" s="2"/>
      <c r="U463" s="2">
        <f t="shared" si="75"/>
        <v>0</v>
      </c>
      <c r="V463" s="2"/>
      <c r="W463" s="2"/>
      <c r="X463" s="2">
        <f t="shared" si="76"/>
        <v>0</v>
      </c>
      <c r="Y463" s="2"/>
      <c r="Z463" s="2"/>
      <c r="AA463" s="2">
        <f t="shared" si="77"/>
        <v>0</v>
      </c>
      <c r="AB463" s="2"/>
      <c r="AC463" s="2"/>
      <c r="AD463" s="2">
        <f t="shared" si="78"/>
        <v>0</v>
      </c>
      <c r="AE463" s="2"/>
      <c r="AF463" s="2"/>
      <c r="AG463" s="2">
        <f t="shared" si="79"/>
        <v>0</v>
      </c>
    </row>
    <row r="464" spans="1:33" x14ac:dyDescent="0.3">
      <c r="B464" s="3"/>
      <c r="C464" t="str">
        <f xml:space="preserve"> _xll.EPMOlapMemberO("[CLACO].[PARENTH1].[AMSAINFORMATIC]","","Informática y Comuni","","000")</f>
        <v>Informática y Comuni</v>
      </c>
      <c r="D464" s="2">
        <v>84333.3</v>
      </c>
      <c r="E464" s="2"/>
      <c r="F464" s="2">
        <f t="shared" si="70"/>
        <v>-84333.3</v>
      </c>
      <c r="G464" s="2">
        <v>-90832.58</v>
      </c>
      <c r="H464" s="2"/>
      <c r="I464" s="2">
        <f t="shared" si="71"/>
        <v>90832.58</v>
      </c>
      <c r="J464" s="2">
        <v>0</v>
      </c>
      <c r="K464" s="2"/>
      <c r="L464" s="2">
        <f t="shared" si="72"/>
        <v>0</v>
      </c>
      <c r="M464" s="2"/>
      <c r="N464" s="2"/>
      <c r="O464" s="2">
        <f t="shared" si="73"/>
        <v>0</v>
      </c>
      <c r="P464" s="2"/>
      <c r="Q464" s="2"/>
      <c r="R464" s="2">
        <f t="shared" si="74"/>
        <v>0</v>
      </c>
      <c r="S464" s="2"/>
      <c r="T464" s="2"/>
      <c r="U464" s="2">
        <f t="shared" si="75"/>
        <v>0</v>
      </c>
      <c r="V464" s="2"/>
      <c r="W464" s="2"/>
      <c r="X464" s="2">
        <f t="shared" si="76"/>
        <v>0</v>
      </c>
      <c r="Y464" s="2"/>
      <c r="Z464" s="2"/>
      <c r="AA464" s="2">
        <f t="shared" si="77"/>
        <v>0</v>
      </c>
      <c r="AB464" s="2"/>
      <c r="AC464" s="2"/>
      <c r="AD464" s="2">
        <f t="shared" si="78"/>
        <v>0</v>
      </c>
      <c r="AE464" s="2"/>
      <c r="AF464" s="2"/>
      <c r="AG464" s="2">
        <f t="shared" si="79"/>
        <v>0</v>
      </c>
    </row>
    <row r="465" spans="1:33" x14ac:dyDescent="0.3">
      <c r="B465" s="3"/>
      <c r="C465" t="str">
        <f xml:space="preserve"> _xll.EPMOlapMemberO("[CLACO].[PARENTH1].[AMSAG_VIAJES]","","Gastos de Viajes","","000")</f>
        <v>Gastos de Viajes</v>
      </c>
      <c r="D465" s="2">
        <v>567.53</v>
      </c>
      <c r="E465" s="2"/>
      <c r="F465" s="2">
        <f t="shared" si="70"/>
        <v>-567.53</v>
      </c>
      <c r="G465" s="2"/>
      <c r="H465" s="2"/>
      <c r="I465" s="2">
        <f t="shared" si="71"/>
        <v>0</v>
      </c>
      <c r="J465" s="2"/>
      <c r="K465" s="2"/>
      <c r="L465" s="2">
        <f t="shared" si="72"/>
        <v>0</v>
      </c>
      <c r="M465" s="2"/>
      <c r="N465" s="2"/>
      <c r="O465" s="2">
        <f t="shared" si="73"/>
        <v>0</v>
      </c>
      <c r="P465" s="2"/>
      <c r="Q465" s="2"/>
      <c r="R465" s="2">
        <f t="shared" si="74"/>
        <v>0</v>
      </c>
      <c r="S465" s="2"/>
      <c r="T465" s="2"/>
      <c r="U465" s="2">
        <f t="shared" si="75"/>
        <v>0</v>
      </c>
      <c r="V465" s="2"/>
      <c r="W465" s="2"/>
      <c r="X465" s="2">
        <f t="shared" si="76"/>
        <v>0</v>
      </c>
      <c r="Y465" s="2"/>
      <c r="Z465" s="2"/>
      <c r="AA465" s="2">
        <f t="shared" si="77"/>
        <v>0</v>
      </c>
      <c r="AB465" s="2"/>
      <c r="AC465" s="2"/>
      <c r="AD465" s="2">
        <f t="shared" si="78"/>
        <v>0</v>
      </c>
      <c r="AE465" s="2"/>
      <c r="AF465" s="2"/>
      <c r="AG465" s="2">
        <f t="shared" si="79"/>
        <v>0</v>
      </c>
    </row>
    <row r="466" spans="1:33" x14ac:dyDescent="0.3">
      <c r="B466" s="3"/>
      <c r="C466" t="str">
        <f xml:space="preserve"> _xll.EPMOlapMemberO("[CLACO].[PARENTH1].[AMSAGGENERALES.2]","","Otros Gastos","","000")</f>
        <v>Otros Gastos</v>
      </c>
      <c r="D466" s="2">
        <v>5.33</v>
      </c>
      <c r="E466" s="2"/>
      <c r="F466" s="2">
        <f t="shared" si="70"/>
        <v>-5.33</v>
      </c>
      <c r="G466" s="2"/>
      <c r="H466" s="2"/>
      <c r="I466" s="2">
        <f t="shared" si="71"/>
        <v>0</v>
      </c>
      <c r="J466" s="2"/>
      <c r="K466" s="2"/>
      <c r="L466" s="2">
        <f t="shared" si="72"/>
        <v>0</v>
      </c>
      <c r="M466" s="2"/>
      <c r="N466" s="2"/>
      <c r="O466" s="2">
        <f t="shared" si="73"/>
        <v>0</v>
      </c>
      <c r="P466" s="2"/>
      <c r="Q466" s="2"/>
      <c r="R466" s="2">
        <f t="shared" si="74"/>
        <v>0</v>
      </c>
      <c r="S466" s="2"/>
      <c r="T466" s="2"/>
      <c r="U466" s="2">
        <f t="shared" si="75"/>
        <v>0</v>
      </c>
      <c r="V466" s="2"/>
      <c r="W466" s="2"/>
      <c r="X466" s="2">
        <f t="shared" si="76"/>
        <v>0</v>
      </c>
      <c r="Y466" s="2"/>
      <c r="Z466" s="2"/>
      <c r="AA466" s="2">
        <f t="shared" si="77"/>
        <v>0</v>
      </c>
      <c r="AB466" s="2"/>
      <c r="AC466" s="2"/>
      <c r="AD466" s="2">
        <f t="shared" si="78"/>
        <v>0</v>
      </c>
      <c r="AE466" s="2"/>
      <c r="AF466" s="2"/>
      <c r="AG466" s="2">
        <f t="shared" si="79"/>
        <v>0</v>
      </c>
    </row>
    <row r="467" spans="1:33" x14ac:dyDescent="0.3">
      <c r="A467" t="s">
        <v>56</v>
      </c>
      <c r="B467" s="3" t="str">
        <f xml:space="preserve"> _xll.EPMOlapMemberO("[CECO].[PARENTH3].[AMSA1000AC4018]","","Aprendizaje RH","","000")</f>
        <v>Aprendizaje RH</v>
      </c>
      <c r="C467" t="str">
        <f xml:space="preserve"> _xll.EPMOlapMemberO("[CLACO].[PARENTH1].[AMSAADM_PERSON]","","Administración Perso","","000")</f>
        <v>Administración Perso</v>
      </c>
      <c r="D467" s="2"/>
      <c r="E467" s="2"/>
      <c r="F467" s="2">
        <f t="shared" si="70"/>
        <v>0</v>
      </c>
      <c r="G467" s="2"/>
      <c r="H467" s="2"/>
      <c r="I467" s="2">
        <f t="shared" si="71"/>
        <v>0</v>
      </c>
      <c r="J467" s="2">
        <v>175.18</v>
      </c>
      <c r="K467" s="2">
        <v>35085.99</v>
      </c>
      <c r="L467" s="2">
        <f t="shared" si="72"/>
        <v>34910.81</v>
      </c>
      <c r="M467" s="2">
        <v>358.5</v>
      </c>
      <c r="N467" s="2"/>
      <c r="O467" s="2">
        <f t="shared" si="73"/>
        <v>-358.5</v>
      </c>
      <c r="P467" s="2"/>
      <c r="Q467" s="2"/>
      <c r="R467" s="2">
        <f t="shared" si="74"/>
        <v>0</v>
      </c>
      <c r="S467" s="2"/>
      <c r="T467" s="2"/>
      <c r="U467" s="2">
        <f t="shared" si="75"/>
        <v>0</v>
      </c>
      <c r="V467" s="2"/>
      <c r="W467" s="2"/>
      <c r="X467" s="2">
        <f t="shared" si="76"/>
        <v>0</v>
      </c>
      <c r="Y467" s="2"/>
      <c r="Z467" s="2"/>
      <c r="AA467" s="2">
        <f t="shared" si="77"/>
        <v>0</v>
      </c>
      <c r="AB467" s="2"/>
      <c r="AC467" s="2"/>
      <c r="AD467" s="2">
        <f t="shared" si="78"/>
        <v>0</v>
      </c>
      <c r="AE467" s="2"/>
      <c r="AF467" s="2"/>
      <c r="AG467" s="2">
        <f t="shared" si="79"/>
        <v>0</v>
      </c>
    </row>
    <row r="468" spans="1:33" x14ac:dyDescent="0.3">
      <c r="B468" s="3"/>
      <c r="C468" t="str">
        <f xml:space="preserve"> _xll.EPMOlapMemberO("[CLACO].[PARENTH1].[AMSAENTRENAMI]","","Entrenamiento","","000")</f>
        <v>Entrenamiento</v>
      </c>
      <c r="D468" s="2">
        <v>42639.65</v>
      </c>
      <c r="E468" s="2">
        <v>50735.78</v>
      </c>
      <c r="F468" s="2">
        <f t="shared" si="70"/>
        <v>8096.1299999999974</v>
      </c>
      <c r="G468" s="2">
        <v>156992.20000000001</v>
      </c>
      <c r="H468" s="2">
        <v>100453.86</v>
      </c>
      <c r="I468" s="2">
        <f t="shared" si="71"/>
        <v>-56538.340000000011</v>
      </c>
      <c r="J468" s="2">
        <v>201650.82</v>
      </c>
      <c r="K468" s="2">
        <v>398862.72</v>
      </c>
      <c r="L468" s="2">
        <f t="shared" si="72"/>
        <v>197211.89999999997</v>
      </c>
      <c r="M468" s="2">
        <v>261052.51</v>
      </c>
      <c r="N468" s="2">
        <v>269164.25</v>
      </c>
      <c r="O468" s="2">
        <f t="shared" si="73"/>
        <v>8111.7399999999907</v>
      </c>
      <c r="P468" s="2">
        <v>18306.740000000002</v>
      </c>
      <c r="Q468" s="2">
        <v>19657.8</v>
      </c>
      <c r="R468" s="2">
        <f t="shared" si="74"/>
        <v>1351.0599999999977</v>
      </c>
      <c r="S468" s="2">
        <v>29094.11</v>
      </c>
      <c r="T468" s="2">
        <v>30282.69</v>
      </c>
      <c r="U468" s="2">
        <f t="shared" si="75"/>
        <v>1188.5799999999981</v>
      </c>
      <c r="V468" s="2">
        <v>68234.679999999993</v>
      </c>
      <c r="W468" s="2">
        <v>82772.039999999994</v>
      </c>
      <c r="X468" s="2">
        <f t="shared" si="76"/>
        <v>14537.36</v>
      </c>
      <c r="Y468" s="2">
        <v>11456.68</v>
      </c>
      <c r="Z468" s="2">
        <v>8233.69</v>
      </c>
      <c r="AA468" s="2">
        <f t="shared" si="77"/>
        <v>-3222.99</v>
      </c>
      <c r="AB468" s="2">
        <v>-1621.52</v>
      </c>
      <c r="AC468" s="2">
        <v>4653.92</v>
      </c>
      <c r="AD468" s="2">
        <f t="shared" si="78"/>
        <v>6275.4400000000005</v>
      </c>
      <c r="AE468" s="2">
        <v>133826.6</v>
      </c>
      <c r="AF468" s="2">
        <v>290434.8</v>
      </c>
      <c r="AG468" s="2">
        <f t="shared" si="79"/>
        <v>156608.19999999998</v>
      </c>
    </row>
    <row r="469" spans="1:33" x14ac:dyDescent="0.3">
      <c r="B469" s="3"/>
      <c r="C469" t="str">
        <f xml:space="preserve"> _xll.EPMOlapMemberO("[CLACO].[PARENTH1].[AMSAASESORIAS]","","Asesorías y Consulto","","000")</f>
        <v>Asesorías y Consulto</v>
      </c>
      <c r="D469" s="2">
        <v>121895.4</v>
      </c>
      <c r="E469" s="2">
        <v>128406.73</v>
      </c>
      <c r="F469" s="2">
        <f t="shared" si="70"/>
        <v>6511.3300000000017</v>
      </c>
      <c r="G469" s="2">
        <v>16780.11</v>
      </c>
      <c r="H469" s="2">
        <v>108035.5</v>
      </c>
      <c r="I469" s="2">
        <f t="shared" si="71"/>
        <v>91255.39</v>
      </c>
      <c r="J469" s="2">
        <v>11355.95</v>
      </c>
      <c r="K469" s="2">
        <v>2488.66</v>
      </c>
      <c r="L469" s="2">
        <f t="shared" si="72"/>
        <v>-8867.2900000000009</v>
      </c>
      <c r="M469" s="2">
        <v>17995.16</v>
      </c>
      <c r="N469" s="2">
        <v>4163.7299999999996</v>
      </c>
      <c r="O469" s="2">
        <f t="shared" si="73"/>
        <v>-13831.43</v>
      </c>
      <c r="P469" s="2">
        <v>1102.57</v>
      </c>
      <c r="Q469" s="2">
        <v>1168.98</v>
      </c>
      <c r="R469" s="2">
        <f t="shared" si="74"/>
        <v>66.410000000000082</v>
      </c>
      <c r="S469" s="2">
        <v>1736.02</v>
      </c>
      <c r="T469" s="2">
        <v>1165.73</v>
      </c>
      <c r="U469" s="2">
        <f t="shared" si="75"/>
        <v>-570.29</v>
      </c>
      <c r="V469" s="2">
        <v>1021.44</v>
      </c>
      <c r="W469" s="2">
        <v>1162.49</v>
      </c>
      <c r="X469" s="2">
        <f t="shared" si="76"/>
        <v>141.04999999999995</v>
      </c>
      <c r="Y469" s="2">
        <v>1088.25</v>
      </c>
      <c r="Z469" s="2">
        <v>1159.25</v>
      </c>
      <c r="AA469" s="2">
        <f t="shared" si="77"/>
        <v>71</v>
      </c>
      <c r="AB469" s="2">
        <v>1839.64</v>
      </c>
      <c r="AC469" s="2">
        <v>1156.03</v>
      </c>
      <c r="AD469" s="2">
        <f t="shared" si="78"/>
        <v>-683.61000000000013</v>
      </c>
      <c r="AE469" s="2">
        <v>5741.12</v>
      </c>
      <c r="AF469" s="2">
        <v>18378.16</v>
      </c>
      <c r="AG469" s="2">
        <f t="shared" si="79"/>
        <v>12637.04</v>
      </c>
    </row>
    <row r="470" spans="1:33" x14ac:dyDescent="0.3">
      <c r="B470" s="3"/>
      <c r="C470" t="str">
        <f xml:space="preserve"> _xll.EPMOlapMemberO("[CLACO].[PARENTH1].[AMSASERVICIOS]","","Servicios","","000")</f>
        <v>Servicios</v>
      </c>
      <c r="D470" s="2"/>
      <c r="E470" s="2"/>
      <c r="F470" s="2">
        <f t="shared" si="70"/>
        <v>0</v>
      </c>
      <c r="G470" s="2">
        <v>-455.67</v>
      </c>
      <c r="H470" s="2"/>
      <c r="I470" s="2">
        <f t="shared" si="71"/>
        <v>455.67</v>
      </c>
      <c r="J470" s="2">
        <v>-702.25</v>
      </c>
      <c r="K470" s="2"/>
      <c r="L470" s="2">
        <f t="shared" si="72"/>
        <v>702.25</v>
      </c>
      <c r="M470" s="2">
        <v>36319.47</v>
      </c>
      <c r="N470" s="2">
        <v>34632.9</v>
      </c>
      <c r="O470" s="2">
        <f t="shared" si="73"/>
        <v>-1686.5699999999997</v>
      </c>
      <c r="P470" s="2">
        <v>-24.47</v>
      </c>
      <c r="Q470" s="2"/>
      <c r="R470" s="2">
        <f t="shared" si="74"/>
        <v>24.47</v>
      </c>
      <c r="S470" s="2">
        <v>67.709999999999994</v>
      </c>
      <c r="T470" s="2"/>
      <c r="U470" s="2">
        <f t="shared" si="75"/>
        <v>-67.709999999999994</v>
      </c>
      <c r="V470" s="2">
        <v>3205.1</v>
      </c>
      <c r="W470" s="2"/>
      <c r="X470" s="2">
        <f t="shared" si="76"/>
        <v>-3205.1</v>
      </c>
      <c r="Y470" s="2">
        <v>6212.19</v>
      </c>
      <c r="Z470" s="2"/>
      <c r="AA470" s="2">
        <f t="shared" si="77"/>
        <v>-6212.19</v>
      </c>
      <c r="AB470" s="2">
        <v>6007.97</v>
      </c>
      <c r="AC470" s="2"/>
      <c r="AD470" s="2">
        <f t="shared" si="78"/>
        <v>-6007.97</v>
      </c>
      <c r="AE470" s="2">
        <v>15468.5</v>
      </c>
      <c r="AF470" s="2"/>
      <c r="AG470" s="2">
        <f t="shared" si="79"/>
        <v>-15468.5</v>
      </c>
    </row>
    <row r="471" spans="1:33" x14ac:dyDescent="0.3">
      <c r="B471" s="3"/>
      <c r="C471" t="str">
        <f xml:space="preserve"> _xll.EPMOlapMemberO("[CLACO].[PARENTH1].[AMSASERMANTO.REPA]","","Servicios Mantenimie","","000")</f>
        <v>Servicios Mantenimie</v>
      </c>
      <c r="D471" s="2"/>
      <c r="E471" s="2"/>
      <c r="F471" s="2">
        <f t="shared" si="70"/>
        <v>0</v>
      </c>
      <c r="G471" s="2"/>
      <c r="H471" s="2"/>
      <c r="I471" s="2">
        <f t="shared" si="71"/>
        <v>0</v>
      </c>
      <c r="J471" s="2">
        <v>1031.25</v>
      </c>
      <c r="K471" s="2"/>
      <c r="L471" s="2">
        <f t="shared" si="72"/>
        <v>-1031.25</v>
      </c>
      <c r="M471" s="2">
        <v>1666.07</v>
      </c>
      <c r="N471" s="2"/>
      <c r="O471" s="2">
        <f t="shared" si="73"/>
        <v>-1666.07</v>
      </c>
      <c r="P471" s="2"/>
      <c r="Q471" s="2"/>
      <c r="R471" s="2">
        <f t="shared" si="74"/>
        <v>0</v>
      </c>
      <c r="S471" s="2"/>
      <c r="T471" s="2"/>
      <c r="U471" s="2">
        <f t="shared" si="75"/>
        <v>0</v>
      </c>
      <c r="V471" s="2"/>
      <c r="W471" s="2"/>
      <c r="X471" s="2">
        <f t="shared" si="76"/>
        <v>0</v>
      </c>
      <c r="Y471" s="2"/>
      <c r="Z471" s="2"/>
      <c r="AA471" s="2">
        <f t="shared" si="77"/>
        <v>0</v>
      </c>
      <c r="AB471" s="2"/>
      <c r="AC471" s="2"/>
      <c r="AD471" s="2">
        <f t="shared" si="78"/>
        <v>0</v>
      </c>
      <c r="AE471" s="2"/>
      <c r="AF471" s="2"/>
      <c r="AG471" s="2">
        <f t="shared" si="79"/>
        <v>0</v>
      </c>
    </row>
    <row r="472" spans="1:33" x14ac:dyDescent="0.3">
      <c r="B472" s="3"/>
      <c r="C472" t="str">
        <f xml:space="preserve"> _xll.EPMOlapMemberO("[CLACO].[PARENTH1].[AMSAINFORMATIC]","","Informática y Comuni","","000")</f>
        <v>Informática y Comuni</v>
      </c>
      <c r="D472" s="2">
        <v>25661.96</v>
      </c>
      <c r="E472" s="2">
        <v>59048.04</v>
      </c>
      <c r="F472" s="2">
        <f t="shared" si="70"/>
        <v>33386.080000000002</v>
      </c>
      <c r="G472" s="2">
        <v>22016.33</v>
      </c>
      <c r="H472" s="2">
        <v>54420</v>
      </c>
      <c r="I472" s="2">
        <f t="shared" si="71"/>
        <v>32403.67</v>
      </c>
      <c r="J472" s="2">
        <v>35511.07</v>
      </c>
      <c r="K472" s="2">
        <v>49675.63</v>
      </c>
      <c r="L472" s="2">
        <f t="shared" si="72"/>
        <v>14164.559999999998</v>
      </c>
      <c r="M472" s="2">
        <v>1390.69</v>
      </c>
      <c r="N472" s="2"/>
      <c r="O472" s="2">
        <f t="shared" si="73"/>
        <v>-1390.69</v>
      </c>
      <c r="P472" s="2">
        <v>1250</v>
      </c>
      <c r="Q472" s="2"/>
      <c r="R472" s="2">
        <f t="shared" si="74"/>
        <v>-1250</v>
      </c>
      <c r="S472" s="2"/>
      <c r="T472" s="2"/>
      <c r="U472" s="2">
        <f t="shared" si="75"/>
        <v>0</v>
      </c>
      <c r="V472" s="2"/>
      <c r="W472" s="2"/>
      <c r="X472" s="2">
        <f t="shared" si="76"/>
        <v>0</v>
      </c>
      <c r="Y472" s="2"/>
      <c r="Z472" s="2"/>
      <c r="AA472" s="2">
        <f t="shared" si="77"/>
        <v>0</v>
      </c>
      <c r="AB472" s="2"/>
      <c r="AC472" s="2"/>
      <c r="AD472" s="2">
        <f t="shared" si="78"/>
        <v>0</v>
      </c>
      <c r="AE472" s="2">
        <v>1250</v>
      </c>
      <c r="AF472" s="2"/>
      <c r="AG472" s="2">
        <f t="shared" si="79"/>
        <v>-1250</v>
      </c>
    </row>
    <row r="473" spans="1:33" x14ac:dyDescent="0.3">
      <c r="B473" s="3"/>
      <c r="C473" t="str">
        <f xml:space="preserve"> _xll.EPMOlapMemberO("[CLACO].[PARENTH1].[AMSAG_VIAJES]","","Gastos de Viajes","","000")</f>
        <v>Gastos de Viajes</v>
      </c>
      <c r="D473" s="2"/>
      <c r="E473" s="2">
        <v>5130.87</v>
      </c>
      <c r="F473" s="2">
        <f t="shared" si="70"/>
        <v>5130.87</v>
      </c>
      <c r="G473" s="2">
        <v>1399.51</v>
      </c>
      <c r="H473" s="2">
        <v>6065.96</v>
      </c>
      <c r="I473" s="2">
        <f t="shared" si="71"/>
        <v>4666.45</v>
      </c>
      <c r="J473" s="2">
        <v>0.01</v>
      </c>
      <c r="K473" s="2"/>
      <c r="L473" s="2">
        <f t="shared" si="72"/>
        <v>-0.01</v>
      </c>
      <c r="M473" s="2">
        <v>96.99</v>
      </c>
      <c r="N473" s="2"/>
      <c r="O473" s="2">
        <f t="shared" si="73"/>
        <v>-96.99</v>
      </c>
      <c r="P473" s="2"/>
      <c r="Q473" s="2"/>
      <c r="R473" s="2">
        <f t="shared" si="74"/>
        <v>0</v>
      </c>
      <c r="S473" s="2"/>
      <c r="T473" s="2"/>
      <c r="U473" s="2">
        <f t="shared" si="75"/>
        <v>0</v>
      </c>
      <c r="V473" s="2"/>
      <c r="W473" s="2"/>
      <c r="X473" s="2">
        <f t="shared" si="76"/>
        <v>0</v>
      </c>
      <c r="Y473" s="2"/>
      <c r="Z473" s="2"/>
      <c r="AA473" s="2">
        <f t="shared" si="77"/>
        <v>0</v>
      </c>
      <c r="AB473" s="2">
        <v>211.75</v>
      </c>
      <c r="AC473" s="2"/>
      <c r="AD473" s="2">
        <f t="shared" si="78"/>
        <v>-211.75</v>
      </c>
      <c r="AE473" s="2">
        <v>211.75</v>
      </c>
      <c r="AF473" s="2"/>
      <c r="AG473" s="2">
        <f t="shared" si="79"/>
        <v>-211.75</v>
      </c>
    </row>
    <row r="474" spans="1:33" x14ac:dyDescent="0.3">
      <c r="B474" s="3"/>
      <c r="C474" t="str">
        <f xml:space="preserve"> _xll.EPMOlapMemberO("[CLACO].[PARENTH1].[AMSAGGENERALES.2]","","Otros Gastos","","000")</f>
        <v>Otros Gastos</v>
      </c>
      <c r="D474" s="2"/>
      <c r="E474" s="2"/>
      <c r="F474" s="2">
        <f t="shared" si="70"/>
        <v>0</v>
      </c>
      <c r="G474" s="2">
        <v>2544.9499999999998</v>
      </c>
      <c r="H474" s="2"/>
      <c r="I474" s="2">
        <f t="shared" si="71"/>
        <v>-2544.9499999999998</v>
      </c>
      <c r="J474" s="2"/>
      <c r="K474" s="2"/>
      <c r="L474" s="2">
        <f t="shared" si="72"/>
        <v>0</v>
      </c>
      <c r="M474" s="2">
        <v>-40984.94</v>
      </c>
      <c r="N474" s="2"/>
      <c r="O474" s="2">
        <f t="shared" si="73"/>
        <v>40984.94</v>
      </c>
      <c r="P474" s="2">
        <v>977.35</v>
      </c>
      <c r="Q474" s="2"/>
      <c r="R474" s="2">
        <f t="shared" si="74"/>
        <v>-977.35</v>
      </c>
      <c r="S474" s="2">
        <v>139.26</v>
      </c>
      <c r="T474" s="2"/>
      <c r="U474" s="2">
        <f t="shared" si="75"/>
        <v>-139.26</v>
      </c>
      <c r="V474" s="2">
        <v>845.57</v>
      </c>
      <c r="W474" s="2"/>
      <c r="X474" s="2">
        <f t="shared" si="76"/>
        <v>-845.57</v>
      </c>
      <c r="Y474" s="2">
        <v>161.47</v>
      </c>
      <c r="Z474" s="2"/>
      <c r="AA474" s="2">
        <f t="shared" si="77"/>
        <v>-161.47</v>
      </c>
      <c r="AB474" s="2">
        <v>608.21</v>
      </c>
      <c r="AC474" s="2"/>
      <c r="AD474" s="2">
        <f t="shared" si="78"/>
        <v>-608.21</v>
      </c>
      <c r="AE474" s="2">
        <v>2731.86</v>
      </c>
      <c r="AF474" s="2"/>
      <c r="AG474" s="2">
        <f t="shared" si="79"/>
        <v>-2731.86</v>
      </c>
    </row>
    <row r="475" spans="1:33" x14ac:dyDescent="0.3">
      <c r="B475" s="3"/>
      <c r="C475" t="str">
        <f xml:space="preserve"> _xll.EPMOlapMemberO("[CLACO].[PARENTH1].[AMSACOMERCIALI]","","Comercial","","000")</f>
        <v>Comercial</v>
      </c>
      <c r="D475" s="2"/>
      <c r="E475" s="2"/>
      <c r="F475" s="2">
        <f t="shared" si="70"/>
        <v>0</v>
      </c>
      <c r="G475" s="2"/>
      <c r="H475" s="2"/>
      <c r="I475" s="2">
        <f t="shared" si="71"/>
        <v>0</v>
      </c>
      <c r="J475" s="2"/>
      <c r="K475" s="2"/>
      <c r="L475" s="2">
        <f t="shared" si="72"/>
        <v>0</v>
      </c>
      <c r="M475" s="2">
        <v>78.89</v>
      </c>
      <c r="N475" s="2"/>
      <c r="O475" s="2">
        <f t="shared" si="73"/>
        <v>-78.89</v>
      </c>
      <c r="P475" s="2"/>
      <c r="Q475" s="2"/>
      <c r="R475" s="2">
        <f t="shared" si="74"/>
        <v>0</v>
      </c>
      <c r="S475" s="2"/>
      <c r="T475" s="2"/>
      <c r="U475" s="2">
        <f t="shared" si="75"/>
        <v>0</v>
      </c>
      <c r="V475" s="2"/>
      <c r="W475" s="2"/>
      <c r="X475" s="2">
        <f t="shared" si="76"/>
        <v>0</v>
      </c>
      <c r="Y475" s="2"/>
      <c r="Z475" s="2"/>
      <c r="AA475" s="2">
        <f t="shared" si="77"/>
        <v>0</v>
      </c>
      <c r="AB475" s="2"/>
      <c r="AC475" s="2"/>
      <c r="AD475" s="2">
        <f t="shared" si="78"/>
        <v>0</v>
      </c>
      <c r="AE475" s="2"/>
      <c r="AF475" s="2"/>
      <c r="AG475" s="2">
        <f t="shared" si="79"/>
        <v>0</v>
      </c>
    </row>
    <row r="476" spans="1:33" x14ac:dyDescent="0.3">
      <c r="A476" t="s">
        <v>57</v>
      </c>
      <c r="B476" s="3" t="str">
        <f xml:space="preserve"> _xll.EPMOlapMemberO("[CECO].[PARENTH3].[AMSA1000AC4501]","","VPAC","","000")</f>
        <v>VPAC</v>
      </c>
      <c r="C476" t="str">
        <f xml:space="preserve"> _xll.EPMOlapMemberO("[CLACO].[PARENTH1].[AMSAREMUNERACI.SS]","","Remuneraciones Super","","000")</f>
        <v>Remuneraciones Super</v>
      </c>
      <c r="D476" s="2">
        <v>2083088.63</v>
      </c>
      <c r="E476" s="2">
        <v>1727852.37</v>
      </c>
      <c r="F476" s="2">
        <f t="shared" si="70"/>
        <v>-355236.25999999978</v>
      </c>
      <c r="G476" s="2">
        <v>2674875.13</v>
      </c>
      <c r="H476" s="2">
        <v>1741329.03</v>
      </c>
      <c r="I476" s="2">
        <f t="shared" si="71"/>
        <v>-933546.09999999986</v>
      </c>
      <c r="J476" s="2">
        <v>2487394.2200000002</v>
      </c>
      <c r="K476" s="2">
        <v>2407231.09</v>
      </c>
      <c r="L476" s="2">
        <f t="shared" si="72"/>
        <v>-80163.130000000354</v>
      </c>
      <c r="M476" s="2">
        <v>2685167.5</v>
      </c>
      <c r="N476" s="2">
        <v>1094485.27</v>
      </c>
      <c r="O476" s="2">
        <f t="shared" si="73"/>
        <v>-1590682.23</v>
      </c>
      <c r="P476" s="2">
        <v>237132.25</v>
      </c>
      <c r="Q476" s="2">
        <v>205564.83</v>
      </c>
      <c r="R476" s="2">
        <f t="shared" si="74"/>
        <v>-31567.420000000013</v>
      </c>
      <c r="S476" s="2">
        <v>405342.03</v>
      </c>
      <c r="T476" s="2">
        <v>220263.33</v>
      </c>
      <c r="U476" s="2">
        <f t="shared" si="75"/>
        <v>-185078.70000000004</v>
      </c>
      <c r="V476" s="2">
        <v>236376.95999999999</v>
      </c>
      <c r="W476" s="2">
        <v>203069.05</v>
      </c>
      <c r="X476" s="2">
        <f t="shared" si="76"/>
        <v>-33307.910000000003</v>
      </c>
      <c r="Y476" s="2">
        <v>230533.79</v>
      </c>
      <c r="Z476" s="2">
        <v>212368.61</v>
      </c>
      <c r="AA476" s="2">
        <f t="shared" si="77"/>
        <v>-18165.180000000022</v>
      </c>
      <c r="AB476" s="2">
        <v>246911.98</v>
      </c>
      <c r="AC476" s="2">
        <v>202795.08</v>
      </c>
      <c r="AD476" s="2">
        <f t="shared" si="78"/>
        <v>-44116.900000000023</v>
      </c>
      <c r="AE476" s="2">
        <v>1356599.4</v>
      </c>
      <c r="AF476" s="2">
        <v>2510046.5</v>
      </c>
      <c r="AG476" s="2">
        <f t="shared" si="79"/>
        <v>1153447.1000000001</v>
      </c>
    </row>
    <row r="477" spans="1:33" x14ac:dyDescent="0.3">
      <c r="B477" s="3"/>
      <c r="C477" t="str">
        <f xml:space="preserve"> _xll.EPMOlapMemberO("[CLACO].[PARENTH1].[AMSAMAT_Y_REP.2]","","Materiales y repuest","","000")</f>
        <v>Materiales y repuest</v>
      </c>
      <c r="D477" s="2"/>
      <c r="E477" s="2"/>
      <c r="F477" s="2">
        <f t="shared" si="70"/>
        <v>0</v>
      </c>
      <c r="G477" s="2">
        <v>0</v>
      </c>
      <c r="H477" s="2"/>
      <c r="I477" s="2">
        <f t="shared" si="71"/>
        <v>0</v>
      </c>
      <c r="J477" s="2">
        <v>0</v>
      </c>
      <c r="K477" s="2"/>
      <c r="L477" s="2">
        <f t="shared" si="72"/>
        <v>0</v>
      </c>
      <c r="M477" s="2"/>
      <c r="N477" s="2"/>
      <c r="O477" s="2">
        <f t="shared" si="73"/>
        <v>0</v>
      </c>
      <c r="P477" s="2"/>
      <c r="Q477" s="2"/>
      <c r="R477" s="2">
        <f t="shared" si="74"/>
        <v>0</v>
      </c>
      <c r="S477" s="2"/>
      <c r="T477" s="2"/>
      <c r="U477" s="2">
        <f t="shared" si="75"/>
        <v>0</v>
      </c>
      <c r="V477" s="2"/>
      <c r="W477" s="2"/>
      <c r="X477" s="2">
        <f t="shared" si="76"/>
        <v>0</v>
      </c>
      <c r="Y477" s="2"/>
      <c r="Z477" s="2"/>
      <c r="AA477" s="2">
        <f t="shared" si="77"/>
        <v>0</v>
      </c>
      <c r="AB477" s="2"/>
      <c r="AC477" s="2"/>
      <c r="AD477" s="2">
        <f t="shared" si="78"/>
        <v>0</v>
      </c>
      <c r="AE477" s="2"/>
      <c r="AF477" s="2"/>
      <c r="AG477" s="2">
        <f t="shared" si="79"/>
        <v>0</v>
      </c>
    </row>
    <row r="478" spans="1:33" x14ac:dyDescent="0.3">
      <c r="B478" s="3"/>
      <c r="C478" t="str">
        <f xml:space="preserve"> _xll.EPMOlapMemberO("[CLACO].[PARENTH1].[AMSAADM_PERSON]","","Administración Perso","","000")</f>
        <v>Administración Perso</v>
      </c>
      <c r="D478" s="2"/>
      <c r="E478" s="2"/>
      <c r="F478" s="2">
        <f t="shared" si="70"/>
        <v>0</v>
      </c>
      <c r="G478" s="2"/>
      <c r="H478" s="2"/>
      <c r="I478" s="2">
        <f t="shared" si="71"/>
        <v>0</v>
      </c>
      <c r="J478" s="2">
        <v>0</v>
      </c>
      <c r="K478" s="2"/>
      <c r="L478" s="2">
        <f t="shared" si="72"/>
        <v>0</v>
      </c>
      <c r="M478" s="2">
        <v>0</v>
      </c>
      <c r="N478" s="2"/>
      <c r="O478" s="2">
        <f t="shared" si="73"/>
        <v>0</v>
      </c>
      <c r="P478" s="2"/>
      <c r="Q478" s="2"/>
      <c r="R478" s="2">
        <f t="shared" si="74"/>
        <v>0</v>
      </c>
      <c r="S478" s="2"/>
      <c r="T478" s="2"/>
      <c r="U478" s="2">
        <f t="shared" si="75"/>
        <v>0</v>
      </c>
      <c r="V478" s="2"/>
      <c r="W478" s="2"/>
      <c r="X478" s="2">
        <f t="shared" si="76"/>
        <v>0</v>
      </c>
      <c r="Y478" s="2"/>
      <c r="Z478" s="2"/>
      <c r="AA478" s="2">
        <f t="shared" si="77"/>
        <v>0</v>
      </c>
      <c r="AB478" s="2"/>
      <c r="AC478" s="2"/>
      <c r="AD478" s="2">
        <f t="shared" si="78"/>
        <v>0</v>
      </c>
      <c r="AE478" s="2"/>
      <c r="AF478" s="2"/>
      <c r="AG478" s="2">
        <f t="shared" si="79"/>
        <v>0</v>
      </c>
    </row>
    <row r="479" spans="1:33" x14ac:dyDescent="0.3">
      <c r="B479" s="3"/>
      <c r="C479" t="str">
        <f xml:space="preserve"> _xll.EPMOlapMemberO("[CLACO].[PARENTH1].[AMSAENTRENAMI]","","Entrenamiento","","000")</f>
        <v>Entrenamiento</v>
      </c>
      <c r="D479" s="2"/>
      <c r="E479" s="2"/>
      <c r="F479" s="2">
        <f t="shared" si="70"/>
        <v>0</v>
      </c>
      <c r="G479" s="2"/>
      <c r="H479" s="2"/>
      <c r="I479" s="2">
        <f t="shared" si="71"/>
        <v>0</v>
      </c>
      <c r="J479" s="2">
        <v>22881.06</v>
      </c>
      <c r="K479" s="2"/>
      <c r="L479" s="2">
        <f t="shared" si="72"/>
        <v>-22881.06</v>
      </c>
      <c r="M479" s="2">
        <v>3750.79</v>
      </c>
      <c r="N479" s="2"/>
      <c r="O479" s="2">
        <f t="shared" si="73"/>
        <v>-3750.79</v>
      </c>
      <c r="P479" s="2">
        <v>699.19</v>
      </c>
      <c r="Q479" s="2"/>
      <c r="R479" s="2">
        <f t="shared" si="74"/>
        <v>-699.19</v>
      </c>
      <c r="S479" s="2"/>
      <c r="T479" s="2"/>
      <c r="U479" s="2">
        <f t="shared" si="75"/>
        <v>0</v>
      </c>
      <c r="V479" s="2"/>
      <c r="W479" s="2"/>
      <c r="X479" s="2">
        <f t="shared" si="76"/>
        <v>0</v>
      </c>
      <c r="Y479" s="2"/>
      <c r="Z479" s="2"/>
      <c r="AA479" s="2">
        <f t="shared" si="77"/>
        <v>0</v>
      </c>
      <c r="AB479" s="2"/>
      <c r="AC479" s="2"/>
      <c r="AD479" s="2">
        <f t="shared" si="78"/>
        <v>0</v>
      </c>
      <c r="AE479" s="2">
        <v>699.19</v>
      </c>
      <c r="AF479" s="2"/>
      <c r="AG479" s="2">
        <f t="shared" si="79"/>
        <v>-699.19</v>
      </c>
    </row>
    <row r="480" spans="1:33" x14ac:dyDescent="0.3">
      <c r="B480" s="3"/>
      <c r="C480" t="str">
        <f xml:space="preserve"> _xll.EPMOlapMemberO("[CLACO].[PARENTH1].[AMSAASESORIAS]","","Asesorías y Consulto","","000")</f>
        <v>Asesorías y Consulto</v>
      </c>
      <c r="D480" s="2">
        <v>111877.75</v>
      </c>
      <c r="E480" s="2">
        <v>115631.27</v>
      </c>
      <c r="F480" s="2">
        <f t="shared" si="70"/>
        <v>3753.5200000000041</v>
      </c>
      <c r="G480" s="2">
        <v>97605.48</v>
      </c>
      <c r="H480" s="2">
        <v>111921.84</v>
      </c>
      <c r="I480" s="2">
        <f t="shared" si="71"/>
        <v>14316.36</v>
      </c>
      <c r="J480" s="2">
        <v>106421.62</v>
      </c>
      <c r="K480" s="2">
        <v>107533.45</v>
      </c>
      <c r="L480" s="2">
        <f t="shared" si="72"/>
        <v>1111.8300000000017</v>
      </c>
      <c r="M480" s="2">
        <v>71106.28</v>
      </c>
      <c r="N480" s="2">
        <v>83438.81</v>
      </c>
      <c r="O480" s="2">
        <f t="shared" si="73"/>
        <v>12332.529999999999</v>
      </c>
      <c r="P480" s="2">
        <v>12661.88</v>
      </c>
      <c r="Q480" s="2">
        <v>16053.69</v>
      </c>
      <c r="R480" s="2">
        <f t="shared" si="74"/>
        <v>3391.8100000000013</v>
      </c>
      <c r="S480" s="2">
        <v>5020.32</v>
      </c>
      <c r="T480" s="2">
        <v>4835.2299999999996</v>
      </c>
      <c r="U480" s="2">
        <f t="shared" si="75"/>
        <v>-185.09000000000015</v>
      </c>
      <c r="V480" s="2">
        <v>4770.25</v>
      </c>
      <c r="W480" s="2">
        <v>4821.78</v>
      </c>
      <c r="X480" s="2">
        <f t="shared" si="76"/>
        <v>51.529999999999745</v>
      </c>
      <c r="Y480" s="2">
        <v>5064.5200000000004</v>
      </c>
      <c r="Z480" s="2">
        <v>4808.3599999999997</v>
      </c>
      <c r="AA480" s="2">
        <f t="shared" si="77"/>
        <v>-256.16000000000076</v>
      </c>
      <c r="AB480" s="2">
        <v>4977.17</v>
      </c>
      <c r="AC480" s="2">
        <v>4794.9799999999996</v>
      </c>
      <c r="AD480" s="2">
        <f t="shared" si="78"/>
        <v>-182.19000000000051</v>
      </c>
      <c r="AE480" s="2">
        <v>37496.160000000003</v>
      </c>
      <c r="AF480" s="2">
        <v>87840.45</v>
      </c>
      <c r="AG480" s="2">
        <f t="shared" si="79"/>
        <v>50344.289999999994</v>
      </c>
    </row>
    <row r="481" spans="1:33" x14ac:dyDescent="0.3">
      <c r="B481" s="3"/>
      <c r="C481" t="str">
        <f xml:space="preserve"> _xll.EPMOlapMemberO("[CLACO].[PARENTH1].[AMSAARRIENDOS]","","Arriendos","","000")</f>
        <v>Arriendos</v>
      </c>
      <c r="D481" s="2"/>
      <c r="E481" s="2"/>
      <c r="F481" s="2">
        <f t="shared" si="70"/>
        <v>0</v>
      </c>
      <c r="G481" s="2"/>
      <c r="H481" s="2"/>
      <c r="I481" s="2">
        <f t="shared" si="71"/>
        <v>0</v>
      </c>
      <c r="J481" s="2"/>
      <c r="K481" s="2"/>
      <c r="L481" s="2">
        <f t="shared" si="72"/>
        <v>0</v>
      </c>
      <c r="M481" s="2"/>
      <c r="N481" s="2"/>
      <c r="O481" s="2">
        <f t="shared" si="73"/>
        <v>0</v>
      </c>
      <c r="P481" s="2">
        <v>-144.63999999999999</v>
      </c>
      <c r="Q481" s="2"/>
      <c r="R481" s="2">
        <f t="shared" si="74"/>
        <v>144.63999999999999</v>
      </c>
      <c r="S481" s="2">
        <v>144.63999999999999</v>
      </c>
      <c r="T481" s="2"/>
      <c r="U481" s="2">
        <f t="shared" si="75"/>
        <v>-144.63999999999999</v>
      </c>
      <c r="V481" s="2"/>
      <c r="W481" s="2"/>
      <c r="X481" s="2">
        <f t="shared" si="76"/>
        <v>0</v>
      </c>
      <c r="Y481" s="2"/>
      <c r="Z481" s="2"/>
      <c r="AA481" s="2">
        <f t="shared" si="77"/>
        <v>0</v>
      </c>
      <c r="AB481" s="2"/>
      <c r="AC481" s="2"/>
      <c r="AD481" s="2">
        <f t="shared" si="78"/>
        <v>0</v>
      </c>
      <c r="AE481" s="2">
        <v>0</v>
      </c>
      <c r="AF481" s="2"/>
      <c r="AG481" s="2">
        <f t="shared" si="79"/>
        <v>0</v>
      </c>
    </row>
    <row r="482" spans="1:33" x14ac:dyDescent="0.3">
      <c r="B482" s="3"/>
      <c r="C482" t="str">
        <f xml:space="preserve"> _xll.EPMOlapMemberO("[CLACO].[PARENTH1].[AMSASERVICIOS]","","Servicios","","000")</f>
        <v>Servicios</v>
      </c>
      <c r="D482" s="2"/>
      <c r="E482" s="2"/>
      <c r="F482" s="2">
        <f t="shared" si="70"/>
        <v>0</v>
      </c>
      <c r="G482" s="2">
        <v>31863.46</v>
      </c>
      <c r="H482" s="2"/>
      <c r="I482" s="2">
        <f t="shared" si="71"/>
        <v>-31863.46</v>
      </c>
      <c r="J482" s="2">
        <v>1412.17</v>
      </c>
      <c r="K482" s="2"/>
      <c r="L482" s="2">
        <f t="shared" si="72"/>
        <v>-1412.17</v>
      </c>
      <c r="M482" s="2">
        <v>2332.5300000000002</v>
      </c>
      <c r="N482" s="2"/>
      <c r="O482" s="2">
        <f t="shared" si="73"/>
        <v>-2332.5300000000002</v>
      </c>
      <c r="P482" s="2"/>
      <c r="Q482" s="2"/>
      <c r="R482" s="2">
        <f t="shared" si="74"/>
        <v>0</v>
      </c>
      <c r="S482" s="2"/>
      <c r="T482" s="2"/>
      <c r="U482" s="2">
        <f t="shared" si="75"/>
        <v>0</v>
      </c>
      <c r="V482" s="2"/>
      <c r="W482" s="2"/>
      <c r="X482" s="2">
        <f t="shared" si="76"/>
        <v>0</v>
      </c>
      <c r="Y482" s="2"/>
      <c r="Z482" s="2"/>
      <c r="AA482" s="2">
        <f t="shared" si="77"/>
        <v>0</v>
      </c>
      <c r="AB482" s="2"/>
      <c r="AC482" s="2"/>
      <c r="AD482" s="2">
        <f t="shared" si="78"/>
        <v>0</v>
      </c>
      <c r="AE482" s="2"/>
      <c r="AF482" s="2"/>
      <c r="AG482" s="2">
        <f t="shared" si="79"/>
        <v>0</v>
      </c>
    </row>
    <row r="483" spans="1:33" x14ac:dyDescent="0.3">
      <c r="B483" s="3"/>
      <c r="C483" t="str">
        <f xml:space="preserve"> _xll.EPMOlapMemberO("[CLACO].[PARENTH1].[AMSASERMANTO.REPA]","","Servicios Mantenimie","","000")</f>
        <v>Servicios Mantenimie</v>
      </c>
      <c r="D483" s="2"/>
      <c r="E483" s="2"/>
      <c r="F483" s="2">
        <f t="shared" si="70"/>
        <v>0</v>
      </c>
      <c r="G483" s="2">
        <v>0</v>
      </c>
      <c r="H483" s="2"/>
      <c r="I483" s="2">
        <f t="shared" si="71"/>
        <v>0</v>
      </c>
      <c r="J483" s="2"/>
      <c r="K483" s="2"/>
      <c r="L483" s="2">
        <f t="shared" si="72"/>
        <v>0</v>
      </c>
      <c r="M483" s="2">
        <v>0</v>
      </c>
      <c r="N483" s="2"/>
      <c r="O483" s="2">
        <f t="shared" si="73"/>
        <v>0</v>
      </c>
      <c r="P483" s="2"/>
      <c r="Q483" s="2"/>
      <c r="R483" s="2">
        <f t="shared" si="74"/>
        <v>0</v>
      </c>
      <c r="S483" s="2">
        <v>-3.45</v>
      </c>
      <c r="T483" s="2"/>
      <c r="U483" s="2">
        <f t="shared" si="75"/>
        <v>3.45</v>
      </c>
      <c r="V483" s="2">
        <v>0</v>
      </c>
      <c r="W483" s="2"/>
      <c r="X483" s="2">
        <f t="shared" si="76"/>
        <v>0</v>
      </c>
      <c r="Y483" s="2">
        <v>0</v>
      </c>
      <c r="Z483" s="2"/>
      <c r="AA483" s="2">
        <f t="shared" si="77"/>
        <v>0</v>
      </c>
      <c r="AB483" s="2">
        <v>0</v>
      </c>
      <c r="AC483" s="2"/>
      <c r="AD483" s="2">
        <f t="shared" si="78"/>
        <v>0</v>
      </c>
      <c r="AE483" s="2">
        <v>45.74</v>
      </c>
      <c r="AF483" s="2"/>
      <c r="AG483" s="2">
        <f t="shared" si="79"/>
        <v>-45.74</v>
      </c>
    </row>
    <row r="484" spans="1:33" x14ac:dyDescent="0.3">
      <c r="B484" s="3"/>
      <c r="C484" t="str">
        <f xml:space="preserve"> _xll.EPMOlapMemberO("[CLACO].[PARENTH1].[AMSAINFORMATIC]","","Informática y Comuni","","000")</f>
        <v>Informática y Comuni</v>
      </c>
      <c r="D484" s="2">
        <v>1916.25</v>
      </c>
      <c r="E484" s="2">
        <v>3091.48</v>
      </c>
      <c r="F484" s="2">
        <f t="shared" si="70"/>
        <v>1175.23</v>
      </c>
      <c r="G484" s="2">
        <v>5215.63</v>
      </c>
      <c r="H484" s="2">
        <v>3094.58</v>
      </c>
      <c r="I484" s="2">
        <f t="shared" si="71"/>
        <v>-2121.0500000000002</v>
      </c>
      <c r="J484" s="2">
        <v>6316.2</v>
      </c>
      <c r="K484" s="2">
        <v>4214.0600000000004</v>
      </c>
      <c r="L484" s="2">
        <f t="shared" si="72"/>
        <v>-2102.1399999999994</v>
      </c>
      <c r="M484" s="2">
        <v>12615.15</v>
      </c>
      <c r="N484" s="2">
        <v>2466.54</v>
      </c>
      <c r="O484" s="2">
        <f t="shared" si="73"/>
        <v>-10148.61</v>
      </c>
      <c r="P484" s="2">
        <v>438.34</v>
      </c>
      <c r="Q484" s="2">
        <v>193.61</v>
      </c>
      <c r="R484" s="2">
        <f t="shared" si="74"/>
        <v>-244.72999999999996</v>
      </c>
      <c r="S484" s="2">
        <v>160.13999999999999</v>
      </c>
      <c r="T484" s="2">
        <v>193.25</v>
      </c>
      <c r="U484" s="2">
        <f t="shared" si="75"/>
        <v>33.110000000000014</v>
      </c>
      <c r="V484" s="2">
        <v>83.54</v>
      </c>
      <c r="W484" s="2">
        <v>192.89</v>
      </c>
      <c r="X484" s="2">
        <f t="shared" si="76"/>
        <v>109.34999999999998</v>
      </c>
      <c r="Y484" s="2">
        <v>2718</v>
      </c>
      <c r="Z484" s="2">
        <v>192.52</v>
      </c>
      <c r="AA484" s="2">
        <f t="shared" si="77"/>
        <v>-2525.48</v>
      </c>
      <c r="AB484" s="2">
        <v>128.9</v>
      </c>
      <c r="AC484" s="2">
        <v>192.16</v>
      </c>
      <c r="AD484" s="2">
        <f t="shared" si="78"/>
        <v>63.259999999999991</v>
      </c>
      <c r="AE484" s="2">
        <v>3606.64</v>
      </c>
      <c r="AF484" s="2">
        <v>2825.14</v>
      </c>
      <c r="AG484" s="2">
        <f t="shared" si="79"/>
        <v>-781.5</v>
      </c>
    </row>
    <row r="485" spans="1:33" x14ac:dyDescent="0.3">
      <c r="B485" s="3"/>
      <c r="C485" t="str">
        <f xml:space="preserve"> _xll.EPMOlapMemberO("[CLACO].[PARENTH1].[AMSAG_VIAJES]","","Gastos de Viajes","","000")</f>
        <v>Gastos de Viajes</v>
      </c>
      <c r="D485" s="2">
        <v>112887</v>
      </c>
      <c r="E485" s="2">
        <v>41629.040000000001</v>
      </c>
      <c r="F485" s="2">
        <f t="shared" si="70"/>
        <v>-71257.959999999992</v>
      </c>
      <c r="G485" s="2">
        <v>85673.78</v>
      </c>
      <c r="H485" s="2">
        <v>73483.520000000004</v>
      </c>
      <c r="I485" s="2">
        <f t="shared" si="71"/>
        <v>-12190.259999999995</v>
      </c>
      <c r="J485" s="2">
        <v>91676.59</v>
      </c>
      <c r="K485" s="2">
        <v>99528</v>
      </c>
      <c r="L485" s="2">
        <f t="shared" si="72"/>
        <v>7851.4100000000035</v>
      </c>
      <c r="M485" s="2">
        <v>62605.64</v>
      </c>
      <c r="N485" s="2">
        <v>78331.199999999997</v>
      </c>
      <c r="O485" s="2">
        <f t="shared" si="73"/>
        <v>15725.559999999998</v>
      </c>
      <c r="P485" s="2">
        <v>17130.28</v>
      </c>
      <c r="Q485" s="2">
        <v>2330.4699999999998</v>
      </c>
      <c r="R485" s="2">
        <f t="shared" si="74"/>
        <v>-14799.81</v>
      </c>
      <c r="S485" s="2">
        <v>2727.71</v>
      </c>
      <c r="T485" s="2">
        <v>2391.4699999999998</v>
      </c>
      <c r="U485" s="2">
        <f t="shared" si="75"/>
        <v>-336.24000000000024</v>
      </c>
      <c r="V485" s="2">
        <v>1872.29</v>
      </c>
      <c r="W485" s="2">
        <v>20002.37</v>
      </c>
      <c r="X485" s="2">
        <f t="shared" si="76"/>
        <v>18130.079999999998</v>
      </c>
      <c r="Y485" s="2">
        <v>3220.84</v>
      </c>
      <c r="Z485" s="2">
        <v>2382.41</v>
      </c>
      <c r="AA485" s="2">
        <f t="shared" si="77"/>
        <v>-838.43000000000029</v>
      </c>
      <c r="AB485" s="2">
        <v>703.04</v>
      </c>
      <c r="AC485" s="2">
        <v>300.24</v>
      </c>
      <c r="AD485" s="2">
        <f t="shared" si="78"/>
        <v>-402.79999999999995</v>
      </c>
      <c r="AE485" s="2">
        <v>25540.49</v>
      </c>
      <c r="AF485" s="2">
        <v>79436.36</v>
      </c>
      <c r="AG485" s="2">
        <f t="shared" si="79"/>
        <v>53895.869999999995</v>
      </c>
    </row>
    <row r="486" spans="1:33" x14ac:dyDescent="0.3">
      <c r="B486" s="3"/>
      <c r="C486" t="str">
        <f xml:space="preserve"> _xll.EPMOlapMemberO("[CLACO].[PARENTH1].[AMSASEGUROS]","","Seguros","","000")</f>
        <v>Seguros</v>
      </c>
      <c r="D486" s="2"/>
      <c r="E486" s="2"/>
      <c r="F486" s="2">
        <f t="shared" si="70"/>
        <v>0</v>
      </c>
      <c r="G486" s="2">
        <v>0</v>
      </c>
      <c r="H486" s="2"/>
      <c r="I486" s="2">
        <f t="shared" si="71"/>
        <v>0</v>
      </c>
      <c r="J486" s="2"/>
      <c r="K486" s="2"/>
      <c r="L486" s="2">
        <f t="shared" si="72"/>
        <v>0</v>
      </c>
      <c r="M486" s="2"/>
      <c r="N486" s="2"/>
      <c r="O486" s="2">
        <f t="shared" si="73"/>
        <v>0</v>
      </c>
      <c r="P486" s="2"/>
      <c r="Q486" s="2"/>
      <c r="R486" s="2">
        <f t="shared" si="74"/>
        <v>0</v>
      </c>
      <c r="S486" s="2"/>
      <c r="T486" s="2"/>
      <c r="U486" s="2">
        <f t="shared" si="75"/>
        <v>0</v>
      </c>
      <c r="V486" s="2"/>
      <c r="W486" s="2"/>
      <c r="X486" s="2">
        <f t="shared" si="76"/>
        <v>0</v>
      </c>
      <c r="Y486" s="2"/>
      <c r="Z486" s="2"/>
      <c r="AA486" s="2">
        <f t="shared" si="77"/>
        <v>0</v>
      </c>
      <c r="AB486" s="2"/>
      <c r="AC486" s="2"/>
      <c r="AD486" s="2">
        <f t="shared" si="78"/>
        <v>0</v>
      </c>
      <c r="AE486" s="2"/>
      <c r="AF486" s="2"/>
      <c r="AG486" s="2">
        <f t="shared" si="79"/>
        <v>0</v>
      </c>
    </row>
    <row r="487" spans="1:33" x14ac:dyDescent="0.3">
      <c r="B487" s="3"/>
      <c r="C487" t="str">
        <f xml:space="preserve"> _xll.EPMOlapMemberO("[CLACO].[PARENTH1].[AMSAGGENERALES.2]","","Otros Gastos","","000")</f>
        <v>Otros Gastos</v>
      </c>
      <c r="D487" s="2">
        <v>85276.98</v>
      </c>
      <c r="E487" s="2">
        <v>4193.75</v>
      </c>
      <c r="F487" s="2">
        <f t="shared" si="70"/>
        <v>-81083.23</v>
      </c>
      <c r="G487" s="2">
        <v>2182.25</v>
      </c>
      <c r="H487" s="2">
        <v>4172.05</v>
      </c>
      <c r="I487" s="2">
        <f t="shared" si="71"/>
        <v>1989.8000000000002</v>
      </c>
      <c r="J487" s="2">
        <v>10886.75</v>
      </c>
      <c r="K487" s="2">
        <v>3052.89</v>
      </c>
      <c r="L487" s="2">
        <f t="shared" si="72"/>
        <v>-7833.8600000000006</v>
      </c>
      <c r="M487" s="2">
        <v>19731.02</v>
      </c>
      <c r="N487" s="2">
        <v>7961.99</v>
      </c>
      <c r="O487" s="2">
        <f t="shared" si="73"/>
        <v>-11769.03</v>
      </c>
      <c r="P487" s="2">
        <v>255.37</v>
      </c>
      <c r="Q487" s="2">
        <v>625.79</v>
      </c>
      <c r="R487" s="2">
        <f t="shared" si="74"/>
        <v>370.41999999999996</v>
      </c>
      <c r="S487" s="2">
        <v>125.6</v>
      </c>
      <c r="T487" s="2">
        <v>624.11</v>
      </c>
      <c r="U487" s="2">
        <f t="shared" si="75"/>
        <v>498.51</v>
      </c>
      <c r="V487" s="2">
        <v>244.85</v>
      </c>
      <c r="W487" s="2">
        <v>789.56</v>
      </c>
      <c r="X487" s="2">
        <f t="shared" si="76"/>
        <v>544.70999999999992</v>
      </c>
      <c r="Y487" s="2">
        <v>292.11</v>
      </c>
      <c r="Z487" s="2">
        <v>231.84</v>
      </c>
      <c r="AA487" s="2">
        <f t="shared" si="77"/>
        <v>-60.27000000000001</v>
      </c>
      <c r="AB487" s="2">
        <v>125.02</v>
      </c>
      <c r="AC487" s="2">
        <v>65.05</v>
      </c>
      <c r="AD487" s="2">
        <f t="shared" si="78"/>
        <v>-59.97</v>
      </c>
      <c r="AE487" s="2">
        <v>1335.75</v>
      </c>
      <c r="AF487" s="2">
        <v>7914.08</v>
      </c>
      <c r="AG487" s="2">
        <f t="shared" si="79"/>
        <v>6578.33</v>
      </c>
    </row>
    <row r="488" spans="1:33" x14ac:dyDescent="0.3">
      <c r="A488" t="s">
        <v>58</v>
      </c>
      <c r="B488" s="3" t="str">
        <f xml:space="preserve"> _xll.EPMOlapMemberO("[CECO].[PARENTH3].[AMSA1000AC4502]","","Gcia de Asuntos Públ","","000")</f>
        <v>Gcia de Asuntos Públ</v>
      </c>
      <c r="C488" t="str">
        <f xml:space="preserve"> _xll.EPMOlapMemberO("[CLACO].[PARENTH1].[AMSAREMUNERACI.EE]","","Remuneraciones emple","","000")</f>
        <v>Remuneraciones emple</v>
      </c>
      <c r="D488" s="2"/>
      <c r="E488" s="2"/>
      <c r="F488" s="2">
        <f t="shared" si="70"/>
        <v>0</v>
      </c>
      <c r="G488" s="2"/>
      <c r="H488" s="2"/>
      <c r="I488" s="2">
        <f t="shared" si="71"/>
        <v>0</v>
      </c>
      <c r="J488" s="2"/>
      <c r="K488" s="2"/>
      <c r="L488" s="2">
        <f t="shared" si="72"/>
        <v>0</v>
      </c>
      <c r="M488" s="2"/>
      <c r="N488" s="2"/>
      <c r="O488" s="2">
        <f t="shared" si="73"/>
        <v>0</v>
      </c>
      <c r="P488" s="2"/>
      <c r="Q488" s="2"/>
      <c r="R488" s="2">
        <f t="shared" si="74"/>
        <v>0</v>
      </c>
      <c r="S488" s="2"/>
      <c r="T488" s="2"/>
      <c r="U488" s="2">
        <f t="shared" si="75"/>
        <v>0</v>
      </c>
      <c r="V488" s="2"/>
      <c r="W488" s="2"/>
      <c r="X488" s="2">
        <f t="shared" si="76"/>
        <v>0</v>
      </c>
      <c r="Y488" s="2"/>
      <c r="Z488" s="2"/>
      <c r="AA488" s="2">
        <f t="shared" si="77"/>
        <v>0</v>
      </c>
      <c r="AB488" s="2"/>
      <c r="AC488" s="2"/>
      <c r="AD488" s="2">
        <f t="shared" si="78"/>
        <v>0</v>
      </c>
      <c r="AE488" s="2">
        <v>136.21</v>
      </c>
      <c r="AF488" s="2"/>
      <c r="AG488" s="2">
        <f t="shared" si="79"/>
        <v>-136.21</v>
      </c>
    </row>
    <row r="489" spans="1:33" x14ac:dyDescent="0.3">
      <c r="B489" s="3"/>
      <c r="C489" t="str">
        <f xml:space="preserve"> _xll.EPMOlapMemberO("[CLACO].[PARENTH1].[AMSAREMUNERACI.SS]","","Remuneraciones Super","","000")</f>
        <v>Remuneraciones Super</v>
      </c>
      <c r="D489" s="2">
        <v>1249305.73</v>
      </c>
      <c r="E489" s="2">
        <v>1268892.7</v>
      </c>
      <c r="F489" s="2">
        <f t="shared" si="70"/>
        <v>19586.969999999972</v>
      </c>
      <c r="G489" s="2">
        <v>1711675.76</v>
      </c>
      <c r="H489" s="2">
        <v>1197081.7</v>
      </c>
      <c r="I489" s="2">
        <f t="shared" si="71"/>
        <v>-514594.06000000006</v>
      </c>
      <c r="J489" s="2">
        <v>1383975.75</v>
      </c>
      <c r="K489" s="2">
        <v>1866690.46</v>
      </c>
      <c r="L489" s="2">
        <f t="shared" si="72"/>
        <v>482714.70999999996</v>
      </c>
      <c r="M489" s="2">
        <v>881227.37</v>
      </c>
      <c r="N489" s="2">
        <v>1408938.14</v>
      </c>
      <c r="O489" s="2">
        <f t="shared" si="73"/>
        <v>527710.7699999999</v>
      </c>
      <c r="P489" s="2">
        <v>44713.25</v>
      </c>
      <c r="Q489" s="2">
        <v>77521.69</v>
      </c>
      <c r="R489" s="2">
        <f t="shared" si="74"/>
        <v>32808.44</v>
      </c>
      <c r="S489" s="2">
        <v>50179.38</v>
      </c>
      <c r="T489" s="2">
        <v>80641.81</v>
      </c>
      <c r="U489" s="2">
        <f t="shared" si="75"/>
        <v>30462.43</v>
      </c>
      <c r="V489" s="2">
        <v>50342.98</v>
      </c>
      <c r="W489" s="2">
        <v>77725.33</v>
      </c>
      <c r="X489" s="2">
        <f t="shared" si="76"/>
        <v>27382.35</v>
      </c>
      <c r="Y489" s="2">
        <v>49730.400000000001</v>
      </c>
      <c r="Z489" s="2">
        <v>79692.850000000006</v>
      </c>
      <c r="AA489" s="2">
        <f t="shared" si="77"/>
        <v>29962.450000000004</v>
      </c>
      <c r="AB489" s="2">
        <v>39201.879999999997</v>
      </c>
      <c r="AC489" s="2">
        <v>76549.8</v>
      </c>
      <c r="AD489" s="2">
        <f t="shared" si="78"/>
        <v>37347.920000000006</v>
      </c>
      <c r="AE489" s="2">
        <v>235089.92000000001</v>
      </c>
      <c r="AF489" s="2">
        <v>945348.3</v>
      </c>
      <c r="AG489" s="2">
        <f t="shared" si="79"/>
        <v>710258.38</v>
      </c>
    </row>
    <row r="490" spans="1:33" x14ac:dyDescent="0.3">
      <c r="B490" s="3"/>
      <c r="C490" t="str">
        <f xml:space="preserve"> _xll.EPMOlapMemberO("[CLACO].[PARENTH1].[AMSAMAT_Y_REP.2]","","Materiales y repuest","","000")</f>
        <v>Materiales y repuest</v>
      </c>
      <c r="D490" s="2"/>
      <c r="E490" s="2"/>
      <c r="F490" s="2">
        <f t="shared" si="70"/>
        <v>0</v>
      </c>
      <c r="G490" s="2">
        <v>0</v>
      </c>
      <c r="H490" s="2"/>
      <c r="I490" s="2">
        <f t="shared" si="71"/>
        <v>0</v>
      </c>
      <c r="J490" s="2"/>
      <c r="K490" s="2"/>
      <c r="L490" s="2">
        <f t="shared" si="72"/>
        <v>0</v>
      </c>
      <c r="M490" s="2"/>
      <c r="N490" s="2"/>
      <c r="O490" s="2">
        <f t="shared" si="73"/>
        <v>0</v>
      </c>
      <c r="P490" s="2"/>
      <c r="Q490" s="2"/>
      <c r="R490" s="2">
        <f t="shared" si="74"/>
        <v>0</v>
      </c>
      <c r="S490" s="2"/>
      <c r="T490" s="2"/>
      <c r="U490" s="2">
        <f t="shared" si="75"/>
        <v>0</v>
      </c>
      <c r="V490" s="2"/>
      <c r="W490" s="2"/>
      <c r="X490" s="2">
        <f t="shared" si="76"/>
        <v>0</v>
      </c>
      <c r="Y490" s="2"/>
      <c r="Z490" s="2"/>
      <c r="AA490" s="2">
        <f t="shared" si="77"/>
        <v>0</v>
      </c>
      <c r="AB490" s="2"/>
      <c r="AC490" s="2"/>
      <c r="AD490" s="2">
        <f t="shared" si="78"/>
        <v>0</v>
      </c>
      <c r="AE490" s="2"/>
      <c r="AF490" s="2"/>
      <c r="AG490" s="2">
        <f t="shared" si="79"/>
        <v>0</v>
      </c>
    </row>
    <row r="491" spans="1:33" x14ac:dyDescent="0.3">
      <c r="B491" s="3"/>
      <c r="C491" t="str">
        <f xml:space="preserve"> _xll.EPMOlapMemberO("[CLACO].[PARENTH1].[AMSAADM_PERSON]","","Administración Perso","","000")</f>
        <v>Administración Perso</v>
      </c>
      <c r="D491" s="2"/>
      <c r="E491" s="2"/>
      <c r="F491" s="2">
        <f t="shared" si="70"/>
        <v>0</v>
      </c>
      <c r="G491" s="2"/>
      <c r="H491" s="2"/>
      <c r="I491" s="2">
        <f t="shared" si="71"/>
        <v>0</v>
      </c>
      <c r="J491" s="2"/>
      <c r="K491" s="2"/>
      <c r="L491" s="2">
        <f t="shared" si="72"/>
        <v>0</v>
      </c>
      <c r="M491" s="2">
        <v>0</v>
      </c>
      <c r="N491" s="2"/>
      <c r="O491" s="2">
        <f t="shared" si="73"/>
        <v>0</v>
      </c>
      <c r="P491" s="2"/>
      <c r="Q491" s="2"/>
      <c r="R491" s="2">
        <f t="shared" si="74"/>
        <v>0</v>
      </c>
      <c r="S491" s="2"/>
      <c r="T491" s="2"/>
      <c r="U491" s="2">
        <f t="shared" si="75"/>
        <v>0</v>
      </c>
      <c r="V491" s="2"/>
      <c r="W491" s="2"/>
      <c r="X491" s="2">
        <f t="shared" si="76"/>
        <v>0</v>
      </c>
      <c r="Y491" s="2"/>
      <c r="Z491" s="2"/>
      <c r="AA491" s="2">
        <f t="shared" si="77"/>
        <v>0</v>
      </c>
      <c r="AB491" s="2"/>
      <c r="AC491" s="2"/>
      <c r="AD491" s="2">
        <f t="shared" si="78"/>
        <v>0</v>
      </c>
      <c r="AE491" s="2"/>
      <c r="AF491" s="2"/>
      <c r="AG491" s="2">
        <f t="shared" si="79"/>
        <v>0</v>
      </c>
    </row>
    <row r="492" spans="1:33" x14ac:dyDescent="0.3">
      <c r="B492" s="3"/>
      <c r="C492" t="str">
        <f xml:space="preserve"> _xll.EPMOlapMemberO("[CLACO].[PARENTH1].[AMSAENTRENAMI]","","Entrenamiento","","000")</f>
        <v>Entrenamiento</v>
      </c>
      <c r="D492" s="2">
        <v>5548.41</v>
      </c>
      <c r="E492" s="2">
        <v>3858.98</v>
      </c>
      <c r="F492" s="2">
        <f t="shared" si="70"/>
        <v>-1689.4299999999998</v>
      </c>
      <c r="G492" s="2"/>
      <c r="H492" s="2">
        <v>1789.73</v>
      </c>
      <c r="I492" s="2">
        <f t="shared" si="71"/>
        <v>1789.73</v>
      </c>
      <c r="J492" s="2">
        <v>4872.6499999999996</v>
      </c>
      <c r="K492" s="2">
        <v>9158.75</v>
      </c>
      <c r="L492" s="2">
        <f t="shared" si="72"/>
        <v>4286.1000000000004</v>
      </c>
      <c r="M492" s="2">
        <v>3670.88</v>
      </c>
      <c r="N492" s="2">
        <v>9095.83</v>
      </c>
      <c r="O492" s="2">
        <f t="shared" si="73"/>
        <v>5424.95</v>
      </c>
      <c r="P492" s="2">
        <v>-158.30000000000001</v>
      </c>
      <c r="Q492" s="2"/>
      <c r="R492" s="2">
        <f t="shared" si="74"/>
        <v>158.30000000000001</v>
      </c>
      <c r="S492" s="2"/>
      <c r="T492" s="2">
        <v>3019.52</v>
      </c>
      <c r="U492" s="2">
        <f t="shared" si="75"/>
        <v>3019.52</v>
      </c>
      <c r="V492" s="2">
        <v>158.30000000000001</v>
      </c>
      <c r="W492" s="2"/>
      <c r="X492" s="2">
        <f t="shared" si="76"/>
        <v>-158.30000000000001</v>
      </c>
      <c r="Y492" s="2">
        <v>0</v>
      </c>
      <c r="Z492" s="2"/>
      <c r="AA492" s="2">
        <f t="shared" si="77"/>
        <v>0</v>
      </c>
      <c r="AB492" s="2"/>
      <c r="AC492" s="2"/>
      <c r="AD492" s="2">
        <f t="shared" si="78"/>
        <v>0</v>
      </c>
      <c r="AE492" s="2">
        <v>1924.9</v>
      </c>
      <c r="AF492" s="2">
        <v>5044.04</v>
      </c>
      <c r="AG492" s="2">
        <f t="shared" si="79"/>
        <v>3119.14</v>
      </c>
    </row>
    <row r="493" spans="1:33" x14ac:dyDescent="0.3">
      <c r="B493" s="3"/>
      <c r="C493" t="str">
        <f xml:space="preserve"> _xll.EPMOlapMemberO("[CLACO].[PARENTH1].[AMSAASESORIAS]","","Asesorías y Consulto","","000")</f>
        <v>Asesorías y Consulto</v>
      </c>
      <c r="D493" s="2">
        <v>65823.31</v>
      </c>
      <c r="E493" s="2">
        <v>73269.05</v>
      </c>
      <c r="F493" s="2">
        <f t="shared" si="70"/>
        <v>7445.7400000000052</v>
      </c>
      <c r="G493" s="2">
        <v>110840.71</v>
      </c>
      <c r="H493" s="2">
        <v>82738.570000000007</v>
      </c>
      <c r="I493" s="2">
        <f t="shared" si="71"/>
        <v>-28102.14</v>
      </c>
      <c r="J493" s="2">
        <v>64387.8</v>
      </c>
      <c r="K493" s="2">
        <v>106795.86</v>
      </c>
      <c r="L493" s="2">
        <f t="shared" si="72"/>
        <v>42408.06</v>
      </c>
      <c r="M493" s="2">
        <v>114504</v>
      </c>
      <c r="N493" s="2">
        <v>100345.88</v>
      </c>
      <c r="O493" s="2">
        <f t="shared" si="73"/>
        <v>-14158.119999999995</v>
      </c>
      <c r="P493" s="2">
        <v>15310.47</v>
      </c>
      <c r="Q493" s="2">
        <v>9625.92</v>
      </c>
      <c r="R493" s="2">
        <f t="shared" si="74"/>
        <v>-5684.5499999999993</v>
      </c>
      <c r="S493" s="2">
        <v>11508.48</v>
      </c>
      <c r="T493" s="2">
        <v>8593.52</v>
      </c>
      <c r="U493" s="2">
        <f t="shared" si="75"/>
        <v>-2914.9599999999991</v>
      </c>
      <c r="V493" s="2">
        <v>20616.45</v>
      </c>
      <c r="W493" s="2">
        <v>9574.2000000000007</v>
      </c>
      <c r="X493" s="2">
        <f t="shared" si="76"/>
        <v>-11042.25</v>
      </c>
      <c r="Y493" s="2">
        <v>17797.27</v>
      </c>
      <c r="Z493" s="2">
        <v>8545.76</v>
      </c>
      <c r="AA493" s="2">
        <f t="shared" si="77"/>
        <v>-9251.51</v>
      </c>
      <c r="AB493" s="2">
        <v>10072.75</v>
      </c>
      <c r="AC493" s="2">
        <v>9522.81</v>
      </c>
      <c r="AD493" s="2">
        <f t="shared" si="78"/>
        <v>-549.94000000000051</v>
      </c>
      <c r="AE493" s="2">
        <v>83671.41</v>
      </c>
      <c r="AF493" s="2">
        <v>110920.36</v>
      </c>
      <c r="AG493" s="2">
        <f t="shared" si="79"/>
        <v>27248.949999999997</v>
      </c>
    </row>
    <row r="494" spans="1:33" x14ac:dyDescent="0.3">
      <c r="B494" s="3"/>
      <c r="C494" t="str">
        <f xml:space="preserve"> _xll.EPMOlapMemberO("[CLACO].[PARENTH1].[AMSASERVICIOS]","","Servicios","","000")</f>
        <v>Servicios</v>
      </c>
      <c r="D494" s="2">
        <v>0</v>
      </c>
      <c r="E494" s="2"/>
      <c r="F494" s="2">
        <f t="shared" si="70"/>
        <v>0</v>
      </c>
      <c r="G494" s="2"/>
      <c r="H494" s="2"/>
      <c r="I494" s="2">
        <f t="shared" si="71"/>
        <v>0</v>
      </c>
      <c r="J494" s="2">
        <v>0</v>
      </c>
      <c r="K494" s="2">
        <v>1268.28</v>
      </c>
      <c r="L494" s="2">
        <f t="shared" si="72"/>
        <v>1268.28</v>
      </c>
      <c r="M494" s="2">
        <v>-7.82</v>
      </c>
      <c r="N494" s="2"/>
      <c r="O494" s="2">
        <f t="shared" si="73"/>
        <v>7.82</v>
      </c>
      <c r="P494" s="2"/>
      <c r="Q494" s="2"/>
      <c r="R494" s="2">
        <f t="shared" si="74"/>
        <v>0</v>
      </c>
      <c r="S494" s="2"/>
      <c r="T494" s="2"/>
      <c r="U494" s="2">
        <f t="shared" si="75"/>
        <v>0</v>
      </c>
      <c r="V494" s="2"/>
      <c r="W494" s="2"/>
      <c r="X494" s="2">
        <f t="shared" si="76"/>
        <v>0</v>
      </c>
      <c r="Y494" s="2"/>
      <c r="Z494" s="2"/>
      <c r="AA494" s="2">
        <f t="shared" si="77"/>
        <v>0</v>
      </c>
      <c r="AB494" s="2"/>
      <c r="AC494" s="2"/>
      <c r="AD494" s="2">
        <f t="shared" si="78"/>
        <v>0</v>
      </c>
      <c r="AE494" s="2">
        <v>37.64</v>
      </c>
      <c r="AF494" s="2"/>
      <c r="AG494" s="2">
        <f t="shared" si="79"/>
        <v>-37.64</v>
      </c>
    </row>
    <row r="495" spans="1:33" x14ac:dyDescent="0.3">
      <c r="B495" s="3"/>
      <c r="C495" t="str">
        <f xml:space="preserve"> _xll.EPMOlapMemberO("[CLACO].[PARENTH1].[AMSASERMANTO.REPA]","","Servicios Mantenimie","","000")</f>
        <v>Servicios Mantenimie</v>
      </c>
      <c r="D495" s="2"/>
      <c r="E495" s="2"/>
      <c r="F495" s="2">
        <f t="shared" si="70"/>
        <v>0</v>
      </c>
      <c r="G495" s="2">
        <v>279.76</v>
      </c>
      <c r="H495" s="2"/>
      <c r="I495" s="2">
        <f t="shared" si="71"/>
        <v>-279.76</v>
      </c>
      <c r="J495" s="2"/>
      <c r="K495" s="2"/>
      <c r="L495" s="2">
        <f t="shared" si="72"/>
        <v>0</v>
      </c>
      <c r="M495" s="2"/>
      <c r="N495" s="2"/>
      <c r="O495" s="2">
        <f t="shared" si="73"/>
        <v>0</v>
      </c>
      <c r="P495" s="2"/>
      <c r="Q495" s="2"/>
      <c r="R495" s="2">
        <f t="shared" si="74"/>
        <v>0</v>
      </c>
      <c r="S495" s="2"/>
      <c r="T495" s="2"/>
      <c r="U495" s="2">
        <f t="shared" si="75"/>
        <v>0</v>
      </c>
      <c r="V495" s="2"/>
      <c r="W495" s="2"/>
      <c r="X495" s="2">
        <f t="shared" si="76"/>
        <v>0</v>
      </c>
      <c r="Y495" s="2"/>
      <c r="Z495" s="2"/>
      <c r="AA495" s="2">
        <f t="shared" si="77"/>
        <v>0</v>
      </c>
      <c r="AB495" s="2"/>
      <c r="AC495" s="2"/>
      <c r="AD495" s="2">
        <f t="shared" si="78"/>
        <v>0</v>
      </c>
      <c r="AE495" s="2"/>
      <c r="AF495" s="2"/>
      <c r="AG495" s="2">
        <f t="shared" si="79"/>
        <v>0</v>
      </c>
    </row>
    <row r="496" spans="1:33" x14ac:dyDescent="0.3">
      <c r="B496" s="3"/>
      <c r="C496" t="str">
        <f xml:space="preserve"> _xll.EPMOlapMemberO("[CLACO].[PARENTH1].[AMSAINFORMATIC]","","Informática y Comuni","","000")</f>
        <v>Informática y Comuni</v>
      </c>
      <c r="D496" s="2">
        <v>2046.5</v>
      </c>
      <c r="E496" s="2">
        <v>2936.34</v>
      </c>
      <c r="F496" s="2">
        <f t="shared" si="70"/>
        <v>889.84000000000015</v>
      </c>
      <c r="G496" s="2">
        <v>2440.71</v>
      </c>
      <c r="H496" s="2">
        <v>2068.54</v>
      </c>
      <c r="I496" s="2">
        <f t="shared" si="71"/>
        <v>-372.17000000000007</v>
      </c>
      <c r="J496" s="2">
        <v>1805.66</v>
      </c>
      <c r="K496" s="2">
        <v>1280.49</v>
      </c>
      <c r="L496" s="2">
        <f t="shared" si="72"/>
        <v>-525.17000000000007</v>
      </c>
      <c r="M496" s="2">
        <v>2127.71</v>
      </c>
      <c r="N496" s="2">
        <v>1275.68</v>
      </c>
      <c r="O496" s="2">
        <f t="shared" si="73"/>
        <v>-852.03</v>
      </c>
      <c r="P496" s="2">
        <v>2026.8</v>
      </c>
      <c r="Q496" s="2">
        <v>80.67</v>
      </c>
      <c r="R496" s="2">
        <f t="shared" si="74"/>
        <v>-1946.1299999999999</v>
      </c>
      <c r="S496" s="2">
        <v>227.16</v>
      </c>
      <c r="T496" s="2">
        <v>80.52</v>
      </c>
      <c r="U496" s="2">
        <f t="shared" si="75"/>
        <v>-146.63999999999999</v>
      </c>
      <c r="V496" s="2">
        <v>516.05999999999995</v>
      </c>
      <c r="W496" s="2">
        <v>80.37</v>
      </c>
      <c r="X496" s="2">
        <f t="shared" si="76"/>
        <v>-435.68999999999994</v>
      </c>
      <c r="Y496" s="2">
        <v>268.52</v>
      </c>
      <c r="Z496" s="2">
        <v>80.22</v>
      </c>
      <c r="AA496" s="2">
        <f t="shared" si="77"/>
        <v>-188.29999999999998</v>
      </c>
      <c r="AB496" s="2">
        <v>188.08</v>
      </c>
      <c r="AC496" s="2">
        <v>80.069999999999993</v>
      </c>
      <c r="AD496" s="2">
        <f t="shared" si="78"/>
        <v>-108.01000000000002</v>
      </c>
      <c r="AE496" s="2">
        <v>3415.52</v>
      </c>
      <c r="AF496" s="2">
        <v>970.86</v>
      </c>
      <c r="AG496" s="2">
        <f t="shared" si="79"/>
        <v>-2444.66</v>
      </c>
    </row>
    <row r="497" spans="1:33" x14ac:dyDescent="0.3">
      <c r="B497" s="3"/>
      <c r="C497" t="str">
        <f xml:space="preserve"> _xll.EPMOlapMemberO("[CLACO].[PARENTH1].[AMSAG_VIAJES]","","Gastos de Viajes","","000")</f>
        <v>Gastos de Viajes</v>
      </c>
      <c r="D497" s="2">
        <v>35463.03</v>
      </c>
      <c r="E497" s="2">
        <v>58001.22</v>
      </c>
      <c r="F497" s="2">
        <f t="shared" si="70"/>
        <v>22538.190000000002</v>
      </c>
      <c r="G497" s="2">
        <v>73962.02</v>
      </c>
      <c r="H497" s="2">
        <v>68561.56</v>
      </c>
      <c r="I497" s="2">
        <f t="shared" si="71"/>
        <v>-5400.4600000000064</v>
      </c>
      <c r="J497" s="2">
        <v>46461.04</v>
      </c>
      <c r="K497" s="2">
        <v>29625.23</v>
      </c>
      <c r="L497" s="2">
        <f t="shared" si="72"/>
        <v>-16835.810000000001</v>
      </c>
      <c r="M497" s="2">
        <v>20822.95</v>
      </c>
      <c r="N497" s="2">
        <v>39827.67</v>
      </c>
      <c r="O497" s="2">
        <f t="shared" si="73"/>
        <v>19004.719999999998</v>
      </c>
      <c r="P497" s="2">
        <v>1171.94</v>
      </c>
      <c r="Q497" s="2">
        <v>1411.8</v>
      </c>
      <c r="R497" s="2">
        <f t="shared" si="74"/>
        <v>239.8599999999999</v>
      </c>
      <c r="S497" s="2">
        <v>1363.38</v>
      </c>
      <c r="T497" s="2">
        <v>1409.11</v>
      </c>
      <c r="U497" s="2">
        <f t="shared" si="75"/>
        <v>45.729999999999791</v>
      </c>
      <c r="V497" s="2">
        <v>0</v>
      </c>
      <c r="W497" s="2">
        <v>4219.28</v>
      </c>
      <c r="X497" s="2">
        <f t="shared" si="76"/>
        <v>4219.28</v>
      </c>
      <c r="Y497" s="2">
        <v>0</v>
      </c>
      <c r="Z497" s="2">
        <v>1905.13</v>
      </c>
      <c r="AA497" s="2">
        <f t="shared" si="77"/>
        <v>1905.13</v>
      </c>
      <c r="AB497" s="2">
        <v>4461.21</v>
      </c>
      <c r="AC497" s="2">
        <v>1200.98</v>
      </c>
      <c r="AD497" s="2">
        <f t="shared" si="78"/>
        <v>-3260.23</v>
      </c>
      <c r="AE497" s="2">
        <v>6996.53</v>
      </c>
      <c r="AF497" s="2">
        <v>37335.58</v>
      </c>
      <c r="AG497" s="2">
        <f t="shared" si="79"/>
        <v>30339.050000000003</v>
      </c>
    </row>
    <row r="498" spans="1:33" x14ac:dyDescent="0.3">
      <c r="B498" s="3"/>
      <c r="C498" t="str">
        <f xml:space="preserve"> _xll.EPMOlapMemberO("[CLACO].[PARENTH1].[AMSAGGENERALES.2]","","Otros Gastos","","000")</f>
        <v>Otros Gastos</v>
      </c>
      <c r="D498" s="2">
        <v>134989.26</v>
      </c>
      <c r="E498" s="2">
        <v>142726.42000000001</v>
      </c>
      <c r="F498" s="2">
        <f t="shared" si="70"/>
        <v>7737.1600000000035</v>
      </c>
      <c r="G498" s="2">
        <v>126112.08</v>
      </c>
      <c r="H498" s="2">
        <v>133997.5</v>
      </c>
      <c r="I498" s="2">
        <f t="shared" si="71"/>
        <v>7885.4199999999983</v>
      </c>
      <c r="J498" s="2">
        <v>126567.09</v>
      </c>
      <c r="K498" s="2">
        <v>153752.35999999999</v>
      </c>
      <c r="L498" s="2">
        <f t="shared" si="72"/>
        <v>27185.26999999999</v>
      </c>
      <c r="M498" s="2">
        <v>63654.879999999997</v>
      </c>
      <c r="N498" s="2">
        <v>57714.15</v>
      </c>
      <c r="O498" s="2">
        <f t="shared" si="73"/>
        <v>-5940.7299999999959</v>
      </c>
      <c r="P498" s="2">
        <v>515.44000000000005</v>
      </c>
      <c r="Q498" s="2">
        <v>231.94</v>
      </c>
      <c r="R498" s="2">
        <f t="shared" si="74"/>
        <v>-283.50000000000006</v>
      </c>
      <c r="S498" s="2">
        <v>269.57</v>
      </c>
      <c r="T498" s="2">
        <v>231.5</v>
      </c>
      <c r="U498" s="2">
        <f t="shared" si="75"/>
        <v>-38.069999999999993</v>
      </c>
      <c r="V498" s="2">
        <v>11722.6</v>
      </c>
      <c r="W498" s="2">
        <v>231.06</v>
      </c>
      <c r="X498" s="2">
        <f t="shared" si="76"/>
        <v>-11491.54</v>
      </c>
      <c r="Y498" s="2">
        <v>7135.99</v>
      </c>
      <c r="Z498" s="2">
        <v>13563.89</v>
      </c>
      <c r="AA498" s="2">
        <f t="shared" si="77"/>
        <v>6427.9</v>
      </c>
      <c r="AB498" s="2">
        <v>2738.69</v>
      </c>
      <c r="AC498" s="2">
        <v>230.19</v>
      </c>
      <c r="AD498" s="2">
        <f t="shared" si="78"/>
        <v>-2508.5</v>
      </c>
      <c r="AE498" s="2">
        <v>37215.449999999997</v>
      </c>
      <c r="AF498" s="2">
        <v>59007.63</v>
      </c>
      <c r="AG498" s="2">
        <f t="shared" si="79"/>
        <v>21792.18</v>
      </c>
    </row>
    <row r="499" spans="1:33" x14ac:dyDescent="0.3">
      <c r="B499" s="3"/>
      <c r="C499" t="str">
        <f xml:space="preserve"> _xll.EPMOlapMemberO("[CLACO].[PARENTH1].[AMSASERV_CORP]","","Servicios Corporativ","","000")</f>
        <v>Servicios Corporativ</v>
      </c>
      <c r="D499" s="2">
        <v>4264</v>
      </c>
      <c r="E499" s="2"/>
      <c r="F499" s="2">
        <f t="shared" si="70"/>
        <v>-4264</v>
      </c>
      <c r="G499" s="2"/>
      <c r="H499" s="2"/>
      <c r="I499" s="2">
        <f t="shared" si="71"/>
        <v>0</v>
      </c>
      <c r="J499" s="2"/>
      <c r="K499" s="2"/>
      <c r="L499" s="2">
        <f t="shared" si="72"/>
        <v>0</v>
      </c>
      <c r="M499" s="2"/>
      <c r="N499" s="2"/>
      <c r="O499" s="2">
        <f t="shared" si="73"/>
        <v>0</v>
      </c>
      <c r="P499" s="2"/>
      <c r="Q499" s="2"/>
      <c r="R499" s="2">
        <f t="shared" si="74"/>
        <v>0</v>
      </c>
      <c r="S499" s="2"/>
      <c r="T499" s="2"/>
      <c r="U499" s="2">
        <f t="shared" si="75"/>
        <v>0</v>
      </c>
      <c r="V499" s="2"/>
      <c r="W499" s="2"/>
      <c r="X499" s="2">
        <f t="shared" si="76"/>
        <v>0</v>
      </c>
      <c r="Y499" s="2"/>
      <c r="Z499" s="2"/>
      <c r="AA499" s="2">
        <f t="shared" si="77"/>
        <v>0</v>
      </c>
      <c r="AB499" s="2"/>
      <c r="AC499" s="2"/>
      <c r="AD499" s="2">
        <f t="shared" si="78"/>
        <v>0</v>
      </c>
      <c r="AE499" s="2"/>
      <c r="AF499" s="2"/>
      <c r="AG499" s="2">
        <f t="shared" si="79"/>
        <v>0</v>
      </c>
    </row>
    <row r="500" spans="1:33" x14ac:dyDescent="0.3">
      <c r="A500" t="s">
        <v>59</v>
      </c>
      <c r="B500" s="3" t="str">
        <f xml:space="preserve"> _xll.EPMOlapMemberO("[CECO].[PARENTH3].[AMSA1000AC4503]","","Gcia de Comunicaci","","000")</f>
        <v>Gcia de Comunicaci</v>
      </c>
      <c r="C500" t="str">
        <f xml:space="preserve"> _xll.EPMOlapMemberO("[CLACO].[PARENTH1].[AMSAREMUNERACI.SS]","","Remuneraciones Super","","000")</f>
        <v>Remuneraciones Super</v>
      </c>
      <c r="D500" s="2">
        <v>769386</v>
      </c>
      <c r="E500" s="2">
        <v>1098968.25</v>
      </c>
      <c r="F500" s="2">
        <f t="shared" si="70"/>
        <v>329582.25</v>
      </c>
      <c r="G500" s="2">
        <v>1183286.2</v>
      </c>
      <c r="H500" s="2">
        <v>1126799.18</v>
      </c>
      <c r="I500" s="2">
        <f t="shared" si="71"/>
        <v>-56487.020000000019</v>
      </c>
      <c r="J500" s="2">
        <v>1114294.5</v>
      </c>
      <c r="K500" s="2">
        <v>1203001.8400000001</v>
      </c>
      <c r="L500" s="2">
        <f t="shared" si="72"/>
        <v>88707.340000000084</v>
      </c>
      <c r="M500" s="2">
        <v>1199302.78</v>
      </c>
      <c r="N500" s="2">
        <v>1290803.3799999999</v>
      </c>
      <c r="O500" s="2">
        <f t="shared" si="73"/>
        <v>91500.59999999986</v>
      </c>
      <c r="P500" s="2">
        <v>113382.62</v>
      </c>
      <c r="Q500" s="2">
        <v>118256.03</v>
      </c>
      <c r="R500" s="2">
        <f t="shared" si="74"/>
        <v>4873.4100000000035</v>
      </c>
      <c r="S500" s="2">
        <v>125698.41</v>
      </c>
      <c r="T500" s="2">
        <v>133595.01999999999</v>
      </c>
      <c r="U500" s="2">
        <f t="shared" si="75"/>
        <v>7896.609999999986</v>
      </c>
      <c r="V500" s="2">
        <v>103982.94</v>
      </c>
      <c r="W500" s="2">
        <v>118214.16</v>
      </c>
      <c r="X500" s="2">
        <f t="shared" si="76"/>
        <v>14231.220000000001</v>
      </c>
      <c r="Y500" s="2">
        <v>100122.75</v>
      </c>
      <c r="Z500" s="2">
        <v>132121.64000000001</v>
      </c>
      <c r="AA500" s="2">
        <f t="shared" si="77"/>
        <v>31998.890000000014</v>
      </c>
      <c r="AB500" s="2">
        <v>100832.03</v>
      </c>
      <c r="AC500" s="2">
        <v>116740.9</v>
      </c>
      <c r="AD500" s="2">
        <f t="shared" si="78"/>
        <v>15908.869999999995</v>
      </c>
      <c r="AE500" s="2">
        <v>544888.81000000006</v>
      </c>
      <c r="AF500" s="2">
        <v>1477567.99</v>
      </c>
      <c r="AG500" s="2">
        <f t="shared" si="79"/>
        <v>932679.17999999993</v>
      </c>
    </row>
    <row r="501" spans="1:33" x14ac:dyDescent="0.3">
      <c r="B501" s="3"/>
      <c r="C501" t="str">
        <f xml:space="preserve"> _xll.EPMOlapMemberO("[CLACO].[PARENTH1].[AMSAMAT_Y_REP.2]","","Materiales y repuest","","000")</f>
        <v>Materiales y repuest</v>
      </c>
      <c r="D501" s="2"/>
      <c r="E501" s="2"/>
      <c r="F501" s="2">
        <f t="shared" si="70"/>
        <v>0</v>
      </c>
      <c r="G501" s="2">
        <v>0</v>
      </c>
      <c r="H501" s="2"/>
      <c r="I501" s="2">
        <f t="shared" si="71"/>
        <v>0</v>
      </c>
      <c r="J501" s="2"/>
      <c r="K501" s="2"/>
      <c r="L501" s="2">
        <f t="shared" si="72"/>
        <v>0</v>
      </c>
      <c r="M501" s="2"/>
      <c r="N501" s="2"/>
      <c r="O501" s="2">
        <f t="shared" si="73"/>
        <v>0</v>
      </c>
      <c r="P501" s="2"/>
      <c r="Q501" s="2"/>
      <c r="R501" s="2">
        <f t="shared" si="74"/>
        <v>0</v>
      </c>
      <c r="S501" s="2"/>
      <c r="T501" s="2"/>
      <c r="U501" s="2">
        <f t="shared" si="75"/>
        <v>0</v>
      </c>
      <c r="V501" s="2"/>
      <c r="W501" s="2"/>
      <c r="X501" s="2">
        <f t="shared" si="76"/>
        <v>0</v>
      </c>
      <c r="Y501" s="2"/>
      <c r="Z501" s="2"/>
      <c r="AA501" s="2">
        <f t="shared" si="77"/>
        <v>0</v>
      </c>
      <c r="AB501" s="2"/>
      <c r="AC501" s="2"/>
      <c r="AD501" s="2">
        <f t="shared" si="78"/>
        <v>0</v>
      </c>
      <c r="AE501" s="2"/>
      <c r="AF501" s="2"/>
      <c r="AG501" s="2">
        <f t="shared" si="79"/>
        <v>0</v>
      </c>
    </row>
    <row r="502" spans="1:33" x14ac:dyDescent="0.3">
      <c r="B502" s="3"/>
      <c r="C502" t="str">
        <f xml:space="preserve"> _xll.EPMOlapMemberO("[CLACO].[PARENTH1].[AMSAADM_PERSON]","","Administración Perso","","000")</f>
        <v>Administración Perso</v>
      </c>
      <c r="D502" s="2"/>
      <c r="E502" s="2"/>
      <c r="F502" s="2">
        <f t="shared" si="70"/>
        <v>0</v>
      </c>
      <c r="G502" s="2"/>
      <c r="H502" s="2"/>
      <c r="I502" s="2">
        <f t="shared" si="71"/>
        <v>0</v>
      </c>
      <c r="J502" s="2"/>
      <c r="K502" s="2"/>
      <c r="L502" s="2">
        <f t="shared" si="72"/>
        <v>0</v>
      </c>
      <c r="M502" s="2"/>
      <c r="N502" s="2"/>
      <c r="O502" s="2">
        <f t="shared" si="73"/>
        <v>0</v>
      </c>
      <c r="P502" s="2">
        <v>5621.56</v>
      </c>
      <c r="Q502" s="2"/>
      <c r="R502" s="2">
        <f t="shared" si="74"/>
        <v>-5621.56</v>
      </c>
      <c r="S502" s="2"/>
      <c r="T502" s="2"/>
      <c r="U502" s="2">
        <f t="shared" si="75"/>
        <v>0</v>
      </c>
      <c r="V502" s="2"/>
      <c r="W502" s="2"/>
      <c r="X502" s="2">
        <f t="shared" si="76"/>
        <v>0</v>
      </c>
      <c r="Y502" s="2"/>
      <c r="Z502" s="2"/>
      <c r="AA502" s="2">
        <f t="shared" si="77"/>
        <v>0</v>
      </c>
      <c r="AB502" s="2"/>
      <c r="AC502" s="2"/>
      <c r="AD502" s="2">
        <f t="shared" si="78"/>
        <v>0</v>
      </c>
      <c r="AE502" s="2">
        <v>5621.56</v>
      </c>
      <c r="AF502" s="2"/>
      <c r="AG502" s="2">
        <f t="shared" si="79"/>
        <v>-5621.56</v>
      </c>
    </row>
    <row r="503" spans="1:33" x14ac:dyDescent="0.3">
      <c r="B503" s="3"/>
      <c r="C503" t="str">
        <f xml:space="preserve"> _xll.EPMOlapMemberO("[CLACO].[PARENTH1].[AMSAENTRENAMI]","","Entrenamiento","","000")</f>
        <v>Entrenamiento</v>
      </c>
      <c r="D503" s="2"/>
      <c r="E503" s="2"/>
      <c r="F503" s="2">
        <f t="shared" si="70"/>
        <v>0</v>
      </c>
      <c r="G503" s="2">
        <v>1880.73</v>
      </c>
      <c r="H503" s="2"/>
      <c r="I503" s="2">
        <f t="shared" si="71"/>
        <v>-1880.73</v>
      </c>
      <c r="J503" s="2">
        <v>0</v>
      </c>
      <c r="K503" s="2"/>
      <c r="L503" s="2">
        <f t="shared" si="72"/>
        <v>0</v>
      </c>
      <c r="M503" s="2">
        <v>216.95</v>
      </c>
      <c r="N503" s="2"/>
      <c r="O503" s="2">
        <f t="shared" si="73"/>
        <v>-216.95</v>
      </c>
      <c r="P503" s="2">
        <v>-2719.69</v>
      </c>
      <c r="Q503" s="2"/>
      <c r="R503" s="2">
        <f t="shared" si="74"/>
        <v>2719.69</v>
      </c>
      <c r="S503" s="2">
        <v>2719.69</v>
      </c>
      <c r="T503" s="2"/>
      <c r="U503" s="2">
        <f t="shared" si="75"/>
        <v>-2719.69</v>
      </c>
      <c r="V503" s="2"/>
      <c r="W503" s="2"/>
      <c r="X503" s="2">
        <f t="shared" si="76"/>
        <v>0</v>
      </c>
      <c r="Y503" s="2"/>
      <c r="Z503" s="2"/>
      <c r="AA503" s="2">
        <f t="shared" si="77"/>
        <v>0</v>
      </c>
      <c r="AB503" s="2"/>
      <c r="AC503" s="2"/>
      <c r="AD503" s="2">
        <f t="shared" si="78"/>
        <v>0</v>
      </c>
      <c r="AE503" s="2">
        <v>0</v>
      </c>
      <c r="AF503" s="2"/>
      <c r="AG503" s="2">
        <f t="shared" si="79"/>
        <v>0</v>
      </c>
    </row>
    <row r="504" spans="1:33" x14ac:dyDescent="0.3">
      <c r="B504" s="3"/>
      <c r="C504" t="str">
        <f xml:space="preserve"> _xll.EPMOlapMemberO("[CLACO].[PARENTH1].[AMSAASESORIAS]","","Asesorías y Consulto","","000")</f>
        <v>Asesorías y Consulto</v>
      </c>
      <c r="D504" s="2">
        <v>340024.06</v>
      </c>
      <c r="E504" s="2">
        <v>318049.06</v>
      </c>
      <c r="F504" s="2">
        <f t="shared" si="70"/>
        <v>-21975</v>
      </c>
      <c r="G504" s="2">
        <v>223480.9</v>
      </c>
      <c r="H504" s="2">
        <v>205832.59</v>
      </c>
      <c r="I504" s="2">
        <f t="shared" si="71"/>
        <v>-17648.309999999998</v>
      </c>
      <c r="J504" s="2">
        <v>257903.47</v>
      </c>
      <c r="K504" s="2">
        <v>151551.41</v>
      </c>
      <c r="L504" s="2">
        <f t="shared" si="72"/>
        <v>-106352.06</v>
      </c>
      <c r="M504" s="2">
        <v>79342.13</v>
      </c>
      <c r="N504" s="2">
        <v>40779.96</v>
      </c>
      <c r="O504" s="2">
        <f t="shared" si="73"/>
        <v>-38562.170000000006</v>
      </c>
      <c r="P504" s="2">
        <v>-27633.21</v>
      </c>
      <c r="Q504" s="2">
        <v>4033.79</v>
      </c>
      <c r="R504" s="2">
        <f t="shared" si="74"/>
        <v>31667</v>
      </c>
      <c r="S504" s="2">
        <v>4305.1400000000003</v>
      </c>
      <c r="T504" s="2">
        <v>4022.52</v>
      </c>
      <c r="U504" s="2">
        <f t="shared" si="75"/>
        <v>-282.62000000000035</v>
      </c>
      <c r="V504" s="2">
        <v>2145.1999999999998</v>
      </c>
      <c r="W504" s="2">
        <v>4011.25</v>
      </c>
      <c r="X504" s="2">
        <f t="shared" si="76"/>
        <v>1866.0500000000002</v>
      </c>
      <c r="Y504" s="2">
        <v>10975.38</v>
      </c>
      <c r="Z504" s="2">
        <v>3999.98</v>
      </c>
      <c r="AA504" s="2">
        <f t="shared" si="77"/>
        <v>-6975.4</v>
      </c>
      <c r="AB504" s="2">
        <v>0</v>
      </c>
      <c r="AC504" s="2">
        <v>3989.07</v>
      </c>
      <c r="AD504" s="2">
        <f t="shared" si="78"/>
        <v>3989.07</v>
      </c>
      <c r="AE504" s="2">
        <v>27142.06</v>
      </c>
      <c r="AF504" s="2">
        <v>48609.42</v>
      </c>
      <c r="AG504" s="2">
        <f t="shared" si="79"/>
        <v>21467.359999999997</v>
      </c>
    </row>
    <row r="505" spans="1:33" x14ac:dyDescent="0.3">
      <c r="B505" s="3"/>
      <c r="C505" t="str">
        <f xml:space="preserve"> _xll.EPMOlapMemberO("[CLACO].[PARENTH1].[AMSASERVICIOS]","","Servicios","","000")</f>
        <v>Servicios</v>
      </c>
      <c r="D505" s="2">
        <v>453.79</v>
      </c>
      <c r="E505" s="2">
        <v>381.41</v>
      </c>
      <c r="F505" s="2">
        <f t="shared" si="70"/>
        <v>-72.38</v>
      </c>
      <c r="G505" s="2">
        <v>146.77000000000001</v>
      </c>
      <c r="H505" s="2">
        <v>447.06</v>
      </c>
      <c r="I505" s="2">
        <f t="shared" si="71"/>
        <v>300.28999999999996</v>
      </c>
      <c r="J505" s="2">
        <v>434.63</v>
      </c>
      <c r="K505" s="2">
        <v>472.16</v>
      </c>
      <c r="L505" s="2">
        <f t="shared" si="72"/>
        <v>37.53000000000003</v>
      </c>
      <c r="M505" s="2">
        <v>21841.26</v>
      </c>
      <c r="N505" s="2">
        <v>445.78</v>
      </c>
      <c r="O505" s="2">
        <f t="shared" si="73"/>
        <v>-21395.48</v>
      </c>
      <c r="P505" s="2"/>
      <c r="Q505" s="2"/>
      <c r="R505" s="2">
        <f t="shared" si="74"/>
        <v>0</v>
      </c>
      <c r="S505" s="2"/>
      <c r="T505" s="2"/>
      <c r="U505" s="2">
        <f t="shared" si="75"/>
        <v>0</v>
      </c>
      <c r="V505" s="2"/>
      <c r="W505" s="2"/>
      <c r="X505" s="2">
        <f t="shared" si="76"/>
        <v>0</v>
      </c>
      <c r="Y505" s="2"/>
      <c r="Z505" s="2"/>
      <c r="AA505" s="2">
        <f t="shared" si="77"/>
        <v>0</v>
      </c>
      <c r="AB505" s="2"/>
      <c r="AC505" s="2">
        <v>443.23</v>
      </c>
      <c r="AD505" s="2">
        <f t="shared" si="78"/>
        <v>443.23</v>
      </c>
      <c r="AE505" s="2"/>
      <c r="AF505" s="2">
        <v>443.23</v>
      </c>
      <c r="AG505" s="2">
        <f t="shared" si="79"/>
        <v>443.23</v>
      </c>
    </row>
    <row r="506" spans="1:33" x14ac:dyDescent="0.3">
      <c r="B506" s="3"/>
      <c r="C506" t="str">
        <f xml:space="preserve"> _xll.EPMOlapMemberO("[CLACO].[PARENTH1].[AMSAINFORMATIC]","","Informática y Comuni","","000")</f>
        <v>Informática y Comuni</v>
      </c>
      <c r="D506" s="2">
        <v>1640.41</v>
      </c>
      <c r="E506" s="2">
        <v>3913.79</v>
      </c>
      <c r="F506" s="2">
        <f t="shared" si="70"/>
        <v>2273.38</v>
      </c>
      <c r="G506" s="2">
        <v>5755.6</v>
      </c>
      <c r="H506" s="2">
        <v>71463.06</v>
      </c>
      <c r="I506" s="2">
        <f t="shared" si="71"/>
        <v>65707.459999999992</v>
      </c>
      <c r="J506" s="2">
        <v>8169.14</v>
      </c>
      <c r="K506" s="2">
        <v>31417.49</v>
      </c>
      <c r="L506" s="2">
        <f t="shared" si="72"/>
        <v>23248.350000000002</v>
      </c>
      <c r="M506" s="2">
        <v>119372.77</v>
      </c>
      <c r="N506" s="2">
        <v>167511.69</v>
      </c>
      <c r="O506" s="2">
        <f t="shared" si="73"/>
        <v>48138.92</v>
      </c>
      <c r="P506" s="2">
        <v>27282.43</v>
      </c>
      <c r="Q506" s="2">
        <v>11192.94</v>
      </c>
      <c r="R506" s="2">
        <f t="shared" si="74"/>
        <v>-16089.49</v>
      </c>
      <c r="S506" s="2">
        <v>27828.62</v>
      </c>
      <c r="T506" s="2">
        <v>33140.120000000003</v>
      </c>
      <c r="U506" s="2">
        <f t="shared" si="75"/>
        <v>5311.5000000000036</v>
      </c>
      <c r="V506" s="2">
        <v>322.33999999999997</v>
      </c>
      <c r="W506" s="2">
        <v>20774.23</v>
      </c>
      <c r="X506" s="2">
        <f t="shared" si="76"/>
        <v>20451.89</v>
      </c>
      <c r="Y506" s="2">
        <v>39862.29</v>
      </c>
      <c r="Z506" s="2">
        <v>11590.91</v>
      </c>
      <c r="AA506" s="2">
        <f t="shared" si="77"/>
        <v>-28271.38</v>
      </c>
      <c r="AB506" s="2">
        <v>14987.5</v>
      </c>
      <c r="AC506" s="2">
        <v>11069.26</v>
      </c>
      <c r="AD506" s="2">
        <f t="shared" si="78"/>
        <v>-3918.24</v>
      </c>
      <c r="AE506" s="2">
        <v>110346.37</v>
      </c>
      <c r="AF506" s="2">
        <v>192410.63</v>
      </c>
      <c r="AG506" s="2">
        <f t="shared" si="79"/>
        <v>82064.260000000009</v>
      </c>
    </row>
    <row r="507" spans="1:33" x14ac:dyDescent="0.3">
      <c r="B507" s="3"/>
      <c r="C507" t="str">
        <f xml:space="preserve"> _xll.EPMOlapMemberO("[CLACO].[PARENTH1].[AMSAG_VIAJES]","","Gastos de Viajes","","000")</f>
        <v>Gastos de Viajes</v>
      </c>
      <c r="D507" s="2">
        <v>17486.29</v>
      </c>
      <c r="E507" s="2">
        <v>6064.19</v>
      </c>
      <c r="F507" s="2">
        <f t="shared" si="70"/>
        <v>-11422.100000000002</v>
      </c>
      <c r="G507" s="2">
        <v>7732.22</v>
      </c>
      <c r="H507" s="2">
        <v>7439.59</v>
      </c>
      <c r="I507" s="2">
        <f t="shared" si="71"/>
        <v>-292.63000000000011</v>
      </c>
      <c r="J507" s="2">
        <v>33832.6</v>
      </c>
      <c r="K507" s="2">
        <v>7754.38</v>
      </c>
      <c r="L507" s="2">
        <f t="shared" si="72"/>
        <v>-26078.219999999998</v>
      </c>
      <c r="M507" s="2">
        <v>19142.830000000002</v>
      </c>
      <c r="N507" s="2">
        <v>7577.55</v>
      </c>
      <c r="O507" s="2">
        <f t="shared" si="73"/>
        <v>-11565.280000000002</v>
      </c>
      <c r="P507" s="2">
        <v>98.63</v>
      </c>
      <c r="Q507" s="2">
        <v>388.24</v>
      </c>
      <c r="R507" s="2">
        <f t="shared" si="74"/>
        <v>289.61</v>
      </c>
      <c r="S507" s="2">
        <v>1442.81</v>
      </c>
      <c r="T507" s="2">
        <v>1509.76</v>
      </c>
      <c r="U507" s="2">
        <f t="shared" si="75"/>
        <v>66.950000000000045</v>
      </c>
      <c r="V507" s="2">
        <v>37.729999999999997</v>
      </c>
      <c r="W507" s="2">
        <v>512.34</v>
      </c>
      <c r="X507" s="2">
        <f t="shared" si="76"/>
        <v>474.61</v>
      </c>
      <c r="Y507" s="2">
        <v>1494.7</v>
      </c>
      <c r="Z507" s="2">
        <v>1310.53</v>
      </c>
      <c r="AA507" s="2">
        <f t="shared" si="77"/>
        <v>-184.17000000000007</v>
      </c>
      <c r="AB507" s="2">
        <v>2144.48</v>
      </c>
      <c r="AC507" s="2"/>
      <c r="AD507" s="2">
        <f t="shared" si="78"/>
        <v>-2144.48</v>
      </c>
      <c r="AE507" s="2">
        <v>5221.38</v>
      </c>
      <c r="AF507" s="2">
        <v>7568.94</v>
      </c>
      <c r="AG507" s="2">
        <f t="shared" si="79"/>
        <v>2347.5599999999995</v>
      </c>
    </row>
    <row r="508" spans="1:33" x14ac:dyDescent="0.3">
      <c r="B508" s="3"/>
      <c r="C508" t="str">
        <f xml:space="preserve"> _xll.EPMOlapMemberO("[CLACO].[PARENTH1].[AMSAIMP_PATEN]","","Impuestos / Patentes","","000")</f>
        <v>Impuestos / Patentes</v>
      </c>
      <c r="D508" s="2">
        <v>23125.5</v>
      </c>
      <c r="E508" s="2">
        <v>69350.320000000007</v>
      </c>
      <c r="F508" s="2">
        <f t="shared" si="70"/>
        <v>46224.820000000007</v>
      </c>
      <c r="G508" s="2">
        <v>14572.1</v>
      </c>
      <c r="H508" s="2">
        <v>61567.41</v>
      </c>
      <c r="I508" s="2">
        <f t="shared" si="71"/>
        <v>46995.310000000005</v>
      </c>
      <c r="J508" s="2">
        <v>35699.67</v>
      </c>
      <c r="K508" s="2">
        <v>54877.5</v>
      </c>
      <c r="L508" s="2">
        <f t="shared" si="72"/>
        <v>19177.830000000002</v>
      </c>
      <c r="M508" s="2">
        <v>65267.87</v>
      </c>
      <c r="N508" s="2">
        <v>40494.28</v>
      </c>
      <c r="O508" s="2">
        <f t="shared" si="73"/>
        <v>-24773.590000000004</v>
      </c>
      <c r="P508" s="2"/>
      <c r="Q508" s="2">
        <v>3361.08</v>
      </c>
      <c r="R508" s="2">
        <f t="shared" si="74"/>
        <v>3361.08</v>
      </c>
      <c r="S508" s="2"/>
      <c r="T508" s="2">
        <v>3354.69</v>
      </c>
      <c r="U508" s="2">
        <f t="shared" si="75"/>
        <v>3354.69</v>
      </c>
      <c r="V508" s="2"/>
      <c r="W508" s="2">
        <v>3348.29</v>
      </c>
      <c r="X508" s="2">
        <f t="shared" si="76"/>
        <v>3348.29</v>
      </c>
      <c r="Y508" s="2"/>
      <c r="Z508" s="2">
        <v>3342</v>
      </c>
      <c r="AA508" s="2">
        <f t="shared" si="77"/>
        <v>3342</v>
      </c>
      <c r="AB508" s="2"/>
      <c r="AC508" s="2">
        <v>3335.71</v>
      </c>
      <c r="AD508" s="2">
        <f t="shared" si="78"/>
        <v>3335.71</v>
      </c>
      <c r="AE508" s="2"/>
      <c r="AF508" s="2">
        <v>40448.449999999997</v>
      </c>
      <c r="AG508" s="2">
        <f t="shared" si="79"/>
        <v>40448.449999999997</v>
      </c>
    </row>
    <row r="509" spans="1:33" x14ac:dyDescent="0.3">
      <c r="B509" s="3"/>
      <c r="C509" t="str">
        <f xml:space="preserve"> _xll.EPMOlapMemberO("[CLACO].[PARENTH1].[AMSAGGENERALES.2]","","Otros Gastos","","000")</f>
        <v>Otros Gastos</v>
      </c>
      <c r="D509" s="2">
        <v>242533.17</v>
      </c>
      <c r="E509" s="2">
        <v>266003.84999999998</v>
      </c>
      <c r="F509" s="2">
        <f t="shared" si="70"/>
        <v>23470.679999999964</v>
      </c>
      <c r="G509" s="2">
        <v>4269799.88</v>
      </c>
      <c r="H509" s="2">
        <v>3917537.85</v>
      </c>
      <c r="I509" s="2">
        <f t="shared" si="71"/>
        <v>-352262.0299999998</v>
      </c>
      <c r="J509" s="2">
        <v>171407.33</v>
      </c>
      <c r="K509" s="2">
        <v>202041.54</v>
      </c>
      <c r="L509" s="2">
        <f t="shared" si="72"/>
        <v>30634.210000000021</v>
      </c>
      <c r="M509" s="2">
        <v>281524.15999999997</v>
      </c>
      <c r="N509" s="2">
        <v>329989.78999999998</v>
      </c>
      <c r="O509" s="2">
        <f t="shared" si="73"/>
        <v>48465.630000000005</v>
      </c>
      <c r="P509" s="2">
        <v>49477.57</v>
      </c>
      <c r="Q509" s="2">
        <v>31176.13</v>
      </c>
      <c r="R509" s="2">
        <f t="shared" si="74"/>
        <v>-18301.439999999999</v>
      </c>
      <c r="S509" s="2">
        <v>112915.46</v>
      </c>
      <c r="T509" s="2">
        <v>55001.53</v>
      </c>
      <c r="U509" s="2">
        <f t="shared" si="75"/>
        <v>-57913.930000000008</v>
      </c>
      <c r="V509" s="2">
        <v>51844.160000000003</v>
      </c>
      <c r="W509" s="2">
        <v>21940.240000000002</v>
      </c>
      <c r="X509" s="2">
        <f t="shared" si="76"/>
        <v>-29903.920000000002</v>
      </c>
      <c r="Y509" s="2">
        <v>15414.41</v>
      </c>
      <c r="Z509" s="2">
        <v>16509.169999999998</v>
      </c>
      <c r="AA509" s="2">
        <f t="shared" si="77"/>
        <v>1094.7599999999984</v>
      </c>
      <c r="AB509" s="2">
        <v>51679.23</v>
      </c>
      <c r="AC509" s="2">
        <v>138445.76999999999</v>
      </c>
      <c r="AD509" s="2">
        <f t="shared" si="78"/>
        <v>86766.539999999979</v>
      </c>
      <c r="AE509" s="2">
        <v>281363.17</v>
      </c>
      <c r="AF509" s="2">
        <v>361896.77</v>
      </c>
      <c r="AG509" s="2">
        <f t="shared" si="79"/>
        <v>80533.600000000035</v>
      </c>
    </row>
    <row r="510" spans="1:33" x14ac:dyDescent="0.3">
      <c r="A510" t="s">
        <v>60</v>
      </c>
      <c r="B510" s="3" t="str">
        <f xml:space="preserve"> _xll.EPMOlapMemberO("[CECO].[PARENTH3].[AMSA1000AC4505]","","Subg Protección Indu","","000")</f>
        <v>Subg Protección Indu</v>
      </c>
      <c r="C510" t="str">
        <f xml:space="preserve"> _xll.EPMOlapMemberO("[CLACO].[PARENTH1].[AMSAENTRENAMI]","","Entrenamiento","","000")</f>
        <v>Entrenamiento</v>
      </c>
      <c r="D510" s="2"/>
      <c r="E510" s="2"/>
      <c r="F510" s="2">
        <f t="shared" si="70"/>
        <v>0</v>
      </c>
      <c r="G510" s="2"/>
      <c r="H510" s="2">
        <v>3051.87</v>
      </c>
      <c r="I510" s="2">
        <f t="shared" si="71"/>
        <v>3051.87</v>
      </c>
      <c r="J510" s="2"/>
      <c r="K510" s="2">
        <v>3857</v>
      </c>
      <c r="L510" s="2">
        <f t="shared" si="72"/>
        <v>3857</v>
      </c>
      <c r="M510" s="2">
        <v>1616.1</v>
      </c>
      <c r="N510" s="2">
        <v>3843.7</v>
      </c>
      <c r="O510" s="2">
        <f t="shared" si="73"/>
        <v>2227.6</v>
      </c>
      <c r="P510" s="2"/>
      <c r="Q510" s="2"/>
      <c r="R510" s="2">
        <f t="shared" si="74"/>
        <v>0</v>
      </c>
      <c r="S510" s="2"/>
      <c r="T510" s="2"/>
      <c r="U510" s="2">
        <f t="shared" si="75"/>
        <v>0</v>
      </c>
      <c r="V510" s="2"/>
      <c r="W510" s="2"/>
      <c r="X510" s="2">
        <f t="shared" si="76"/>
        <v>0</v>
      </c>
      <c r="Y510" s="2"/>
      <c r="Z510" s="2"/>
      <c r="AA510" s="2">
        <f t="shared" si="77"/>
        <v>0</v>
      </c>
      <c r="AB510" s="2"/>
      <c r="AC510" s="2"/>
      <c r="AD510" s="2">
        <f t="shared" si="78"/>
        <v>0</v>
      </c>
      <c r="AE510" s="2"/>
      <c r="AF510" s="2">
        <v>3839.3</v>
      </c>
      <c r="AG510" s="2">
        <f t="shared" si="79"/>
        <v>3839.3</v>
      </c>
    </row>
    <row r="511" spans="1:33" x14ac:dyDescent="0.3">
      <c r="B511" s="3"/>
      <c r="C511" t="str">
        <f xml:space="preserve"> _xll.EPMOlapMemberO("[CLACO].[PARENTH1].[AMSAASESORIAS]","","Asesorías y Consulto","","000")</f>
        <v>Asesorías y Consulto</v>
      </c>
      <c r="D511" s="2"/>
      <c r="E511" s="2"/>
      <c r="F511" s="2">
        <f t="shared" si="70"/>
        <v>0</v>
      </c>
      <c r="G511" s="2">
        <v>34565.870000000003</v>
      </c>
      <c r="H511" s="2">
        <v>68408.22</v>
      </c>
      <c r="I511" s="2">
        <f t="shared" si="71"/>
        <v>33842.35</v>
      </c>
      <c r="J511" s="2">
        <v>73678.31</v>
      </c>
      <c r="K511" s="2">
        <v>88440.5</v>
      </c>
      <c r="L511" s="2">
        <f t="shared" si="72"/>
        <v>14762.190000000002</v>
      </c>
      <c r="M511" s="2">
        <v>94794.58</v>
      </c>
      <c r="N511" s="2">
        <v>85861.86</v>
      </c>
      <c r="O511" s="2">
        <f t="shared" si="73"/>
        <v>-8932.7200000000012</v>
      </c>
      <c r="P511" s="2">
        <v>8581.85</v>
      </c>
      <c r="Q511" s="2">
        <v>7317.16</v>
      </c>
      <c r="R511" s="2">
        <f t="shared" si="74"/>
        <v>-1264.6900000000005</v>
      </c>
      <c r="S511" s="2">
        <v>6936.95</v>
      </c>
      <c r="T511" s="2">
        <v>7296.8</v>
      </c>
      <c r="U511" s="2">
        <f t="shared" si="75"/>
        <v>359.85000000000036</v>
      </c>
      <c r="V511" s="2">
        <v>13687.82</v>
      </c>
      <c r="W511" s="2">
        <v>7276.5</v>
      </c>
      <c r="X511" s="2">
        <f t="shared" si="76"/>
        <v>-6411.32</v>
      </c>
      <c r="Y511" s="2">
        <v>7158.39</v>
      </c>
      <c r="Z511" s="2">
        <v>7256.25</v>
      </c>
      <c r="AA511" s="2">
        <f t="shared" si="77"/>
        <v>97.859999999999673</v>
      </c>
      <c r="AB511" s="2">
        <v>-809.38</v>
      </c>
      <c r="AC511" s="2">
        <v>7236.06</v>
      </c>
      <c r="AD511" s="2">
        <f t="shared" si="78"/>
        <v>8045.4400000000005</v>
      </c>
      <c r="AE511" s="2">
        <v>35557.51</v>
      </c>
      <c r="AF511" s="2">
        <v>88177.74</v>
      </c>
      <c r="AG511" s="2">
        <f t="shared" si="79"/>
        <v>52620.23</v>
      </c>
    </row>
    <row r="512" spans="1:33" x14ac:dyDescent="0.3">
      <c r="B512" s="3"/>
      <c r="C512" t="str">
        <f xml:space="preserve"> _xll.EPMOlapMemberO("[CLACO].[PARENTH1].[AMSAINFORMATIC]","","Informática y Comuni","","000")</f>
        <v>Informática y Comuni</v>
      </c>
      <c r="D512" s="2"/>
      <c r="E512" s="2"/>
      <c r="F512" s="2">
        <f t="shared" si="70"/>
        <v>0</v>
      </c>
      <c r="G512" s="2">
        <v>174.25</v>
      </c>
      <c r="H512" s="2"/>
      <c r="I512" s="2">
        <f t="shared" si="71"/>
        <v>-174.25</v>
      </c>
      <c r="J512" s="2">
        <v>562.15</v>
      </c>
      <c r="K512" s="2">
        <v>432.71</v>
      </c>
      <c r="L512" s="2">
        <f t="shared" si="72"/>
        <v>-129.44</v>
      </c>
      <c r="M512" s="2">
        <v>475.1</v>
      </c>
      <c r="N512" s="2">
        <v>502.94</v>
      </c>
      <c r="O512" s="2">
        <f t="shared" si="73"/>
        <v>27.839999999999975</v>
      </c>
      <c r="P512" s="2"/>
      <c r="Q512" s="2">
        <v>41.46</v>
      </c>
      <c r="R512" s="2">
        <f t="shared" si="74"/>
        <v>41.46</v>
      </c>
      <c r="S512" s="2">
        <v>76.31</v>
      </c>
      <c r="T512" s="2">
        <v>41.34</v>
      </c>
      <c r="U512" s="2">
        <f t="shared" si="75"/>
        <v>-34.97</v>
      </c>
      <c r="V512" s="2">
        <v>75.95</v>
      </c>
      <c r="W512" s="2">
        <v>41.23</v>
      </c>
      <c r="X512" s="2">
        <f t="shared" si="76"/>
        <v>-34.720000000000006</v>
      </c>
      <c r="Y512" s="2">
        <v>81.239999999999995</v>
      </c>
      <c r="Z512" s="2">
        <v>41.11</v>
      </c>
      <c r="AA512" s="2">
        <f t="shared" si="77"/>
        <v>-40.129999999999995</v>
      </c>
      <c r="AB512" s="2">
        <v>77.38</v>
      </c>
      <c r="AC512" s="2">
        <v>41</v>
      </c>
      <c r="AD512" s="2">
        <f t="shared" si="78"/>
        <v>-36.379999999999995</v>
      </c>
      <c r="AE512" s="2">
        <v>388.6</v>
      </c>
      <c r="AF512" s="2">
        <v>499.6</v>
      </c>
      <c r="AG512" s="2">
        <f t="shared" si="79"/>
        <v>111</v>
      </c>
    </row>
    <row r="513" spans="1:33" x14ac:dyDescent="0.3">
      <c r="B513" s="3"/>
      <c r="C513" t="str">
        <f xml:space="preserve"> _xll.EPMOlapMemberO("[CLACO].[PARENTH1].[AMSAG_VIAJES]","","Gastos de Viajes","","000")</f>
        <v>Gastos de Viajes</v>
      </c>
      <c r="D513" s="2"/>
      <c r="E513" s="2"/>
      <c r="F513" s="2">
        <f t="shared" si="70"/>
        <v>0</v>
      </c>
      <c r="G513" s="2">
        <v>6301.28</v>
      </c>
      <c r="H513" s="2">
        <v>27494.639999999999</v>
      </c>
      <c r="I513" s="2">
        <f t="shared" si="71"/>
        <v>21193.360000000001</v>
      </c>
      <c r="J513" s="2">
        <v>8190.12</v>
      </c>
      <c r="K513" s="2">
        <v>12332.85</v>
      </c>
      <c r="L513" s="2">
        <f t="shared" si="72"/>
        <v>4142.7300000000005</v>
      </c>
      <c r="M513" s="2">
        <v>10339.85</v>
      </c>
      <c r="N513" s="2">
        <v>16816.98</v>
      </c>
      <c r="O513" s="2">
        <f t="shared" si="73"/>
        <v>6477.1299999999992</v>
      </c>
      <c r="P513" s="2">
        <v>103.88</v>
      </c>
      <c r="Q513" s="2">
        <v>1704.23</v>
      </c>
      <c r="R513" s="2">
        <f t="shared" si="74"/>
        <v>1600.35</v>
      </c>
      <c r="S513" s="2">
        <v>-8.43</v>
      </c>
      <c r="T513" s="2">
        <v>1238.01</v>
      </c>
      <c r="U513" s="2">
        <f t="shared" si="75"/>
        <v>1246.44</v>
      </c>
      <c r="V513" s="2">
        <v>145.06</v>
      </c>
      <c r="W513" s="2">
        <v>1697.76</v>
      </c>
      <c r="X513" s="2">
        <f t="shared" si="76"/>
        <v>1552.7</v>
      </c>
      <c r="Y513" s="2"/>
      <c r="Z513" s="2">
        <v>833.25</v>
      </c>
      <c r="AA513" s="2">
        <f t="shared" si="77"/>
        <v>833.25</v>
      </c>
      <c r="AB513" s="2">
        <v>806.48</v>
      </c>
      <c r="AC513" s="2">
        <v>1691.37</v>
      </c>
      <c r="AD513" s="2">
        <f t="shared" si="78"/>
        <v>884.88999999999987</v>
      </c>
      <c r="AE513" s="2">
        <v>1046.99</v>
      </c>
      <c r="AF513" s="2">
        <v>17315.490000000002</v>
      </c>
      <c r="AG513" s="2">
        <f t="shared" si="79"/>
        <v>16268.500000000002</v>
      </c>
    </row>
    <row r="514" spans="1:33" x14ac:dyDescent="0.3">
      <c r="B514" s="3"/>
      <c r="C514" t="str">
        <f xml:space="preserve"> _xll.EPMOlapMemberO("[CLACO].[PARENTH1].[AMSAGGENERALES.2]","","Otros Gastos","","000")</f>
        <v>Otros Gastos</v>
      </c>
      <c r="D514" s="2"/>
      <c r="E514" s="2"/>
      <c r="F514" s="2">
        <f t="shared" si="70"/>
        <v>0</v>
      </c>
      <c r="G514" s="2"/>
      <c r="H514" s="2">
        <v>2325.87</v>
      </c>
      <c r="I514" s="2">
        <f t="shared" si="71"/>
        <v>2325.87</v>
      </c>
      <c r="J514" s="2">
        <v>214.36</v>
      </c>
      <c r="K514" s="2">
        <v>2884.71</v>
      </c>
      <c r="L514" s="2">
        <f t="shared" si="72"/>
        <v>2670.35</v>
      </c>
      <c r="M514" s="2">
        <v>433.51</v>
      </c>
      <c r="N514" s="2">
        <v>2718.68</v>
      </c>
      <c r="O514" s="2">
        <f t="shared" si="73"/>
        <v>2285.17</v>
      </c>
      <c r="P514" s="2">
        <v>159.11000000000001</v>
      </c>
      <c r="Q514" s="2">
        <v>224.1</v>
      </c>
      <c r="R514" s="2">
        <f t="shared" si="74"/>
        <v>64.989999999999981</v>
      </c>
      <c r="S514" s="2"/>
      <c r="T514" s="2">
        <v>223.48</v>
      </c>
      <c r="U514" s="2">
        <f t="shared" si="75"/>
        <v>223.48</v>
      </c>
      <c r="V514" s="2"/>
      <c r="W514" s="2">
        <v>222.84</v>
      </c>
      <c r="X514" s="2">
        <f t="shared" si="76"/>
        <v>222.84</v>
      </c>
      <c r="Y514" s="2">
        <v>25.67</v>
      </c>
      <c r="Z514" s="2">
        <v>222.22</v>
      </c>
      <c r="AA514" s="2">
        <f t="shared" si="77"/>
        <v>196.55</v>
      </c>
      <c r="AB514" s="2"/>
      <c r="AC514" s="2">
        <v>221.61</v>
      </c>
      <c r="AD514" s="2">
        <f t="shared" si="78"/>
        <v>221.61</v>
      </c>
      <c r="AE514" s="2">
        <v>216.94</v>
      </c>
      <c r="AF514" s="2">
        <v>2700.52</v>
      </c>
      <c r="AG514" s="2">
        <f t="shared" si="79"/>
        <v>2483.58</v>
      </c>
    </row>
    <row r="515" spans="1:33" x14ac:dyDescent="0.3">
      <c r="A515" t="s">
        <v>61</v>
      </c>
      <c r="B515" s="3" t="str">
        <f xml:space="preserve"> _xll.EPMOlapMemberO("[CECO].[PARENTH3].[AMSA1000AC4507]","","Asuntos Corp. Norte","","000")</f>
        <v>Asuntos Corp. Norte</v>
      </c>
      <c r="C515" t="str">
        <f xml:space="preserve"> _xll.EPMOlapMemberO("[CLACO].[PARENTH1].[AMSAREMUNERACI.EE]","","Remuneraciones emple","","000")</f>
        <v>Remuneraciones emple</v>
      </c>
      <c r="D515" s="2"/>
      <c r="E515" s="2"/>
      <c r="F515" s="2">
        <f t="shared" si="70"/>
        <v>0</v>
      </c>
      <c r="G515" s="2"/>
      <c r="H515" s="2"/>
      <c r="I515" s="2">
        <f t="shared" si="71"/>
        <v>0</v>
      </c>
      <c r="J515" s="2">
        <v>-43.53</v>
      </c>
      <c r="K515" s="2"/>
      <c r="L515" s="2">
        <f t="shared" si="72"/>
        <v>43.53</v>
      </c>
      <c r="M515" s="2">
        <v>2491.09</v>
      </c>
      <c r="N515" s="2"/>
      <c r="O515" s="2">
        <f t="shared" si="73"/>
        <v>-2491.09</v>
      </c>
      <c r="P515" s="2"/>
      <c r="Q515" s="2"/>
      <c r="R515" s="2">
        <f t="shared" si="74"/>
        <v>0</v>
      </c>
      <c r="S515" s="2"/>
      <c r="T515" s="2"/>
      <c r="U515" s="2">
        <f t="shared" si="75"/>
        <v>0</v>
      </c>
      <c r="V515" s="2"/>
      <c r="W515" s="2"/>
      <c r="X515" s="2">
        <f t="shared" si="76"/>
        <v>0</v>
      </c>
      <c r="Y515" s="2"/>
      <c r="Z515" s="2"/>
      <c r="AA515" s="2">
        <f t="shared" si="77"/>
        <v>0</v>
      </c>
      <c r="AB515" s="2">
        <v>-2491.09</v>
      </c>
      <c r="AC515" s="2"/>
      <c r="AD515" s="2">
        <f t="shared" si="78"/>
        <v>2491.09</v>
      </c>
      <c r="AE515" s="2">
        <v>-2491.09</v>
      </c>
      <c r="AF515" s="2"/>
      <c r="AG515" s="2">
        <f t="shared" si="79"/>
        <v>2491.09</v>
      </c>
    </row>
    <row r="516" spans="1:33" x14ac:dyDescent="0.3">
      <c r="B516" s="3"/>
      <c r="C516" t="str">
        <f xml:space="preserve"> _xll.EPMOlapMemberO("[CLACO].[PARENTH1].[AMSAREMUNERACI.SS]","","Remuneraciones Super","","000")</f>
        <v>Remuneraciones Super</v>
      </c>
      <c r="D516" s="2">
        <v>1791793.61</v>
      </c>
      <c r="E516" s="2">
        <v>2088440.88</v>
      </c>
      <c r="F516" s="2">
        <f t="shared" si="70"/>
        <v>296647.26999999979</v>
      </c>
      <c r="G516" s="2">
        <v>2103773.4700000002</v>
      </c>
      <c r="H516" s="2">
        <v>2042223.62</v>
      </c>
      <c r="I516" s="2">
        <f t="shared" si="71"/>
        <v>-61549.850000000093</v>
      </c>
      <c r="J516" s="2">
        <v>1912414.03</v>
      </c>
      <c r="K516" s="2">
        <v>2236911.62</v>
      </c>
      <c r="L516" s="2">
        <f t="shared" si="72"/>
        <v>324497.59000000008</v>
      </c>
      <c r="M516" s="2">
        <v>2070998.56</v>
      </c>
      <c r="N516" s="2">
        <v>2225553.64</v>
      </c>
      <c r="O516" s="2">
        <f t="shared" si="73"/>
        <v>154555.08000000007</v>
      </c>
      <c r="P516" s="2">
        <v>163055.51999999999</v>
      </c>
      <c r="Q516" s="2">
        <v>220701.94</v>
      </c>
      <c r="R516" s="2">
        <f t="shared" si="74"/>
        <v>57646.420000000013</v>
      </c>
      <c r="S516" s="2">
        <v>238885.68</v>
      </c>
      <c r="T516" s="2">
        <v>262711.09999999998</v>
      </c>
      <c r="U516" s="2">
        <f t="shared" si="75"/>
        <v>23825.419999999984</v>
      </c>
      <c r="V516" s="2">
        <v>215308.35</v>
      </c>
      <c r="W516" s="2">
        <v>256868.51</v>
      </c>
      <c r="X516" s="2">
        <f t="shared" si="76"/>
        <v>41560.160000000003</v>
      </c>
      <c r="Y516" s="2">
        <v>167067.34</v>
      </c>
      <c r="Z516" s="2">
        <v>259899.98</v>
      </c>
      <c r="AA516" s="2">
        <f t="shared" si="77"/>
        <v>92832.640000000014</v>
      </c>
      <c r="AB516" s="2">
        <v>168180.83</v>
      </c>
      <c r="AC516" s="2">
        <v>217802.65</v>
      </c>
      <c r="AD516" s="2">
        <f t="shared" si="78"/>
        <v>49621.820000000007</v>
      </c>
      <c r="AE516" s="2">
        <v>954226.6</v>
      </c>
      <c r="AF516" s="2">
        <v>2839391.23</v>
      </c>
      <c r="AG516" s="2">
        <f t="shared" si="79"/>
        <v>1885164.63</v>
      </c>
    </row>
    <row r="517" spans="1:33" x14ac:dyDescent="0.3">
      <c r="B517" s="3"/>
      <c r="C517" t="str">
        <f xml:space="preserve"> _xll.EPMOlapMemberO("[CLACO].[PARENTH1].[AMSAADM_PERSON]","","Administración Perso","","000")</f>
        <v>Administración Perso</v>
      </c>
      <c r="D517" s="2"/>
      <c r="E517" s="2"/>
      <c r="F517" s="2">
        <f t="shared" si="70"/>
        <v>0</v>
      </c>
      <c r="G517" s="2"/>
      <c r="H517" s="2"/>
      <c r="I517" s="2">
        <f t="shared" si="71"/>
        <v>0</v>
      </c>
      <c r="J517" s="2"/>
      <c r="K517" s="2"/>
      <c r="L517" s="2">
        <f t="shared" si="72"/>
        <v>0</v>
      </c>
      <c r="M517" s="2"/>
      <c r="N517" s="2"/>
      <c r="O517" s="2">
        <f t="shared" si="73"/>
        <v>0</v>
      </c>
      <c r="P517" s="2"/>
      <c r="Q517" s="2"/>
      <c r="R517" s="2">
        <f t="shared" si="74"/>
        <v>0</v>
      </c>
      <c r="S517" s="2"/>
      <c r="T517" s="2"/>
      <c r="U517" s="2">
        <f t="shared" si="75"/>
        <v>0</v>
      </c>
      <c r="V517" s="2"/>
      <c r="W517" s="2"/>
      <c r="X517" s="2">
        <f t="shared" si="76"/>
        <v>0</v>
      </c>
      <c r="Y517" s="2">
        <v>0</v>
      </c>
      <c r="Z517" s="2"/>
      <c r="AA517" s="2">
        <f t="shared" si="77"/>
        <v>0</v>
      </c>
      <c r="AB517" s="2"/>
      <c r="AC517" s="2"/>
      <c r="AD517" s="2">
        <f t="shared" si="78"/>
        <v>0</v>
      </c>
      <c r="AE517" s="2">
        <v>0</v>
      </c>
      <c r="AF517" s="2"/>
      <c r="AG517" s="2">
        <f t="shared" si="79"/>
        <v>0</v>
      </c>
    </row>
    <row r="518" spans="1:33" x14ac:dyDescent="0.3">
      <c r="B518" s="3"/>
      <c r="C518" t="str">
        <f xml:space="preserve"> _xll.EPMOlapMemberO("[CLACO].[PARENTH1].[AMSAINFORMATIC]","","Informática y Comuni","","000")</f>
        <v>Informática y Comuni</v>
      </c>
      <c r="D518" s="2">
        <v>0</v>
      </c>
      <c r="E518" s="2"/>
      <c r="F518" s="2">
        <f t="shared" si="70"/>
        <v>0</v>
      </c>
      <c r="G518" s="2">
        <v>0</v>
      </c>
      <c r="H518" s="2"/>
      <c r="I518" s="2">
        <f t="shared" si="71"/>
        <v>0</v>
      </c>
      <c r="J518" s="2">
        <v>0</v>
      </c>
      <c r="K518" s="2"/>
      <c r="L518" s="2">
        <f t="shared" si="72"/>
        <v>0</v>
      </c>
      <c r="M518" s="2">
        <v>-71.69</v>
      </c>
      <c r="N518" s="2"/>
      <c r="O518" s="2">
        <f t="shared" si="73"/>
        <v>71.69</v>
      </c>
      <c r="P518" s="2"/>
      <c r="Q518" s="2"/>
      <c r="R518" s="2">
        <f t="shared" si="74"/>
        <v>0</v>
      </c>
      <c r="S518" s="2">
        <v>-429.11</v>
      </c>
      <c r="T518" s="2"/>
      <c r="U518" s="2">
        <f t="shared" si="75"/>
        <v>429.11</v>
      </c>
      <c r="V518" s="2">
        <v>429.11</v>
      </c>
      <c r="W518" s="2"/>
      <c r="X518" s="2">
        <f t="shared" si="76"/>
        <v>-429.11</v>
      </c>
      <c r="Y518" s="2">
        <v>-1076.03</v>
      </c>
      <c r="Z518" s="2"/>
      <c r="AA518" s="2">
        <f t="shared" si="77"/>
        <v>1076.03</v>
      </c>
      <c r="AB518" s="2">
        <v>1076.03</v>
      </c>
      <c r="AC518" s="2"/>
      <c r="AD518" s="2">
        <f t="shared" si="78"/>
        <v>-1076.03</v>
      </c>
      <c r="AE518" s="2">
        <v>310.88</v>
      </c>
      <c r="AF518" s="2"/>
      <c r="AG518" s="2">
        <f t="shared" si="79"/>
        <v>-310.88</v>
      </c>
    </row>
    <row r="519" spans="1:33" x14ac:dyDescent="0.3">
      <c r="B519" s="3"/>
      <c r="C519" t="str">
        <f xml:space="preserve"> _xll.EPMOlapMemberO("[CLACO].[PARENTH1].[AMSAG_VIAJES]","","Gastos de Viajes","","000")</f>
        <v>Gastos de Viajes</v>
      </c>
      <c r="D519" s="2">
        <v>0</v>
      </c>
      <c r="E519" s="2"/>
      <c r="F519" s="2">
        <f t="shared" si="70"/>
        <v>0</v>
      </c>
      <c r="G519" s="2">
        <v>0</v>
      </c>
      <c r="H519" s="2"/>
      <c r="I519" s="2">
        <f t="shared" si="71"/>
        <v>0</v>
      </c>
      <c r="J519" s="2">
        <v>0</v>
      </c>
      <c r="K519" s="2"/>
      <c r="L519" s="2">
        <f t="shared" si="72"/>
        <v>0</v>
      </c>
      <c r="M519" s="2">
        <v>0</v>
      </c>
      <c r="N519" s="2"/>
      <c r="O519" s="2">
        <f t="shared" si="73"/>
        <v>0</v>
      </c>
      <c r="P519" s="2">
        <v>23.9</v>
      </c>
      <c r="Q519" s="2"/>
      <c r="R519" s="2">
        <f t="shared" si="74"/>
        <v>-23.9</v>
      </c>
      <c r="S519" s="2">
        <v>-95.82</v>
      </c>
      <c r="T519" s="2"/>
      <c r="U519" s="2">
        <f t="shared" si="75"/>
        <v>95.82</v>
      </c>
      <c r="V519" s="2">
        <v>95.82</v>
      </c>
      <c r="W519" s="2"/>
      <c r="X519" s="2">
        <f t="shared" si="76"/>
        <v>-95.82</v>
      </c>
      <c r="Y519" s="2">
        <v>-209.04</v>
      </c>
      <c r="Z519" s="2"/>
      <c r="AA519" s="2">
        <f t="shared" si="77"/>
        <v>209.04</v>
      </c>
      <c r="AB519" s="2">
        <v>209.04</v>
      </c>
      <c r="AC519" s="2"/>
      <c r="AD519" s="2">
        <f t="shared" si="78"/>
        <v>-209.04</v>
      </c>
      <c r="AE519" s="2">
        <v>1271.8499999999999</v>
      </c>
      <c r="AF519" s="2"/>
      <c r="AG519" s="2">
        <f t="shared" si="79"/>
        <v>-1271.8499999999999</v>
      </c>
    </row>
    <row r="520" spans="1:33" x14ac:dyDescent="0.3">
      <c r="B520" s="3"/>
      <c r="C520" t="str">
        <f xml:space="preserve"> _xll.EPMOlapMemberO("[CLACO].[PARENTH1].[AMSAGGENERALES.2]","","Otros Gastos","","000")</f>
        <v>Otros Gastos</v>
      </c>
      <c r="D520" s="2">
        <v>0</v>
      </c>
      <c r="E520" s="2"/>
      <c r="F520" s="2">
        <f t="shared" si="70"/>
        <v>0</v>
      </c>
      <c r="G520" s="2">
        <v>0.12</v>
      </c>
      <c r="H520" s="2"/>
      <c r="I520" s="2">
        <f t="shared" si="71"/>
        <v>-0.12</v>
      </c>
      <c r="J520" s="2">
        <v>0</v>
      </c>
      <c r="K520" s="2"/>
      <c r="L520" s="2">
        <f t="shared" si="72"/>
        <v>0</v>
      </c>
      <c r="M520" s="2">
        <v>0</v>
      </c>
      <c r="N520" s="2"/>
      <c r="O520" s="2">
        <f t="shared" si="73"/>
        <v>0</v>
      </c>
      <c r="P520" s="2">
        <v>202.41</v>
      </c>
      <c r="Q520" s="2"/>
      <c r="R520" s="2">
        <f t="shared" si="74"/>
        <v>-202.41</v>
      </c>
      <c r="S520" s="2">
        <v>0</v>
      </c>
      <c r="T520" s="2"/>
      <c r="U520" s="2">
        <f t="shared" si="75"/>
        <v>0</v>
      </c>
      <c r="V520" s="2">
        <v>0</v>
      </c>
      <c r="W520" s="2"/>
      <c r="X520" s="2">
        <f t="shared" si="76"/>
        <v>0</v>
      </c>
      <c r="Y520" s="2">
        <v>-148.25</v>
      </c>
      <c r="Z520" s="2"/>
      <c r="AA520" s="2">
        <f t="shared" si="77"/>
        <v>148.25</v>
      </c>
      <c r="AB520" s="2">
        <v>148.25</v>
      </c>
      <c r="AC520" s="2"/>
      <c r="AD520" s="2">
        <f t="shared" si="78"/>
        <v>-148.25</v>
      </c>
      <c r="AE520" s="2">
        <v>241.75</v>
      </c>
      <c r="AF520" s="2"/>
      <c r="AG520" s="2">
        <f t="shared" si="79"/>
        <v>-241.75</v>
      </c>
    </row>
    <row r="521" spans="1:33" x14ac:dyDescent="0.3">
      <c r="B521" s="3"/>
      <c r="C521" t="str">
        <f xml:space="preserve"> _xll.EPMOlapMemberO("[CLACO].[PARENTH1].[AMSAIFRS16]","","Arriendo por derecho","","000")</f>
        <v>Arriendo por derecho</v>
      </c>
      <c r="D521" s="2"/>
      <c r="E521" s="2"/>
      <c r="F521" s="2">
        <f t="shared" si="70"/>
        <v>0</v>
      </c>
      <c r="G521" s="2"/>
      <c r="H521" s="2"/>
      <c r="I521" s="2">
        <f t="shared" si="71"/>
        <v>0</v>
      </c>
      <c r="J521" s="2"/>
      <c r="K521" s="2"/>
      <c r="L521" s="2">
        <f t="shared" si="72"/>
        <v>0</v>
      </c>
      <c r="M521" s="2">
        <v>-23885.53</v>
      </c>
      <c r="N521" s="2"/>
      <c r="O521" s="2">
        <f t="shared" si="73"/>
        <v>23885.53</v>
      </c>
      <c r="P521" s="2"/>
      <c r="Q521" s="2"/>
      <c r="R521" s="2">
        <f t="shared" si="74"/>
        <v>0</v>
      </c>
      <c r="S521" s="2"/>
      <c r="T521" s="2"/>
      <c r="U521" s="2">
        <f t="shared" si="75"/>
        <v>0</v>
      </c>
      <c r="V521" s="2"/>
      <c r="W521" s="2"/>
      <c r="X521" s="2">
        <f t="shared" si="76"/>
        <v>0</v>
      </c>
      <c r="Y521" s="2"/>
      <c r="Z521" s="2"/>
      <c r="AA521" s="2">
        <f t="shared" si="77"/>
        <v>0</v>
      </c>
      <c r="AB521" s="2"/>
      <c r="AC521" s="2"/>
      <c r="AD521" s="2">
        <f t="shared" si="78"/>
        <v>0</v>
      </c>
      <c r="AE521" s="2"/>
      <c r="AF521" s="2"/>
      <c r="AG521" s="2">
        <f t="shared" si="79"/>
        <v>0</v>
      </c>
    </row>
    <row r="522" spans="1:33" x14ac:dyDescent="0.3">
      <c r="A522" t="s">
        <v>62</v>
      </c>
      <c r="B522" s="3" t="str">
        <f xml:space="preserve"> _xll.EPMOlapMemberO("[CECO].[PARENTH3].[AMSA1000AC4508]","","Asuntos Corp. MLP","","000")</f>
        <v>Asuntos Corp. MLP</v>
      </c>
      <c r="C522" t="str">
        <f xml:space="preserve"> _xll.EPMOlapMemberO("[CLACO].[PARENTH1].[AMSAREMUNERACI.SS]","","Remuneraciones Super","","000")</f>
        <v>Remuneraciones Super</v>
      </c>
      <c r="D522" s="2">
        <v>2853092.36</v>
      </c>
      <c r="E522" s="2">
        <v>2914963.54</v>
      </c>
      <c r="F522" s="2">
        <f t="shared" si="70"/>
        <v>61871.180000000168</v>
      </c>
      <c r="G522" s="2">
        <v>3051100.11</v>
      </c>
      <c r="H522" s="2">
        <v>3062692.52</v>
      </c>
      <c r="I522" s="2">
        <f t="shared" si="71"/>
        <v>11592.410000000149</v>
      </c>
      <c r="J522" s="2">
        <v>2400416.42</v>
      </c>
      <c r="K522" s="2">
        <v>2998155.47</v>
      </c>
      <c r="L522" s="2">
        <f t="shared" si="72"/>
        <v>597739.05000000028</v>
      </c>
      <c r="M522" s="2">
        <v>2520556.2999999998</v>
      </c>
      <c r="N522" s="2">
        <v>2846572</v>
      </c>
      <c r="O522" s="2">
        <f t="shared" si="73"/>
        <v>326015.70000000019</v>
      </c>
      <c r="P522" s="2">
        <v>175824.69</v>
      </c>
      <c r="Q522" s="2">
        <v>212760.71</v>
      </c>
      <c r="R522" s="2">
        <f t="shared" si="74"/>
        <v>36936.01999999999</v>
      </c>
      <c r="S522" s="2">
        <v>245850.57</v>
      </c>
      <c r="T522" s="2">
        <v>257104.94</v>
      </c>
      <c r="U522" s="2">
        <f t="shared" si="75"/>
        <v>11254.369999999995</v>
      </c>
      <c r="V522" s="2">
        <v>249564.35</v>
      </c>
      <c r="W522" s="2">
        <v>279877.74</v>
      </c>
      <c r="X522" s="2">
        <f t="shared" si="76"/>
        <v>30313.389999999985</v>
      </c>
      <c r="Y522" s="2">
        <v>235702.42</v>
      </c>
      <c r="Z522" s="2">
        <v>254462.98</v>
      </c>
      <c r="AA522" s="2">
        <f t="shared" si="77"/>
        <v>18760.559999999998</v>
      </c>
      <c r="AB522" s="2">
        <v>204166.71</v>
      </c>
      <c r="AC522" s="2">
        <v>210028.11</v>
      </c>
      <c r="AD522" s="2">
        <f t="shared" si="78"/>
        <v>5861.3999999999942</v>
      </c>
      <c r="AE522" s="2">
        <v>1120121.77</v>
      </c>
      <c r="AF522" s="2">
        <v>2782434.72</v>
      </c>
      <c r="AG522" s="2">
        <f t="shared" si="79"/>
        <v>1662312.9500000002</v>
      </c>
    </row>
    <row r="523" spans="1:33" x14ac:dyDescent="0.3">
      <c r="B523" s="3"/>
      <c r="C523" t="str">
        <f xml:space="preserve"> _xll.EPMOlapMemberO("[CLACO].[PARENTH1].[AMSAMAT_Y_REP.2]","","Materiales y repuest","","000")</f>
        <v>Materiales y repuest</v>
      </c>
      <c r="D523" s="2"/>
      <c r="E523" s="2"/>
      <c r="F523" s="2">
        <f t="shared" ref="F523:F586" si="80">+E523-D523</f>
        <v>0</v>
      </c>
      <c r="G523" s="2">
        <v>0</v>
      </c>
      <c r="H523" s="2"/>
      <c r="I523" s="2">
        <f t="shared" ref="I523:I586" si="81">+H523-G523</f>
        <v>0</v>
      </c>
      <c r="J523" s="2"/>
      <c r="K523" s="2"/>
      <c r="L523" s="2">
        <f t="shared" ref="L523:L586" si="82">+K523-J523</f>
        <v>0</v>
      </c>
      <c r="M523" s="2"/>
      <c r="N523" s="2"/>
      <c r="O523" s="2">
        <f t="shared" ref="O523:O586" si="83">+N523-M523</f>
        <v>0</v>
      </c>
      <c r="P523" s="2"/>
      <c r="Q523" s="2"/>
      <c r="R523" s="2">
        <f t="shared" ref="R523:R586" si="84">+Q523-P523</f>
        <v>0</v>
      </c>
      <c r="S523" s="2"/>
      <c r="T523" s="2"/>
      <c r="U523" s="2">
        <f t="shared" ref="U523:U586" si="85">+T523-S523</f>
        <v>0</v>
      </c>
      <c r="V523" s="2"/>
      <c r="W523" s="2"/>
      <c r="X523" s="2">
        <f t="shared" ref="X523:X586" si="86">+W523-V523</f>
        <v>0</v>
      </c>
      <c r="Y523" s="2"/>
      <c r="Z523" s="2"/>
      <c r="AA523" s="2">
        <f t="shared" ref="AA523:AA586" si="87">+Z523-Y523</f>
        <v>0</v>
      </c>
      <c r="AB523" s="2"/>
      <c r="AC523" s="2"/>
      <c r="AD523" s="2">
        <f t="shared" ref="AD523:AD586" si="88">+AC523-AB523</f>
        <v>0</v>
      </c>
      <c r="AE523" s="2"/>
      <c r="AF523" s="2"/>
      <c r="AG523" s="2">
        <f t="shared" ref="AG523:AG586" si="89">+AF523-AE523</f>
        <v>0</v>
      </c>
    </row>
    <row r="524" spans="1:33" x14ac:dyDescent="0.3">
      <c r="B524" s="3"/>
      <c r="C524" t="str">
        <f xml:space="preserve"> _xll.EPMOlapMemberO("[CLACO].[PARENTH1].[AMSAENTRENAMI]","","Entrenamiento","","000")</f>
        <v>Entrenamiento</v>
      </c>
      <c r="D524" s="2">
        <v>0</v>
      </c>
      <c r="E524" s="2"/>
      <c r="F524" s="2">
        <f t="shared" si="80"/>
        <v>0</v>
      </c>
      <c r="G524" s="2"/>
      <c r="H524" s="2"/>
      <c r="I524" s="2">
        <f t="shared" si="81"/>
        <v>0</v>
      </c>
      <c r="J524" s="2"/>
      <c r="K524" s="2"/>
      <c r="L524" s="2">
        <f t="shared" si="82"/>
        <v>0</v>
      </c>
      <c r="M524" s="2"/>
      <c r="N524" s="2"/>
      <c r="O524" s="2">
        <f t="shared" si="83"/>
        <v>0</v>
      </c>
      <c r="P524" s="2"/>
      <c r="Q524" s="2"/>
      <c r="R524" s="2">
        <f t="shared" si="84"/>
        <v>0</v>
      </c>
      <c r="S524" s="2"/>
      <c r="T524" s="2"/>
      <c r="U524" s="2">
        <f t="shared" si="85"/>
        <v>0</v>
      </c>
      <c r="V524" s="2"/>
      <c r="W524" s="2"/>
      <c r="X524" s="2">
        <f t="shared" si="86"/>
        <v>0</v>
      </c>
      <c r="Y524" s="2"/>
      <c r="Z524" s="2"/>
      <c r="AA524" s="2">
        <f t="shared" si="87"/>
        <v>0</v>
      </c>
      <c r="AB524" s="2"/>
      <c r="AC524" s="2"/>
      <c r="AD524" s="2">
        <f t="shared" si="88"/>
        <v>0</v>
      </c>
      <c r="AE524" s="2"/>
      <c r="AF524" s="2"/>
      <c r="AG524" s="2">
        <f t="shared" si="89"/>
        <v>0</v>
      </c>
    </row>
    <row r="525" spans="1:33" x14ac:dyDescent="0.3">
      <c r="B525" s="3"/>
      <c r="C525" t="str">
        <f xml:space="preserve"> _xll.EPMOlapMemberO("[CLACO].[PARENTH1].[AMSASERVICIOS]","","Servicios","","000")</f>
        <v>Servicios</v>
      </c>
      <c r="D525" s="2"/>
      <c r="E525" s="2"/>
      <c r="F525" s="2">
        <f t="shared" si="80"/>
        <v>0</v>
      </c>
      <c r="G525" s="2">
        <v>0</v>
      </c>
      <c r="H525" s="2"/>
      <c r="I525" s="2">
        <f t="shared" si="81"/>
        <v>0</v>
      </c>
      <c r="J525" s="2">
        <v>0</v>
      </c>
      <c r="K525" s="2"/>
      <c r="L525" s="2">
        <f t="shared" si="82"/>
        <v>0</v>
      </c>
      <c r="M525" s="2">
        <v>0</v>
      </c>
      <c r="N525" s="2"/>
      <c r="O525" s="2">
        <f t="shared" si="83"/>
        <v>0</v>
      </c>
      <c r="P525" s="2"/>
      <c r="Q525" s="2"/>
      <c r="R525" s="2">
        <f t="shared" si="84"/>
        <v>0</v>
      </c>
      <c r="S525" s="2"/>
      <c r="T525" s="2"/>
      <c r="U525" s="2">
        <f t="shared" si="85"/>
        <v>0</v>
      </c>
      <c r="V525" s="2"/>
      <c r="W525" s="2"/>
      <c r="X525" s="2">
        <f t="shared" si="86"/>
        <v>0</v>
      </c>
      <c r="Y525" s="2"/>
      <c r="Z525" s="2"/>
      <c r="AA525" s="2">
        <f t="shared" si="87"/>
        <v>0</v>
      </c>
      <c r="AB525" s="2"/>
      <c r="AC525" s="2"/>
      <c r="AD525" s="2">
        <f t="shared" si="88"/>
        <v>0</v>
      </c>
      <c r="AE525" s="2"/>
      <c r="AF525" s="2"/>
      <c r="AG525" s="2">
        <f t="shared" si="89"/>
        <v>0</v>
      </c>
    </row>
    <row r="526" spans="1:33" x14ac:dyDescent="0.3">
      <c r="B526" s="3"/>
      <c r="C526" t="str">
        <f xml:space="preserve"> _xll.EPMOlapMemberO("[CLACO].[PARENTH1].[AMSAINFORMATIC]","","Informática y Comuni","","000")</f>
        <v>Informática y Comuni</v>
      </c>
      <c r="D526" s="2">
        <v>0</v>
      </c>
      <c r="E526" s="2"/>
      <c r="F526" s="2">
        <f t="shared" si="80"/>
        <v>0</v>
      </c>
      <c r="G526" s="2">
        <v>0</v>
      </c>
      <c r="H526" s="2"/>
      <c r="I526" s="2">
        <f t="shared" si="81"/>
        <v>0</v>
      </c>
      <c r="J526" s="2">
        <v>0</v>
      </c>
      <c r="K526" s="2"/>
      <c r="L526" s="2">
        <f t="shared" si="82"/>
        <v>0</v>
      </c>
      <c r="M526" s="2">
        <v>0</v>
      </c>
      <c r="N526" s="2"/>
      <c r="O526" s="2">
        <f t="shared" si="83"/>
        <v>0</v>
      </c>
      <c r="P526" s="2">
        <v>0</v>
      </c>
      <c r="Q526" s="2"/>
      <c r="R526" s="2">
        <f t="shared" si="84"/>
        <v>0</v>
      </c>
      <c r="S526" s="2">
        <v>-377.9</v>
      </c>
      <c r="T526" s="2"/>
      <c r="U526" s="2">
        <f t="shared" si="85"/>
        <v>377.9</v>
      </c>
      <c r="V526" s="2">
        <v>377.9</v>
      </c>
      <c r="W526" s="2"/>
      <c r="X526" s="2">
        <f t="shared" si="86"/>
        <v>-377.9</v>
      </c>
      <c r="Y526" s="2">
        <v>0</v>
      </c>
      <c r="Z526" s="2"/>
      <c r="AA526" s="2">
        <f t="shared" si="87"/>
        <v>0</v>
      </c>
      <c r="AB526" s="2">
        <v>0</v>
      </c>
      <c r="AC526" s="2"/>
      <c r="AD526" s="2">
        <f t="shared" si="88"/>
        <v>0</v>
      </c>
      <c r="AE526" s="2">
        <v>388.6</v>
      </c>
      <c r="AF526" s="2"/>
      <c r="AG526" s="2">
        <f t="shared" si="89"/>
        <v>-388.6</v>
      </c>
    </row>
    <row r="527" spans="1:33" x14ac:dyDescent="0.3">
      <c r="B527" s="3"/>
      <c r="C527" t="str">
        <f xml:space="preserve"> _xll.EPMOlapMemberO("[CLACO].[PARENTH1].[AMSAG_VIAJES]","","Gastos de Viajes","","000")</f>
        <v>Gastos de Viajes</v>
      </c>
      <c r="D527" s="2">
        <v>1397.86</v>
      </c>
      <c r="E527" s="2"/>
      <c r="F527" s="2">
        <f t="shared" si="80"/>
        <v>-1397.86</v>
      </c>
      <c r="G527" s="2">
        <v>0</v>
      </c>
      <c r="H527" s="2"/>
      <c r="I527" s="2">
        <f t="shared" si="81"/>
        <v>0</v>
      </c>
      <c r="J527" s="2">
        <v>0</v>
      </c>
      <c r="K527" s="2"/>
      <c r="L527" s="2">
        <f t="shared" si="82"/>
        <v>0</v>
      </c>
      <c r="M527" s="2">
        <v>0</v>
      </c>
      <c r="N527" s="2"/>
      <c r="O527" s="2">
        <f t="shared" si="83"/>
        <v>0</v>
      </c>
      <c r="P527" s="2">
        <v>-419.99</v>
      </c>
      <c r="Q527" s="2"/>
      <c r="R527" s="2">
        <f t="shared" si="84"/>
        <v>419.99</v>
      </c>
      <c r="S527" s="2">
        <v>419.99</v>
      </c>
      <c r="T527" s="2"/>
      <c r="U527" s="2">
        <f t="shared" si="85"/>
        <v>-419.99</v>
      </c>
      <c r="V527" s="2">
        <v>0</v>
      </c>
      <c r="W527" s="2"/>
      <c r="X527" s="2">
        <f t="shared" si="86"/>
        <v>0</v>
      </c>
      <c r="Y527" s="2">
        <v>0</v>
      </c>
      <c r="Z527" s="2"/>
      <c r="AA527" s="2">
        <f t="shared" si="87"/>
        <v>0</v>
      </c>
      <c r="AB527" s="2">
        <v>0</v>
      </c>
      <c r="AC527" s="2"/>
      <c r="AD527" s="2">
        <f t="shared" si="88"/>
        <v>0</v>
      </c>
      <c r="AE527" s="2">
        <v>840.71</v>
      </c>
      <c r="AF527" s="2"/>
      <c r="AG527" s="2">
        <f t="shared" si="89"/>
        <v>-840.71</v>
      </c>
    </row>
    <row r="528" spans="1:33" x14ac:dyDescent="0.3">
      <c r="B528" s="3"/>
      <c r="C528" t="str">
        <f xml:space="preserve"> _xll.EPMOlapMemberO("[CLACO].[PARENTH1].[AMSAIMP_PATEN]","","Impuestos / Patentes","","000")</f>
        <v>Impuestos / Patentes</v>
      </c>
      <c r="D528" s="2"/>
      <c r="E528" s="2"/>
      <c r="F528" s="2">
        <f t="shared" si="80"/>
        <v>0</v>
      </c>
      <c r="G528" s="2"/>
      <c r="H528" s="2"/>
      <c r="I528" s="2">
        <f t="shared" si="81"/>
        <v>0</v>
      </c>
      <c r="J528" s="2">
        <v>0</v>
      </c>
      <c r="K528" s="2"/>
      <c r="L528" s="2">
        <f t="shared" si="82"/>
        <v>0</v>
      </c>
      <c r="M528" s="2"/>
      <c r="N528" s="2"/>
      <c r="O528" s="2">
        <f t="shared" si="83"/>
        <v>0</v>
      </c>
      <c r="P528" s="2"/>
      <c r="Q528" s="2"/>
      <c r="R528" s="2">
        <f t="shared" si="84"/>
        <v>0</v>
      </c>
      <c r="S528" s="2"/>
      <c r="T528" s="2"/>
      <c r="U528" s="2">
        <f t="shared" si="85"/>
        <v>0</v>
      </c>
      <c r="V528" s="2"/>
      <c r="W528" s="2"/>
      <c r="X528" s="2">
        <f t="shared" si="86"/>
        <v>0</v>
      </c>
      <c r="Y528" s="2"/>
      <c r="Z528" s="2"/>
      <c r="AA528" s="2">
        <f t="shared" si="87"/>
        <v>0</v>
      </c>
      <c r="AB528" s="2"/>
      <c r="AC528" s="2"/>
      <c r="AD528" s="2">
        <f t="shared" si="88"/>
        <v>0</v>
      </c>
      <c r="AE528" s="2"/>
      <c r="AF528" s="2"/>
      <c r="AG528" s="2">
        <f t="shared" si="89"/>
        <v>0</v>
      </c>
    </row>
    <row r="529" spans="1:33" x14ac:dyDescent="0.3">
      <c r="B529" s="3"/>
      <c r="C529" t="str">
        <f xml:space="preserve"> _xll.EPMOlapMemberO("[CLACO].[PARENTH1].[AMSAGGENERALES.2]","","Otros Gastos","","000")</f>
        <v>Otros Gastos</v>
      </c>
      <c r="D529" s="2">
        <v>0</v>
      </c>
      <c r="E529" s="2"/>
      <c r="F529" s="2">
        <f t="shared" si="80"/>
        <v>0</v>
      </c>
      <c r="G529" s="2">
        <v>0.03</v>
      </c>
      <c r="H529" s="2"/>
      <c r="I529" s="2">
        <f t="shared" si="81"/>
        <v>-0.03</v>
      </c>
      <c r="J529" s="2">
        <v>0</v>
      </c>
      <c r="K529" s="2"/>
      <c r="L529" s="2">
        <f t="shared" si="82"/>
        <v>0</v>
      </c>
      <c r="M529" s="2">
        <v>0</v>
      </c>
      <c r="N529" s="2"/>
      <c r="O529" s="2">
        <f t="shared" si="83"/>
        <v>0</v>
      </c>
      <c r="P529" s="2">
        <v>0</v>
      </c>
      <c r="Q529" s="2"/>
      <c r="R529" s="2">
        <f t="shared" si="84"/>
        <v>0</v>
      </c>
      <c r="S529" s="2">
        <v>0</v>
      </c>
      <c r="T529" s="2"/>
      <c r="U529" s="2">
        <f t="shared" si="85"/>
        <v>0</v>
      </c>
      <c r="V529" s="2">
        <v>0</v>
      </c>
      <c r="W529" s="2"/>
      <c r="X529" s="2">
        <f t="shared" si="86"/>
        <v>0</v>
      </c>
      <c r="Y529" s="2">
        <v>0</v>
      </c>
      <c r="Z529" s="2"/>
      <c r="AA529" s="2">
        <f t="shared" si="87"/>
        <v>0</v>
      </c>
      <c r="AB529" s="2">
        <v>0</v>
      </c>
      <c r="AC529" s="2"/>
      <c r="AD529" s="2">
        <f t="shared" si="88"/>
        <v>0</v>
      </c>
      <c r="AE529" s="2">
        <v>23.8</v>
      </c>
      <c r="AF529" s="2"/>
      <c r="AG529" s="2">
        <f t="shared" si="89"/>
        <v>-23.8</v>
      </c>
    </row>
    <row r="530" spans="1:33" x14ac:dyDescent="0.3">
      <c r="A530" t="s">
        <v>63</v>
      </c>
      <c r="B530" s="3" t="str">
        <f xml:space="preserve"> _xll.EPMOlapMemberO("[CECO].[PARENTH3].[AMSA1000AC5501]","","VPL","","000")</f>
        <v>VPL</v>
      </c>
      <c r="C530" t="str">
        <f xml:space="preserve"> _xll.EPMOlapMemberO("[CLACO].[PARENTH1].[AMSAREMUNERACI.SS]","","Remuneraciones Super","","000")</f>
        <v>Remuneraciones Super</v>
      </c>
      <c r="D530" s="2">
        <v>3836973.27</v>
      </c>
      <c r="E530" s="2">
        <v>3570348.95</v>
      </c>
      <c r="F530" s="2">
        <f t="shared" si="80"/>
        <v>-266624.31999999983</v>
      </c>
      <c r="G530" s="2">
        <v>4259234.38</v>
      </c>
      <c r="H530" s="2">
        <v>3836299.16</v>
      </c>
      <c r="I530" s="2">
        <f t="shared" si="81"/>
        <v>-422935.21999999974</v>
      </c>
      <c r="J530" s="2">
        <v>4192366.26</v>
      </c>
      <c r="K530" s="2">
        <v>4129022.34</v>
      </c>
      <c r="L530" s="2">
        <f t="shared" si="82"/>
        <v>-63343.919999999925</v>
      </c>
      <c r="M530" s="2">
        <v>5306507.82</v>
      </c>
      <c r="N530" s="2">
        <v>4128016.56</v>
      </c>
      <c r="O530" s="2">
        <f t="shared" si="83"/>
        <v>-1178491.2600000002</v>
      </c>
      <c r="P530" s="2">
        <v>405500.82</v>
      </c>
      <c r="Q530" s="2">
        <v>418886.23</v>
      </c>
      <c r="R530" s="2">
        <f t="shared" si="84"/>
        <v>13385.409999999974</v>
      </c>
      <c r="S530" s="2">
        <v>653841.88</v>
      </c>
      <c r="T530" s="2">
        <v>430779.92</v>
      </c>
      <c r="U530" s="2">
        <f t="shared" si="85"/>
        <v>-223061.96000000002</v>
      </c>
      <c r="V530" s="2">
        <v>406906.36</v>
      </c>
      <c r="W530" s="2">
        <v>413815.67</v>
      </c>
      <c r="X530" s="2">
        <f t="shared" si="86"/>
        <v>6909.3099999999977</v>
      </c>
      <c r="Y530" s="2">
        <v>367958.98</v>
      </c>
      <c r="Z530" s="2">
        <v>414183.17</v>
      </c>
      <c r="AA530" s="2">
        <f t="shared" si="87"/>
        <v>46224.19</v>
      </c>
      <c r="AB530" s="2">
        <v>387616.9</v>
      </c>
      <c r="AC530" s="2">
        <v>413266.93</v>
      </c>
      <c r="AD530" s="2">
        <f t="shared" si="88"/>
        <v>25650.02999999997</v>
      </c>
      <c r="AE530" s="2">
        <v>2224077.37</v>
      </c>
      <c r="AF530" s="2">
        <v>5051785.22</v>
      </c>
      <c r="AG530" s="2">
        <f t="shared" si="89"/>
        <v>2827707.8499999996</v>
      </c>
    </row>
    <row r="531" spans="1:33" x14ac:dyDescent="0.3">
      <c r="B531" s="3"/>
      <c r="C531" t="str">
        <f xml:space="preserve"> _xll.EPMOlapMemberO("[CLACO].[PARENTH1].[AMSAA_DESGASTE]","","Aceros de desgaste","","000")</f>
        <v>Aceros de desgaste</v>
      </c>
      <c r="D531" s="2"/>
      <c r="E531" s="2"/>
      <c r="F531" s="2">
        <f t="shared" si="80"/>
        <v>0</v>
      </c>
      <c r="G531" s="2">
        <v>0</v>
      </c>
      <c r="H531" s="2"/>
      <c r="I531" s="2">
        <f t="shared" si="81"/>
        <v>0</v>
      </c>
      <c r="J531" s="2"/>
      <c r="K531" s="2"/>
      <c r="L531" s="2">
        <f t="shared" si="82"/>
        <v>0</v>
      </c>
      <c r="M531" s="2"/>
      <c r="N531" s="2"/>
      <c r="O531" s="2">
        <f t="shared" si="83"/>
        <v>0</v>
      </c>
      <c r="P531" s="2"/>
      <c r="Q531" s="2"/>
      <c r="R531" s="2">
        <f t="shared" si="84"/>
        <v>0</v>
      </c>
      <c r="S531" s="2"/>
      <c r="T531" s="2"/>
      <c r="U531" s="2">
        <f t="shared" si="85"/>
        <v>0</v>
      </c>
      <c r="V531" s="2"/>
      <c r="W531" s="2"/>
      <c r="X531" s="2">
        <f t="shared" si="86"/>
        <v>0</v>
      </c>
      <c r="Y531" s="2"/>
      <c r="Z531" s="2"/>
      <c r="AA531" s="2">
        <f t="shared" si="87"/>
        <v>0</v>
      </c>
      <c r="AB531" s="2"/>
      <c r="AC531" s="2"/>
      <c r="AD531" s="2">
        <f t="shared" si="88"/>
        <v>0</v>
      </c>
      <c r="AE531" s="2"/>
      <c r="AF531" s="2"/>
      <c r="AG531" s="2">
        <f t="shared" si="89"/>
        <v>0</v>
      </c>
    </row>
    <row r="532" spans="1:33" x14ac:dyDescent="0.3">
      <c r="B532" s="3"/>
      <c r="C532" t="str">
        <f xml:space="preserve"> _xll.EPMOlapMemberO("[CLACO].[PARENTH1].[AMSAMAT_Y_REP.2]","","Materiales y repuest","","000")</f>
        <v>Materiales y repuest</v>
      </c>
      <c r="D532" s="2"/>
      <c r="E532" s="2"/>
      <c r="F532" s="2">
        <f t="shared" si="80"/>
        <v>0</v>
      </c>
      <c r="G532" s="2">
        <v>0</v>
      </c>
      <c r="H532" s="2"/>
      <c r="I532" s="2">
        <f t="shared" si="81"/>
        <v>0</v>
      </c>
      <c r="J532" s="2"/>
      <c r="K532" s="2"/>
      <c r="L532" s="2">
        <f t="shared" si="82"/>
        <v>0</v>
      </c>
      <c r="M532" s="2"/>
      <c r="N532" s="2"/>
      <c r="O532" s="2">
        <f t="shared" si="83"/>
        <v>0</v>
      </c>
      <c r="P532" s="2"/>
      <c r="Q532" s="2"/>
      <c r="R532" s="2">
        <f t="shared" si="84"/>
        <v>0</v>
      </c>
      <c r="S532" s="2"/>
      <c r="T532" s="2"/>
      <c r="U532" s="2">
        <f t="shared" si="85"/>
        <v>0</v>
      </c>
      <c r="V532" s="2"/>
      <c r="W532" s="2"/>
      <c r="X532" s="2">
        <f t="shared" si="86"/>
        <v>0</v>
      </c>
      <c r="Y532" s="2"/>
      <c r="Z532" s="2"/>
      <c r="AA532" s="2">
        <f t="shared" si="87"/>
        <v>0</v>
      </c>
      <c r="AB532" s="2"/>
      <c r="AC532" s="2"/>
      <c r="AD532" s="2">
        <f t="shared" si="88"/>
        <v>0</v>
      </c>
      <c r="AE532" s="2"/>
      <c r="AF532" s="2"/>
      <c r="AG532" s="2">
        <f t="shared" si="89"/>
        <v>0</v>
      </c>
    </row>
    <row r="533" spans="1:33" x14ac:dyDescent="0.3">
      <c r="B533" s="3"/>
      <c r="C533" t="str">
        <f xml:space="preserve"> _xll.EPMOlapMemberO("[CLACO].[PARENTH1].[AMSAADM_PERSON]","","Administración Perso","","000")</f>
        <v>Administración Perso</v>
      </c>
      <c r="D533" s="2">
        <v>-417.63</v>
      </c>
      <c r="E533" s="2"/>
      <c r="F533" s="2">
        <f t="shared" si="80"/>
        <v>417.63</v>
      </c>
      <c r="G533" s="2">
        <v>2040.97</v>
      </c>
      <c r="H533" s="2"/>
      <c r="I533" s="2">
        <f t="shared" si="81"/>
        <v>-2040.97</v>
      </c>
      <c r="J533" s="2">
        <v>74.52</v>
      </c>
      <c r="K533" s="2"/>
      <c r="L533" s="2">
        <f t="shared" si="82"/>
        <v>-74.52</v>
      </c>
      <c r="M533" s="2">
        <v>4380.3599999999997</v>
      </c>
      <c r="N533" s="2"/>
      <c r="O533" s="2">
        <f t="shared" si="83"/>
        <v>-4380.3599999999997</v>
      </c>
      <c r="P533" s="2"/>
      <c r="Q533" s="2"/>
      <c r="R533" s="2">
        <f t="shared" si="84"/>
        <v>0</v>
      </c>
      <c r="S533" s="2"/>
      <c r="T533" s="2"/>
      <c r="U533" s="2">
        <f t="shared" si="85"/>
        <v>0</v>
      </c>
      <c r="V533" s="2"/>
      <c r="W533" s="2"/>
      <c r="X533" s="2">
        <f t="shared" si="86"/>
        <v>0</v>
      </c>
      <c r="Y533" s="2"/>
      <c r="Z533" s="2"/>
      <c r="AA533" s="2">
        <f t="shared" si="87"/>
        <v>0</v>
      </c>
      <c r="AB533" s="2"/>
      <c r="AC533" s="2"/>
      <c r="AD533" s="2">
        <f t="shared" si="88"/>
        <v>0</v>
      </c>
      <c r="AE533" s="2"/>
      <c r="AF533" s="2"/>
      <c r="AG533" s="2">
        <f t="shared" si="89"/>
        <v>0</v>
      </c>
    </row>
    <row r="534" spans="1:33" x14ac:dyDescent="0.3">
      <c r="B534" s="3"/>
      <c r="C534" t="str">
        <f xml:space="preserve"> _xll.EPMOlapMemberO("[CLACO].[PARENTH1].[AMSAENTRENAMI]","","Entrenamiento","","000")</f>
        <v>Entrenamiento</v>
      </c>
      <c r="D534" s="2">
        <v>6844.67</v>
      </c>
      <c r="E534" s="2">
        <v>3792.34</v>
      </c>
      <c r="F534" s="2">
        <f t="shared" si="80"/>
        <v>-3052.33</v>
      </c>
      <c r="G534" s="2">
        <v>10896.37</v>
      </c>
      <c r="H534" s="2">
        <v>3315.34</v>
      </c>
      <c r="I534" s="2">
        <f t="shared" si="81"/>
        <v>-7581.0300000000007</v>
      </c>
      <c r="J534" s="2">
        <v>10767.07</v>
      </c>
      <c r="K534" s="2">
        <v>3541.18</v>
      </c>
      <c r="L534" s="2">
        <f t="shared" si="82"/>
        <v>-7225.8899999999994</v>
      </c>
      <c r="M534" s="2">
        <v>9990.93</v>
      </c>
      <c r="N534" s="2">
        <v>3343.33</v>
      </c>
      <c r="O534" s="2">
        <f t="shared" si="83"/>
        <v>-6647.6</v>
      </c>
      <c r="P534" s="2"/>
      <c r="Q534" s="2"/>
      <c r="R534" s="2">
        <f t="shared" si="84"/>
        <v>0</v>
      </c>
      <c r="S534" s="2"/>
      <c r="T534" s="2"/>
      <c r="U534" s="2">
        <f t="shared" si="85"/>
        <v>0</v>
      </c>
      <c r="V534" s="2"/>
      <c r="W534" s="2"/>
      <c r="X534" s="2">
        <f t="shared" si="86"/>
        <v>0</v>
      </c>
      <c r="Y534" s="2">
        <v>293.04000000000002</v>
      </c>
      <c r="Z534" s="2"/>
      <c r="AA534" s="2">
        <f t="shared" si="87"/>
        <v>-293.04000000000002</v>
      </c>
      <c r="AB534" s="2">
        <v>1487.13</v>
      </c>
      <c r="AC534" s="2">
        <v>3324.23</v>
      </c>
      <c r="AD534" s="2">
        <f t="shared" si="88"/>
        <v>1837.1</v>
      </c>
      <c r="AE534" s="2">
        <v>1780.17</v>
      </c>
      <c r="AF534" s="2">
        <v>3324.23</v>
      </c>
      <c r="AG534" s="2">
        <f t="shared" si="89"/>
        <v>1544.06</v>
      </c>
    </row>
    <row r="535" spans="1:33" x14ac:dyDescent="0.3">
      <c r="B535" s="3"/>
      <c r="C535" t="str">
        <f xml:space="preserve"> _xll.EPMOlapMemberO("[CLACO].[PARENTH1].[AMSAASESORIAS]","","Asesorías y Consulto","","000")</f>
        <v>Asesorías y Consulto</v>
      </c>
      <c r="D535" s="2">
        <v>147663.44</v>
      </c>
      <c r="E535" s="2">
        <v>167126.6</v>
      </c>
      <c r="F535" s="2">
        <f t="shared" si="80"/>
        <v>19463.160000000003</v>
      </c>
      <c r="G535" s="2">
        <v>210129.82</v>
      </c>
      <c r="H535" s="2">
        <v>163615.31</v>
      </c>
      <c r="I535" s="2">
        <f t="shared" si="81"/>
        <v>-46514.510000000009</v>
      </c>
      <c r="J535" s="2">
        <v>287163.32</v>
      </c>
      <c r="K535" s="2">
        <v>252050.36</v>
      </c>
      <c r="L535" s="2">
        <f t="shared" si="82"/>
        <v>-35112.960000000021</v>
      </c>
      <c r="M535" s="2">
        <v>275803.02</v>
      </c>
      <c r="N535" s="2">
        <v>329305.45</v>
      </c>
      <c r="O535" s="2">
        <f t="shared" si="83"/>
        <v>53502.429999999993</v>
      </c>
      <c r="P535" s="2">
        <v>33200.620000000003</v>
      </c>
      <c r="Q535" s="2">
        <v>28651.53</v>
      </c>
      <c r="R535" s="2">
        <f t="shared" si="84"/>
        <v>-4549.0900000000038</v>
      </c>
      <c r="S535" s="2">
        <v>37483.03</v>
      </c>
      <c r="T535" s="2">
        <v>21978.33</v>
      </c>
      <c r="U535" s="2">
        <f t="shared" si="85"/>
        <v>-15504.699999999997</v>
      </c>
      <c r="V535" s="2">
        <v>80966.37</v>
      </c>
      <c r="W535" s="2">
        <v>21917.17</v>
      </c>
      <c r="X535" s="2">
        <f t="shared" si="86"/>
        <v>-59049.2</v>
      </c>
      <c r="Y535" s="2">
        <v>2393.42</v>
      </c>
      <c r="Z535" s="2">
        <v>21856.19</v>
      </c>
      <c r="AA535" s="2">
        <f t="shared" si="87"/>
        <v>19462.769999999997</v>
      </c>
      <c r="AB535" s="2">
        <v>8191.04</v>
      </c>
      <c r="AC535" s="2">
        <v>78027.44</v>
      </c>
      <c r="AD535" s="2">
        <f t="shared" si="88"/>
        <v>69836.400000000009</v>
      </c>
      <c r="AE535" s="2">
        <v>194932.15</v>
      </c>
      <c r="AF535" s="2">
        <v>339601.71</v>
      </c>
      <c r="AG535" s="2">
        <f t="shared" si="89"/>
        <v>144669.56000000003</v>
      </c>
    </row>
    <row r="536" spans="1:33" x14ac:dyDescent="0.3">
      <c r="B536" s="3"/>
      <c r="C536" t="str">
        <f xml:space="preserve"> _xll.EPMOlapMemberO("[CLACO].[PARENTH1].[AMSAARRIENDOS]","","Arriendos","","000")</f>
        <v>Arriendos</v>
      </c>
      <c r="D536" s="2"/>
      <c r="E536" s="2">
        <v>174.4</v>
      </c>
      <c r="F536" s="2">
        <f t="shared" si="80"/>
        <v>174.4</v>
      </c>
      <c r="G536" s="2"/>
      <c r="H536" s="2">
        <v>154.61000000000001</v>
      </c>
      <c r="I536" s="2">
        <f t="shared" si="81"/>
        <v>154.61000000000001</v>
      </c>
      <c r="J536" s="2"/>
      <c r="K536" s="2"/>
      <c r="L536" s="2">
        <f t="shared" si="82"/>
        <v>0</v>
      </c>
      <c r="M536" s="2"/>
      <c r="N536" s="2"/>
      <c r="O536" s="2">
        <f t="shared" si="83"/>
        <v>0</v>
      </c>
      <c r="P536" s="2"/>
      <c r="Q536" s="2"/>
      <c r="R536" s="2">
        <f t="shared" si="84"/>
        <v>0</v>
      </c>
      <c r="S536" s="2"/>
      <c r="T536" s="2"/>
      <c r="U536" s="2">
        <f t="shared" si="85"/>
        <v>0</v>
      </c>
      <c r="V536" s="2"/>
      <c r="W536" s="2"/>
      <c r="X536" s="2">
        <f t="shared" si="86"/>
        <v>0</v>
      </c>
      <c r="Y536" s="2"/>
      <c r="Z536" s="2"/>
      <c r="AA536" s="2">
        <f t="shared" si="87"/>
        <v>0</v>
      </c>
      <c r="AB536" s="2"/>
      <c r="AC536" s="2"/>
      <c r="AD536" s="2">
        <f t="shared" si="88"/>
        <v>0</v>
      </c>
      <c r="AE536" s="2"/>
      <c r="AF536" s="2"/>
      <c r="AG536" s="2">
        <f t="shared" si="89"/>
        <v>0</v>
      </c>
    </row>
    <row r="537" spans="1:33" x14ac:dyDescent="0.3">
      <c r="B537" s="3"/>
      <c r="C537" t="str">
        <f xml:space="preserve"> _xll.EPMOlapMemberO("[CLACO].[PARENTH1].[AMSASERVICIOS]","","Servicios","","000")</f>
        <v>Servicios</v>
      </c>
      <c r="D537" s="2">
        <v>3426.32</v>
      </c>
      <c r="E537" s="2">
        <v>10677.33</v>
      </c>
      <c r="F537" s="2">
        <f t="shared" si="80"/>
        <v>7251.01</v>
      </c>
      <c r="G537" s="2">
        <v>2157.94</v>
      </c>
      <c r="H537" s="2">
        <v>10513.86</v>
      </c>
      <c r="I537" s="2">
        <f t="shared" si="81"/>
        <v>8355.92</v>
      </c>
      <c r="J537" s="2"/>
      <c r="K537" s="2">
        <v>10515.4</v>
      </c>
      <c r="L537" s="2">
        <f t="shared" si="82"/>
        <v>10515.4</v>
      </c>
      <c r="M537" s="2">
        <v>5371.56</v>
      </c>
      <c r="N537" s="2">
        <v>10481.33</v>
      </c>
      <c r="O537" s="2">
        <f t="shared" si="83"/>
        <v>5109.7699999999995</v>
      </c>
      <c r="P537" s="2"/>
      <c r="Q537" s="2">
        <v>38.1</v>
      </c>
      <c r="R537" s="2">
        <f t="shared" si="84"/>
        <v>38.1</v>
      </c>
      <c r="S537" s="2">
        <v>20.48</v>
      </c>
      <c r="T537" s="2">
        <v>37.99</v>
      </c>
      <c r="U537" s="2">
        <f t="shared" si="85"/>
        <v>17.510000000000002</v>
      </c>
      <c r="V537" s="2"/>
      <c r="W537" s="2">
        <v>37.880000000000003</v>
      </c>
      <c r="X537" s="2">
        <f t="shared" si="86"/>
        <v>37.880000000000003</v>
      </c>
      <c r="Y537" s="2"/>
      <c r="Z537" s="2">
        <v>37.78</v>
      </c>
      <c r="AA537" s="2">
        <f t="shared" si="87"/>
        <v>37.78</v>
      </c>
      <c r="AB537" s="2"/>
      <c r="AC537" s="2">
        <v>10045.81</v>
      </c>
      <c r="AD537" s="2">
        <f t="shared" si="88"/>
        <v>10045.81</v>
      </c>
      <c r="AE537" s="2">
        <v>20.48</v>
      </c>
      <c r="AF537" s="2">
        <v>10467.23</v>
      </c>
      <c r="AG537" s="2">
        <f t="shared" si="89"/>
        <v>10446.75</v>
      </c>
    </row>
    <row r="538" spans="1:33" x14ac:dyDescent="0.3">
      <c r="B538" s="3"/>
      <c r="C538" t="str">
        <f xml:space="preserve"> _xll.EPMOlapMemberO("[CLACO].[PARENTH1].[AMSASERMANTO.REPA]","","Servicios Mantenimie","","000")</f>
        <v>Servicios Mantenimie</v>
      </c>
      <c r="D538" s="2"/>
      <c r="E538" s="2"/>
      <c r="F538" s="2">
        <f t="shared" si="80"/>
        <v>0</v>
      </c>
      <c r="G538" s="2">
        <v>46.58</v>
      </c>
      <c r="H538" s="2"/>
      <c r="I538" s="2">
        <f t="shared" si="81"/>
        <v>-46.58</v>
      </c>
      <c r="J538" s="2"/>
      <c r="K538" s="2"/>
      <c r="L538" s="2">
        <f t="shared" si="82"/>
        <v>0</v>
      </c>
      <c r="M538" s="2"/>
      <c r="N538" s="2"/>
      <c r="O538" s="2">
        <f t="shared" si="83"/>
        <v>0</v>
      </c>
      <c r="P538" s="2"/>
      <c r="Q538" s="2"/>
      <c r="R538" s="2">
        <f t="shared" si="84"/>
        <v>0</v>
      </c>
      <c r="S538" s="2"/>
      <c r="T538" s="2"/>
      <c r="U538" s="2">
        <f t="shared" si="85"/>
        <v>0</v>
      </c>
      <c r="V538" s="2"/>
      <c r="W538" s="2"/>
      <c r="X538" s="2">
        <f t="shared" si="86"/>
        <v>0</v>
      </c>
      <c r="Y538" s="2"/>
      <c r="Z538" s="2"/>
      <c r="AA538" s="2">
        <f t="shared" si="87"/>
        <v>0</v>
      </c>
      <c r="AB538" s="2"/>
      <c r="AC538" s="2"/>
      <c r="AD538" s="2">
        <f t="shared" si="88"/>
        <v>0</v>
      </c>
      <c r="AE538" s="2"/>
      <c r="AF538" s="2"/>
      <c r="AG538" s="2">
        <f t="shared" si="89"/>
        <v>0</v>
      </c>
    </row>
    <row r="539" spans="1:33" x14ac:dyDescent="0.3">
      <c r="B539" s="3"/>
      <c r="C539" t="str">
        <f xml:space="preserve"> _xll.EPMOlapMemberO("[CLACO].[PARENTH1].[AMSAINFORMATIC]","","Informática y Comuni","","000")</f>
        <v>Informática y Comuni</v>
      </c>
      <c r="D539" s="2">
        <v>56247.03</v>
      </c>
      <c r="E539" s="2">
        <v>17058.39</v>
      </c>
      <c r="F539" s="2">
        <f t="shared" si="80"/>
        <v>-39188.639999999999</v>
      </c>
      <c r="G539" s="2">
        <v>29466.03</v>
      </c>
      <c r="H539" s="2">
        <v>27253.74</v>
      </c>
      <c r="I539" s="2">
        <f t="shared" si="81"/>
        <v>-2212.2899999999972</v>
      </c>
      <c r="J539" s="2">
        <v>67299.64</v>
      </c>
      <c r="K539" s="2">
        <v>103657.3</v>
      </c>
      <c r="L539" s="2">
        <f t="shared" si="82"/>
        <v>36357.660000000003</v>
      </c>
      <c r="M539" s="2">
        <v>9572.11</v>
      </c>
      <c r="N539" s="2">
        <v>53774.42</v>
      </c>
      <c r="O539" s="2">
        <f t="shared" si="83"/>
        <v>44202.31</v>
      </c>
      <c r="P539" s="2">
        <v>2144.19</v>
      </c>
      <c r="Q539" s="2">
        <v>1512.65</v>
      </c>
      <c r="R539" s="2">
        <f t="shared" si="84"/>
        <v>-631.54</v>
      </c>
      <c r="S539" s="2">
        <v>2269.54</v>
      </c>
      <c r="T539" s="2">
        <v>11574.39</v>
      </c>
      <c r="U539" s="2">
        <f t="shared" si="85"/>
        <v>9304.8499999999985</v>
      </c>
      <c r="V539" s="2">
        <v>971.16</v>
      </c>
      <c r="W539" s="2">
        <v>1506</v>
      </c>
      <c r="X539" s="2">
        <f t="shared" si="86"/>
        <v>534.84</v>
      </c>
      <c r="Y539" s="2">
        <v>7313.85</v>
      </c>
      <c r="Z539" s="2">
        <v>1502.7</v>
      </c>
      <c r="AA539" s="2">
        <f t="shared" si="87"/>
        <v>-5811.1500000000005</v>
      </c>
      <c r="AB539" s="2">
        <v>1147.6600000000001</v>
      </c>
      <c r="AC539" s="2">
        <v>1499.44</v>
      </c>
      <c r="AD539" s="2">
        <f t="shared" si="88"/>
        <v>351.78</v>
      </c>
      <c r="AE539" s="2">
        <v>14794.57</v>
      </c>
      <c r="AF539" s="2">
        <v>53679.44</v>
      </c>
      <c r="AG539" s="2">
        <f t="shared" si="89"/>
        <v>38884.870000000003</v>
      </c>
    </row>
    <row r="540" spans="1:33" x14ac:dyDescent="0.3">
      <c r="B540" s="3"/>
      <c r="C540" t="str">
        <f xml:space="preserve"> _xll.EPMOlapMemberO("[CLACO].[PARENTH1].[AMSAG_VIAJES]","","Gastos de Viajes","","000")</f>
        <v>Gastos de Viajes</v>
      </c>
      <c r="D540" s="2">
        <v>20968.98</v>
      </c>
      <c r="E540" s="2">
        <v>32826.79</v>
      </c>
      <c r="F540" s="2">
        <f t="shared" si="80"/>
        <v>11857.810000000001</v>
      </c>
      <c r="G540" s="2">
        <v>45216.5</v>
      </c>
      <c r="H540" s="2">
        <v>55259.09</v>
      </c>
      <c r="I540" s="2">
        <f t="shared" si="81"/>
        <v>10042.589999999997</v>
      </c>
      <c r="J540" s="2">
        <v>25267.31</v>
      </c>
      <c r="K540" s="2">
        <v>55315.07</v>
      </c>
      <c r="L540" s="2">
        <f t="shared" si="82"/>
        <v>30047.759999999998</v>
      </c>
      <c r="M540" s="2">
        <v>18053.759999999998</v>
      </c>
      <c r="N540" s="2">
        <v>55745.46</v>
      </c>
      <c r="O540" s="2">
        <f t="shared" si="83"/>
        <v>37691.699999999997</v>
      </c>
      <c r="P540" s="2">
        <v>415.59</v>
      </c>
      <c r="Q540" s="2">
        <v>1831.3</v>
      </c>
      <c r="R540" s="2">
        <f t="shared" si="84"/>
        <v>1415.71</v>
      </c>
      <c r="S540" s="2">
        <v>2700.17</v>
      </c>
      <c r="T540" s="2">
        <v>1827.82</v>
      </c>
      <c r="U540" s="2">
        <f t="shared" si="85"/>
        <v>-872.35000000000014</v>
      </c>
      <c r="V540" s="2">
        <v>933.35</v>
      </c>
      <c r="W540" s="2">
        <v>1824.34</v>
      </c>
      <c r="X540" s="2">
        <f t="shared" si="86"/>
        <v>890.9899999999999</v>
      </c>
      <c r="Y540" s="2">
        <v>1749.08</v>
      </c>
      <c r="Z540" s="2">
        <v>1820.9</v>
      </c>
      <c r="AA540" s="2">
        <f t="shared" si="87"/>
        <v>71.820000000000164</v>
      </c>
      <c r="AB540" s="2">
        <v>3658.72</v>
      </c>
      <c r="AC540" s="2">
        <v>1817.47</v>
      </c>
      <c r="AD540" s="2">
        <f t="shared" si="88"/>
        <v>-1841.2499999999998</v>
      </c>
      <c r="AE540" s="2">
        <v>13959.67</v>
      </c>
      <c r="AF540" s="2">
        <v>62087.09</v>
      </c>
      <c r="AG540" s="2">
        <f t="shared" si="89"/>
        <v>48127.42</v>
      </c>
    </row>
    <row r="541" spans="1:33" x14ac:dyDescent="0.3">
      <c r="B541" s="3"/>
      <c r="C541" t="str">
        <f xml:space="preserve"> _xll.EPMOlapMemberO("[CLACO].[PARENTH1].[AMSAIMP_PATEN]","","Impuestos / Patentes","","000")</f>
        <v>Impuestos / Patentes</v>
      </c>
      <c r="D541" s="2">
        <v>2282.0500000000002</v>
      </c>
      <c r="E541" s="2">
        <v>3852.8</v>
      </c>
      <c r="F541" s="2">
        <f t="shared" si="80"/>
        <v>1570.75</v>
      </c>
      <c r="G541" s="2">
        <v>2205.7199999999998</v>
      </c>
      <c r="H541" s="2">
        <v>3420.41</v>
      </c>
      <c r="I541" s="2">
        <f t="shared" si="81"/>
        <v>1214.69</v>
      </c>
      <c r="J541" s="2">
        <v>5914.68</v>
      </c>
      <c r="K541" s="2">
        <v>3605.88</v>
      </c>
      <c r="L541" s="2">
        <f t="shared" si="82"/>
        <v>-2308.8000000000002</v>
      </c>
      <c r="M541" s="2">
        <v>13252.27</v>
      </c>
      <c r="N541" s="2">
        <v>3398.32</v>
      </c>
      <c r="O541" s="2">
        <f t="shared" si="83"/>
        <v>-9853.9500000000007</v>
      </c>
      <c r="P541" s="2">
        <v>326.39999999999998</v>
      </c>
      <c r="Q541" s="2">
        <v>280.12</v>
      </c>
      <c r="R541" s="2">
        <f t="shared" si="84"/>
        <v>-46.279999999999973</v>
      </c>
      <c r="S541" s="2">
        <v>140.91999999999999</v>
      </c>
      <c r="T541" s="2">
        <v>279.33999999999997</v>
      </c>
      <c r="U541" s="2">
        <f t="shared" si="85"/>
        <v>138.41999999999999</v>
      </c>
      <c r="V541" s="2">
        <v>420.3</v>
      </c>
      <c r="W541" s="2">
        <v>278.56</v>
      </c>
      <c r="X541" s="2">
        <f t="shared" si="86"/>
        <v>-141.74</v>
      </c>
      <c r="Y541" s="2"/>
      <c r="Z541" s="2">
        <v>277.77999999999997</v>
      </c>
      <c r="AA541" s="2">
        <f t="shared" si="87"/>
        <v>277.77999999999997</v>
      </c>
      <c r="AB541" s="2">
        <v>6778.88</v>
      </c>
      <c r="AC541" s="2">
        <v>277.02</v>
      </c>
      <c r="AD541" s="2">
        <f t="shared" si="88"/>
        <v>-6501.8600000000006</v>
      </c>
      <c r="AE541" s="2">
        <v>7666.5</v>
      </c>
      <c r="AF541" s="2">
        <v>3375.66</v>
      </c>
      <c r="AG541" s="2">
        <f t="shared" si="89"/>
        <v>-4290.84</v>
      </c>
    </row>
    <row r="542" spans="1:33" x14ac:dyDescent="0.3">
      <c r="B542" s="3"/>
      <c r="C542" t="str">
        <f xml:space="preserve"> _xll.EPMOlapMemberO("[CLACO].[PARENTH1].[AMSAGGENERALES.2]","","Otros Gastos","","000")</f>
        <v>Otros Gastos</v>
      </c>
      <c r="D542" s="2">
        <v>21185.46</v>
      </c>
      <c r="E542" s="2">
        <v>19333.650000000001</v>
      </c>
      <c r="F542" s="2">
        <f t="shared" si="80"/>
        <v>-1851.8099999999977</v>
      </c>
      <c r="G542" s="2">
        <v>41779.599999999999</v>
      </c>
      <c r="H542" s="2">
        <v>22563.89</v>
      </c>
      <c r="I542" s="2">
        <f t="shared" si="81"/>
        <v>-19215.71</v>
      </c>
      <c r="J542" s="2">
        <v>51279.39</v>
      </c>
      <c r="K542" s="2">
        <v>63724.62</v>
      </c>
      <c r="L542" s="2">
        <f t="shared" si="82"/>
        <v>12445.230000000003</v>
      </c>
      <c r="M542" s="2">
        <v>17731.080000000002</v>
      </c>
      <c r="N542" s="2">
        <v>27902.9</v>
      </c>
      <c r="O542" s="2">
        <f t="shared" si="83"/>
        <v>10171.82</v>
      </c>
      <c r="P542" s="2">
        <v>1135.68</v>
      </c>
      <c r="Q542" s="2">
        <v>1262.5</v>
      </c>
      <c r="R542" s="2">
        <f t="shared" si="84"/>
        <v>126.81999999999994</v>
      </c>
      <c r="S542" s="2">
        <v>1511.04</v>
      </c>
      <c r="T542" s="2">
        <v>1258.97</v>
      </c>
      <c r="U542" s="2">
        <f t="shared" si="85"/>
        <v>-252.06999999999994</v>
      </c>
      <c r="V542" s="2">
        <v>1108.48</v>
      </c>
      <c r="W542" s="2">
        <v>1255.44</v>
      </c>
      <c r="X542" s="2">
        <f t="shared" si="86"/>
        <v>146.96000000000004</v>
      </c>
      <c r="Y542" s="2">
        <v>1014.77</v>
      </c>
      <c r="Z542" s="2">
        <v>1251.9100000000001</v>
      </c>
      <c r="AA542" s="2">
        <f t="shared" si="87"/>
        <v>237.1400000000001</v>
      </c>
      <c r="AB542" s="2">
        <v>2816.61</v>
      </c>
      <c r="AC542" s="2">
        <v>1636.32</v>
      </c>
      <c r="AD542" s="2">
        <f t="shared" si="88"/>
        <v>-1180.2900000000002</v>
      </c>
      <c r="AE542" s="2">
        <v>7639.75</v>
      </c>
      <c r="AF542" s="2">
        <v>29406.07</v>
      </c>
      <c r="AG542" s="2">
        <f t="shared" si="89"/>
        <v>21766.32</v>
      </c>
    </row>
    <row r="543" spans="1:33" x14ac:dyDescent="0.3">
      <c r="A543" t="s">
        <v>64</v>
      </c>
      <c r="B543" s="3" t="str">
        <f xml:space="preserve"> _xll.EPMOlapMemberO("[CECO].[PARENTH3].[AMSA1000AC5502]","","Prop Minera","","000")</f>
        <v>Prop Minera</v>
      </c>
      <c r="C543" t="str">
        <f xml:space="preserve"> _xll.EPMOlapMemberO("[CLACO].[PARENTH1].[AMSAREMUNERACI.SS]","","Remuneraciones Super","","000")</f>
        <v>Remuneraciones Super</v>
      </c>
      <c r="D543" s="2">
        <v>649054.76</v>
      </c>
      <c r="E543" s="2">
        <v>789810.31</v>
      </c>
      <c r="F543" s="2">
        <f t="shared" si="80"/>
        <v>140755.55000000005</v>
      </c>
      <c r="G543" s="2">
        <v>893186.4</v>
      </c>
      <c r="H543" s="2">
        <v>896453.18</v>
      </c>
      <c r="I543" s="2">
        <f t="shared" si="81"/>
        <v>3266.7800000000279</v>
      </c>
      <c r="J543" s="2">
        <v>785615.99</v>
      </c>
      <c r="K543" s="2">
        <v>900096.23</v>
      </c>
      <c r="L543" s="2">
        <f t="shared" si="82"/>
        <v>114480.23999999999</v>
      </c>
      <c r="M543" s="2">
        <v>831988.72</v>
      </c>
      <c r="N543" s="2">
        <v>921774.49</v>
      </c>
      <c r="O543" s="2">
        <f t="shared" si="83"/>
        <v>89785.770000000019</v>
      </c>
      <c r="P543" s="2">
        <v>133725.41</v>
      </c>
      <c r="Q543" s="2">
        <v>73265.31</v>
      </c>
      <c r="R543" s="2">
        <f t="shared" si="84"/>
        <v>-60460.100000000006</v>
      </c>
      <c r="S543" s="2">
        <v>86671.39</v>
      </c>
      <c r="T543" s="2">
        <v>118294.86</v>
      </c>
      <c r="U543" s="2">
        <f t="shared" si="85"/>
        <v>31623.47</v>
      </c>
      <c r="V543" s="2">
        <v>60895.56</v>
      </c>
      <c r="W543" s="2">
        <v>73451.47</v>
      </c>
      <c r="X543" s="2">
        <f t="shared" si="86"/>
        <v>12555.910000000003</v>
      </c>
      <c r="Y543" s="2">
        <v>55471.45</v>
      </c>
      <c r="Z543" s="2">
        <v>95195.86</v>
      </c>
      <c r="AA543" s="2">
        <f t="shared" si="87"/>
        <v>39724.410000000003</v>
      </c>
      <c r="AB543" s="2">
        <v>61413.49</v>
      </c>
      <c r="AC543" s="2">
        <v>72309.84</v>
      </c>
      <c r="AD543" s="2">
        <f t="shared" si="88"/>
        <v>10896.349999999999</v>
      </c>
      <c r="AE543" s="2">
        <v>398966.39</v>
      </c>
      <c r="AF543" s="2">
        <v>983287.62</v>
      </c>
      <c r="AG543" s="2">
        <f t="shared" si="89"/>
        <v>584321.23</v>
      </c>
    </row>
    <row r="544" spans="1:33" x14ac:dyDescent="0.3">
      <c r="B544" s="3"/>
      <c r="C544" t="str">
        <f xml:space="preserve"> _xll.EPMOlapMemberO("[CLACO].[PARENTH1].[AMSAMAT_Y_REP.2]","","Materiales y repuest","","000")</f>
        <v>Materiales y repuest</v>
      </c>
      <c r="D544" s="2"/>
      <c r="E544" s="2"/>
      <c r="F544" s="2">
        <f t="shared" si="80"/>
        <v>0</v>
      </c>
      <c r="G544" s="2">
        <v>0</v>
      </c>
      <c r="H544" s="2"/>
      <c r="I544" s="2">
        <f t="shared" si="81"/>
        <v>0</v>
      </c>
      <c r="J544" s="2"/>
      <c r="K544" s="2"/>
      <c r="L544" s="2">
        <f t="shared" si="82"/>
        <v>0</v>
      </c>
      <c r="M544" s="2"/>
      <c r="N544" s="2"/>
      <c r="O544" s="2">
        <f t="shared" si="83"/>
        <v>0</v>
      </c>
      <c r="P544" s="2"/>
      <c r="Q544" s="2"/>
      <c r="R544" s="2">
        <f t="shared" si="84"/>
        <v>0</v>
      </c>
      <c r="S544" s="2"/>
      <c r="T544" s="2"/>
      <c r="U544" s="2">
        <f t="shared" si="85"/>
        <v>0</v>
      </c>
      <c r="V544" s="2"/>
      <c r="W544" s="2"/>
      <c r="X544" s="2">
        <f t="shared" si="86"/>
        <v>0</v>
      </c>
      <c r="Y544" s="2"/>
      <c r="Z544" s="2"/>
      <c r="AA544" s="2">
        <f t="shared" si="87"/>
        <v>0</v>
      </c>
      <c r="AB544" s="2"/>
      <c r="AC544" s="2"/>
      <c r="AD544" s="2">
        <f t="shared" si="88"/>
        <v>0</v>
      </c>
      <c r="AE544" s="2"/>
      <c r="AF544" s="2"/>
      <c r="AG544" s="2">
        <f t="shared" si="89"/>
        <v>0</v>
      </c>
    </row>
    <row r="545" spans="1:33" x14ac:dyDescent="0.3">
      <c r="B545" s="3"/>
      <c r="C545" t="str">
        <f xml:space="preserve"> _xll.EPMOlapMemberO("[CLACO].[PARENTH1].[AMSAADM_PERSON]","","Administración Perso","","000")</f>
        <v>Administración Perso</v>
      </c>
      <c r="D545" s="2">
        <v>6.6</v>
      </c>
      <c r="E545" s="2"/>
      <c r="F545" s="2">
        <f t="shared" si="80"/>
        <v>-6.6</v>
      </c>
      <c r="G545" s="2"/>
      <c r="H545" s="2"/>
      <c r="I545" s="2">
        <f t="shared" si="81"/>
        <v>0</v>
      </c>
      <c r="J545" s="2"/>
      <c r="K545" s="2"/>
      <c r="L545" s="2">
        <f t="shared" si="82"/>
        <v>0</v>
      </c>
      <c r="M545" s="2"/>
      <c r="N545" s="2"/>
      <c r="O545" s="2">
        <f t="shared" si="83"/>
        <v>0</v>
      </c>
      <c r="P545" s="2"/>
      <c r="Q545" s="2"/>
      <c r="R545" s="2">
        <f t="shared" si="84"/>
        <v>0</v>
      </c>
      <c r="S545" s="2"/>
      <c r="T545" s="2"/>
      <c r="U545" s="2">
        <f t="shared" si="85"/>
        <v>0</v>
      </c>
      <c r="V545" s="2"/>
      <c r="W545" s="2"/>
      <c r="X545" s="2">
        <f t="shared" si="86"/>
        <v>0</v>
      </c>
      <c r="Y545" s="2"/>
      <c r="Z545" s="2"/>
      <c r="AA545" s="2">
        <f t="shared" si="87"/>
        <v>0</v>
      </c>
      <c r="AB545" s="2"/>
      <c r="AC545" s="2"/>
      <c r="AD545" s="2">
        <f t="shared" si="88"/>
        <v>0</v>
      </c>
      <c r="AE545" s="2"/>
      <c r="AF545" s="2"/>
      <c r="AG545" s="2">
        <f t="shared" si="89"/>
        <v>0</v>
      </c>
    </row>
    <row r="546" spans="1:33" x14ac:dyDescent="0.3">
      <c r="B546" s="3"/>
      <c r="C546" t="str">
        <f xml:space="preserve"> _xll.EPMOlapMemberO("[CLACO].[PARENTH1].[AMSAENTRENAMI]","","Entrenamiento","","000")</f>
        <v>Entrenamiento</v>
      </c>
      <c r="D546" s="2">
        <v>65.349999999999994</v>
      </c>
      <c r="E546" s="2"/>
      <c r="F546" s="2">
        <f t="shared" si="80"/>
        <v>-65.349999999999994</v>
      </c>
      <c r="G546" s="2">
        <v>247.41</v>
      </c>
      <c r="H546" s="2"/>
      <c r="I546" s="2">
        <f t="shared" si="81"/>
        <v>-247.41</v>
      </c>
      <c r="J546" s="2">
        <v>5635.94</v>
      </c>
      <c r="K546" s="2"/>
      <c r="L546" s="2">
        <f t="shared" si="82"/>
        <v>-5635.94</v>
      </c>
      <c r="M546" s="2">
        <v>2200.04</v>
      </c>
      <c r="N546" s="2"/>
      <c r="O546" s="2">
        <f t="shared" si="83"/>
        <v>-2200.04</v>
      </c>
      <c r="P546" s="2"/>
      <c r="Q546" s="2"/>
      <c r="R546" s="2">
        <f t="shared" si="84"/>
        <v>0</v>
      </c>
      <c r="S546" s="2"/>
      <c r="T546" s="2"/>
      <c r="U546" s="2">
        <f t="shared" si="85"/>
        <v>0</v>
      </c>
      <c r="V546" s="2"/>
      <c r="W546" s="2"/>
      <c r="X546" s="2">
        <f t="shared" si="86"/>
        <v>0</v>
      </c>
      <c r="Y546" s="2"/>
      <c r="Z546" s="2"/>
      <c r="AA546" s="2">
        <f t="shared" si="87"/>
        <v>0</v>
      </c>
      <c r="AB546" s="2"/>
      <c r="AC546" s="2"/>
      <c r="AD546" s="2">
        <f t="shared" si="88"/>
        <v>0</v>
      </c>
      <c r="AE546" s="2"/>
      <c r="AF546" s="2"/>
      <c r="AG546" s="2">
        <f t="shared" si="89"/>
        <v>0</v>
      </c>
    </row>
    <row r="547" spans="1:33" x14ac:dyDescent="0.3">
      <c r="B547" s="3"/>
      <c r="C547" t="str">
        <f xml:space="preserve"> _xll.EPMOlapMemberO("[CLACO].[PARENTH1].[AMSAASESORIAS]","","Asesorías y Consulto","","000")</f>
        <v>Asesorías y Consulto</v>
      </c>
      <c r="D547" s="2">
        <v>2402.33</v>
      </c>
      <c r="E547" s="2"/>
      <c r="F547" s="2">
        <f t="shared" si="80"/>
        <v>-2402.33</v>
      </c>
      <c r="G547" s="2">
        <v>2478.0300000000002</v>
      </c>
      <c r="H547" s="2">
        <v>18752.939999999999</v>
      </c>
      <c r="I547" s="2">
        <f t="shared" si="81"/>
        <v>16274.909999999998</v>
      </c>
      <c r="J547" s="2">
        <v>15398.96</v>
      </c>
      <c r="K547" s="2">
        <v>21225.29</v>
      </c>
      <c r="L547" s="2">
        <f t="shared" si="82"/>
        <v>5826.3300000000017</v>
      </c>
      <c r="M547" s="2">
        <v>17338.64</v>
      </c>
      <c r="N547" s="2">
        <v>20606.43</v>
      </c>
      <c r="O547" s="2">
        <f t="shared" si="83"/>
        <v>3267.7900000000009</v>
      </c>
      <c r="P547" s="2">
        <v>6787.86</v>
      </c>
      <c r="Q547" s="2">
        <v>1763.17</v>
      </c>
      <c r="R547" s="2">
        <f t="shared" si="84"/>
        <v>-5024.6899999999996</v>
      </c>
      <c r="S547" s="2">
        <v>28.88</v>
      </c>
      <c r="T547" s="2">
        <v>1758.27</v>
      </c>
      <c r="U547" s="2">
        <f t="shared" si="85"/>
        <v>1729.3899999999999</v>
      </c>
      <c r="V547" s="2">
        <v>3413.31</v>
      </c>
      <c r="W547" s="2">
        <v>1753.37</v>
      </c>
      <c r="X547" s="2">
        <f t="shared" si="86"/>
        <v>-1659.94</v>
      </c>
      <c r="Y547" s="2"/>
      <c r="Z547" s="2">
        <v>1748.5</v>
      </c>
      <c r="AA547" s="2">
        <f t="shared" si="87"/>
        <v>1748.5</v>
      </c>
      <c r="AB547" s="2"/>
      <c r="AC547" s="2">
        <v>1743.63</v>
      </c>
      <c r="AD547" s="2">
        <f t="shared" si="88"/>
        <v>1743.63</v>
      </c>
      <c r="AE547" s="2">
        <v>11259.05</v>
      </c>
      <c r="AF547" s="2">
        <v>21247.65</v>
      </c>
      <c r="AG547" s="2">
        <f t="shared" si="89"/>
        <v>9988.6000000000022</v>
      </c>
    </row>
    <row r="548" spans="1:33" x14ac:dyDescent="0.3">
      <c r="B548" s="3"/>
      <c r="C548" t="str">
        <f xml:space="preserve"> _xll.EPMOlapMemberO("[CLACO].[PARENTH1].[AMSASERVICIOS]","","Servicios","","000")</f>
        <v>Servicios</v>
      </c>
      <c r="D548" s="2">
        <v>58902.239999999998</v>
      </c>
      <c r="E548" s="2">
        <v>62496.76</v>
      </c>
      <c r="F548" s="2">
        <f t="shared" si="80"/>
        <v>3594.5200000000041</v>
      </c>
      <c r="G548" s="2">
        <v>59714.400000000001</v>
      </c>
      <c r="H548" s="2">
        <v>66723.75</v>
      </c>
      <c r="I548" s="2">
        <f t="shared" si="81"/>
        <v>7009.3499999999985</v>
      </c>
      <c r="J548" s="2">
        <v>86710.86</v>
      </c>
      <c r="K548" s="2">
        <v>91671.74</v>
      </c>
      <c r="L548" s="2">
        <f t="shared" si="82"/>
        <v>4960.8800000000047</v>
      </c>
      <c r="M548" s="2">
        <v>63903.16</v>
      </c>
      <c r="N548" s="2">
        <v>106045.32</v>
      </c>
      <c r="O548" s="2">
        <f t="shared" si="83"/>
        <v>42142.16</v>
      </c>
      <c r="P548" s="2">
        <v>3578.7</v>
      </c>
      <c r="Q548" s="2">
        <v>9114.84</v>
      </c>
      <c r="R548" s="2">
        <f t="shared" si="84"/>
        <v>5536.14</v>
      </c>
      <c r="S548" s="2">
        <v>3441.03</v>
      </c>
      <c r="T548" s="2">
        <v>10847.67</v>
      </c>
      <c r="U548" s="2">
        <f t="shared" si="85"/>
        <v>7406.6399999999994</v>
      </c>
      <c r="V548" s="2">
        <v>3283.37</v>
      </c>
      <c r="W548" s="2">
        <v>9283.15</v>
      </c>
      <c r="X548" s="2">
        <f t="shared" si="86"/>
        <v>5999.78</v>
      </c>
      <c r="Y548" s="2">
        <v>3564.51</v>
      </c>
      <c r="Z548" s="2">
        <v>9475.69</v>
      </c>
      <c r="AA548" s="2">
        <f t="shared" si="87"/>
        <v>5911.18</v>
      </c>
      <c r="AB548" s="2">
        <v>4313.25</v>
      </c>
      <c r="AC548" s="2">
        <v>9013.82</v>
      </c>
      <c r="AD548" s="2">
        <f t="shared" si="88"/>
        <v>4700.57</v>
      </c>
      <c r="AE548" s="2">
        <v>19017.96</v>
      </c>
      <c r="AF548" s="2">
        <v>117794.2</v>
      </c>
      <c r="AG548" s="2">
        <f t="shared" si="89"/>
        <v>98776.239999999991</v>
      </c>
    </row>
    <row r="549" spans="1:33" x14ac:dyDescent="0.3">
      <c r="B549" s="3"/>
      <c r="C549" t="str">
        <f xml:space="preserve"> _xll.EPMOlapMemberO("[CLACO].[PARENTH1].[AMSASERMANTO.REPA]","","Servicios Mantenimie","","000")</f>
        <v>Servicios Mantenimie</v>
      </c>
      <c r="D549" s="2">
        <v>-21.5</v>
      </c>
      <c r="E549" s="2">
        <v>306.70999999999998</v>
      </c>
      <c r="F549" s="2">
        <f t="shared" si="80"/>
        <v>328.21</v>
      </c>
      <c r="G549" s="2"/>
      <c r="H549" s="2"/>
      <c r="I549" s="2">
        <f t="shared" si="81"/>
        <v>0</v>
      </c>
      <c r="J549" s="2"/>
      <c r="K549" s="2"/>
      <c r="L549" s="2">
        <f t="shared" si="82"/>
        <v>0</v>
      </c>
      <c r="M549" s="2"/>
      <c r="N549" s="2"/>
      <c r="O549" s="2">
        <f t="shared" si="83"/>
        <v>0</v>
      </c>
      <c r="P549" s="2"/>
      <c r="Q549" s="2"/>
      <c r="R549" s="2">
        <f t="shared" si="84"/>
        <v>0</v>
      </c>
      <c r="S549" s="2"/>
      <c r="T549" s="2"/>
      <c r="U549" s="2">
        <f t="shared" si="85"/>
        <v>0</v>
      </c>
      <c r="V549" s="2"/>
      <c r="W549" s="2"/>
      <c r="X549" s="2">
        <f t="shared" si="86"/>
        <v>0</v>
      </c>
      <c r="Y549" s="2"/>
      <c r="Z549" s="2"/>
      <c r="AA549" s="2">
        <f t="shared" si="87"/>
        <v>0</v>
      </c>
      <c r="AB549" s="2"/>
      <c r="AC549" s="2"/>
      <c r="AD549" s="2">
        <f t="shared" si="88"/>
        <v>0</v>
      </c>
      <c r="AE549" s="2"/>
      <c r="AF549" s="2"/>
      <c r="AG549" s="2">
        <f t="shared" si="89"/>
        <v>0</v>
      </c>
    </row>
    <row r="550" spans="1:33" x14ac:dyDescent="0.3">
      <c r="B550" s="3"/>
      <c r="C550" t="str">
        <f xml:space="preserve"> _xll.EPMOlapMemberO("[CLACO].[PARENTH1].[AMSAINFORMATIC]","","Informática y Comuni","","000")</f>
        <v>Informática y Comuni</v>
      </c>
      <c r="D550" s="2">
        <v>272889.99</v>
      </c>
      <c r="E550" s="2">
        <v>341874.44</v>
      </c>
      <c r="F550" s="2">
        <f t="shared" si="80"/>
        <v>68984.450000000012</v>
      </c>
      <c r="G550" s="2">
        <v>304429.27</v>
      </c>
      <c r="H550" s="2">
        <v>346251.7</v>
      </c>
      <c r="I550" s="2">
        <f t="shared" si="81"/>
        <v>41822.429999999993</v>
      </c>
      <c r="J550" s="2">
        <v>281063.96999999997</v>
      </c>
      <c r="K550" s="2">
        <v>355261.64</v>
      </c>
      <c r="L550" s="2">
        <f t="shared" si="82"/>
        <v>74197.670000000042</v>
      </c>
      <c r="M550" s="2">
        <v>353866.82</v>
      </c>
      <c r="N550" s="2">
        <v>400580.75</v>
      </c>
      <c r="O550" s="2">
        <f t="shared" si="83"/>
        <v>46713.929999999993</v>
      </c>
      <c r="P550" s="2">
        <v>36394.980000000003</v>
      </c>
      <c r="Q550" s="2">
        <v>38105.14</v>
      </c>
      <c r="R550" s="2">
        <f t="shared" si="84"/>
        <v>1710.1599999999962</v>
      </c>
      <c r="S550" s="2">
        <v>13887.97</v>
      </c>
      <c r="T550" s="2">
        <v>48801.73</v>
      </c>
      <c r="U550" s="2">
        <f t="shared" si="85"/>
        <v>34913.760000000002</v>
      </c>
      <c r="V550" s="2">
        <v>11037.71</v>
      </c>
      <c r="W550" s="2">
        <v>19562.490000000002</v>
      </c>
      <c r="X550" s="2">
        <f t="shared" si="86"/>
        <v>8524.7800000000025</v>
      </c>
      <c r="Y550" s="2">
        <v>64921.62</v>
      </c>
      <c r="Z550" s="2">
        <v>97950.32</v>
      </c>
      <c r="AA550" s="2">
        <f t="shared" si="87"/>
        <v>33028.700000000004</v>
      </c>
      <c r="AB550" s="2">
        <v>29569.55</v>
      </c>
      <c r="AC550" s="2">
        <v>5498.42</v>
      </c>
      <c r="AD550" s="2">
        <f t="shared" si="88"/>
        <v>-24071.129999999997</v>
      </c>
      <c r="AE550" s="2">
        <v>153187.45000000001</v>
      </c>
      <c r="AF550" s="2">
        <v>439588.07</v>
      </c>
      <c r="AG550" s="2">
        <f t="shared" si="89"/>
        <v>286400.62</v>
      </c>
    </row>
    <row r="551" spans="1:33" x14ac:dyDescent="0.3">
      <c r="B551" s="3"/>
      <c r="C551" t="str">
        <f xml:space="preserve"> _xll.EPMOlapMemberO("[CLACO].[PARENTH1].[AMSAG_VIAJES]","","Gastos de Viajes","","000")</f>
        <v>Gastos de Viajes</v>
      </c>
      <c r="D551" s="2">
        <v>330.85</v>
      </c>
      <c r="E551" s="2">
        <v>2851.14</v>
      </c>
      <c r="F551" s="2">
        <f t="shared" si="80"/>
        <v>2520.29</v>
      </c>
      <c r="G551" s="2">
        <v>665.85</v>
      </c>
      <c r="H551" s="2">
        <v>6237.85</v>
      </c>
      <c r="I551" s="2">
        <f t="shared" si="81"/>
        <v>5572</v>
      </c>
      <c r="J551" s="2">
        <v>187.69</v>
      </c>
      <c r="K551" s="2">
        <v>6079.67</v>
      </c>
      <c r="L551" s="2">
        <f t="shared" si="82"/>
        <v>5891.9800000000005</v>
      </c>
      <c r="M551" s="2">
        <v>1652.77</v>
      </c>
      <c r="N551" s="2">
        <v>8053.63</v>
      </c>
      <c r="O551" s="2">
        <f t="shared" si="83"/>
        <v>6400.8600000000006</v>
      </c>
      <c r="P551" s="2"/>
      <c r="Q551" s="2">
        <v>940.86</v>
      </c>
      <c r="R551" s="2">
        <f t="shared" si="84"/>
        <v>940.86</v>
      </c>
      <c r="S551" s="2"/>
      <c r="T551" s="2">
        <v>939.07</v>
      </c>
      <c r="U551" s="2">
        <f t="shared" si="85"/>
        <v>939.07</v>
      </c>
      <c r="V551" s="2"/>
      <c r="W551" s="2">
        <v>937.28</v>
      </c>
      <c r="X551" s="2">
        <f t="shared" si="86"/>
        <v>937.28</v>
      </c>
      <c r="Y551" s="2"/>
      <c r="Z551" s="2"/>
      <c r="AA551" s="2">
        <f t="shared" si="87"/>
        <v>0</v>
      </c>
      <c r="AB551" s="2"/>
      <c r="AC551" s="2"/>
      <c r="AD551" s="2">
        <f t="shared" si="88"/>
        <v>0</v>
      </c>
      <c r="AE551" s="2"/>
      <c r="AF551" s="2">
        <v>9453.36</v>
      </c>
      <c r="AG551" s="2">
        <f t="shared" si="89"/>
        <v>9453.36</v>
      </c>
    </row>
    <row r="552" spans="1:33" x14ac:dyDescent="0.3">
      <c r="B552" s="3"/>
      <c r="C552" t="str">
        <f xml:space="preserve"> _xll.EPMOlapMemberO("[CLACO].[PARENTH1].[AMSAIMP_PATEN]","","Impuestos / Patentes","","000")</f>
        <v>Impuestos / Patentes</v>
      </c>
      <c r="D552" s="2">
        <v>10441.36</v>
      </c>
      <c r="E552" s="2">
        <v>8012.27</v>
      </c>
      <c r="F552" s="2">
        <f t="shared" si="80"/>
        <v>-2429.09</v>
      </c>
      <c r="G552" s="2">
        <v>9630</v>
      </c>
      <c r="H552" s="2">
        <v>204568.94</v>
      </c>
      <c r="I552" s="2">
        <f t="shared" si="81"/>
        <v>194938.94</v>
      </c>
      <c r="J552" s="2">
        <v>16600.580000000002</v>
      </c>
      <c r="K552" s="2">
        <v>8783.15</v>
      </c>
      <c r="L552" s="2">
        <f t="shared" si="82"/>
        <v>-7817.4300000000021</v>
      </c>
      <c r="M552" s="2">
        <v>16699.349999999999</v>
      </c>
      <c r="N552" s="2">
        <v>8276.7800000000007</v>
      </c>
      <c r="O552" s="2">
        <f t="shared" si="83"/>
        <v>-8422.5699999999979</v>
      </c>
      <c r="P552" s="2">
        <v>648.94000000000005</v>
      </c>
      <c r="Q552" s="2">
        <v>392.17</v>
      </c>
      <c r="R552" s="2">
        <f t="shared" si="84"/>
        <v>-256.77000000000004</v>
      </c>
      <c r="S552" s="2">
        <v>884.22</v>
      </c>
      <c r="T552" s="2">
        <v>391.08</v>
      </c>
      <c r="U552" s="2">
        <f t="shared" si="85"/>
        <v>-493.14000000000004</v>
      </c>
      <c r="V552" s="2">
        <v>604.38</v>
      </c>
      <c r="W552" s="2">
        <v>389.98</v>
      </c>
      <c r="X552" s="2">
        <f t="shared" si="86"/>
        <v>-214.39999999999998</v>
      </c>
      <c r="Y552" s="2">
        <v>11.63</v>
      </c>
      <c r="Z552" s="2">
        <v>388.89</v>
      </c>
      <c r="AA552" s="2">
        <f t="shared" si="87"/>
        <v>377.26</v>
      </c>
      <c r="AB552" s="2">
        <v>115.23</v>
      </c>
      <c r="AC552" s="2">
        <v>997.27</v>
      </c>
      <c r="AD552" s="2">
        <f t="shared" si="88"/>
        <v>882.04</v>
      </c>
      <c r="AE552" s="2">
        <v>2439.7600000000002</v>
      </c>
      <c r="AF552" s="2">
        <v>8221.1200000000008</v>
      </c>
      <c r="AG552" s="2">
        <f t="shared" si="89"/>
        <v>5781.3600000000006</v>
      </c>
    </row>
    <row r="553" spans="1:33" x14ac:dyDescent="0.3">
      <c r="B553" s="3"/>
      <c r="C553" t="str">
        <f xml:space="preserve"> _xll.EPMOlapMemberO("[CLACO].[PARENTH1].[AMSAGGENERALES.2]","","Otros Gastos","","000")</f>
        <v>Otros Gastos</v>
      </c>
      <c r="D553" s="2">
        <v>15553.45</v>
      </c>
      <c r="E553" s="2">
        <v>15775.55</v>
      </c>
      <c r="F553" s="2">
        <f t="shared" si="80"/>
        <v>222.09999999999854</v>
      </c>
      <c r="G553" s="2">
        <v>29640.29</v>
      </c>
      <c r="H553" s="2">
        <v>16304.2</v>
      </c>
      <c r="I553" s="2">
        <f t="shared" si="81"/>
        <v>-13336.09</v>
      </c>
      <c r="J553" s="2">
        <v>19772.189999999999</v>
      </c>
      <c r="K553" s="2">
        <v>26732.45</v>
      </c>
      <c r="L553" s="2">
        <f t="shared" si="82"/>
        <v>6960.260000000002</v>
      </c>
      <c r="M553" s="2">
        <v>13001.89</v>
      </c>
      <c r="N553" s="2">
        <v>26512.2</v>
      </c>
      <c r="O553" s="2">
        <f t="shared" si="83"/>
        <v>13510.310000000001</v>
      </c>
      <c r="P553" s="2">
        <v>179.13</v>
      </c>
      <c r="Q553" s="2">
        <v>504.22</v>
      </c>
      <c r="R553" s="2">
        <f t="shared" si="84"/>
        <v>325.09000000000003</v>
      </c>
      <c r="S553" s="2">
        <v>2550.33</v>
      </c>
      <c r="T553" s="2">
        <v>5702.31</v>
      </c>
      <c r="U553" s="2">
        <f t="shared" si="85"/>
        <v>3151.9800000000005</v>
      </c>
      <c r="V553" s="2">
        <v>6312.34</v>
      </c>
      <c r="W553" s="2">
        <v>501.4</v>
      </c>
      <c r="X553" s="2">
        <f t="shared" si="86"/>
        <v>-5810.9400000000005</v>
      </c>
      <c r="Y553" s="2">
        <v>477.64</v>
      </c>
      <c r="Z553" s="2">
        <v>8416.7000000000007</v>
      </c>
      <c r="AA553" s="2">
        <f t="shared" si="87"/>
        <v>7939.06</v>
      </c>
      <c r="AB553" s="2">
        <v>2553.2800000000002</v>
      </c>
      <c r="AC553" s="2">
        <v>2437.7600000000002</v>
      </c>
      <c r="AD553" s="2">
        <f t="shared" si="88"/>
        <v>-115.51999999999998</v>
      </c>
      <c r="AE553" s="2">
        <v>12075.83</v>
      </c>
      <c r="AF553" s="2">
        <v>26421.15</v>
      </c>
      <c r="AG553" s="2">
        <f t="shared" si="89"/>
        <v>14345.320000000002</v>
      </c>
    </row>
    <row r="554" spans="1:33" x14ac:dyDescent="0.3">
      <c r="A554" t="s">
        <v>65</v>
      </c>
      <c r="B554" s="3" t="str">
        <f xml:space="preserve"> _xll.EPMOlapMemberO("[CECO].[PARENTH3].[AMSA1000AC5503]","","Mant Prop Minera","","000")</f>
        <v>Mant Prop Minera</v>
      </c>
      <c r="C554" t="str">
        <f xml:space="preserve"> _xll.EPMOlapMemberO("[CLACO].[PARENTH1].[AMSAASESORIAS]","","Asesorías y Consulto","","000")</f>
        <v>Asesorías y Consulto</v>
      </c>
      <c r="D554" s="2">
        <v>10866.31</v>
      </c>
      <c r="E554" s="2"/>
      <c r="F554" s="2">
        <f t="shared" si="80"/>
        <v>-10866.31</v>
      </c>
      <c r="G554" s="2"/>
      <c r="H554" s="2"/>
      <c r="I554" s="2">
        <f t="shared" si="81"/>
        <v>0</v>
      </c>
      <c r="J554" s="2">
        <v>-4995.99</v>
      </c>
      <c r="K554" s="2"/>
      <c r="L554" s="2">
        <f t="shared" si="82"/>
        <v>4995.99</v>
      </c>
      <c r="M554" s="2"/>
      <c r="N554" s="2"/>
      <c r="O554" s="2">
        <f t="shared" si="83"/>
        <v>0</v>
      </c>
      <c r="P554" s="2"/>
      <c r="Q554" s="2"/>
      <c r="R554" s="2">
        <f t="shared" si="84"/>
        <v>0</v>
      </c>
      <c r="S554" s="2"/>
      <c r="T554" s="2"/>
      <c r="U554" s="2">
        <f t="shared" si="85"/>
        <v>0</v>
      </c>
      <c r="V554" s="2"/>
      <c r="W554" s="2"/>
      <c r="X554" s="2">
        <f t="shared" si="86"/>
        <v>0</v>
      </c>
      <c r="Y554" s="2"/>
      <c r="Z554" s="2"/>
      <c r="AA554" s="2">
        <f t="shared" si="87"/>
        <v>0</v>
      </c>
      <c r="AB554" s="2"/>
      <c r="AC554" s="2"/>
      <c r="AD554" s="2">
        <f t="shared" si="88"/>
        <v>0</v>
      </c>
      <c r="AE554" s="2"/>
      <c r="AF554" s="2"/>
      <c r="AG554" s="2">
        <f t="shared" si="89"/>
        <v>0</v>
      </c>
    </row>
    <row r="555" spans="1:33" x14ac:dyDescent="0.3">
      <c r="B555" s="3"/>
      <c r="C555" t="str">
        <f xml:space="preserve"> _xll.EPMOlapMemberO("[CLACO].[PARENTH1].[AMSAIMP_PATEN]","","Impuestos / Patentes","","000")</f>
        <v>Impuestos / Patentes</v>
      </c>
      <c r="D555" s="2">
        <v>3872121.47</v>
      </c>
      <c r="E555" s="2">
        <v>3992443.96</v>
      </c>
      <c r="F555" s="2">
        <f t="shared" si="80"/>
        <v>120322.48999999976</v>
      </c>
      <c r="G555" s="2">
        <v>4138126.02</v>
      </c>
      <c r="H555" s="2">
        <v>4499917.6500000004</v>
      </c>
      <c r="I555" s="2">
        <f t="shared" si="81"/>
        <v>361791.63000000035</v>
      </c>
      <c r="J555" s="2">
        <v>4862803.25</v>
      </c>
      <c r="K555" s="2">
        <v>6757031.2800000003</v>
      </c>
      <c r="L555" s="2">
        <f t="shared" si="82"/>
        <v>1894228.0300000003</v>
      </c>
      <c r="M555" s="2">
        <v>12543093.18</v>
      </c>
      <c r="N555" s="2">
        <v>14274356.67</v>
      </c>
      <c r="O555" s="2">
        <f t="shared" si="83"/>
        <v>1731263.4900000002</v>
      </c>
      <c r="P555" s="2">
        <v>20196.400000000001</v>
      </c>
      <c r="Q555" s="2">
        <v>2203.96</v>
      </c>
      <c r="R555" s="2">
        <f t="shared" si="84"/>
        <v>-17992.440000000002</v>
      </c>
      <c r="S555" s="2"/>
      <c r="T555" s="2">
        <v>2197.83</v>
      </c>
      <c r="U555" s="2">
        <f t="shared" si="85"/>
        <v>2197.83</v>
      </c>
      <c r="V555" s="2">
        <v>10261838.93</v>
      </c>
      <c r="W555" s="2">
        <v>14324265.25</v>
      </c>
      <c r="X555" s="2">
        <f t="shared" si="86"/>
        <v>4062426.3200000003</v>
      </c>
      <c r="Y555" s="2"/>
      <c r="Z555" s="2">
        <v>2185.62</v>
      </c>
      <c r="AA555" s="2">
        <f t="shared" si="87"/>
        <v>2185.62</v>
      </c>
      <c r="AB555" s="2">
        <v>279151.84999999998</v>
      </c>
      <c r="AC555" s="2">
        <v>1006551.88</v>
      </c>
      <c r="AD555" s="2">
        <f t="shared" si="88"/>
        <v>727400.03</v>
      </c>
      <c r="AE555" s="2">
        <v>11092327.890000001</v>
      </c>
      <c r="AF555" s="2">
        <v>15510975.23</v>
      </c>
      <c r="AG555" s="2">
        <f t="shared" si="89"/>
        <v>4418647.34</v>
      </c>
    </row>
    <row r="556" spans="1:33" x14ac:dyDescent="0.3">
      <c r="A556" t="s">
        <v>66</v>
      </c>
      <c r="B556" s="3" t="str">
        <f xml:space="preserve"> _xll.EPMOlapMemberO("[CECO].[PARENTH3].[AMSA1000AC5504]","","Const Prop Minera","","000")</f>
        <v>Const Prop Minera</v>
      </c>
      <c r="C556" t="str">
        <f xml:space="preserve"> _xll.EPMOlapMemberO("[CLACO].[PARENTH1].[AMSAMAT_Y_REP.2]","","Materiales y repuest","","000")</f>
        <v>Materiales y repuest</v>
      </c>
      <c r="D556" s="2"/>
      <c r="E556" s="2"/>
      <c r="F556" s="2">
        <f t="shared" si="80"/>
        <v>0</v>
      </c>
      <c r="G556" s="2">
        <v>0</v>
      </c>
      <c r="H556" s="2"/>
      <c r="I556" s="2">
        <f t="shared" si="81"/>
        <v>0</v>
      </c>
      <c r="J556" s="2"/>
      <c r="K556" s="2"/>
      <c r="L556" s="2">
        <f t="shared" si="82"/>
        <v>0</v>
      </c>
      <c r="M556" s="2"/>
      <c r="N556" s="2"/>
      <c r="O556" s="2">
        <f t="shared" si="83"/>
        <v>0</v>
      </c>
      <c r="P556" s="2"/>
      <c r="Q556" s="2"/>
      <c r="R556" s="2">
        <f t="shared" si="84"/>
        <v>0</v>
      </c>
      <c r="S556" s="2"/>
      <c r="T556" s="2"/>
      <c r="U556" s="2">
        <f t="shared" si="85"/>
        <v>0</v>
      </c>
      <c r="V556" s="2"/>
      <c r="W556" s="2"/>
      <c r="X556" s="2">
        <f t="shared" si="86"/>
        <v>0</v>
      </c>
      <c r="Y556" s="2"/>
      <c r="Z556" s="2"/>
      <c r="AA556" s="2">
        <f t="shared" si="87"/>
        <v>0</v>
      </c>
      <c r="AB556" s="2"/>
      <c r="AC556" s="2"/>
      <c r="AD556" s="2">
        <f t="shared" si="88"/>
        <v>0</v>
      </c>
      <c r="AE556" s="2"/>
      <c r="AF556" s="2"/>
      <c r="AG556" s="2">
        <f t="shared" si="89"/>
        <v>0</v>
      </c>
    </row>
    <row r="557" spans="1:33" x14ac:dyDescent="0.3">
      <c r="B557" s="3"/>
      <c r="C557" t="str">
        <f xml:space="preserve"> _xll.EPMOlapMemberO("[CLACO].[PARENTH1].[AMSAASESORIAS]","","Asesorías y Consulto","","000")</f>
        <v>Asesorías y Consulto</v>
      </c>
      <c r="D557" s="2">
        <v>119511.66</v>
      </c>
      <c r="E557" s="2">
        <v>131236.98000000001</v>
      </c>
      <c r="F557" s="2">
        <f t="shared" si="80"/>
        <v>11725.320000000007</v>
      </c>
      <c r="G557" s="2">
        <v>136309.87</v>
      </c>
      <c r="H557" s="2">
        <v>115071.41</v>
      </c>
      <c r="I557" s="2">
        <f t="shared" si="81"/>
        <v>-21238.459999999992</v>
      </c>
      <c r="J557" s="2">
        <v>105180.19</v>
      </c>
      <c r="K557" s="2">
        <v>149213.63</v>
      </c>
      <c r="L557" s="2">
        <f t="shared" si="82"/>
        <v>44033.440000000002</v>
      </c>
      <c r="M557" s="2">
        <v>10231.719999999999</v>
      </c>
      <c r="N557" s="2">
        <v>73202.2</v>
      </c>
      <c r="O557" s="2">
        <f t="shared" si="83"/>
        <v>62970.479999999996</v>
      </c>
      <c r="P557" s="2"/>
      <c r="Q557" s="2">
        <v>4407.93</v>
      </c>
      <c r="R557" s="2">
        <f t="shared" si="84"/>
        <v>4407.93</v>
      </c>
      <c r="S557" s="2"/>
      <c r="T557" s="2">
        <v>4395.66</v>
      </c>
      <c r="U557" s="2">
        <f t="shared" si="85"/>
        <v>4395.66</v>
      </c>
      <c r="V557" s="2"/>
      <c r="W557" s="2">
        <v>4383.43</v>
      </c>
      <c r="X557" s="2">
        <f t="shared" si="86"/>
        <v>4383.43</v>
      </c>
      <c r="Y557" s="2"/>
      <c r="Z557" s="2">
        <v>4371.24</v>
      </c>
      <c r="AA557" s="2">
        <f t="shared" si="87"/>
        <v>4371.24</v>
      </c>
      <c r="AB557" s="2">
        <v>6.23</v>
      </c>
      <c r="AC557" s="2">
        <v>4359.08</v>
      </c>
      <c r="AD557" s="2">
        <f t="shared" si="88"/>
        <v>4352.8500000000004</v>
      </c>
      <c r="AE557" s="2">
        <v>6.23</v>
      </c>
      <c r="AF557" s="2">
        <v>75467.97</v>
      </c>
      <c r="AG557" s="2">
        <f t="shared" si="89"/>
        <v>75461.740000000005</v>
      </c>
    </row>
    <row r="558" spans="1:33" x14ac:dyDescent="0.3">
      <c r="B558" s="3"/>
      <c r="C558" t="str">
        <f xml:space="preserve"> _xll.EPMOlapMemberO("[CLACO].[PARENTH1].[AMSASERVICIOS]","","Servicios","","000")</f>
        <v>Servicios</v>
      </c>
      <c r="D558" s="2">
        <v>96048.74</v>
      </c>
      <c r="E558" s="2">
        <v>241789.31</v>
      </c>
      <c r="F558" s="2">
        <f t="shared" si="80"/>
        <v>145740.57</v>
      </c>
      <c r="G558" s="2">
        <v>69505.7</v>
      </c>
      <c r="H558" s="2">
        <v>45941.26</v>
      </c>
      <c r="I558" s="2">
        <f t="shared" si="81"/>
        <v>-23564.439999999995</v>
      </c>
      <c r="J558" s="2">
        <v>24949.08</v>
      </c>
      <c r="K558" s="2">
        <v>70211.47</v>
      </c>
      <c r="L558" s="2">
        <f t="shared" si="82"/>
        <v>45262.39</v>
      </c>
      <c r="M558" s="2">
        <v>4518.8</v>
      </c>
      <c r="N558" s="2">
        <v>60967.81</v>
      </c>
      <c r="O558" s="2">
        <f t="shared" si="83"/>
        <v>56449.009999999995</v>
      </c>
      <c r="P558" s="2"/>
      <c r="Q558" s="2">
        <v>1596.71</v>
      </c>
      <c r="R558" s="2">
        <f t="shared" si="84"/>
        <v>1596.71</v>
      </c>
      <c r="S558" s="2"/>
      <c r="T558" s="2">
        <v>1005.63</v>
      </c>
      <c r="U558" s="2">
        <f t="shared" si="85"/>
        <v>1005.63</v>
      </c>
      <c r="V558" s="2"/>
      <c r="W558" s="2">
        <v>1745.78</v>
      </c>
      <c r="X558" s="2">
        <f t="shared" si="86"/>
        <v>1745.78</v>
      </c>
      <c r="Y558" s="2"/>
      <c r="Z558" s="2">
        <v>6706.52</v>
      </c>
      <c r="AA558" s="2">
        <f t="shared" si="87"/>
        <v>6706.52</v>
      </c>
      <c r="AB558" s="2"/>
      <c r="AC558" s="2">
        <v>4621.01</v>
      </c>
      <c r="AD558" s="2">
        <f t="shared" si="88"/>
        <v>4621.01</v>
      </c>
      <c r="AE558" s="2"/>
      <c r="AF558" s="2">
        <v>60554.1</v>
      </c>
      <c r="AG558" s="2">
        <f t="shared" si="89"/>
        <v>60554.1</v>
      </c>
    </row>
    <row r="559" spans="1:33" x14ac:dyDescent="0.3">
      <c r="B559" s="3"/>
      <c r="C559" t="str">
        <f xml:space="preserve"> _xll.EPMOlapMemberO("[CLACO].[PARENTH1].[AMSAINFORMATIC]","","Informática y Comuni","","000")</f>
        <v>Informática y Comuni</v>
      </c>
      <c r="D559" s="2">
        <v>4776.87</v>
      </c>
      <c r="E559" s="2"/>
      <c r="F559" s="2">
        <f t="shared" si="80"/>
        <v>-4776.87</v>
      </c>
      <c r="G559" s="2">
        <v>244.58</v>
      </c>
      <c r="H559" s="2"/>
      <c r="I559" s="2">
        <f t="shared" si="81"/>
        <v>-244.58</v>
      </c>
      <c r="J559" s="2"/>
      <c r="K559" s="2"/>
      <c r="L559" s="2">
        <f t="shared" si="82"/>
        <v>0</v>
      </c>
      <c r="M559" s="2"/>
      <c r="N559" s="2"/>
      <c r="O559" s="2">
        <f t="shared" si="83"/>
        <v>0</v>
      </c>
      <c r="P559" s="2"/>
      <c r="Q559" s="2"/>
      <c r="R559" s="2">
        <f t="shared" si="84"/>
        <v>0</v>
      </c>
      <c r="S559" s="2"/>
      <c r="T559" s="2"/>
      <c r="U559" s="2">
        <f t="shared" si="85"/>
        <v>0</v>
      </c>
      <c r="V559" s="2"/>
      <c r="W559" s="2"/>
      <c r="X559" s="2">
        <f t="shared" si="86"/>
        <v>0</v>
      </c>
      <c r="Y559" s="2"/>
      <c r="Z559" s="2"/>
      <c r="AA559" s="2">
        <f t="shared" si="87"/>
        <v>0</v>
      </c>
      <c r="AB559" s="2"/>
      <c r="AC559" s="2"/>
      <c r="AD559" s="2">
        <f t="shared" si="88"/>
        <v>0</v>
      </c>
      <c r="AE559" s="2"/>
      <c r="AF559" s="2"/>
      <c r="AG559" s="2">
        <f t="shared" si="89"/>
        <v>0</v>
      </c>
    </row>
    <row r="560" spans="1:33" x14ac:dyDescent="0.3">
      <c r="B560" s="3"/>
      <c r="C560" t="str">
        <f xml:space="preserve"> _xll.EPMOlapMemberO("[CLACO].[PARENTH1].[AMSAG_VIAJES]","","Gastos de Viajes","","000")</f>
        <v>Gastos de Viajes</v>
      </c>
      <c r="D560" s="2"/>
      <c r="E560" s="2">
        <v>2851.14</v>
      </c>
      <c r="F560" s="2">
        <f t="shared" si="80"/>
        <v>2851.14</v>
      </c>
      <c r="G560" s="2"/>
      <c r="H560" s="2">
        <v>6237.85</v>
      </c>
      <c r="I560" s="2">
        <f t="shared" si="81"/>
        <v>6237.85</v>
      </c>
      <c r="J560" s="2"/>
      <c r="K560" s="2">
        <v>6079.67</v>
      </c>
      <c r="L560" s="2">
        <f t="shared" si="82"/>
        <v>6079.67</v>
      </c>
      <c r="M560" s="2"/>
      <c r="N560" s="2">
        <v>8053.63</v>
      </c>
      <c r="O560" s="2">
        <f t="shared" si="83"/>
        <v>8053.63</v>
      </c>
      <c r="P560" s="2"/>
      <c r="Q560" s="2">
        <v>940.86</v>
      </c>
      <c r="R560" s="2">
        <f t="shared" si="84"/>
        <v>940.86</v>
      </c>
      <c r="S560" s="2"/>
      <c r="T560" s="2">
        <v>939.07</v>
      </c>
      <c r="U560" s="2">
        <f t="shared" si="85"/>
        <v>939.07</v>
      </c>
      <c r="V560" s="2"/>
      <c r="W560" s="2">
        <v>937.28</v>
      </c>
      <c r="X560" s="2">
        <f t="shared" si="86"/>
        <v>937.28</v>
      </c>
      <c r="Y560" s="2"/>
      <c r="Z560" s="2"/>
      <c r="AA560" s="2">
        <f t="shared" si="87"/>
        <v>0</v>
      </c>
      <c r="AB560" s="2"/>
      <c r="AC560" s="2"/>
      <c r="AD560" s="2">
        <f t="shared" si="88"/>
        <v>0</v>
      </c>
      <c r="AE560" s="2"/>
      <c r="AF560" s="2">
        <v>9453.36</v>
      </c>
      <c r="AG560" s="2">
        <f t="shared" si="89"/>
        <v>9453.36</v>
      </c>
    </row>
    <row r="561" spans="1:33" x14ac:dyDescent="0.3">
      <c r="B561" s="3"/>
      <c r="C561" t="str">
        <f xml:space="preserve"> _xll.EPMOlapMemberO("[CLACO].[PARENTH1].[AMSAIMP_PATEN]","","Impuestos / Patentes","","000")</f>
        <v>Impuestos / Patentes</v>
      </c>
      <c r="D561" s="2">
        <v>231517.13</v>
      </c>
      <c r="E561" s="2">
        <v>523180.2</v>
      </c>
      <c r="F561" s="2">
        <f t="shared" si="80"/>
        <v>291663.07</v>
      </c>
      <c r="G561" s="2">
        <v>562731.86</v>
      </c>
      <c r="H561" s="2">
        <v>498946.1</v>
      </c>
      <c r="I561" s="2">
        <f t="shared" si="81"/>
        <v>-63785.760000000009</v>
      </c>
      <c r="J561" s="2">
        <v>202278.08</v>
      </c>
      <c r="K561" s="2">
        <v>407170.78</v>
      </c>
      <c r="L561" s="2">
        <f t="shared" si="82"/>
        <v>204892.70000000004</v>
      </c>
      <c r="M561" s="2">
        <v>79866.05</v>
      </c>
      <c r="N561" s="2">
        <v>384068.96</v>
      </c>
      <c r="O561" s="2">
        <f t="shared" si="83"/>
        <v>304202.91000000003</v>
      </c>
      <c r="P561" s="2">
        <v>17555.650000000001</v>
      </c>
      <c r="Q561" s="2">
        <v>23799.35</v>
      </c>
      <c r="R561" s="2">
        <f t="shared" si="84"/>
        <v>6243.6999999999971</v>
      </c>
      <c r="S561" s="2">
        <v>1303.3399999999999</v>
      </c>
      <c r="T561" s="2">
        <v>46756.52</v>
      </c>
      <c r="U561" s="2">
        <f t="shared" si="85"/>
        <v>45453.18</v>
      </c>
      <c r="V561" s="2">
        <v>1714.88</v>
      </c>
      <c r="W561" s="2">
        <v>82209.259999999995</v>
      </c>
      <c r="X561" s="2">
        <f t="shared" si="86"/>
        <v>80494.37999999999</v>
      </c>
      <c r="Y561" s="2">
        <v>3761.15</v>
      </c>
      <c r="Z561" s="2">
        <v>12159.15</v>
      </c>
      <c r="AA561" s="2">
        <f t="shared" si="87"/>
        <v>8398</v>
      </c>
      <c r="AB561" s="2">
        <v>2878.57</v>
      </c>
      <c r="AC561" s="2">
        <v>41063.03</v>
      </c>
      <c r="AD561" s="2">
        <f t="shared" si="88"/>
        <v>38184.46</v>
      </c>
      <c r="AE561" s="2">
        <v>64215.5</v>
      </c>
      <c r="AF561" s="2">
        <v>381817.98</v>
      </c>
      <c r="AG561" s="2">
        <f t="shared" si="89"/>
        <v>317602.48</v>
      </c>
    </row>
    <row r="562" spans="1:33" x14ac:dyDescent="0.3">
      <c r="B562" s="3"/>
      <c r="C562" t="str">
        <f xml:space="preserve"> _xll.EPMOlapMemberO("[CLACO].[PARENTH1].[AMSAGGENERALES.2]","","Otros Gastos","","000")</f>
        <v>Otros Gastos</v>
      </c>
      <c r="D562" s="2">
        <v>26351.54</v>
      </c>
      <c r="E562" s="2">
        <v>70890.14</v>
      </c>
      <c r="F562" s="2">
        <f t="shared" si="80"/>
        <v>44538.6</v>
      </c>
      <c r="G562" s="2">
        <v>77806.09</v>
      </c>
      <c r="H562" s="2">
        <v>26512.04</v>
      </c>
      <c r="I562" s="2">
        <f t="shared" si="81"/>
        <v>-51294.049999999996</v>
      </c>
      <c r="J562" s="2">
        <v>15019.93</v>
      </c>
      <c r="K562" s="2">
        <v>44872.03</v>
      </c>
      <c r="L562" s="2">
        <f t="shared" si="82"/>
        <v>29852.1</v>
      </c>
      <c r="M562" s="2">
        <v>4436.09</v>
      </c>
      <c r="N562" s="2">
        <v>42311.4</v>
      </c>
      <c r="O562" s="2">
        <f t="shared" si="83"/>
        <v>37875.31</v>
      </c>
      <c r="P562" s="2">
        <v>53.73</v>
      </c>
      <c r="Q562" s="2">
        <v>6525.1</v>
      </c>
      <c r="R562" s="2">
        <f t="shared" si="84"/>
        <v>6471.3700000000008</v>
      </c>
      <c r="S562" s="2">
        <v>214.29</v>
      </c>
      <c r="T562" s="2">
        <v>1950.73</v>
      </c>
      <c r="U562" s="2">
        <f t="shared" si="85"/>
        <v>1736.44</v>
      </c>
      <c r="V562" s="2">
        <v>473.97</v>
      </c>
      <c r="W562" s="2">
        <v>7667.62</v>
      </c>
      <c r="X562" s="2">
        <f t="shared" si="86"/>
        <v>7193.65</v>
      </c>
      <c r="Y562" s="2">
        <v>49.42</v>
      </c>
      <c r="Z562" s="2">
        <v>2470.67</v>
      </c>
      <c r="AA562" s="2">
        <f t="shared" si="87"/>
        <v>2421.25</v>
      </c>
      <c r="AB562" s="2">
        <v>289.73</v>
      </c>
      <c r="AC562" s="2">
        <v>6992.01</v>
      </c>
      <c r="AD562" s="2">
        <f t="shared" si="88"/>
        <v>6702.2800000000007</v>
      </c>
      <c r="AE562" s="2">
        <v>1904.14</v>
      </c>
      <c r="AF562" s="2">
        <v>42039.85</v>
      </c>
      <c r="AG562" s="2">
        <f t="shared" si="89"/>
        <v>40135.71</v>
      </c>
    </row>
    <row r="563" spans="1:33" x14ac:dyDescent="0.3">
      <c r="A563" t="s">
        <v>67</v>
      </c>
      <c r="B563" s="3" t="str">
        <f xml:space="preserve"> _xll.EPMOlapMemberO("[CECO].[PARENTH3].[AMSA1000AC6001]","","VPC","","000")</f>
        <v>VPC</v>
      </c>
      <c r="C563" t="str">
        <f xml:space="preserve"> _xll.EPMOlapMemberO("[CLACO].[PARENTH1].[AMSAREMUNERACI.SS]","","Remuneraciones Super","","000")</f>
        <v>Remuneraciones Super</v>
      </c>
      <c r="D563" s="2">
        <v>3640488.12</v>
      </c>
      <c r="E563" s="2">
        <v>3439482.08</v>
      </c>
      <c r="F563" s="2">
        <f t="shared" si="80"/>
        <v>-201006.04000000004</v>
      </c>
      <c r="G563" s="2">
        <v>4116310.86</v>
      </c>
      <c r="H563" s="2">
        <v>4089978.41</v>
      </c>
      <c r="I563" s="2">
        <f t="shared" si="81"/>
        <v>-26332.449999999721</v>
      </c>
      <c r="J563" s="2">
        <v>4082114.57</v>
      </c>
      <c r="K563" s="2">
        <v>4085147.06</v>
      </c>
      <c r="L563" s="2">
        <f t="shared" si="82"/>
        <v>3032.4900000002235</v>
      </c>
      <c r="M563" s="2">
        <v>4026109.3</v>
      </c>
      <c r="N563" s="2">
        <v>4297811.3</v>
      </c>
      <c r="O563" s="2">
        <f t="shared" si="83"/>
        <v>271702</v>
      </c>
      <c r="P563" s="2">
        <v>327393.03999999998</v>
      </c>
      <c r="Q563" s="2">
        <v>343646.65</v>
      </c>
      <c r="R563" s="2">
        <f t="shared" si="84"/>
        <v>16253.610000000044</v>
      </c>
      <c r="S563" s="2">
        <v>440224.84</v>
      </c>
      <c r="T563" s="2">
        <v>388597.53</v>
      </c>
      <c r="U563" s="2">
        <f t="shared" si="85"/>
        <v>-51627.31</v>
      </c>
      <c r="V563" s="2">
        <v>320031.84999999998</v>
      </c>
      <c r="W563" s="2">
        <v>346936.38</v>
      </c>
      <c r="X563" s="2">
        <f t="shared" si="86"/>
        <v>26904.530000000028</v>
      </c>
      <c r="Y563" s="2">
        <v>445848.71</v>
      </c>
      <c r="Z563" s="2">
        <v>386836.77</v>
      </c>
      <c r="AA563" s="2">
        <f t="shared" si="87"/>
        <v>-59011.94</v>
      </c>
      <c r="AB563" s="2">
        <v>340134.18</v>
      </c>
      <c r="AC563" s="2">
        <v>344241.55</v>
      </c>
      <c r="AD563" s="2">
        <f t="shared" si="88"/>
        <v>4107.3699999999953</v>
      </c>
      <c r="AE563" s="2">
        <v>1875915.03</v>
      </c>
      <c r="AF563" s="2">
        <v>4296537.5</v>
      </c>
      <c r="AG563" s="2">
        <f t="shared" si="89"/>
        <v>2420622.4699999997</v>
      </c>
    </row>
    <row r="564" spans="1:33" x14ac:dyDescent="0.3">
      <c r="B564" s="3"/>
      <c r="C564" t="str">
        <f xml:space="preserve"> _xll.EPMOlapMemberO("[CLACO].[PARENTH1].[AMSAMAT_Y_REP.2]","","Materiales y repuest","","000")</f>
        <v>Materiales y repuest</v>
      </c>
      <c r="D564" s="2"/>
      <c r="E564" s="2"/>
      <c r="F564" s="2">
        <f t="shared" si="80"/>
        <v>0</v>
      </c>
      <c r="G564" s="2">
        <v>0</v>
      </c>
      <c r="H564" s="2"/>
      <c r="I564" s="2">
        <f t="shared" si="81"/>
        <v>0</v>
      </c>
      <c r="J564" s="2"/>
      <c r="K564" s="2"/>
      <c r="L564" s="2">
        <f t="shared" si="82"/>
        <v>0</v>
      </c>
      <c r="M564" s="2"/>
      <c r="N564" s="2"/>
      <c r="O564" s="2">
        <f t="shared" si="83"/>
        <v>0</v>
      </c>
      <c r="P564" s="2"/>
      <c r="Q564" s="2"/>
      <c r="R564" s="2">
        <f t="shared" si="84"/>
        <v>0</v>
      </c>
      <c r="S564" s="2"/>
      <c r="T564" s="2"/>
      <c r="U564" s="2">
        <f t="shared" si="85"/>
        <v>0</v>
      </c>
      <c r="V564" s="2"/>
      <c r="W564" s="2"/>
      <c r="X564" s="2">
        <f t="shared" si="86"/>
        <v>0</v>
      </c>
      <c r="Y564" s="2"/>
      <c r="Z564" s="2"/>
      <c r="AA564" s="2">
        <f t="shared" si="87"/>
        <v>0</v>
      </c>
      <c r="AB564" s="2"/>
      <c r="AC564" s="2"/>
      <c r="AD564" s="2">
        <f t="shared" si="88"/>
        <v>0</v>
      </c>
      <c r="AE564" s="2"/>
      <c r="AF564" s="2"/>
      <c r="AG564" s="2">
        <f t="shared" si="89"/>
        <v>0</v>
      </c>
    </row>
    <row r="565" spans="1:33" x14ac:dyDescent="0.3">
      <c r="B565" s="3"/>
      <c r="C565" t="str">
        <f xml:space="preserve"> _xll.EPMOlapMemberO("[CLACO].[PARENTH1].[AMSAADM_PERSON]","","Administración Perso","","000")</f>
        <v>Administración Perso</v>
      </c>
      <c r="D565" s="2"/>
      <c r="E565" s="2">
        <v>28891.15</v>
      </c>
      <c r="F565" s="2">
        <f t="shared" si="80"/>
        <v>28891.15</v>
      </c>
      <c r="G565" s="2">
        <v>303.2</v>
      </c>
      <c r="H565" s="2">
        <v>38000</v>
      </c>
      <c r="I565" s="2">
        <f t="shared" si="81"/>
        <v>37696.800000000003</v>
      </c>
      <c r="J565" s="2">
        <v>30747.7</v>
      </c>
      <c r="K565" s="2">
        <v>2943.4</v>
      </c>
      <c r="L565" s="2">
        <f t="shared" si="82"/>
        <v>-27804.3</v>
      </c>
      <c r="M565" s="2">
        <v>56288.47</v>
      </c>
      <c r="N565" s="2">
        <v>103158.37</v>
      </c>
      <c r="O565" s="2">
        <f t="shared" si="83"/>
        <v>46869.899999999994</v>
      </c>
      <c r="P565" s="2"/>
      <c r="Q565" s="2"/>
      <c r="R565" s="2">
        <f t="shared" si="84"/>
        <v>0</v>
      </c>
      <c r="S565" s="2"/>
      <c r="T565" s="2"/>
      <c r="U565" s="2">
        <f t="shared" si="85"/>
        <v>0</v>
      </c>
      <c r="V565" s="2"/>
      <c r="W565" s="2"/>
      <c r="X565" s="2">
        <f t="shared" si="86"/>
        <v>0</v>
      </c>
      <c r="Y565" s="2">
        <v>4304.21</v>
      </c>
      <c r="Z565" s="2"/>
      <c r="AA565" s="2">
        <f t="shared" si="87"/>
        <v>-4304.21</v>
      </c>
      <c r="AB565" s="2">
        <v>1743.85</v>
      </c>
      <c r="AC565" s="2"/>
      <c r="AD565" s="2">
        <f t="shared" si="88"/>
        <v>-1743.85</v>
      </c>
      <c r="AE565" s="2">
        <v>6048.06</v>
      </c>
      <c r="AF565" s="2">
        <v>3065.65</v>
      </c>
      <c r="AG565" s="2">
        <f t="shared" si="89"/>
        <v>-2982.4100000000003</v>
      </c>
    </row>
    <row r="566" spans="1:33" x14ac:dyDescent="0.3">
      <c r="B566" s="3"/>
      <c r="C566" t="str">
        <f xml:space="preserve"> _xll.EPMOlapMemberO("[CLACO].[PARENTH1].[AMSAENTRENAMI]","","Entrenamiento","","000")</f>
        <v>Entrenamiento</v>
      </c>
      <c r="D566" s="2"/>
      <c r="E566" s="2">
        <v>7650.35</v>
      </c>
      <c r="F566" s="2">
        <f t="shared" si="80"/>
        <v>7650.35</v>
      </c>
      <c r="G566" s="2">
        <v>93.32</v>
      </c>
      <c r="H566" s="2">
        <v>7440</v>
      </c>
      <c r="I566" s="2">
        <f t="shared" si="81"/>
        <v>7346.68</v>
      </c>
      <c r="J566" s="2">
        <v>4140.99</v>
      </c>
      <c r="K566" s="2">
        <v>7325.98</v>
      </c>
      <c r="L566" s="2">
        <f t="shared" si="82"/>
        <v>3184.99</v>
      </c>
      <c r="M566" s="2"/>
      <c r="N566" s="2">
        <v>7485.1</v>
      </c>
      <c r="O566" s="2">
        <f t="shared" si="83"/>
        <v>7485.1</v>
      </c>
      <c r="P566" s="2"/>
      <c r="Q566" s="2"/>
      <c r="R566" s="2">
        <f t="shared" si="84"/>
        <v>0</v>
      </c>
      <c r="S566" s="2"/>
      <c r="T566" s="2"/>
      <c r="U566" s="2">
        <f t="shared" si="85"/>
        <v>0</v>
      </c>
      <c r="V566" s="2"/>
      <c r="W566" s="2"/>
      <c r="X566" s="2">
        <f t="shared" si="86"/>
        <v>0</v>
      </c>
      <c r="Y566" s="2"/>
      <c r="Z566" s="2"/>
      <c r="AA566" s="2">
        <f t="shared" si="87"/>
        <v>0</v>
      </c>
      <c r="AB566" s="2"/>
      <c r="AC566" s="2"/>
      <c r="AD566" s="2">
        <f t="shared" si="88"/>
        <v>0</v>
      </c>
      <c r="AE566" s="2"/>
      <c r="AF566" s="2">
        <v>10103.43</v>
      </c>
      <c r="AG566" s="2">
        <f t="shared" si="89"/>
        <v>10103.43</v>
      </c>
    </row>
    <row r="567" spans="1:33" x14ac:dyDescent="0.3">
      <c r="B567" s="3"/>
      <c r="C567" t="str">
        <f xml:space="preserve"> _xll.EPMOlapMemberO("[CLACO].[PARENTH1].[AMSAASESORIAS]","","Asesorías y Consulto","","000")</f>
        <v>Asesorías y Consulto</v>
      </c>
      <c r="D567" s="2"/>
      <c r="E567" s="2"/>
      <c r="F567" s="2">
        <f t="shared" si="80"/>
        <v>0</v>
      </c>
      <c r="G567" s="2"/>
      <c r="H567" s="2"/>
      <c r="I567" s="2">
        <f t="shared" si="81"/>
        <v>0</v>
      </c>
      <c r="J567" s="2"/>
      <c r="K567" s="2"/>
      <c r="L567" s="2">
        <f t="shared" si="82"/>
        <v>0</v>
      </c>
      <c r="M567" s="2">
        <v>386.23</v>
      </c>
      <c r="N567" s="2"/>
      <c r="O567" s="2">
        <f t="shared" si="83"/>
        <v>-386.23</v>
      </c>
      <c r="P567" s="2"/>
      <c r="Q567" s="2"/>
      <c r="R567" s="2">
        <f t="shared" si="84"/>
        <v>0</v>
      </c>
      <c r="S567" s="2"/>
      <c r="T567" s="2"/>
      <c r="U567" s="2">
        <f t="shared" si="85"/>
        <v>0</v>
      </c>
      <c r="V567" s="2"/>
      <c r="W567" s="2"/>
      <c r="X567" s="2">
        <f t="shared" si="86"/>
        <v>0</v>
      </c>
      <c r="Y567" s="2"/>
      <c r="Z567" s="2"/>
      <c r="AA567" s="2">
        <f t="shared" si="87"/>
        <v>0</v>
      </c>
      <c r="AB567" s="2"/>
      <c r="AC567" s="2"/>
      <c r="AD567" s="2">
        <f t="shared" si="88"/>
        <v>0</v>
      </c>
      <c r="AE567" s="2"/>
      <c r="AF567" s="2"/>
      <c r="AG567" s="2">
        <f t="shared" si="89"/>
        <v>0</v>
      </c>
    </row>
    <row r="568" spans="1:33" x14ac:dyDescent="0.3">
      <c r="B568" s="3"/>
      <c r="C568" t="str">
        <f xml:space="preserve"> _xll.EPMOlapMemberO("[CLACO].[PARENTH1].[AMSASERVICIOS]","","Servicios","","000")</f>
        <v>Servicios</v>
      </c>
      <c r="D568" s="2">
        <v>-29.25</v>
      </c>
      <c r="E568" s="2">
        <v>5634.97</v>
      </c>
      <c r="F568" s="2">
        <f t="shared" si="80"/>
        <v>5664.22</v>
      </c>
      <c r="G568" s="2">
        <v>146.77000000000001</v>
      </c>
      <c r="H568" s="2">
        <v>5500</v>
      </c>
      <c r="I568" s="2">
        <f t="shared" si="81"/>
        <v>5353.23</v>
      </c>
      <c r="J568" s="2">
        <v>1431.22</v>
      </c>
      <c r="K568" s="2">
        <v>2482.3200000000002</v>
      </c>
      <c r="L568" s="2">
        <f t="shared" si="82"/>
        <v>1051.1000000000001</v>
      </c>
      <c r="M568" s="2">
        <v>94.8</v>
      </c>
      <c r="N568" s="2">
        <v>8067.08</v>
      </c>
      <c r="O568" s="2">
        <f t="shared" si="83"/>
        <v>7972.28</v>
      </c>
      <c r="P568" s="2">
        <v>831.83</v>
      </c>
      <c r="Q568" s="2">
        <v>1008.43</v>
      </c>
      <c r="R568" s="2">
        <f t="shared" si="84"/>
        <v>176.59999999999991</v>
      </c>
      <c r="S568" s="2">
        <v>894.77</v>
      </c>
      <c r="T568" s="2">
        <v>1006.51</v>
      </c>
      <c r="U568" s="2">
        <f t="shared" si="85"/>
        <v>111.74000000000001</v>
      </c>
      <c r="V568" s="2">
        <v>1736.78</v>
      </c>
      <c r="W568" s="2">
        <v>1004.59</v>
      </c>
      <c r="X568" s="2">
        <f t="shared" si="86"/>
        <v>-732.18999999999994</v>
      </c>
      <c r="Y568" s="2"/>
      <c r="Z568" s="2"/>
      <c r="AA568" s="2">
        <f t="shared" si="87"/>
        <v>0</v>
      </c>
      <c r="AB568" s="2">
        <v>778.23</v>
      </c>
      <c r="AC568" s="2">
        <v>2001.63</v>
      </c>
      <c r="AD568" s="2">
        <f t="shared" si="88"/>
        <v>1223.4000000000001</v>
      </c>
      <c r="AE568" s="2">
        <v>4241.6099999999997</v>
      </c>
      <c r="AF568" s="2">
        <v>8057.94</v>
      </c>
      <c r="AG568" s="2">
        <f t="shared" si="89"/>
        <v>3816.33</v>
      </c>
    </row>
    <row r="569" spans="1:33" x14ac:dyDescent="0.3">
      <c r="B569" s="3"/>
      <c r="C569" t="str">
        <f xml:space="preserve"> _xll.EPMOlapMemberO("[CLACO].[PARENTH1].[AMSASERMANTO.REPA]","","Servicios Mantenimie","","000")</f>
        <v>Servicios Mantenimie</v>
      </c>
      <c r="D569" s="2"/>
      <c r="E569" s="2"/>
      <c r="F569" s="2">
        <f t="shared" si="80"/>
        <v>0</v>
      </c>
      <c r="G569" s="2"/>
      <c r="H569" s="2"/>
      <c r="I569" s="2">
        <f t="shared" si="81"/>
        <v>0</v>
      </c>
      <c r="J569" s="2"/>
      <c r="K569" s="2"/>
      <c r="L569" s="2">
        <f t="shared" si="82"/>
        <v>0</v>
      </c>
      <c r="M569" s="2"/>
      <c r="N569" s="2"/>
      <c r="O569" s="2">
        <f t="shared" si="83"/>
        <v>0</v>
      </c>
      <c r="P569" s="2"/>
      <c r="Q569" s="2"/>
      <c r="R569" s="2">
        <f t="shared" si="84"/>
        <v>0</v>
      </c>
      <c r="S569" s="2">
        <v>-4.4800000000000004</v>
      </c>
      <c r="T569" s="2"/>
      <c r="U569" s="2">
        <f t="shared" si="85"/>
        <v>4.4800000000000004</v>
      </c>
      <c r="V569" s="2">
        <v>62.36</v>
      </c>
      <c r="W569" s="2"/>
      <c r="X569" s="2">
        <f t="shared" si="86"/>
        <v>-62.36</v>
      </c>
      <c r="Y569" s="2">
        <v>67.400000000000006</v>
      </c>
      <c r="Z569" s="2"/>
      <c r="AA569" s="2">
        <f t="shared" si="87"/>
        <v>-67.400000000000006</v>
      </c>
      <c r="AB569" s="2">
        <v>63.91</v>
      </c>
      <c r="AC569" s="2"/>
      <c r="AD569" s="2">
        <f t="shared" si="88"/>
        <v>-63.91</v>
      </c>
      <c r="AE569" s="2">
        <v>297.99</v>
      </c>
      <c r="AF569" s="2"/>
      <c r="AG569" s="2">
        <f t="shared" si="89"/>
        <v>-297.99</v>
      </c>
    </row>
    <row r="570" spans="1:33" x14ac:dyDescent="0.3">
      <c r="B570" s="3"/>
      <c r="C570" t="str">
        <f xml:space="preserve"> _xll.EPMOlapMemberO("[CLACO].[PARENTH1].[AMSAINFORMATIC]","","Informática y Comuni","","000")</f>
        <v>Informática y Comuni</v>
      </c>
      <c r="D570" s="2">
        <v>73862.48</v>
      </c>
      <c r="E570" s="2">
        <v>704436.65</v>
      </c>
      <c r="F570" s="2">
        <f t="shared" si="80"/>
        <v>630574.17000000004</v>
      </c>
      <c r="G570" s="2">
        <v>167954.5</v>
      </c>
      <c r="H570" s="2">
        <v>188077.47</v>
      </c>
      <c r="I570" s="2">
        <f t="shared" si="81"/>
        <v>20122.97</v>
      </c>
      <c r="J570" s="2">
        <v>187811.47</v>
      </c>
      <c r="K570" s="2">
        <v>422865.35</v>
      </c>
      <c r="L570" s="2">
        <f t="shared" si="82"/>
        <v>235053.87999999998</v>
      </c>
      <c r="M570" s="2">
        <v>434591.45</v>
      </c>
      <c r="N570" s="2">
        <v>427172.68</v>
      </c>
      <c r="O570" s="2">
        <f t="shared" si="83"/>
        <v>-7418.7700000000186</v>
      </c>
      <c r="P570" s="2">
        <v>18317.55</v>
      </c>
      <c r="Q570" s="2">
        <v>627.45000000000005</v>
      </c>
      <c r="R570" s="2">
        <f t="shared" si="84"/>
        <v>-17690.099999999999</v>
      </c>
      <c r="S570" s="2">
        <v>35919.440000000002</v>
      </c>
      <c r="T570" s="2">
        <v>582.41999999999996</v>
      </c>
      <c r="U570" s="2">
        <f t="shared" si="85"/>
        <v>-35337.020000000004</v>
      </c>
      <c r="V570" s="2">
        <v>50761.21</v>
      </c>
      <c r="W570" s="2">
        <v>47763.72</v>
      </c>
      <c r="X570" s="2">
        <f t="shared" si="86"/>
        <v>-2997.489999999998</v>
      </c>
      <c r="Y570" s="2">
        <v>19149.16</v>
      </c>
      <c r="Z570" s="2">
        <v>585.88</v>
      </c>
      <c r="AA570" s="2">
        <f t="shared" si="87"/>
        <v>-18563.28</v>
      </c>
      <c r="AB570" s="2">
        <v>57889.1</v>
      </c>
      <c r="AC570" s="2">
        <v>333060.68</v>
      </c>
      <c r="AD570" s="2">
        <f t="shared" si="88"/>
        <v>275171.58</v>
      </c>
      <c r="AE570" s="2">
        <v>209604.8</v>
      </c>
      <c r="AF570" s="2">
        <v>487611.76</v>
      </c>
      <c r="AG570" s="2">
        <f t="shared" si="89"/>
        <v>278006.96000000002</v>
      </c>
    </row>
    <row r="571" spans="1:33" x14ac:dyDescent="0.3">
      <c r="B571" s="3"/>
      <c r="C571" t="str">
        <f xml:space="preserve"> _xll.EPMOlapMemberO("[CLACO].[PARENTH1].[AMSAG_VIAJES]","","Gastos de Viajes","","000")</f>
        <v>Gastos de Viajes</v>
      </c>
      <c r="D571" s="2">
        <v>14911.97</v>
      </c>
      <c r="E571" s="2">
        <v>1028.28</v>
      </c>
      <c r="F571" s="2">
        <f t="shared" si="80"/>
        <v>-13883.689999999999</v>
      </c>
      <c r="G571" s="2">
        <v>8764.2099999999991</v>
      </c>
      <c r="H571" s="2">
        <v>1000</v>
      </c>
      <c r="I571" s="2">
        <f t="shared" si="81"/>
        <v>-7764.2099999999991</v>
      </c>
      <c r="J571" s="2">
        <v>12180.07</v>
      </c>
      <c r="K571" s="2">
        <v>984.67</v>
      </c>
      <c r="L571" s="2">
        <f t="shared" si="82"/>
        <v>-11195.4</v>
      </c>
      <c r="M571" s="2">
        <v>2696.91</v>
      </c>
      <c r="N571" s="2">
        <v>981.02</v>
      </c>
      <c r="O571" s="2">
        <f t="shared" si="83"/>
        <v>-1715.8899999999999</v>
      </c>
      <c r="P571" s="2">
        <v>643.85</v>
      </c>
      <c r="Q571" s="2"/>
      <c r="R571" s="2">
        <f t="shared" si="84"/>
        <v>-643.85</v>
      </c>
      <c r="S571" s="2">
        <v>59.36</v>
      </c>
      <c r="T571" s="2">
        <v>493.57</v>
      </c>
      <c r="U571" s="2">
        <f t="shared" si="85"/>
        <v>434.21</v>
      </c>
      <c r="V571" s="2">
        <v>323.19</v>
      </c>
      <c r="W571" s="2">
        <v>4018.35</v>
      </c>
      <c r="X571" s="2">
        <f t="shared" si="86"/>
        <v>3695.16</v>
      </c>
      <c r="Y571" s="2">
        <v>-39</v>
      </c>
      <c r="Z571" s="2"/>
      <c r="AA571" s="2">
        <f t="shared" si="87"/>
        <v>39</v>
      </c>
      <c r="AB571" s="2">
        <v>508.25</v>
      </c>
      <c r="AC571" s="2"/>
      <c r="AD571" s="2">
        <f t="shared" si="88"/>
        <v>-508.25</v>
      </c>
      <c r="AE571" s="2">
        <v>1938.51</v>
      </c>
      <c r="AF571" s="2">
        <v>4998.24</v>
      </c>
      <c r="AG571" s="2">
        <f t="shared" si="89"/>
        <v>3059.7299999999996</v>
      </c>
    </row>
    <row r="572" spans="1:33" x14ac:dyDescent="0.3">
      <c r="B572" s="3"/>
      <c r="C572" t="str">
        <f xml:space="preserve"> _xll.EPMOlapMemberO("[CLACO].[PARENTH1].[AMSAIMP_PATEN]","","Impuestos / Patentes","","000")</f>
        <v>Impuestos / Patentes</v>
      </c>
      <c r="D572" s="2">
        <v>13.06</v>
      </c>
      <c r="E572" s="2"/>
      <c r="F572" s="2">
        <f t="shared" si="80"/>
        <v>-13.06</v>
      </c>
      <c r="G572" s="2"/>
      <c r="H572" s="2"/>
      <c r="I572" s="2">
        <f t="shared" si="81"/>
        <v>0</v>
      </c>
      <c r="J572" s="2">
        <v>118.66</v>
      </c>
      <c r="K572" s="2"/>
      <c r="L572" s="2">
        <f t="shared" si="82"/>
        <v>-118.66</v>
      </c>
      <c r="M572" s="2"/>
      <c r="N572" s="2"/>
      <c r="O572" s="2">
        <f t="shared" si="83"/>
        <v>0</v>
      </c>
      <c r="P572" s="2"/>
      <c r="Q572" s="2"/>
      <c r="R572" s="2">
        <f t="shared" si="84"/>
        <v>0</v>
      </c>
      <c r="S572" s="2"/>
      <c r="T572" s="2"/>
      <c r="U572" s="2">
        <f t="shared" si="85"/>
        <v>0</v>
      </c>
      <c r="V572" s="2"/>
      <c r="W572" s="2"/>
      <c r="X572" s="2">
        <f t="shared" si="86"/>
        <v>0</v>
      </c>
      <c r="Y572" s="2"/>
      <c r="Z572" s="2"/>
      <c r="AA572" s="2">
        <f t="shared" si="87"/>
        <v>0</v>
      </c>
      <c r="AB572" s="2"/>
      <c r="AC572" s="2"/>
      <c r="AD572" s="2">
        <f t="shared" si="88"/>
        <v>0</v>
      </c>
      <c r="AE572" s="2"/>
      <c r="AF572" s="2"/>
      <c r="AG572" s="2">
        <f t="shared" si="89"/>
        <v>0</v>
      </c>
    </row>
    <row r="573" spans="1:33" x14ac:dyDescent="0.3">
      <c r="B573" s="3"/>
      <c r="C573" t="str">
        <f xml:space="preserve"> _xll.EPMOlapMemberO("[CLACO].[PARENTH1].[AMSAGGENERALES.2]","","Otros Gastos","","000")</f>
        <v>Otros Gastos</v>
      </c>
      <c r="D573" s="2">
        <v>34195.910000000003</v>
      </c>
      <c r="E573" s="2">
        <v>76768.37</v>
      </c>
      <c r="F573" s="2">
        <f t="shared" si="80"/>
        <v>42572.459999999992</v>
      </c>
      <c r="G573" s="2">
        <v>24336.98</v>
      </c>
      <c r="H573" s="2">
        <v>64824</v>
      </c>
      <c r="I573" s="2">
        <f t="shared" si="81"/>
        <v>40487.020000000004</v>
      </c>
      <c r="J573" s="2">
        <v>18854.13</v>
      </c>
      <c r="K573" s="2">
        <v>25861.45</v>
      </c>
      <c r="L573" s="2">
        <f t="shared" si="82"/>
        <v>7007.32</v>
      </c>
      <c r="M573" s="2">
        <v>216677.1</v>
      </c>
      <c r="N573" s="2">
        <v>25778.47</v>
      </c>
      <c r="O573" s="2">
        <f t="shared" si="83"/>
        <v>-190898.63</v>
      </c>
      <c r="P573" s="2">
        <v>12857.12</v>
      </c>
      <c r="Q573" s="2">
        <v>1346.93</v>
      </c>
      <c r="R573" s="2">
        <f t="shared" si="84"/>
        <v>-11510.19</v>
      </c>
      <c r="S573" s="2">
        <v>1203.17</v>
      </c>
      <c r="T573" s="2">
        <v>1345.56</v>
      </c>
      <c r="U573" s="2">
        <f t="shared" si="85"/>
        <v>142.38999999999987</v>
      </c>
      <c r="V573" s="2">
        <v>7175.87</v>
      </c>
      <c r="W573" s="2">
        <v>2257.0300000000002</v>
      </c>
      <c r="X573" s="2">
        <f t="shared" si="86"/>
        <v>-4918.84</v>
      </c>
      <c r="Y573" s="2">
        <v>202.51</v>
      </c>
      <c r="Z573" s="2">
        <v>7960.7</v>
      </c>
      <c r="AA573" s="2">
        <f t="shared" si="87"/>
        <v>7758.19</v>
      </c>
      <c r="AB573" s="2">
        <v>-190416.51</v>
      </c>
      <c r="AC573" s="2">
        <v>1341.54</v>
      </c>
      <c r="AD573" s="2">
        <f t="shared" si="88"/>
        <v>191758.05000000002</v>
      </c>
      <c r="AE573" s="2">
        <v>-167838.67</v>
      </c>
      <c r="AF573" s="2">
        <v>26409.07</v>
      </c>
      <c r="AG573" s="2">
        <f t="shared" si="89"/>
        <v>194247.74000000002</v>
      </c>
    </row>
    <row r="574" spans="1:33" x14ac:dyDescent="0.3">
      <c r="A574" t="s">
        <v>68</v>
      </c>
      <c r="B574" s="3" t="str">
        <f xml:space="preserve"> _xll.EPMOlapMemberO("[CECO].[PARENTH3].[AMSA1000AC0520]","","VP Rel institucional","","000")</f>
        <v>VP Rel institucional</v>
      </c>
      <c r="C574" t="str">
        <f xml:space="preserve"> _xll.EPMOlapMemberO("[CLACO].[PARENTH1].[AMSAREMUNERACI.SS]","","Remuneraciones Super","","000")</f>
        <v>Remuneraciones Super</v>
      </c>
      <c r="D574" s="2">
        <v>24425.08</v>
      </c>
      <c r="E574" s="2">
        <v>20152.48</v>
      </c>
      <c r="F574" s="2">
        <f t="shared" si="80"/>
        <v>-4272.6000000000022</v>
      </c>
      <c r="G574" s="2">
        <v>29997.9</v>
      </c>
      <c r="H574" s="2">
        <v>20704.14</v>
      </c>
      <c r="I574" s="2">
        <f t="shared" si="81"/>
        <v>-9293.760000000002</v>
      </c>
      <c r="J574" s="2">
        <v>24410.94</v>
      </c>
      <c r="K574" s="2">
        <v>37817.14</v>
      </c>
      <c r="L574" s="2">
        <f t="shared" si="82"/>
        <v>13406.2</v>
      </c>
      <c r="M574" s="2">
        <v>28689.65</v>
      </c>
      <c r="N574" s="2"/>
      <c r="O574" s="2">
        <f t="shared" si="83"/>
        <v>-28689.65</v>
      </c>
      <c r="P574" s="2">
        <v>1564.13</v>
      </c>
      <c r="Q574" s="2">
        <v>26473.79</v>
      </c>
      <c r="R574" s="2">
        <f t="shared" si="84"/>
        <v>24909.66</v>
      </c>
      <c r="S574" s="2">
        <v>1577.59</v>
      </c>
      <c r="T574" s="2">
        <v>26471.83</v>
      </c>
      <c r="U574" s="2">
        <f t="shared" si="85"/>
        <v>24894.240000000002</v>
      </c>
      <c r="V574" s="2">
        <v>2402.75</v>
      </c>
      <c r="W574" s="2">
        <v>26469.88</v>
      </c>
      <c r="X574" s="2">
        <f t="shared" si="86"/>
        <v>24067.13</v>
      </c>
      <c r="Y574" s="2">
        <v>2452.4</v>
      </c>
      <c r="Z574" s="2">
        <v>26027.96</v>
      </c>
      <c r="AA574" s="2">
        <f t="shared" si="87"/>
        <v>23575.559999999998</v>
      </c>
      <c r="AB574" s="2">
        <v>2431.37</v>
      </c>
      <c r="AC574" s="2">
        <v>26026.02</v>
      </c>
      <c r="AD574" s="2">
        <f t="shared" si="88"/>
        <v>23594.65</v>
      </c>
      <c r="AE574" s="2">
        <v>10428.24</v>
      </c>
      <c r="AF574" s="2">
        <v>319322.64</v>
      </c>
      <c r="AG574" s="2">
        <f t="shared" si="89"/>
        <v>308894.40000000002</v>
      </c>
    </row>
    <row r="575" spans="1:33" x14ac:dyDescent="0.3">
      <c r="B575" s="3"/>
      <c r="C575" t="str">
        <f xml:space="preserve"> _xll.EPMOlapMemberO("[CLACO].[PARENTH1].[AMSAINFORMATIC]","","Informática y Comuni","","000")</f>
        <v>Informática y Comuni</v>
      </c>
      <c r="D575" s="2">
        <v>292.81</v>
      </c>
      <c r="E575" s="2"/>
      <c r="F575" s="2">
        <f t="shared" si="80"/>
        <v>-292.81</v>
      </c>
      <c r="G575" s="2">
        <v>185.13</v>
      </c>
      <c r="H575" s="2"/>
      <c r="I575" s="2">
        <f t="shared" si="81"/>
        <v>-185.13</v>
      </c>
      <c r="J575" s="2"/>
      <c r="K575" s="2"/>
      <c r="L575" s="2">
        <f t="shared" si="82"/>
        <v>0</v>
      </c>
      <c r="M575" s="2">
        <v>216.5</v>
      </c>
      <c r="N575" s="2"/>
      <c r="O575" s="2">
        <f t="shared" si="83"/>
        <v>-216.5</v>
      </c>
      <c r="P575" s="2"/>
      <c r="Q575" s="2"/>
      <c r="R575" s="2">
        <f t="shared" si="84"/>
        <v>0</v>
      </c>
      <c r="S575" s="2"/>
      <c r="T575" s="2"/>
      <c r="U575" s="2">
        <f t="shared" si="85"/>
        <v>0</v>
      </c>
      <c r="V575" s="2"/>
      <c r="W575" s="2"/>
      <c r="X575" s="2">
        <f t="shared" si="86"/>
        <v>0</v>
      </c>
      <c r="Y575" s="2"/>
      <c r="Z575" s="2"/>
      <c r="AA575" s="2">
        <f t="shared" si="87"/>
        <v>0</v>
      </c>
      <c r="AB575" s="2"/>
      <c r="AC575" s="2"/>
      <c r="AD575" s="2">
        <f t="shared" si="88"/>
        <v>0</v>
      </c>
      <c r="AE575" s="2"/>
      <c r="AF575" s="2"/>
      <c r="AG575" s="2">
        <f t="shared" si="89"/>
        <v>0</v>
      </c>
    </row>
    <row r="576" spans="1:33" x14ac:dyDescent="0.3">
      <c r="B576" s="3"/>
      <c r="C576" t="str">
        <f xml:space="preserve"> _xll.EPMOlapMemberO("[CLACO].[PARENTH1].[AMSAG_VIAJES]","","Gastos de Viajes","","000")</f>
        <v>Gastos de Viajes</v>
      </c>
      <c r="D576" s="2"/>
      <c r="E576" s="2"/>
      <c r="F576" s="2">
        <f t="shared" si="80"/>
        <v>0</v>
      </c>
      <c r="G576" s="2">
        <v>37.369999999999997</v>
      </c>
      <c r="H576" s="2"/>
      <c r="I576" s="2">
        <f t="shared" si="81"/>
        <v>-37.369999999999997</v>
      </c>
      <c r="J576" s="2"/>
      <c r="K576" s="2"/>
      <c r="L576" s="2">
        <f t="shared" si="82"/>
        <v>0</v>
      </c>
      <c r="M576" s="2"/>
      <c r="N576" s="2"/>
      <c r="O576" s="2">
        <f t="shared" si="83"/>
        <v>0</v>
      </c>
      <c r="P576" s="2"/>
      <c r="Q576" s="2"/>
      <c r="R576" s="2">
        <f t="shared" si="84"/>
        <v>0</v>
      </c>
      <c r="S576" s="2"/>
      <c r="T576" s="2"/>
      <c r="U576" s="2">
        <f t="shared" si="85"/>
        <v>0</v>
      </c>
      <c r="V576" s="2"/>
      <c r="W576" s="2"/>
      <c r="X576" s="2">
        <f t="shared" si="86"/>
        <v>0</v>
      </c>
      <c r="Y576" s="2"/>
      <c r="Z576" s="2"/>
      <c r="AA576" s="2">
        <f t="shared" si="87"/>
        <v>0</v>
      </c>
      <c r="AB576" s="2"/>
      <c r="AC576" s="2"/>
      <c r="AD576" s="2">
        <f t="shared" si="88"/>
        <v>0</v>
      </c>
      <c r="AE576" s="2"/>
      <c r="AF576" s="2"/>
      <c r="AG576" s="2">
        <f t="shared" si="89"/>
        <v>0</v>
      </c>
    </row>
    <row r="577" spans="1:33" x14ac:dyDescent="0.3">
      <c r="B577" s="3"/>
      <c r="C577" t="str">
        <f xml:space="preserve"> _xll.EPMOlapMemberO("[CLACO].[PARENTH1].[AMSAGGENERALES.2]","","Otros Gastos","","000")</f>
        <v>Otros Gastos</v>
      </c>
      <c r="D577" s="2">
        <v>1.8</v>
      </c>
      <c r="E577" s="2"/>
      <c r="F577" s="2">
        <f t="shared" si="80"/>
        <v>-1.8</v>
      </c>
      <c r="G577" s="2">
        <v>18.350000000000001</v>
      </c>
      <c r="H577" s="2"/>
      <c r="I577" s="2">
        <f t="shared" si="81"/>
        <v>-18.350000000000001</v>
      </c>
      <c r="J577" s="2">
        <v>49.35</v>
      </c>
      <c r="K577" s="2"/>
      <c r="L577" s="2">
        <f t="shared" si="82"/>
        <v>-49.35</v>
      </c>
      <c r="M577" s="2">
        <v>163.49</v>
      </c>
      <c r="N577" s="2"/>
      <c r="O577" s="2">
        <f t="shared" si="83"/>
        <v>-163.49</v>
      </c>
      <c r="P577" s="2"/>
      <c r="Q577" s="2"/>
      <c r="R577" s="2">
        <f t="shared" si="84"/>
        <v>0</v>
      </c>
      <c r="S577" s="2"/>
      <c r="T577" s="2"/>
      <c r="U577" s="2">
        <f t="shared" si="85"/>
        <v>0</v>
      </c>
      <c r="V577" s="2"/>
      <c r="W577" s="2"/>
      <c r="X577" s="2">
        <f t="shared" si="86"/>
        <v>0</v>
      </c>
      <c r="Y577" s="2">
        <v>0.06</v>
      </c>
      <c r="Z577" s="2"/>
      <c r="AA577" s="2">
        <f t="shared" si="87"/>
        <v>-0.06</v>
      </c>
      <c r="AB577" s="2">
        <v>2.46</v>
      </c>
      <c r="AC577" s="2"/>
      <c r="AD577" s="2">
        <f t="shared" si="88"/>
        <v>-2.46</v>
      </c>
      <c r="AE577" s="2">
        <v>2.52</v>
      </c>
      <c r="AF577" s="2"/>
      <c r="AG577" s="2">
        <f t="shared" si="89"/>
        <v>-2.52</v>
      </c>
    </row>
    <row r="578" spans="1:33" x14ac:dyDescent="0.3">
      <c r="A578" t="s">
        <v>69</v>
      </c>
      <c r="B578" s="3" t="str">
        <f xml:space="preserve"> _xll.EPMOlapMemberO("[CECO].[PARENTH3].[AMSA1000AC0509]","","Evaluación de Negoci","","000")</f>
        <v>Evaluación de Negoci</v>
      </c>
      <c r="C578" t="str">
        <f xml:space="preserve"> _xll.EPMOlapMemberO("[CLACO].[PARENTH1].[AMSAREMUNERACI.SS]","","Remuneraciones Super","","000")</f>
        <v>Remuneraciones Super</v>
      </c>
      <c r="D578" s="2">
        <v>1140970.21</v>
      </c>
      <c r="E578" s="2">
        <v>1161184.0900000001</v>
      </c>
      <c r="F578" s="2">
        <f t="shared" si="80"/>
        <v>20213.880000000121</v>
      </c>
      <c r="G578" s="2">
        <v>1580351.31</v>
      </c>
      <c r="H578" s="2">
        <v>1298497.6399999999</v>
      </c>
      <c r="I578" s="2">
        <f t="shared" si="81"/>
        <v>-281853.67000000016</v>
      </c>
      <c r="J578" s="2">
        <v>1531644.1</v>
      </c>
      <c r="K578" s="2">
        <v>1537676.11</v>
      </c>
      <c r="L578" s="2">
        <f t="shared" si="82"/>
        <v>6032.0100000000093</v>
      </c>
      <c r="M578" s="2">
        <v>594474.51</v>
      </c>
      <c r="N578" s="2">
        <v>1657610.14</v>
      </c>
      <c r="O578" s="2">
        <f t="shared" si="83"/>
        <v>1063135.6299999999</v>
      </c>
      <c r="P578" s="2">
        <v>38197.32</v>
      </c>
      <c r="Q578" s="2">
        <v>37131.760000000002</v>
      </c>
      <c r="R578" s="2">
        <f t="shared" si="84"/>
        <v>-1065.5599999999977</v>
      </c>
      <c r="S578" s="2">
        <v>42610.31</v>
      </c>
      <c r="T578" s="2">
        <v>40258.65</v>
      </c>
      <c r="U578" s="2">
        <f t="shared" si="85"/>
        <v>-2351.6599999999962</v>
      </c>
      <c r="V578" s="2">
        <v>38762.080000000002</v>
      </c>
      <c r="W578" s="2">
        <v>42398.71</v>
      </c>
      <c r="X578" s="2">
        <f t="shared" si="86"/>
        <v>3636.6299999999974</v>
      </c>
      <c r="Y578" s="2">
        <v>37439.040000000001</v>
      </c>
      <c r="Z578" s="2">
        <v>47497.41</v>
      </c>
      <c r="AA578" s="2">
        <f t="shared" si="87"/>
        <v>10058.370000000003</v>
      </c>
      <c r="AB578" s="2">
        <v>54668.51</v>
      </c>
      <c r="AC578" s="2">
        <v>41873.760000000002</v>
      </c>
      <c r="AD578" s="2">
        <f t="shared" si="88"/>
        <v>-12794.75</v>
      </c>
      <c r="AE578" s="2">
        <v>212814.15</v>
      </c>
      <c r="AF578" s="2">
        <v>476347.85</v>
      </c>
      <c r="AG578" s="2">
        <f t="shared" si="89"/>
        <v>263533.69999999995</v>
      </c>
    </row>
    <row r="579" spans="1:33" x14ac:dyDescent="0.3">
      <c r="B579" s="3"/>
      <c r="C579" t="str">
        <f xml:space="preserve"> _xll.EPMOlapMemberO("[CLACO].[PARENTH1].[AMSAMAT_Y_REP.2]","","Materiales y repuest","","000")</f>
        <v>Materiales y repuest</v>
      </c>
      <c r="D579" s="2"/>
      <c r="E579" s="2"/>
      <c r="F579" s="2">
        <f t="shared" si="80"/>
        <v>0</v>
      </c>
      <c r="G579" s="2">
        <v>0</v>
      </c>
      <c r="H579" s="2"/>
      <c r="I579" s="2">
        <f t="shared" si="81"/>
        <v>0</v>
      </c>
      <c r="J579" s="2"/>
      <c r="K579" s="2"/>
      <c r="L579" s="2">
        <f t="shared" si="82"/>
        <v>0</v>
      </c>
      <c r="M579" s="2"/>
      <c r="N579" s="2"/>
      <c r="O579" s="2">
        <f t="shared" si="83"/>
        <v>0</v>
      </c>
      <c r="P579" s="2"/>
      <c r="Q579" s="2"/>
      <c r="R579" s="2">
        <f t="shared" si="84"/>
        <v>0</v>
      </c>
      <c r="S579" s="2"/>
      <c r="T579" s="2"/>
      <c r="U579" s="2">
        <f t="shared" si="85"/>
        <v>0</v>
      </c>
      <c r="V579" s="2"/>
      <c r="W579" s="2"/>
      <c r="X579" s="2">
        <f t="shared" si="86"/>
        <v>0</v>
      </c>
      <c r="Y579" s="2"/>
      <c r="Z579" s="2"/>
      <c r="AA579" s="2">
        <f t="shared" si="87"/>
        <v>0</v>
      </c>
      <c r="AB579" s="2"/>
      <c r="AC579" s="2"/>
      <c r="AD579" s="2">
        <f t="shared" si="88"/>
        <v>0</v>
      </c>
      <c r="AE579" s="2"/>
      <c r="AF579" s="2"/>
      <c r="AG579" s="2">
        <f t="shared" si="89"/>
        <v>0</v>
      </c>
    </row>
    <row r="580" spans="1:33" x14ac:dyDescent="0.3">
      <c r="B580" s="3"/>
      <c r="C580" t="str">
        <f xml:space="preserve"> _xll.EPMOlapMemberO("[CLACO].[PARENTH1].[AMSAENTRENAMI]","","Entrenamiento","","000")</f>
        <v>Entrenamiento</v>
      </c>
      <c r="D580" s="2"/>
      <c r="E580" s="2"/>
      <c r="F580" s="2">
        <f t="shared" si="80"/>
        <v>0</v>
      </c>
      <c r="G580" s="2"/>
      <c r="H580" s="2"/>
      <c r="I580" s="2">
        <f t="shared" si="81"/>
        <v>0</v>
      </c>
      <c r="J580" s="2">
        <v>1150</v>
      </c>
      <c r="K580" s="2"/>
      <c r="L580" s="2">
        <f t="shared" si="82"/>
        <v>-1150</v>
      </c>
      <c r="M580" s="2"/>
      <c r="N580" s="2"/>
      <c r="O580" s="2">
        <f t="shared" si="83"/>
        <v>0</v>
      </c>
      <c r="P580" s="2"/>
      <c r="Q580" s="2"/>
      <c r="R580" s="2">
        <f t="shared" si="84"/>
        <v>0</v>
      </c>
      <c r="S580" s="2"/>
      <c r="T580" s="2"/>
      <c r="U580" s="2">
        <f t="shared" si="85"/>
        <v>0</v>
      </c>
      <c r="V580" s="2"/>
      <c r="W580" s="2"/>
      <c r="X580" s="2">
        <f t="shared" si="86"/>
        <v>0</v>
      </c>
      <c r="Y580" s="2"/>
      <c r="Z580" s="2"/>
      <c r="AA580" s="2">
        <f t="shared" si="87"/>
        <v>0</v>
      </c>
      <c r="AB580" s="2"/>
      <c r="AC580" s="2"/>
      <c r="AD580" s="2">
        <f t="shared" si="88"/>
        <v>0</v>
      </c>
      <c r="AE580" s="2"/>
      <c r="AF580" s="2"/>
      <c r="AG580" s="2">
        <f t="shared" si="89"/>
        <v>0</v>
      </c>
    </row>
    <row r="581" spans="1:33" x14ac:dyDescent="0.3">
      <c r="B581" s="3"/>
      <c r="C581" t="str">
        <f xml:space="preserve"> _xll.EPMOlapMemberO("[CLACO].[PARENTH1].[AMSAARRIENDOS]","","Arriendos","","000")</f>
        <v>Arriendos</v>
      </c>
      <c r="D581" s="2">
        <v>102.24</v>
      </c>
      <c r="E581" s="2">
        <v>176.06</v>
      </c>
      <c r="F581" s="2">
        <f t="shared" si="80"/>
        <v>73.820000000000007</v>
      </c>
      <c r="G581" s="2">
        <v>319.61</v>
      </c>
      <c r="H581" s="2">
        <v>155.47</v>
      </c>
      <c r="I581" s="2">
        <f t="shared" si="81"/>
        <v>-164.14000000000001</v>
      </c>
      <c r="J581" s="2"/>
      <c r="K581" s="2">
        <v>163.97</v>
      </c>
      <c r="L581" s="2">
        <f t="shared" si="82"/>
        <v>163.97</v>
      </c>
      <c r="M581" s="2"/>
      <c r="N581" s="2">
        <v>154.55000000000001</v>
      </c>
      <c r="O581" s="2">
        <f t="shared" si="83"/>
        <v>154.55000000000001</v>
      </c>
      <c r="P581" s="2"/>
      <c r="Q581" s="2"/>
      <c r="R581" s="2">
        <f t="shared" si="84"/>
        <v>0</v>
      </c>
      <c r="S581" s="2"/>
      <c r="T581" s="2"/>
      <c r="U581" s="2">
        <f t="shared" si="85"/>
        <v>0</v>
      </c>
      <c r="V581" s="2"/>
      <c r="W581" s="2">
        <v>50.7</v>
      </c>
      <c r="X581" s="2">
        <f t="shared" si="86"/>
        <v>50.7</v>
      </c>
      <c r="Y581" s="2"/>
      <c r="Z581" s="2"/>
      <c r="AA581" s="2">
        <f t="shared" si="87"/>
        <v>0</v>
      </c>
      <c r="AB581" s="2"/>
      <c r="AC581" s="2"/>
      <c r="AD581" s="2">
        <f t="shared" si="88"/>
        <v>0</v>
      </c>
      <c r="AE581" s="2"/>
      <c r="AF581" s="2">
        <v>153.52000000000001</v>
      </c>
      <c r="AG581" s="2">
        <f t="shared" si="89"/>
        <v>153.52000000000001</v>
      </c>
    </row>
    <row r="582" spans="1:33" x14ac:dyDescent="0.3">
      <c r="B582" s="3"/>
      <c r="C582" t="str">
        <f xml:space="preserve"> _xll.EPMOlapMemberO("[CLACO].[PARENTH1].[AMSASERVICIOS]","","Servicios","","000")</f>
        <v>Servicios</v>
      </c>
      <c r="D582" s="2">
        <v>60.49</v>
      </c>
      <c r="E582" s="2">
        <v>666.85</v>
      </c>
      <c r="F582" s="2">
        <f t="shared" si="80"/>
        <v>606.36</v>
      </c>
      <c r="G582" s="2">
        <v>580.28</v>
      </c>
      <c r="H582" s="2">
        <v>591.17999999999995</v>
      </c>
      <c r="I582" s="2">
        <f t="shared" si="81"/>
        <v>10.899999999999977</v>
      </c>
      <c r="J582" s="2">
        <v>775.55</v>
      </c>
      <c r="K582" s="2">
        <v>624</v>
      </c>
      <c r="L582" s="2">
        <f t="shared" si="82"/>
        <v>-151.54999999999995</v>
      </c>
      <c r="M582" s="2">
        <v>-265.86</v>
      </c>
      <c r="N582" s="2">
        <v>588.17999999999995</v>
      </c>
      <c r="O582" s="2">
        <f t="shared" si="83"/>
        <v>854.04</v>
      </c>
      <c r="P582" s="2"/>
      <c r="Q582" s="2"/>
      <c r="R582" s="2">
        <f t="shared" si="84"/>
        <v>0</v>
      </c>
      <c r="S582" s="2"/>
      <c r="T582" s="2"/>
      <c r="U582" s="2">
        <f t="shared" si="85"/>
        <v>0</v>
      </c>
      <c r="V582" s="2">
        <v>38.450000000000003</v>
      </c>
      <c r="W582" s="2">
        <v>289.7</v>
      </c>
      <c r="X582" s="2">
        <f t="shared" si="86"/>
        <v>251.25</v>
      </c>
      <c r="Y582" s="2"/>
      <c r="Z582" s="2"/>
      <c r="AA582" s="2">
        <f t="shared" si="87"/>
        <v>0</v>
      </c>
      <c r="AB582" s="2"/>
      <c r="AC582" s="2"/>
      <c r="AD582" s="2">
        <f t="shared" si="88"/>
        <v>0</v>
      </c>
      <c r="AE582" s="2">
        <v>38.450000000000003</v>
      </c>
      <c r="AF582" s="2">
        <v>584.28</v>
      </c>
      <c r="AG582" s="2">
        <f t="shared" si="89"/>
        <v>545.82999999999993</v>
      </c>
    </row>
    <row r="583" spans="1:33" x14ac:dyDescent="0.3">
      <c r="B583" s="3"/>
      <c r="C583" t="str">
        <f xml:space="preserve"> _xll.EPMOlapMemberO("[CLACO].[PARENTH1].[AMSAINFORMATIC]","","Informática y Comuni","","000")</f>
        <v>Informática y Comuni</v>
      </c>
      <c r="D583" s="2">
        <v>26777.48</v>
      </c>
      <c r="E583" s="2">
        <v>32149.77</v>
      </c>
      <c r="F583" s="2">
        <f t="shared" si="80"/>
        <v>5372.2900000000009</v>
      </c>
      <c r="G583" s="2">
        <v>29963.08</v>
      </c>
      <c r="H583" s="2">
        <v>34514.050000000003</v>
      </c>
      <c r="I583" s="2">
        <f t="shared" si="81"/>
        <v>4550.9700000000012</v>
      </c>
      <c r="J583" s="2">
        <v>31662.79</v>
      </c>
      <c r="K583" s="2">
        <v>34306.28</v>
      </c>
      <c r="L583" s="2">
        <f t="shared" si="82"/>
        <v>2643.489999999998</v>
      </c>
      <c r="M583" s="2">
        <v>32461.97</v>
      </c>
      <c r="N583" s="2">
        <v>33918.81</v>
      </c>
      <c r="O583" s="2">
        <f t="shared" si="83"/>
        <v>1456.8399999999965</v>
      </c>
      <c r="P583" s="2">
        <v>-22.13</v>
      </c>
      <c r="Q583" s="2">
        <v>7616.98</v>
      </c>
      <c r="R583" s="2">
        <f t="shared" si="84"/>
        <v>7639.11</v>
      </c>
      <c r="S583" s="2">
        <v>108.05</v>
      </c>
      <c r="T583" s="2">
        <v>726.29</v>
      </c>
      <c r="U583" s="2">
        <f t="shared" si="85"/>
        <v>618.24</v>
      </c>
      <c r="V583" s="2">
        <v>7312.72</v>
      </c>
      <c r="W583" s="2">
        <v>724.25</v>
      </c>
      <c r="X583" s="2">
        <f t="shared" si="86"/>
        <v>-6588.47</v>
      </c>
      <c r="Y583" s="2">
        <v>81.239999999999995</v>
      </c>
      <c r="Z583" s="2">
        <v>7572.92</v>
      </c>
      <c r="AA583" s="2">
        <f t="shared" si="87"/>
        <v>7491.68</v>
      </c>
      <c r="AB583" s="2">
        <v>77.38</v>
      </c>
      <c r="AC583" s="2">
        <v>302.5</v>
      </c>
      <c r="AD583" s="2">
        <f t="shared" si="88"/>
        <v>225.12</v>
      </c>
      <c r="AE583" s="2">
        <v>7707.72</v>
      </c>
      <c r="AF583" s="2">
        <v>33855.51</v>
      </c>
      <c r="AG583" s="2">
        <f t="shared" si="89"/>
        <v>26147.79</v>
      </c>
    </row>
    <row r="584" spans="1:33" x14ac:dyDescent="0.3">
      <c r="B584" s="3"/>
      <c r="C584" t="str">
        <f xml:space="preserve"> _xll.EPMOlapMemberO("[CLACO].[PARENTH1].[AMSAG_VIAJES]","","Gastos de Viajes","","000")</f>
        <v>Gastos de Viajes</v>
      </c>
      <c r="D584" s="2">
        <v>17281.490000000002</v>
      </c>
      <c r="E584" s="2">
        <v>11511.11</v>
      </c>
      <c r="F584" s="2">
        <f t="shared" si="80"/>
        <v>-5770.380000000001</v>
      </c>
      <c r="G584" s="2">
        <v>94889.83</v>
      </c>
      <c r="H584" s="2">
        <v>125243.96</v>
      </c>
      <c r="I584" s="2">
        <f t="shared" si="81"/>
        <v>30354.130000000005</v>
      </c>
      <c r="J584" s="2">
        <v>111123.51</v>
      </c>
      <c r="K584" s="2">
        <v>111431.29</v>
      </c>
      <c r="L584" s="2">
        <f t="shared" si="82"/>
        <v>307.77999999999884</v>
      </c>
      <c r="M584" s="2">
        <v>104227.2</v>
      </c>
      <c r="N584" s="2">
        <v>116847.54</v>
      </c>
      <c r="O584" s="2">
        <f t="shared" si="83"/>
        <v>12620.339999999997</v>
      </c>
      <c r="P584" s="2">
        <v>14433.84</v>
      </c>
      <c r="Q584" s="2">
        <v>22034.09</v>
      </c>
      <c r="R584" s="2">
        <f t="shared" si="84"/>
        <v>7600.25</v>
      </c>
      <c r="S584" s="2">
        <v>10073.370000000001</v>
      </c>
      <c r="T584" s="2"/>
      <c r="U584" s="2">
        <f t="shared" si="85"/>
        <v>-10073.370000000001</v>
      </c>
      <c r="V584" s="2">
        <v>2157.9299999999998</v>
      </c>
      <c r="W584" s="2">
        <v>32576.82</v>
      </c>
      <c r="X584" s="2">
        <f t="shared" si="86"/>
        <v>30418.89</v>
      </c>
      <c r="Y584" s="2">
        <v>-457.33</v>
      </c>
      <c r="Z584" s="2">
        <v>25047.49</v>
      </c>
      <c r="AA584" s="2">
        <f t="shared" si="87"/>
        <v>25504.820000000003</v>
      </c>
      <c r="AB584" s="2">
        <v>634.87</v>
      </c>
      <c r="AC584" s="2">
        <v>4873.96</v>
      </c>
      <c r="AD584" s="2">
        <f t="shared" si="88"/>
        <v>4239.09</v>
      </c>
      <c r="AE584" s="2">
        <v>27284.82</v>
      </c>
      <c r="AF584" s="2">
        <v>118331.93</v>
      </c>
      <c r="AG584" s="2">
        <f t="shared" si="89"/>
        <v>91047.109999999986</v>
      </c>
    </row>
    <row r="585" spans="1:33" x14ac:dyDescent="0.3">
      <c r="B585" s="3"/>
      <c r="C585" t="str">
        <f xml:space="preserve"> _xll.EPMOlapMemberO("[CLACO].[PARENTH1].[AMSAGGENERALES.2]","","Otros Gastos","","000")</f>
        <v>Otros Gastos</v>
      </c>
      <c r="D585" s="2">
        <v>729.49</v>
      </c>
      <c r="E585" s="2">
        <v>4033.11</v>
      </c>
      <c r="F585" s="2">
        <f t="shared" si="80"/>
        <v>3303.62</v>
      </c>
      <c r="G585" s="2">
        <v>2095.94</v>
      </c>
      <c r="H585" s="2">
        <v>3610.3</v>
      </c>
      <c r="I585" s="2">
        <f t="shared" si="81"/>
        <v>1514.3600000000001</v>
      </c>
      <c r="J585" s="2">
        <v>3199.43</v>
      </c>
      <c r="K585" s="2">
        <v>3779</v>
      </c>
      <c r="L585" s="2">
        <f t="shared" si="82"/>
        <v>579.57000000000016</v>
      </c>
      <c r="M585" s="2">
        <v>8761.23</v>
      </c>
      <c r="N585" s="2">
        <v>3558.09</v>
      </c>
      <c r="O585" s="2">
        <f t="shared" si="83"/>
        <v>-5203.1399999999994</v>
      </c>
      <c r="P585" s="2">
        <v>-155.49</v>
      </c>
      <c r="Q585" s="2">
        <v>80.12</v>
      </c>
      <c r="R585" s="2">
        <f t="shared" si="84"/>
        <v>235.61</v>
      </c>
      <c r="S585" s="2">
        <v>420.94</v>
      </c>
      <c r="T585" s="2">
        <v>58.1</v>
      </c>
      <c r="U585" s="2">
        <f t="shared" si="85"/>
        <v>-362.84</v>
      </c>
      <c r="V585" s="2">
        <v>56.57</v>
      </c>
      <c r="W585" s="2">
        <v>184.68</v>
      </c>
      <c r="X585" s="2">
        <f t="shared" si="86"/>
        <v>128.11000000000001</v>
      </c>
      <c r="Y585" s="2">
        <v>3.42</v>
      </c>
      <c r="Z585" s="2">
        <v>57.78</v>
      </c>
      <c r="AA585" s="2">
        <f t="shared" si="87"/>
        <v>54.36</v>
      </c>
      <c r="AB585" s="2">
        <v>4.8499999999999996</v>
      </c>
      <c r="AC585" s="2">
        <v>79.23</v>
      </c>
      <c r="AD585" s="2">
        <f t="shared" si="88"/>
        <v>74.38000000000001</v>
      </c>
      <c r="AE585" s="2">
        <v>347.57</v>
      </c>
      <c r="AF585" s="2">
        <v>3532.83</v>
      </c>
      <c r="AG585" s="2">
        <f t="shared" si="89"/>
        <v>3185.2599999999998</v>
      </c>
    </row>
    <row r="586" spans="1:33" x14ac:dyDescent="0.3">
      <c r="A586" t="s">
        <v>70</v>
      </c>
      <c r="B586" s="3" t="str">
        <f xml:space="preserve"> _xll.EPMOlapMemberO("[CECO].[PARENTH3].[AMSA1000AC0510]","","Energía","","000")</f>
        <v>Energía</v>
      </c>
      <c r="C586" t="str">
        <f xml:space="preserve"> _xll.EPMOlapMemberO("[CLACO].[PARENTH1].[AMSAREMUNERACI.SS]","","Remuneraciones Super","","000")</f>
        <v>Remuneraciones Super</v>
      </c>
      <c r="D586" s="2">
        <v>1118583.1299999999</v>
      </c>
      <c r="E586" s="2">
        <v>1265432.77</v>
      </c>
      <c r="F586" s="2">
        <f t="shared" si="80"/>
        <v>146849.64000000013</v>
      </c>
      <c r="G586" s="2">
        <v>1136005.73</v>
      </c>
      <c r="H586" s="2">
        <v>1425978.63</v>
      </c>
      <c r="I586" s="2">
        <f t="shared" si="81"/>
        <v>289972.89999999991</v>
      </c>
      <c r="J586" s="2">
        <v>0</v>
      </c>
      <c r="K586" s="2">
        <v>713094.88</v>
      </c>
      <c r="L586" s="2">
        <f t="shared" si="82"/>
        <v>713094.88</v>
      </c>
      <c r="M586" s="2"/>
      <c r="N586" s="2"/>
      <c r="O586" s="2">
        <f t="shared" si="83"/>
        <v>0</v>
      </c>
      <c r="P586" s="2"/>
      <c r="Q586" s="2"/>
      <c r="R586" s="2">
        <f t="shared" si="84"/>
        <v>0</v>
      </c>
      <c r="S586" s="2"/>
      <c r="T586" s="2"/>
      <c r="U586" s="2">
        <f t="shared" si="85"/>
        <v>0</v>
      </c>
      <c r="V586" s="2"/>
      <c r="W586" s="2"/>
      <c r="X586" s="2">
        <f t="shared" si="86"/>
        <v>0</v>
      </c>
      <c r="Y586" s="2"/>
      <c r="Z586" s="2"/>
      <c r="AA586" s="2">
        <f t="shared" si="87"/>
        <v>0</v>
      </c>
      <c r="AB586" s="2"/>
      <c r="AC586" s="2"/>
      <c r="AD586" s="2">
        <f t="shared" si="88"/>
        <v>0</v>
      </c>
      <c r="AE586" s="2"/>
      <c r="AF586" s="2"/>
      <c r="AG586" s="2">
        <f t="shared" si="89"/>
        <v>0</v>
      </c>
    </row>
    <row r="587" spans="1:33" x14ac:dyDescent="0.3">
      <c r="B587" s="3"/>
      <c r="C587" t="str">
        <f xml:space="preserve"> _xll.EPMOlapMemberO("[CLACO].[PARENTH1].[AMSAMAT_Y_REP.2]","","Materiales y repuest","","000")</f>
        <v>Materiales y repuest</v>
      </c>
      <c r="D587" s="2"/>
      <c r="E587" s="2"/>
      <c r="F587" s="2">
        <f t="shared" ref="F587:F650" si="90">+E587-D587</f>
        <v>0</v>
      </c>
      <c r="G587" s="2">
        <v>0</v>
      </c>
      <c r="H587" s="2"/>
      <c r="I587" s="2">
        <f t="shared" ref="I587:I650" si="91">+H587-G587</f>
        <v>0</v>
      </c>
      <c r="J587" s="2"/>
      <c r="K587" s="2"/>
      <c r="L587" s="2">
        <f t="shared" ref="L587:L650" si="92">+K587-J587</f>
        <v>0</v>
      </c>
      <c r="M587" s="2"/>
      <c r="N587" s="2"/>
      <c r="O587" s="2">
        <f t="shared" ref="O587:O650" si="93">+N587-M587</f>
        <v>0</v>
      </c>
      <c r="P587" s="2"/>
      <c r="Q587" s="2"/>
      <c r="R587" s="2">
        <f t="shared" ref="R587:R650" si="94">+Q587-P587</f>
        <v>0</v>
      </c>
      <c r="S587" s="2"/>
      <c r="T587" s="2"/>
      <c r="U587" s="2">
        <f t="shared" ref="U587:U650" si="95">+T587-S587</f>
        <v>0</v>
      </c>
      <c r="V587" s="2"/>
      <c r="W587" s="2"/>
      <c r="X587" s="2">
        <f t="shared" ref="X587:X650" si="96">+W587-V587</f>
        <v>0</v>
      </c>
      <c r="Y587" s="2"/>
      <c r="Z587" s="2"/>
      <c r="AA587" s="2">
        <f t="shared" ref="AA587:AA650" si="97">+Z587-Y587</f>
        <v>0</v>
      </c>
      <c r="AB587" s="2"/>
      <c r="AC587" s="2"/>
      <c r="AD587" s="2">
        <f t="shared" ref="AD587:AD650" si="98">+AC587-AB587</f>
        <v>0</v>
      </c>
      <c r="AE587" s="2"/>
      <c r="AF587" s="2"/>
      <c r="AG587" s="2">
        <f t="shared" ref="AG587:AG650" si="99">+AF587-AE587</f>
        <v>0</v>
      </c>
    </row>
    <row r="588" spans="1:33" x14ac:dyDescent="0.3">
      <c r="B588" s="3"/>
      <c r="C588" t="str">
        <f xml:space="preserve"> _xll.EPMOlapMemberO("[CLACO].[PARENTH1].[AMSAENTRENAMI]","","Entrenamiento","","000")</f>
        <v>Entrenamiento</v>
      </c>
      <c r="D588" s="2">
        <v>545.82000000000005</v>
      </c>
      <c r="E588" s="2">
        <v>12270.52</v>
      </c>
      <c r="F588" s="2">
        <f t="shared" si="90"/>
        <v>11724.7</v>
      </c>
      <c r="G588" s="2">
        <v>6369.82</v>
      </c>
      <c r="H588" s="2">
        <v>12315.86</v>
      </c>
      <c r="I588" s="2">
        <f t="shared" si="91"/>
        <v>5946.0400000000009</v>
      </c>
      <c r="J588" s="2"/>
      <c r="K588" s="2"/>
      <c r="L588" s="2">
        <f t="shared" si="92"/>
        <v>0</v>
      </c>
      <c r="M588" s="2"/>
      <c r="N588" s="2"/>
      <c r="O588" s="2">
        <f t="shared" si="93"/>
        <v>0</v>
      </c>
      <c r="P588" s="2"/>
      <c r="Q588" s="2"/>
      <c r="R588" s="2">
        <f t="shared" si="94"/>
        <v>0</v>
      </c>
      <c r="S588" s="2"/>
      <c r="T588" s="2"/>
      <c r="U588" s="2">
        <f t="shared" si="95"/>
        <v>0</v>
      </c>
      <c r="V588" s="2"/>
      <c r="W588" s="2"/>
      <c r="X588" s="2">
        <f t="shared" si="96"/>
        <v>0</v>
      </c>
      <c r="Y588" s="2"/>
      <c r="Z588" s="2"/>
      <c r="AA588" s="2">
        <f t="shared" si="97"/>
        <v>0</v>
      </c>
      <c r="AB588" s="2"/>
      <c r="AC588" s="2"/>
      <c r="AD588" s="2">
        <f t="shared" si="98"/>
        <v>0</v>
      </c>
      <c r="AE588" s="2"/>
      <c r="AF588" s="2"/>
      <c r="AG588" s="2">
        <f t="shared" si="99"/>
        <v>0</v>
      </c>
    </row>
    <row r="589" spans="1:33" x14ac:dyDescent="0.3">
      <c r="B589" s="3"/>
      <c r="C589" t="str">
        <f xml:space="preserve"> _xll.EPMOlapMemberO("[CLACO].[PARENTH1].[AMSAASESORIAS]","","Asesorías y Consulto","","000")</f>
        <v>Asesorías y Consulto</v>
      </c>
      <c r="D589" s="2">
        <v>371297.68</v>
      </c>
      <c r="E589" s="2">
        <v>261096.75</v>
      </c>
      <c r="F589" s="2">
        <f t="shared" si="90"/>
        <v>-110200.93</v>
      </c>
      <c r="G589" s="2">
        <v>215821.82</v>
      </c>
      <c r="H589" s="2">
        <v>483276.17</v>
      </c>
      <c r="I589" s="2">
        <f t="shared" si="91"/>
        <v>267454.34999999998</v>
      </c>
      <c r="J589" s="2">
        <v>0</v>
      </c>
      <c r="K589" s="2"/>
      <c r="L589" s="2">
        <f t="shared" si="92"/>
        <v>0</v>
      </c>
      <c r="M589" s="2"/>
      <c r="N589" s="2"/>
      <c r="O589" s="2">
        <f t="shared" si="93"/>
        <v>0</v>
      </c>
      <c r="P589" s="2"/>
      <c r="Q589" s="2"/>
      <c r="R589" s="2">
        <f t="shared" si="94"/>
        <v>0</v>
      </c>
      <c r="S589" s="2"/>
      <c r="T589" s="2"/>
      <c r="U589" s="2">
        <f t="shared" si="95"/>
        <v>0</v>
      </c>
      <c r="V589" s="2"/>
      <c r="W589" s="2"/>
      <c r="X589" s="2">
        <f t="shared" si="96"/>
        <v>0</v>
      </c>
      <c r="Y589" s="2"/>
      <c r="Z589" s="2"/>
      <c r="AA589" s="2">
        <f t="shared" si="97"/>
        <v>0</v>
      </c>
      <c r="AB589" s="2"/>
      <c r="AC589" s="2"/>
      <c r="AD589" s="2">
        <f t="shared" si="98"/>
        <v>0</v>
      </c>
      <c r="AE589" s="2"/>
      <c r="AF589" s="2"/>
      <c r="AG589" s="2">
        <f t="shared" si="99"/>
        <v>0</v>
      </c>
    </row>
    <row r="590" spans="1:33" x14ac:dyDescent="0.3">
      <c r="B590" s="3"/>
      <c r="C590" t="str">
        <f xml:space="preserve"> _xll.EPMOlapMemberO("[CLACO].[PARENTH1].[AMSAARRIENDOS]","","Arriendos","","000")</f>
        <v>Arriendos</v>
      </c>
      <c r="D590" s="2">
        <v>123.56</v>
      </c>
      <c r="E590" s="2">
        <v>195.49</v>
      </c>
      <c r="F590" s="2">
        <f t="shared" si="90"/>
        <v>71.930000000000007</v>
      </c>
      <c r="G590" s="2"/>
      <c r="H590" s="2"/>
      <c r="I590" s="2">
        <f t="shared" si="91"/>
        <v>0</v>
      </c>
      <c r="J590" s="2"/>
      <c r="K590" s="2"/>
      <c r="L590" s="2">
        <f t="shared" si="92"/>
        <v>0</v>
      </c>
      <c r="M590" s="2"/>
      <c r="N590" s="2"/>
      <c r="O590" s="2">
        <f t="shared" si="93"/>
        <v>0</v>
      </c>
      <c r="P590" s="2"/>
      <c r="Q590" s="2"/>
      <c r="R590" s="2">
        <f t="shared" si="94"/>
        <v>0</v>
      </c>
      <c r="S590" s="2"/>
      <c r="T590" s="2"/>
      <c r="U590" s="2">
        <f t="shared" si="95"/>
        <v>0</v>
      </c>
      <c r="V590" s="2"/>
      <c r="W590" s="2"/>
      <c r="X590" s="2">
        <f t="shared" si="96"/>
        <v>0</v>
      </c>
      <c r="Y590" s="2"/>
      <c r="Z590" s="2"/>
      <c r="AA590" s="2">
        <f t="shared" si="97"/>
        <v>0</v>
      </c>
      <c r="AB590" s="2"/>
      <c r="AC590" s="2"/>
      <c r="AD590" s="2">
        <f t="shared" si="98"/>
        <v>0</v>
      </c>
      <c r="AE590" s="2"/>
      <c r="AF590" s="2"/>
      <c r="AG590" s="2">
        <f t="shared" si="99"/>
        <v>0</v>
      </c>
    </row>
    <row r="591" spans="1:33" x14ac:dyDescent="0.3">
      <c r="B591" s="3"/>
      <c r="C591" t="str">
        <f xml:space="preserve"> _xll.EPMOlapMemberO("[CLACO].[PARENTH1].[AMSASERVICIOS]","","Servicios","","000")</f>
        <v>Servicios</v>
      </c>
      <c r="D591" s="2"/>
      <c r="E591" s="2"/>
      <c r="F591" s="2">
        <f t="shared" si="90"/>
        <v>0</v>
      </c>
      <c r="G591" s="2">
        <v>125247.05</v>
      </c>
      <c r="H591" s="2">
        <v>69087.53</v>
      </c>
      <c r="I591" s="2">
        <f t="shared" si="91"/>
        <v>-56159.520000000004</v>
      </c>
      <c r="J591" s="2">
        <v>-81.13</v>
      </c>
      <c r="K591" s="2"/>
      <c r="L591" s="2">
        <f t="shared" si="92"/>
        <v>81.13</v>
      </c>
      <c r="M591" s="2"/>
      <c r="N591" s="2"/>
      <c r="O591" s="2">
        <f t="shared" si="93"/>
        <v>0</v>
      </c>
      <c r="P591" s="2"/>
      <c r="Q591" s="2"/>
      <c r="R591" s="2">
        <f t="shared" si="94"/>
        <v>0</v>
      </c>
      <c r="S591" s="2"/>
      <c r="T591" s="2"/>
      <c r="U591" s="2">
        <f t="shared" si="95"/>
        <v>0</v>
      </c>
      <c r="V591" s="2"/>
      <c r="W591" s="2"/>
      <c r="X591" s="2">
        <f t="shared" si="96"/>
        <v>0</v>
      </c>
      <c r="Y591" s="2"/>
      <c r="Z591" s="2"/>
      <c r="AA591" s="2">
        <f t="shared" si="97"/>
        <v>0</v>
      </c>
      <c r="AB591" s="2"/>
      <c r="AC591" s="2"/>
      <c r="AD591" s="2">
        <f t="shared" si="98"/>
        <v>0</v>
      </c>
      <c r="AE591" s="2"/>
      <c r="AF591" s="2"/>
      <c r="AG591" s="2">
        <f t="shared" si="99"/>
        <v>0</v>
      </c>
    </row>
    <row r="592" spans="1:33" x14ac:dyDescent="0.3">
      <c r="B592" s="3"/>
      <c r="C592" t="str">
        <f xml:space="preserve"> _xll.EPMOlapMemberO("[CLACO].[PARENTH1].[AMSAINFORMATIC]","","Informática y Comuni","","000")</f>
        <v>Informática y Comuni</v>
      </c>
      <c r="D592" s="2">
        <v>1531.28</v>
      </c>
      <c r="E592" s="2">
        <v>2561.25</v>
      </c>
      <c r="F592" s="2">
        <f t="shared" si="90"/>
        <v>1029.97</v>
      </c>
      <c r="G592" s="2">
        <v>4720.8500000000004</v>
      </c>
      <c r="H592" s="2">
        <v>5842.08</v>
      </c>
      <c r="I592" s="2">
        <f t="shared" si="91"/>
        <v>1121.2299999999996</v>
      </c>
      <c r="J592" s="2">
        <v>-802.31</v>
      </c>
      <c r="K592" s="2"/>
      <c r="L592" s="2">
        <f t="shared" si="92"/>
        <v>802.31</v>
      </c>
      <c r="M592" s="2"/>
      <c r="N592" s="2"/>
      <c r="O592" s="2">
        <f t="shared" si="93"/>
        <v>0</v>
      </c>
      <c r="P592" s="2"/>
      <c r="Q592" s="2"/>
      <c r="R592" s="2">
        <f t="shared" si="94"/>
        <v>0</v>
      </c>
      <c r="S592" s="2"/>
      <c r="T592" s="2"/>
      <c r="U592" s="2">
        <f t="shared" si="95"/>
        <v>0</v>
      </c>
      <c r="V592" s="2"/>
      <c r="W592" s="2"/>
      <c r="X592" s="2">
        <f t="shared" si="96"/>
        <v>0</v>
      </c>
      <c r="Y592" s="2"/>
      <c r="Z592" s="2"/>
      <c r="AA592" s="2">
        <f t="shared" si="97"/>
        <v>0</v>
      </c>
      <c r="AB592" s="2"/>
      <c r="AC592" s="2"/>
      <c r="AD592" s="2">
        <f t="shared" si="98"/>
        <v>0</v>
      </c>
      <c r="AE592" s="2"/>
      <c r="AF592" s="2"/>
      <c r="AG592" s="2">
        <f t="shared" si="99"/>
        <v>0</v>
      </c>
    </row>
    <row r="593" spans="1:33" x14ac:dyDescent="0.3">
      <c r="B593" s="3"/>
      <c r="C593" t="str">
        <f xml:space="preserve"> _xll.EPMOlapMemberO("[CLACO].[PARENTH1].[AMSAG_VIAJES]","","Gastos de Viajes","","000")</f>
        <v>Gastos de Viajes</v>
      </c>
      <c r="D593" s="2">
        <v>20189.240000000002</v>
      </c>
      <c r="E593" s="2">
        <v>8378.4599999999991</v>
      </c>
      <c r="F593" s="2">
        <f t="shared" si="90"/>
        <v>-11810.780000000002</v>
      </c>
      <c r="G593" s="2">
        <v>2805.11</v>
      </c>
      <c r="H593" s="2">
        <v>9956.0400000000009</v>
      </c>
      <c r="I593" s="2">
        <f t="shared" si="91"/>
        <v>7150.93</v>
      </c>
      <c r="J593" s="2">
        <v>884.8</v>
      </c>
      <c r="K593" s="2"/>
      <c r="L593" s="2">
        <f t="shared" si="92"/>
        <v>-884.8</v>
      </c>
      <c r="M593" s="2"/>
      <c r="N593" s="2"/>
      <c r="O593" s="2">
        <f t="shared" si="93"/>
        <v>0</v>
      </c>
      <c r="P593" s="2"/>
      <c r="Q593" s="2"/>
      <c r="R593" s="2">
        <f t="shared" si="94"/>
        <v>0</v>
      </c>
      <c r="S593" s="2"/>
      <c r="T593" s="2"/>
      <c r="U593" s="2">
        <f t="shared" si="95"/>
        <v>0</v>
      </c>
      <c r="V593" s="2"/>
      <c r="W593" s="2"/>
      <c r="X593" s="2">
        <f t="shared" si="96"/>
        <v>0</v>
      </c>
      <c r="Y593" s="2"/>
      <c r="Z593" s="2"/>
      <c r="AA593" s="2">
        <f t="shared" si="97"/>
        <v>0</v>
      </c>
      <c r="AB593" s="2"/>
      <c r="AC593" s="2"/>
      <c r="AD593" s="2">
        <f t="shared" si="98"/>
        <v>0</v>
      </c>
      <c r="AE593" s="2"/>
      <c r="AF593" s="2"/>
      <c r="AG593" s="2">
        <f t="shared" si="99"/>
        <v>0</v>
      </c>
    </row>
    <row r="594" spans="1:33" x14ac:dyDescent="0.3">
      <c r="B594" s="3"/>
      <c r="C594" t="str">
        <f xml:space="preserve"> _xll.EPMOlapMemberO("[CLACO].[PARENTH1].[AMSAGGENERALES.2]","","Otros Gastos","","000")</f>
        <v>Otros Gastos</v>
      </c>
      <c r="D594" s="2">
        <v>30813.42</v>
      </c>
      <c r="E594" s="2">
        <v>50873.27</v>
      </c>
      <c r="F594" s="2">
        <f t="shared" si="90"/>
        <v>20059.849999999999</v>
      </c>
      <c r="G594" s="2">
        <v>47782.66</v>
      </c>
      <c r="H594" s="2">
        <v>51351.39</v>
      </c>
      <c r="I594" s="2">
        <f t="shared" si="91"/>
        <v>3568.7299999999959</v>
      </c>
      <c r="J594" s="2">
        <v>-1.36</v>
      </c>
      <c r="K594" s="2"/>
      <c r="L594" s="2">
        <f t="shared" si="92"/>
        <v>1.36</v>
      </c>
      <c r="M594" s="2"/>
      <c r="N594" s="2"/>
      <c r="O594" s="2">
        <f t="shared" si="93"/>
        <v>0</v>
      </c>
      <c r="P594" s="2"/>
      <c r="Q594" s="2"/>
      <c r="R594" s="2">
        <f t="shared" si="94"/>
        <v>0</v>
      </c>
      <c r="S594" s="2"/>
      <c r="T594" s="2"/>
      <c r="U594" s="2">
        <f t="shared" si="95"/>
        <v>0</v>
      </c>
      <c r="V594" s="2"/>
      <c r="W594" s="2"/>
      <c r="X594" s="2">
        <f t="shared" si="96"/>
        <v>0</v>
      </c>
      <c r="Y594" s="2"/>
      <c r="Z594" s="2"/>
      <c r="AA594" s="2">
        <f t="shared" si="97"/>
        <v>0</v>
      </c>
      <c r="AB594" s="2"/>
      <c r="AC594" s="2"/>
      <c r="AD594" s="2">
        <f t="shared" si="98"/>
        <v>0</v>
      </c>
      <c r="AE594" s="2"/>
      <c r="AF594" s="2"/>
      <c r="AG594" s="2">
        <f t="shared" si="99"/>
        <v>0</v>
      </c>
    </row>
    <row r="595" spans="1:33" x14ac:dyDescent="0.3">
      <c r="A595" t="s">
        <v>71</v>
      </c>
      <c r="B595" s="3" t="str">
        <f xml:space="preserve"> _xll.EPMOlapMemberO("[CECO].[PARENTH3].[AMSA1000AC0513]","","Servicios Técnicos","","000")</f>
        <v>Servicios Técnicos</v>
      </c>
      <c r="C595" t="str">
        <f xml:space="preserve"> _xll.EPMOlapMemberO("[CLACO].[PARENTH1].[AMSAMAT_Y_REP.2]","","Materiales y repuest","","000")</f>
        <v>Materiales y repuest</v>
      </c>
      <c r="D595" s="2"/>
      <c r="E595" s="2"/>
      <c r="F595" s="2">
        <f t="shared" si="90"/>
        <v>0</v>
      </c>
      <c r="G595" s="2"/>
      <c r="H595" s="2"/>
      <c r="I595" s="2">
        <f t="shared" si="91"/>
        <v>0</v>
      </c>
      <c r="J595" s="2"/>
      <c r="K595" s="2"/>
      <c r="L595" s="2">
        <f t="shared" si="92"/>
        <v>0</v>
      </c>
      <c r="M595" s="2">
        <v>24.69</v>
      </c>
      <c r="N595" s="2"/>
      <c r="O595" s="2">
        <f t="shared" si="93"/>
        <v>-24.69</v>
      </c>
      <c r="P595" s="2"/>
      <c r="Q595" s="2"/>
      <c r="R595" s="2">
        <f t="shared" si="94"/>
        <v>0</v>
      </c>
      <c r="S595" s="2"/>
      <c r="T595" s="2"/>
      <c r="U595" s="2">
        <f t="shared" si="95"/>
        <v>0</v>
      </c>
      <c r="V595" s="2"/>
      <c r="W595" s="2"/>
      <c r="X595" s="2">
        <f t="shared" si="96"/>
        <v>0</v>
      </c>
      <c r="Y595" s="2"/>
      <c r="Z595" s="2"/>
      <c r="AA595" s="2">
        <f t="shared" si="97"/>
        <v>0</v>
      </c>
      <c r="AB595" s="2"/>
      <c r="AC595" s="2"/>
      <c r="AD595" s="2">
        <f t="shared" si="98"/>
        <v>0</v>
      </c>
      <c r="AE595" s="2"/>
      <c r="AF595" s="2"/>
      <c r="AG595" s="2">
        <f t="shared" si="99"/>
        <v>0</v>
      </c>
    </row>
    <row r="596" spans="1:33" x14ac:dyDescent="0.3">
      <c r="B596" s="3"/>
      <c r="C596" t="str">
        <f xml:space="preserve"> _xll.EPMOlapMemberO("[CLACO].[PARENTH1].[AMSAENTRENAMI]","","Entrenamiento","","000")</f>
        <v>Entrenamiento</v>
      </c>
      <c r="D596" s="2"/>
      <c r="E596" s="2"/>
      <c r="F596" s="2">
        <f t="shared" si="90"/>
        <v>0</v>
      </c>
      <c r="G596" s="2"/>
      <c r="H596" s="2">
        <v>2089.34</v>
      </c>
      <c r="I596" s="2">
        <f t="shared" si="91"/>
        <v>2089.34</v>
      </c>
      <c r="J596" s="2"/>
      <c r="K596" s="2">
        <v>7127.5</v>
      </c>
      <c r="L596" s="2">
        <f t="shared" si="92"/>
        <v>7127.5</v>
      </c>
      <c r="M596" s="2"/>
      <c r="N596" s="2">
        <v>10057.5</v>
      </c>
      <c r="O596" s="2">
        <f t="shared" si="93"/>
        <v>10057.5</v>
      </c>
      <c r="P596" s="2"/>
      <c r="Q596" s="2"/>
      <c r="R596" s="2">
        <f t="shared" si="94"/>
        <v>0</v>
      </c>
      <c r="S596" s="2"/>
      <c r="T596" s="2"/>
      <c r="U596" s="2">
        <f t="shared" si="95"/>
        <v>0</v>
      </c>
      <c r="V596" s="2"/>
      <c r="W596" s="2"/>
      <c r="X596" s="2">
        <f t="shared" si="96"/>
        <v>0</v>
      </c>
      <c r="Y596" s="2"/>
      <c r="Z596" s="2"/>
      <c r="AA596" s="2">
        <f t="shared" si="97"/>
        <v>0</v>
      </c>
      <c r="AB596" s="2"/>
      <c r="AC596" s="2"/>
      <c r="AD596" s="2">
        <f t="shared" si="98"/>
        <v>0</v>
      </c>
      <c r="AE596" s="2"/>
      <c r="AF596" s="2"/>
      <c r="AG596" s="2">
        <f t="shared" si="99"/>
        <v>0</v>
      </c>
    </row>
    <row r="597" spans="1:33" x14ac:dyDescent="0.3">
      <c r="B597" s="3"/>
      <c r="C597" t="str">
        <f xml:space="preserve"> _xll.EPMOlapMemberO("[CLACO].[PARENTH1].[AMSAASESORIAS]","","Asesorías y Consulto","","000")</f>
        <v>Asesorías y Consulto</v>
      </c>
      <c r="D597" s="2"/>
      <c r="E597" s="2">
        <v>6176.85</v>
      </c>
      <c r="F597" s="2">
        <f t="shared" si="90"/>
        <v>6176.85</v>
      </c>
      <c r="G597" s="2">
        <v>0</v>
      </c>
      <c r="H597" s="2"/>
      <c r="I597" s="2">
        <f t="shared" si="91"/>
        <v>0</v>
      </c>
      <c r="J597" s="2"/>
      <c r="K597" s="2"/>
      <c r="L597" s="2">
        <f t="shared" si="92"/>
        <v>0</v>
      </c>
      <c r="M597" s="2"/>
      <c r="N597" s="2"/>
      <c r="O597" s="2">
        <f t="shared" si="93"/>
        <v>0</v>
      </c>
      <c r="P597" s="2"/>
      <c r="Q597" s="2"/>
      <c r="R597" s="2">
        <f t="shared" si="94"/>
        <v>0</v>
      </c>
      <c r="S597" s="2"/>
      <c r="T597" s="2"/>
      <c r="U597" s="2">
        <f t="shared" si="95"/>
        <v>0</v>
      </c>
      <c r="V597" s="2"/>
      <c r="W597" s="2"/>
      <c r="X597" s="2">
        <f t="shared" si="96"/>
        <v>0</v>
      </c>
      <c r="Y597" s="2"/>
      <c r="Z597" s="2"/>
      <c r="AA597" s="2">
        <f t="shared" si="97"/>
        <v>0</v>
      </c>
      <c r="AB597" s="2"/>
      <c r="AC597" s="2"/>
      <c r="AD597" s="2">
        <f t="shared" si="98"/>
        <v>0</v>
      </c>
      <c r="AE597" s="2"/>
      <c r="AF597" s="2"/>
      <c r="AG597" s="2">
        <f t="shared" si="99"/>
        <v>0</v>
      </c>
    </row>
    <row r="598" spans="1:33" x14ac:dyDescent="0.3">
      <c r="B598" s="3"/>
      <c r="C598" t="str">
        <f xml:space="preserve"> _xll.EPMOlapMemberO("[CLACO].[PARENTH1].[AMSAARRIENDOS]","","Arriendos","","000")</f>
        <v>Arriendos</v>
      </c>
      <c r="D598" s="2">
        <v>3700.68</v>
      </c>
      <c r="E598" s="2">
        <v>1233.97</v>
      </c>
      <c r="F598" s="2">
        <f t="shared" si="90"/>
        <v>-2466.71</v>
      </c>
      <c r="G598" s="2">
        <v>1007.9</v>
      </c>
      <c r="H598" s="2">
        <v>1857.5</v>
      </c>
      <c r="I598" s="2">
        <f t="shared" si="91"/>
        <v>849.6</v>
      </c>
      <c r="J598" s="2">
        <v>1886.76</v>
      </c>
      <c r="K598" s="2">
        <v>2235.5</v>
      </c>
      <c r="L598" s="2">
        <f t="shared" si="92"/>
        <v>348.74</v>
      </c>
      <c r="M598" s="2">
        <v>1846.65</v>
      </c>
      <c r="N598" s="2">
        <v>1824.54</v>
      </c>
      <c r="O598" s="2">
        <f t="shared" si="93"/>
        <v>-22.110000000000127</v>
      </c>
      <c r="P598" s="2"/>
      <c r="Q598" s="2">
        <v>201.69</v>
      </c>
      <c r="R598" s="2">
        <f t="shared" si="94"/>
        <v>201.69</v>
      </c>
      <c r="S598" s="2"/>
      <c r="T598" s="2"/>
      <c r="U598" s="2">
        <f t="shared" si="95"/>
        <v>0</v>
      </c>
      <c r="V598" s="2"/>
      <c r="W598" s="2"/>
      <c r="X598" s="2">
        <f t="shared" si="96"/>
        <v>0</v>
      </c>
      <c r="Y598" s="2">
        <v>211.17</v>
      </c>
      <c r="Z598" s="2">
        <v>200.54</v>
      </c>
      <c r="AA598" s="2">
        <f t="shared" si="97"/>
        <v>-10.629999999999995</v>
      </c>
      <c r="AB598" s="2">
        <v>229.75</v>
      </c>
      <c r="AC598" s="2">
        <v>200.16</v>
      </c>
      <c r="AD598" s="2">
        <f t="shared" si="98"/>
        <v>-29.590000000000003</v>
      </c>
      <c r="AE598" s="2">
        <v>611.57000000000005</v>
      </c>
      <c r="AF598" s="2">
        <v>1822.49</v>
      </c>
      <c r="AG598" s="2">
        <f t="shared" si="99"/>
        <v>1210.92</v>
      </c>
    </row>
    <row r="599" spans="1:33" x14ac:dyDescent="0.3">
      <c r="B599" s="3"/>
      <c r="C599" t="str">
        <f xml:space="preserve"> _xll.EPMOlapMemberO("[CLACO].[PARENTH1].[AMSASERVICIOS]","","Servicios","","000")</f>
        <v>Servicios</v>
      </c>
      <c r="D599" s="2">
        <v>75.84</v>
      </c>
      <c r="E599" s="2"/>
      <c r="F599" s="2">
        <f t="shared" si="90"/>
        <v>-75.84</v>
      </c>
      <c r="G599" s="2">
        <v>3277.61</v>
      </c>
      <c r="H599" s="2"/>
      <c r="I599" s="2">
        <f t="shared" si="91"/>
        <v>-3277.61</v>
      </c>
      <c r="J599" s="2">
        <v>3843.89</v>
      </c>
      <c r="K599" s="2"/>
      <c r="L599" s="2">
        <f t="shared" si="92"/>
        <v>-3843.89</v>
      </c>
      <c r="M599" s="2">
        <v>7171.08</v>
      </c>
      <c r="N599" s="2">
        <v>4378.84</v>
      </c>
      <c r="O599" s="2">
        <f t="shared" si="93"/>
        <v>-2792.24</v>
      </c>
      <c r="P599" s="2">
        <v>763.33</v>
      </c>
      <c r="Q599" s="2">
        <v>728.32</v>
      </c>
      <c r="R599" s="2">
        <f t="shared" si="94"/>
        <v>-35.009999999999991</v>
      </c>
      <c r="S599" s="2">
        <v>783.68</v>
      </c>
      <c r="T599" s="2">
        <v>726.29</v>
      </c>
      <c r="U599" s="2">
        <f t="shared" si="95"/>
        <v>-57.389999999999986</v>
      </c>
      <c r="V599" s="2">
        <v>743.51</v>
      </c>
      <c r="W599" s="2">
        <v>10770.14</v>
      </c>
      <c r="X599" s="2">
        <f t="shared" si="96"/>
        <v>10026.629999999999</v>
      </c>
      <c r="Y599" s="2"/>
      <c r="Z599" s="2">
        <v>722.22</v>
      </c>
      <c r="AA599" s="2">
        <f t="shared" si="97"/>
        <v>722.22</v>
      </c>
      <c r="AB599" s="2">
        <v>22.19</v>
      </c>
      <c r="AC599" s="2">
        <v>720.25</v>
      </c>
      <c r="AD599" s="2">
        <f t="shared" si="98"/>
        <v>698.06</v>
      </c>
      <c r="AE599" s="2">
        <v>2326.7199999999998</v>
      </c>
      <c r="AF599" s="2">
        <v>14397.58</v>
      </c>
      <c r="AG599" s="2">
        <f t="shared" si="99"/>
        <v>12070.86</v>
      </c>
    </row>
    <row r="600" spans="1:33" x14ac:dyDescent="0.3">
      <c r="B600" s="3"/>
      <c r="C600" t="str">
        <f xml:space="preserve"> _xll.EPMOlapMemberO("[CLACO].[PARENTH1].[AMSAINFORMATIC]","","Informática y Comuni","","000")</f>
        <v>Informática y Comuni</v>
      </c>
      <c r="D600" s="2"/>
      <c r="E600" s="2"/>
      <c r="F600" s="2">
        <f t="shared" si="90"/>
        <v>0</v>
      </c>
      <c r="G600" s="2">
        <v>4654.4799999999996</v>
      </c>
      <c r="H600" s="2">
        <v>3721.13</v>
      </c>
      <c r="I600" s="2">
        <f t="shared" si="91"/>
        <v>-933.34999999999945</v>
      </c>
      <c r="J600" s="2">
        <v>5238.7</v>
      </c>
      <c r="K600" s="2">
        <v>3707</v>
      </c>
      <c r="L600" s="2">
        <f t="shared" si="92"/>
        <v>-1531.6999999999998</v>
      </c>
      <c r="M600" s="2">
        <v>7847.22</v>
      </c>
      <c r="N600" s="2">
        <v>8379.83</v>
      </c>
      <c r="O600" s="2">
        <f t="shared" si="93"/>
        <v>532.60999999999967</v>
      </c>
      <c r="P600" s="2">
        <v>460.47</v>
      </c>
      <c r="Q600" s="2">
        <v>30.25</v>
      </c>
      <c r="R600" s="2">
        <f t="shared" si="94"/>
        <v>-430.22</v>
      </c>
      <c r="S600" s="2">
        <v>103.33</v>
      </c>
      <c r="T600" s="2">
        <v>30.2</v>
      </c>
      <c r="U600" s="2">
        <f t="shared" si="95"/>
        <v>-73.13</v>
      </c>
      <c r="V600" s="2"/>
      <c r="W600" s="2">
        <v>30.14</v>
      </c>
      <c r="X600" s="2">
        <f t="shared" si="96"/>
        <v>30.14</v>
      </c>
      <c r="Y600" s="2"/>
      <c r="Z600" s="2">
        <v>30.08</v>
      </c>
      <c r="AA600" s="2">
        <f t="shared" si="97"/>
        <v>30.08</v>
      </c>
      <c r="AB600" s="2"/>
      <c r="AC600" s="2">
        <v>8036.53</v>
      </c>
      <c r="AD600" s="2">
        <f t="shared" si="98"/>
        <v>8036.53</v>
      </c>
      <c r="AE600" s="2">
        <v>563.79999999999995</v>
      </c>
      <c r="AF600" s="2">
        <v>8370.59</v>
      </c>
      <c r="AG600" s="2">
        <f t="shared" si="99"/>
        <v>7806.79</v>
      </c>
    </row>
    <row r="601" spans="1:33" x14ac:dyDescent="0.3">
      <c r="B601" s="3"/>
      <c r="C601" t="str">
        <f xml:space="preserve"> _xll.EPMOlapMemberO("[CLACO].[PARENTH1].[AMSAG_VIAJES]","","Gastos de Viajes","","000")</f>
        <v>Gastos de Viajes</v>
      </c>
      <c r="D601" s="2">
        <v>15343.47</v>
      </c>
      <c r="E601" s="2">
        <v>19069.11</v>
      </c>
      <c r="F601" s="2">
        <f t="shared" si="90"/>
        <v>3725.6400000000012</v>
      </c>
      <c r="G601" s="2">
        <v>40450.01</v>
      </c>
      <c r="H601" s="2">
        <v>113978.36</v>
      </c>
      <c r="I601" s="2">
        <f t="shared" si="91"/>
        <v>73528.350000000006</v>
      </c>
      <c r="J601" s="2">
        <v>73444.429999999993</v>
      </c>
      <c r="K601" s="2">
        <v>109191.43</v>
      </c>
      <c r="L601" s="2">
        <f t="shared" si="92"/>
        <v>35747</v>
      </c>
      <c r="M601" s="2">
        <v>37405.89</v>
      </c>
      <c r="N601" s="2">
        <v>91143.09</v>
      </c>
      <c r="O601" s="2">
        <f t="shared" si="93"/>
        <v>53737.2</v>
      </c>
      <c r="P601" s="2">
        <v>310.8</v>
      </c>
      <c r="Q601" s="2">
        <v>21156.75</v>
      </c>
      <c r="R601" s="2">
        <f t="shared" si="94"/>
        <v>20845.95</v>
      </c>
      <c r="S601" s="2">
        <v>1448.23</v>
      </c>
      <c r="T601" s="2">
        <v>7226.72</v>
      </c>
      <c r="U601" s="2">
        <f t="shared" si="95"/>
        <v>5778.49</v>
      </c>
      <c r="V601" s="2">
        <v>657.83</v>
      </c>
      <c r="W601" s="2">
        <v>22181.33</v>
      </c>
      <c r="X601" s="2">
        <f t="shared" si="96"/>
        <v>21523.5</v>
      </c>
      <c r="Y601" s="2">
        <v>952.5</v>
      </c>
      <c r="Z601" s="2">
        <v>2117.6999999999998</v>
      </c>
      <c r="AA601" s="2">
        <f t="shared" si="97"/>
        <v>1165.1999999999998</v>
      </c>
      <c r="AB601" s="2">
        <v>1941.55</v>
      </c>
      <c r="AC601" s="2">
        <v>2001.63</v>
      </c>
      <c r="AD601" s="2">
        <f t="shared" si="98"/>
        <v>60.080000000000155</v>
      </c>
      <c r="AE601" s="2">
        <v>7677.61</v>
      </c>
      <c r="AF601" s="2">
        <v>91950</v>
      </c>
      <c r="AG601" s="2">
        <f t="shared" si="99"/>
        <v>84272.39</v>
      </c>
    </row>
    <row r="602" spans="1:33" x14ac:dyDescent="0.3">
      <c r="B602" s="3"/>
      <c r="C602" t="str">
        <f xml:space="preserve"> _xll.EPMOlapMemberO("[CLACO].[PARENTH1].[AMSAIMP_PATEN]","","Impuestos / Patentes","","000")</f>
        <v>Impuestos / Patentes</v>
      </c>
      <c r="D602" s="2"/>
      <c r="E602" s="2"/>
      <c r="F602" s="2">
        <f t="shared" si="90"/>
        <v>0</v>
      </c>
      <c r="G602" s="2"/>
      <c r="H602" s="2"/>
      <c r="I602" s="2">
        <f t="shared" si="91"/>
        <v>0</v>
      </c>
      <c r="J602" s="2">
        <v>52.27</v>
      </c>
      <c r="K602" s="2"/>
      <c r="L602" s="2">
        <f t="shared" si="92"/>
        <v>-52.27</v>
      </c>
      <c r="M602" s="2"/>
      <c r="N602" s="2"/>
      <c r="O602" s="2">
        <f t="shared" si="93"/>
        <v>0</v>
      </c>
      <c r="P602" s="2"/>
      <c r="Q602" s="2"/>
      <c r="R602" s="2">
        <f t="shared" si="94"/>
        <v>0</v>
      </c>
      <c r="S602" s="2"/>
      <c r="T602" s="2"/>
      <c r="U602" s="2">
        <f t="shared" si="95"/>
        <v>0</v>
      </c>
      <c r="V602" s="2"/>
      <c r="W602" s="2"/>
      <c r="X602" s="2">
        <f t="shared" si="96"/>
        <v>0</v>
      </c>
      <c r="Y602" s="2"/>
      <c r="Z602" s="2"/>
      <c r="AA602" s="2">
        <f t="shared" si="97"/>
        <v>0</v>
      </c>
      <c r="AB602" s="2"/>
      <c r="AC602" s="2"/>
      <c r="AD602" s="2">
        <f t="shared" si="98"/>
        <v>0</v>
      </c>
      <c r="AE602" s="2"/>
      <c r="AF602" s="2"/>
      <c r="AG602" s="2">
        <f t="shared" si="99"/>
        <v>0</v>
      </c>
    </row>
    <row r="603" spans="1:33" x14ac:dyDescent="0.3">
      <c r="B603" s="3"/>
      <c r="C603" t="str">
        <f xml:space="preserve"> _xll.EPMOlapMemberO("[CLACO].[PARENTH1].[AMSAGGENERALES.2]","","Otros Gastos","","000")</f>
        <v>Otros Gastos</v>
      </c>
      <c r="D603" s="2">
        <v>409.67</v>
      </c>
      <c r="E603" s="2">
        <v>510.01</v>
      </c>
      <c r="F603" s="2">
        <f t="shared" si="90"/>
        <v>100.33999999999997</v>
      </c>
      <c r="G603" s="2">
        <v>563.84</v>
      </c>
      <c r="H603" s="2">
        <v>1032.74</v>
      </c>
      <c r="I603" s="2">
        <f t="shared" si="91"/>
        <v>468.9</v>
      </c>
      <c r="J603" s="2">
        <v>440.12</v>
      </c>
      <c r="K603" s="2">
        <v>1016.53</v>
      </c>
      <c r="L603" s="2">
        <f t="shared" si="92"/>
        <v>576.41</v>
      </c>
      <c r="M603" s="2">
        <v>4838.43</v>
      </c>
      <c r="N603" s="2">
        <v>12141.08</v>
      </c>
      <c r="O603" s="2">
        <f t="shared" si="93"/>
        <v>7302.65</v>
      </c>
      <c r="P603" s="2">
        <v>633.33000000000004</v>
      </c>
      <c r="Q603" s="2">
        <v>2168.11</v>
      </c>
      <c r="R603" s="2">
        <f t="shared" si="94"/>
        <v>1534.7800000000002</v>
      </c>
      <c r="S603" s="2">
        <v>31.69</v>
      </c>
      <c r="T603" s="2">
        <v>50.33</v>
      </c>
      <c r="U603" s="2">
        <f t="shared" si="95"/>
        <v>18.639999999999997</v>
      </c>
      <c r="V603" s="2">
        <v>659</v>
      </c>
      <c r="W603" s="2">
        <v>3064</v>
      </c>
      <c r="X603" s="2">
        <f t="shared" si="96"/>
        <v>2405</v>
      </c>
      <c r="Y603" s="2">
        <v>33.369999999999997</v>
      </c>
      <c r="Z603" s="2">
        <v>50.14</v>
      </c>
      <c r="AA603" s="2">
        <f t="shared" si="97"/>
        <v>16.770000000000003</v>
      </c>
      <c r="AB603" s="2">
        <v>0.22</v>
      </c>
      <c r="AC603" s="2">
        <v>150.12</v>
      </c>
      <c r="AD603" s="2">
        <f t="shared" si="98"/>
        <v>149.9</v>
      </c>
      <c r="AE603" s="2">
        <v>1357.82</v>
      </c>
      <c r="AF603" s="2">
        <v>12127.2</v>
      </c>
      <c r="AG603" s="2">
        <f t="shared" si="99"/>
        <v>10769.380000000001</v>
      </c>
    </row>
    <row r="604" spans="1:33" x14ac:dyDescent="0.3">
      <c r="A604" t="s">
        <v>72</v>
      </c>
      <c r="B604" s="3" t="str">
        <f xml:space="preserve"> _xll.EPMOlapMemberO("[CECO].[PARENTH3].[AMSA1000AC0514]","","Innovación","","000")</f>
        <v>Innovación</v>
      </c>
      <c r="C604" t="str">
        <f xml:space="preserve"> _xll.EPMOlapMemberO("[CLACO].[PARENTH1].[AMSAREMUNERACI.SS]","","Remuneraciones Super","","000")</f>
        <v>Remuneraciones Super</v>
      </c>
      <c r="D604" s="2">
        <v>1011081.84</v>
      </c>
      <c r="E604" s="2">
        <v>1053631.1499999999</v>
      </c>
      <c r="F604" s="2">
        <f t="shared" si="90"/>
        <v>42549.309999999939</v>
      </c>
      <c r="G604" s="2">
        <v>1301492.1299999999</v>
      </c>
      <c r="H604" s="2">
        <v>1333950.77</v>
      </c>
      <c r="I604" s="2">
        <f t="shared" si="91"/>
        <v>32458.64000000013</v>
      </c>
      <c r="J604" s="2">
        <v>1242074.31</v>
      </c>
      <c r="K604" s="2">
        <v>1345385.82</v>
      </c>
      <c r="L604" s="2">
        <f t="shared" si="92"/>
        <v>103311.51000000001</v>
      </c>
      <c r="M604" s="2">
        <v>1243232.74</v>
      </c>
      <c r="N604" s="2">
        <v>1299196.81</v>
      </c>
      <c r="O604" s="2">
        <f t="shared" si="93"/>
        <v>55964.070000000065</v>
      </c>
      <c r="P604" s="2">
        <v>122581.86</v>
      </c>
      <c r="Q604" s="2">
        <v>105291.85</v>
      </c>
      <c r="R604" s="2">
        <f t="shared" si="94"/>
        <v>-17290.009999999995</v>
      </c>
      <c r="S604" s="2">
        <v>107651.85</v>
      </c>
      <c r="T604" s="2">
        <v>108657.97</v>
      </c>
      <c r="U604" s="2">
        <f t="shared" si="95"/>
        <v>1006.1199999999953</v>
      </c>
      <c r="V604" s="2">
        <v>96499.57</v>
      </c>
      <c r="W604" s="2">
        <v>105490.37</v>
      </c>
      <c r="X604" s="2">
        <f t="shared" si="96"/>
        <v>8990.7999999999884</v>
      </c>
      <c r="Y604" s="2">
        <v>109713.29</v>
      </c>
      <c r="Z604" s="2">
        <v>107359.72</v>
      </c>
      <c r="AA604" s="2">
        <f t="shared" si="97"/>
        <v>-2353.5699999999924</v>
      </c>
      <c r="AB604" s="2">
        <v>107731.41</v>
      </c>
      <c r="AC604" s="2">
        <v>103965.58</v>
      </c>
      <c r="AD604" s="2">
        <f t="shared" si="98"/>
        <v>-3765.8300000000017</v>
      </c>
      <c r="AE604" s="2">
        <v>545622</v>
      </c>
      <c r="AF604" s="2">
        <v>1280936.81</v>
      </c>
      <c r="AG604" s="2">
        <f t="shared" si="99"/>
        <v>735314.81</v>
      </c>
    </row>
    <row r="605" spans="1:33" x14ac:dyDescent="0.3">
      <c r="B605" s="3"/>
      <c r="C605" t="str">
        <f xml:space="preserve"> _xll.EPMOlapMemberO("[CLACO].[PARENTH1].[AMSAMAT_Y_REP.2]","","Materiales y repuest","","000")</f>
        <v>Materiales y repuest</v>
      </c>
      <c r="D605" s="2"/>
      <c r="E605" s="2"/>
      <c r="F605" s="2">
        <f t="shared" si="90"/>
        <v>0</v>
      </c>
      <c r="G605" s="2">
        <v>0</v>
      </c>
      <c r="H605" s="2"/>
      <c r="I605" s="2">
        <f t="shared" si="91"/>
        <v>0</v>
      </c>
      <c r="J605" s="2"/>
      <c r="K605" s="2"/>
      <c r="L605" s="2">
        <f t="shared" si="92"/>
        <v>0</v>
      </c>
      <c r="M605" s="2">
        <v>258.45</v>
      </c>
      <c r="N605" s="2"/>
      <c r="O605" s="2">
        <f t="shared" si="93"/>
        <v>-258.45</v>
      </c>
      <c r="P605" s="2"/>
      <c r="Q605" s="2"/>
      <c r="R605" s="2">
        <f t="shared" si="94"/>
        <v>0</v>
      </c>
      <c r="S605" s="2"/>
      <c r="T605" s="2"/>
      <c r="U605" s="2">
        <f t="shared" si="95"/>
        <v>0</v>
      </c>
      <c r="V605" s="2"/>
      <c r="W605" s="2"/>
      <c r="X605" s="2">
        <f t="shared" si="96"/>
        <v>0</v>
      </c>
      <c r="Y605" s="2"/>
      <c r="Z605" s="2"/>
      <c r="AA605" s="2">
        <f t="shared" si="97"/>
        <v>0</v>
      </c>
      <c r="AB605" s="2"/>
      <c r="AC605" s="2"/>
      <c r="AD605" s="2">
        <f t="shared" si="98"/>
        <v>0</v>
      </c>
      <c r="AE605" s="2"/>
      <c r="AF605" s="2"/>
      <c r="AG605" s="2">
        <f t="shared" si="99"/>
        <v>0</v>
      </c>
    </row>
    <row r="606" spans="1:33" x14ac:dyDescent="0.3">
      <c r="B606" s="3"/>
      <c r="C606" t="str">
        <f xml:space="preserve"> _xll.EPMOlapMemberO("[CLACO].[PARENTH1].[AMSAADM_PERSON]","","Administración Perso","","000")</f>
        <v>Administración Perso</v>
      </c>
      <c r="D606" s="2">
        <v>139.44999999999999</v>
      </c>
      <c r="E606" s="2"/>
      <c r="F606" s="2">
        <f t="shared" si="90"/>
        <v>-139.44999999999999</v>
      </c>
      <c r="G606" s="2"/>
      <c r="H606" s="2"/>
      <c r="I606" s="2">
        <f t="shared" si="91"/>
        <v>0</v>
      </c>
      <c r="J606" s="2"/>
      <c r="K606" s="2"/>
      <c r="L606" s="2">
        <f t="shared" si="92"/>
        <v>0</v>
      </c>
      <c r="M606" s="2"/>
      <c r="N606" s="2"/>
      <c r="O606" s="2">
        <f t="shared" si="93"/>
        <v>0</v>
      </c>
      <c r="P606" s="2"/>
      <c r="Q606" s="2"/>
      <c r="R606" s="2">
        <f t="shared" si="94"/>
        <v>0</v>
      </c>
      <c r="S606" s="2"/>
      <c r="T606" s="2"/>
      <c r="U606" s="2">
        <f t="shared" si="95"/>
        <v>0</v>
      </c>
      <c r="V606" s="2"/>
      <c r="W606" s="2"/>
      <c r="X606" s="2">
        <f t="shared" si="96"/>
        <v>0</v>
      </c>
      <c r="Y606" s="2"/>
      <c r="Z606" s="2"/>
      <c r="AA606" s="2">
        <f t="shared" si="97"/>
        <v>0</v>
      </c>
      <c r="AB606" s="2"/>
      <c r="AC606" s="2"/>
      <c r="AD606" s="2">
        <f t="shared" si="98"/>
        <v>0</v>
      </c>
      <c r="AE606" s="2"/>
      <c r="AF606" s="2"/>
      <c r="AG606" s="2">
        <f t="shared" si="99"/>
        <v>0</v>
      </c>
    </row>
    <row r="607" spans="1:33" x14ac:dyDescent="0.3">
      <c r="B607" s="3"/>
      <c r="C607" t="str">
        <f xml:space="preserve"> _xll.EPMOlapMemberO("[CLACO].[PARENTH1].[AMSAENTRENAMI]","","Entrenamiento","","000")</f>
        <v>Entrenamiento</v>
      </c>
      <c r="D607" s="2">
        <v>13529.42</v>
      </c>
      <c r="E607" s="2"/>
      <c r="F607" s="2">
        <f t="shared" si="90"/>
        <v>-13529.42</v>
      </c>
      <c r="G607" s="2"/>
      <c r="H607" s="2"/>
      <c r="I607" s="2">
        <f t="shared" si="91"/>
        <v>0</v>
      </c>
      <c r="J607" s="2">
        <v>4712.16</v>
      </c>
      <c r="K607" s="2"/>
      <c r="L607" s="2">
        <f t="shared" si="92"/>
        <v>-4712.16</v>
      </c>
      <c r="M607" s="2">
        <v>3610.09</v>
      </c>
      <c r="N607" s="2"/>
      <c r="O607" s="2">
        <f t="shared" si="93"/>
        <v>-3610.09</v>
      </c>
      <c r="P607" s="2"/>
      <c r="Q607" s="2"/>
      <c r="R607" s="2">
        <f t="shared" si="94"/>
        <v>0</v>
      </c>
      <c r="S607" s="2"/>
      <c r="T607" s="2"/>
      <c r="U607" s="2">
        <f t="shared" si="95"/>
        <v>0</v>
      </c>
      <c r="V607" s="2"/>
      <c r="W607" s="2"/>
      <c r="X607" s="2">
        <f t="shared" si="96"/>
        <v>0</v>
      </c>
      <c r="Y607" s="2"/>
      <c r="Z607" s="2"/>
      <c r="AA607" s="2">
        <f t="shared" si="97"/>
        <v>0</v>
      </c>
      <c r="AB607" s="2"/>
      <c r="AC607" s="2"/>
      <c r="AD607" s="2">
        <f t="shared" si="98"/>
        <v>0</v>
      </c>
      <c r="AE607" s="2"/>
      <c r="AF607" s="2"/>
      <c r="AG607" s="2">
        <f t="shared" si="99"/>
        <v>0</v>
      </c>
    </row>
    <row r="608" spans="1:33" x14ac:dyDescent="0.3">
      <c r="B608" s="3"/>
      <c r="C608" t="str">
        <f xml:space="preserve"> _xll.EPMOlapMemberO("[CLACO].[PARENTH1].[AMSAASESORIAS]","","Asesorías y Consulto","","000")</f>
        <v>Asesorías y Consulto</v>
      </c>
      <c r="D608" s="2">
        <v>365374.62</v>
      </c>
      <c r="E608" s="2">
        <v>327993.39</v>
      </c>
      <c r="F608" s="2">
        <f t="shared" si="90"/>
        <v>-37381.229999999981</v>
      </c>
      <c r="G608" s="2">
        <v>133664.48000000001</v>
      </c>
      <c r="H608" s="2">
        <v>130359.78</v>
      </c>
      <c r="I608" s="2">
        <f t="shared" si="91"/>
        <v>-3304.7000000000116</v>
      </c>
      <c r="J608" s="2">
        <v>43826.47</v>
      </c>
      <c r="K608" s="2"/>
      <c r="L608" s="2">
        <f t="shared" si="92"/>
        <v>-43826.47</v>
      </c>
      <c r="M608" s="2">
        <v>125134.03</v>
      </c>
      <c r="N608" s="2">
        <v>152012.64000000001</v>
      </c>
      <c r="O608" s="2">
        <f t="shared" si="93"/>
        <v>26878.610000000015</v>
      </c>
      <c r="P608" s="2">
        <v>73699.62</v>
      </c>
      <c r="Q608" s="2">
        <v>9524.6299999999992</v>
      </c>
      <c r="R608" s="2">
        <f t="shared" si="94"/>
        <v>-64174.99</v>
      </c>
      <c r="S608" s="2"/>
      <c r="T608" s="2">
        <v>9529.11</v>
      </c>
      <c r="U608" s="2">
        <f t="shared" si="95"/>
        <v>9529.11</v>
      </c>
      <c r="V608" s="2">
        <v>-10174.969999999999</v>
      </c>
      <c r="W608" s="2">
        <v>9532.67</v>
      </c>
      <c r="X608" s="2">
        <f t="shared" si="96"/>
        <v>19707.64</v>
      </c>
      <c r="Y608" s="2">
        <v>-32315.26</v>
      </c>
      <c r="Z608" s="2">
        <v>9536.5400000000009</v>
      </c>
      <c r="AA608" s="2">
        <f t="shared" si="97"/>
        <v>41851.800000000003</v>
      </c>
      <c r="AB608" s="2">
        <v>130814.23</v>
      </c>
      <c r="AC608" s="2"/>
      <c r="AD608" s="2">
        <f t="shared" si="98"/>
        <v>-130814.23</v>
      </c>
      <c r="AE608" s="2">
        <v>162023.62</v>
      </c>
      <c r="AF608" s="2">
        <v>105602.61</v>
      </c>
      <c r="AG608" s="2">
        <f t="shared" si="99"/>
        <v>-56421.009999999995</v>
      </c>
    </row>
    <row r="609" spans="1:33" x14ac:dyDescent="0.3">
      <c r="B609" s="3"/>
      <c r="C609" t="str">
        <f xml:space="preserve"> _xll.EPMOlapMemberO("[CLACO].[PARENTH1].[AMSASERVICIOS]","","Servicios","","000")</f>
        <v>Servicios</v>
      </c>
      <c r="D609" s="2">
        <v>62251.58</v>
      </c>
      <c r="E609" s="2">
        <v>106063.67</v>
      </c>
      <c r="F609" s="2">
        <f t="shared" si="90"/>
        <v>43812.09</v>
      </c>
      <c r="G609" s="2">
        <v>168473.47</v>
      </c>
      <c r="H609" s="2"/>
      <c r="I609" s="2">
        <f t="shared" si="91"/>
        <v>-168473.47</v>
      </c>
      <c r="J609" s="2">
        <v>223779.98</v>
      </c>
      <c r="K609" s="2">
        <v>207300</v>
      </c>
      <c r="L609" s="2">
        <f t="shared" si="92"/>
        <v>-16479.98000000001</v>
      </c>
      <c r="M609" s="2">
        <v>1867766.94</v>
      </c>
      <c r="N609" s="2">
        <v>1522508.6</v>
      </c>
      <c r="O609" s="2">
        <f t="shared" si="93"/>
        <v>-345258.33999999985</v>
      </c>
      <c r="P609" s="2">
        <v>20178.189999999999</v>
      </c>
      <c r="Q609" s="2">
        <v>135650.59</v>
      </c>
      <c r="R609" s="2">
        <f t="shared" si="94"/>
        <v>115472.4</v>
      </c>
      <c r="S609" s="2">
        <v>211272.74</v>
      </c>
      <c r="T609" s="2">
        <v>135707.62</v>
      </c>
      <c r="U609" s="2">
        <f t="shared" si="95"/>
        <v>-75565.119999999995</v>
      </c>
      <c r="V609" s="2">
        <v>6598.28</v>
      </c>
      <c r="W609" s="2">
        <v>24463.66</v>
      </c>
      <c r="X609" s="2">
        <f t="shared" si="96"/>
        <v>17865.38</v>
      </c>
      <c r="Y609" s="2">
        <v>88464.98</v>
      </c>
      <c r="Z609" s="2">
        <v>24467.59</v>
      </c>
      <c r="AA609" s="2">
        <f t="shared" si="97"/>
        <v>-63997.39</v>
      </c>
      <c r="AB609" s="2">
        <v>176840.43</v>
      </c>
      <c r="AC609" s="2">
        <v>20257.28</v>
      </c>
      <c r="AD609" s="2">
        <f t="shared" si="98"/>
        <v>-156583.15</v>
      </c>
      <c r="AE609" s="2">
        <v>512161.49</v>
      </c>
      <c r="AF609" s="2">
        <v>1399956.78</v>
      </c>
      <c r="AG609" s="2">
        <f t="shared" si="99"/>
        <v>887795.29</v>
      </c>
    </row>
    <row r="610" spans="1:33" x14ac:dyDescent="0.3">
      <c r="B610" s="3"/>
      <c r="C610" t="str">
        <f xml:space="preserve"> _xll.EPMOlapMemberO("[CLACO].[PARENTH1].[AMSASERMANTO.REPA]","","Servicios Mantenimie","","000")</f>
        <v>Servicios Mantenimie</v>
      </c>
      <c r="D610" s="2"/>
      <c r="E610" s="2"/>
      <c r="F610" s="2">
        <f t="shared" si="90"/>
        <v>0</v>
      </c>
      <c r="G610" s="2"/>
      <c r="H610" s="2"/>
      <c r="I610" s="2">
        <f t="shared" si="91"/>
        <v>0</v>
      </c>
      <c r="J610" s="2"/>
      <c r="K610" s="2"/>
      <c r="L610" s="2">
        <f t="shared" si="92"/>
        <v>0</v>
      </c>
      <c r="M610" s="2">
        <v>23.8</v>
      </c>
      <c r="N610" s="2"/>
      <c r="O610" s="2">
        <f t="shared" si="93"/>
        <v>-23.8</v>
      </c>
      <c r="P610" s="2"/>
      <c r="Q610" s="2"/>
      <c r="R610" s="2">
        <f t="shared" si="94"/>
        <v>0</v>
      </c>
      <c r="S610" s="2"/>
      <c r="T610" s="2"/>
      <c r="U610" s="2">
        <f t="shared" si="95"/>
        <v>0</v>
      </c>
      <c r="V610" s="2"/>
      <c r="W610" s="2"/>
      <c r="X610" s="2">
        <f t="shared" si="96"/>
        <v>0</v>
      </c>
      <c r="Y610" s="2"/>
      <c r="Z610" s="2"/>
      <c r="AA610" s="2">
        <f t="shared" si="97"/>
        <v>0</v>
      </c>
      <c r="AB610" s="2"/>
      <c r="AC610" s="2"/>
      <c r="AD610" s="2">
        <f t="shared" si="98"/>
        <v>0</v>
      </c>
      <c r="AE610" s="2"/>
      <c r="AF610" s="2"/>
      <c r="AG610" s="2">
        <f t="shared" si="99"/>
        <v>0</v>
      </c>
    </row>
    <row r="611" spans="1:33" x14ac:dyDescent="0.3">
      <c r="B611" s="3"/>
      <c r="C611" t="str">
        <f xml:space="preserve"> _xll.EPMOlapMemberO("[CLACO].[PARENTH1].[AMSAINFORMATIC]","","Informática y Comuni","","000")</f>
        <v>Informática y Comuni</v>
      </c>
      <c r="D611" s="2">
        <v>51096.93</v>
      </c>
      <c r="E611" s="2">
        <v>91830.55</v>
      </c>
      <c r="F611" s="2">
        <f t="shared" si="90"/>
        <v>40733.620000000003</v>
      </c>
      <c r="G611" s="2">
        <v>109044.87</v>
      </c>
      <c r="H611" s="2">
        <v>91745.31</v>
      </c>
      <c r="I611" s="2">
        <f t="shared" si="91"/>
        <v>-17299.559999999998</v>
      </c>
      <c r="J611" s="2">
        <v>147550.79</v>
      </c>
      <c r="K611" s="2">
        <v>143575.9</v>
      </c>
      <c r="L611" s="2">
        <f t="shared" si="92"/>
        <v>-3974.890000000014</v>
      </c>
      <c r="M611" s="2">
        <v>153049.56</v>
      </c>
      <c r="N611" s="2">
        <v>134827.51</v>
      </c>
      <c r="O611" s="2">
        <f t="shared" si="93"/>
        <v>-18222.049999999988</v>
      </c>
      <c r="P611" s="2">
        <v>18839.77</v>
      </c>
      <c r="Q611" s="2">
        <v>7863.16</v>
      </c>
      <c r="R611" s="2">
        <f t="shared" si="94"/>
        <v>-10976.61</v>
      </c>
      <c r="S611" s="2">
        <v>8988.59</v>
      </c>
      <c r="T611" s="2">
        <v>9939.4599999999991</v>
      </c>
      <c r="U611" s="2">
        <f t="shared" si="95"/>
        <v>950.86999999999898</v>
      </c>
      <c r="V611" s="2">
        <v>8632.35</v>
      </c>
      <c r="W611" s="2">
        <v>3595.21</v>
      </c>
      <c r="X611" s="2">
        <f t="shared" si="96"/>
        <v>-5037.1400000000003</v>
      </c>
      <c r="Y611" s="2">
        <v>36072.11</v>
      </c>
      <c r="Z611" s="2">
        <v>3481.33</v>
      </c>
      <c r="AA611" s="2">
        <f t="shared" si="97"/>
        <v>-32590.78</v>
      </c>
      <c r="AB611" s="2">
        <v>807.03</v>
      </c>
      <c r="AC611" s="2">
        <v>3336.38</v>
      </c>
      <c r="AD611" s="2">
        <f t="shared" si="98"/>
        <v>2529.3500000000004</v>
      </c>
      <c r="AE611" s="2">
        <v>79298.960000000006</v>
      </c>
      <c r="AF611" s="2">
        <v>111591.94</v>
      </c>
      <c r="AG611" s="2">
        <f t="shared" si="99"/>
        <v>32292.979999999996</v>
      </c>
    </row>
    <row r="612" spans="1:33" x14ac:dyDescent="0.3">
      <c r="B612" s="3"/>
      <c r="C612" t="str">
        <f xml:space="preserve"> _xll.EPMOlapMemberO("[CLACO].[PARENTH1].[AMSAG_VIAJES]","","Gastos de Viajes","","000")</f>
        <v>Gastos de Viajes</v>
      </c>
      <c r="D612" s="2">
        <v>11840.45</v>
      </c>
      <c r="E612" s="2">
        <v>7129.14</v>
      </c>
      <c r="F612" s="2">
        <f t="shared" si="90"/>
        <v>-4711.3100000000004</v>
      </c>
      <c r="G612" s="2">
        <v>47842.48</v>
      </c>
      <c r="H612" s="2">
        <v>19934.07</v>
      </c>
      <c r="I612" s="2">
        <f t="shared" si="91"/>
        <v>-27908.410000000003</v>
      </c>
      <c r="J612" s="2">
        <v>55481.17</v>
      </c>
      <c r="K612" s="2">
        <v>53114.44</v>
      </c>
      <c r="L612" s="2">
        <f t="shared" si="92"/>
        <v>-2366.7299999999959</v>
      </c>
      <c r="M612" s="2">
        <v>45965.41</v>
      </c>
      <c r="N612" s="2">
        <v>17721.23</v>
      </c>
      <c r="O612" s="2">
        <f t="shared" si="93"/>
        <v>-28244.180000000004</v>
      </c>
      <c r="P612" s="2">
        <v>523.9</v>
      </c>
      <c r="Q612" s="2">
        <v>4000.48</v>
      </c>
      <c r="R612" s="2">
        <f t="shared" si="94"/>
        <v>3476.58</v>
      </c>
      <c r="S612" s="2">
        <v>3176.88</v>
      </c>
      <c r="T612" s="2">
        <v>1610.41</v>
      </c>
      <c r="U612" s="2">
        <f t="shared" si="95"/>
        <v>-1566.47</v>
      </c>
      <c r="V612" s="2">
        <v>2222.7600000000002</v>
      </c>
      <c r="W612" s="2">
        <v>3755.12</v>
      </c>
      <c r="X612" s="2">
        <f t="shared" si="96"/>
        <v>1532.3599999999997</v>
      </c>
      <c r="Y612" s="2">
        <v>1412.95</v>
      </c>
      <c r="Z612" s="2">
        <v>272.22000000000003</v>
      </c>
      <c r="AA612" s="2">
        <f t="shared" si="97"/>
        <v>-1140.73</v>
      </c>
      <c r="AB612" s="2">
        <v>4259.25</v>
      </c>
      <c r="AC612" s="2">
        <v>82.44</v>
      </c>
      <c r="AD612" s="2">
        <f t="shared" si="98"/>
        <v>-4176.8100000000004</v>
      </c>
      <c r="AE612" s="2">
        <v>14225.3</v>
      </c>
      <c r="AF612" s="2">
        <v>18959.14</v>
      </c>
      <c r="AG612" s="2">
        <f t="shared" si="99"/>
        <v>4733.84</v>
      </c>
    </row>
    <row r="613" spans="1:33" x14ac:dyDescent="0.3">
      <c r="B613" s="3"/>
      <c r="C613" t="str">
        <f xml:space="preserve"> _xll.EPMOlapMemberO("[CLACO].[PARENTH1].[AMSAIMP_PATEN]","","Impuestos / Patentes","","000")</f>
        <v>Impuestos / Patentes</v>
      </c>
      <c r="D613" s="2"/>
      <c r="E613" s="2"/>
      <c r="F613" s="2">
        <f t="shared" si="90"/>
        <v>0</v>
      </c>
      <c r="G613" s="2">
        <v>12707.24</v>
      </c>
      <c r="H613" s="2">
        <v>102279.56</v>
      </c>
      <c r="I613" s="2">
        <f t="shared" si="91"/>
        <v>89572.319999999992</v>
      </c>
      <c r="J613" s="2">
        <v>16995.21</v>
      </c>
      <c r="K613" s="2">
        <v>121950</v>
      </c>
      <c r="L613" s="2">
        <f t="shared" si="92"/>
        <v>104954.79000000001</v>
      </c>
      <c r="M613" s="2">
        <v>-117.53</v>
      </c>
      <c r="N613" s="2">
        <v>60989</v>
      </c>
      <c r="O613" s="2">
        <f t="shared" si="93"/>
        <v>61106.53</v>
      </c>
      <c r="P613" s="2">
        <v>2174.14</v>
      </c>
      <c r="Q613" s="2">
        <v>2978.99</v>
      </c>
      <c r="R613" s="2">
        <f t="shared" si="94"/>
        <v>804.84999999999991</v>
      </c>
      <c r="S613" s="2"/>
      <c r="T613" s="2">
        <v>2980.4</v>
      </c>
      <c r="U613" s="2">
        <f t="shared" si="95"/>
        <v>2980.4</v>
      </c>
      <c r="V613" s="2"/>
      <c r="W613" s="2">
        <v>2981.51</v>
      </c>
      <c r="X613" s="2">
        <f t="shared" si="96"/>
        <v>2981.51</v>
      </c>
      <c r="Y613" s="2"/>
      <c r="Z613" s="2">
        <v>2982.73</v>
      </c>
      <c r="AA613" s="2">
        <f t="shared" si="97"/>
        <v>2982.73</v>
      </c>
      <c r="AB613" s="2"/>
      <c r="AC613" s="2">
        <v>2984.24</v>
      </c>
      <c r="AD613" s="2">
        <f t="shared" si="98"/>
        <v>2984.24</v>
      </c>
      <c r="AE613" s="2">
        <v>2174.14</v>
      </c>
      <c r="AF613" s="2">
        <v>35728.25</v>
      </c>
      <c r="AG613" s="2">
        <f t="shared" si="99"/>
        <v>33554.11</v>
      </c>
    </row>
    <row r="614" spans="1:33" x14ac:dyDescent="0.3">
      <c r="B614" s="3"/>
      <c r="C614" t="str">
        <f xml:space="preserve"> _xll.EPMOlapMemberO("[CLACO].[PARENTH1].[AMSAGGENERALES.2]","","Otros Gastos","","000")</f>
        <v>Otros Gastos</v>
      </c>
      <c r="D614" s="2">
        <v>15231.96</v>
      </c>
      <c r="E614" s="2">
        <v>16696.650000000001</v>
      </c>
      <c r="F614" s="2">
        <f t="shared" si="90"/>
        <v>1464.6900000000023</v>
      </c>
      <c r="G614" s="2">
        <v>7115.6</v>
      </c>
      <c r="H614" s="2">
        <v>16782.03</v>
      </c>
      <c r="I614" s="2">
        <f t="shared" si="91"/>
        <v>9666.4299999999985</v>
      </c>
      <c r="J614" s="2">
        <v>126700.64</v>
      </c>
      <c r="K614" s="2">
        <v>94748.33</v>
      </c>
      <c r="L614" s="2">
        <f t="shared" si="92"/>
        <v>-31952.309999999998</v>
      </c>
      <c r="M614" s="2">
        <v>180776.25</v>
      </c>
      <c r="N614" s="2">
        <v>151676.57999999999</v>
      </c>
      <c r="O614" s="2">
        <f t="shared" si="93"/>
        <v>-29099.670000000013</v>
      </c>
      <c r="P614" s="2">
        <v>25879.9</v>
      </c>
      <c r="Q614" s="2">
        <v>1543.12</v>
      </c>
      <c r="R614" s="2">
        <f t="shared" si="94"/>
        <v>-24336.780000000002</v>
      </c>
      <c r="S614" s="2">
        <v>53.28</v>
      </c>
      <c r="T614" s="2">
        <v>104450.42</v>
      </c>
      <c r="U614" s="2">
        <f t="shared" si="95"/>
        <v>104397.14</v>
      </c>
      <c r="V614" s="2">
        <v>5597.34</v>
      </c>
      <c r="W614" s="2"/>
      <c r="X614" s="2">
        <f t="shared" si="96"/>
        <v>-5597.34</v>
      </c>
      <c r="Y614" s="2">
        <v>99352.79</v>
      </c>
      <c r="Z614" s="2">
        <v>31.04</v>
      </c>
      <c r="AA614" s="2">
        <f t="shared" si="97"/>
        <v>-99321.75</v>
      </c>
      <c r="AB614" s="2">
        <v>12424.29</v>
      </c>
      <c r="AC614" s="2">
        <v>8344.14</v>
      </c>
      <c r="AD614" s="2">
        <f t="shared" si="98"/>
        <v>-4080.1500000000015</v>
      </c>
      <c r="AE614" s="2">
        <v>239115.58</v>
      </c>
      <c r="AF614" s="2">
        <v>582790.93000000005</v>
      </c>
      <c r="AG614" s="2">
        <f t="shared" si="99"/>
        <v>343675.35000000009</v>
      </c>
    </row>
    <row r="615" spans="1:33" x14ac:dyDescent="0.3">
      <c r="A615" t="s">
        <v>73</v>
      </c>
      <c r="B615" s="3" t="str">
        <f xml:space="preserve"> _xll.EPMOlapMemberO("[CECO].[PARENTH3].[AMSA1000AC7010]","","VP Estrategia e Inno","","000")</f>
        <v>VP Estrategia e Inno</v>
      </c>
      <c r="C615" t="str">
        <f xml:space="preserve"> _xll.EPMOlapMemberO("[CLACO].[PARENTH1].[AMSAREMUNERACI.SS]","","Remuneraciones Super","","000")</f>
        <v>Remuneraciones Super</v>
      </c>
      <c r="D615" s="2">
        <v>1518264.76</v>
      </c>
      <c r="E615" s="2">
        <v>1521098.27</v>
      </c>
      <c r="F615" s="2">
        <f t="shared" si="90"/>
        <v>2833.5100000000093</v>
      </c>
      <c r="G615" s="2">
        <v>1999783.38</v>
      </c>
      <c r="H615" s="2">
        <v>1599222.98</v>
      </c>
      <c r="I615" s="2">
        <f t="shared" si="91"/>
        <v>-400560.39999999991</v>
      </c>
      <c r="J615" s="2">
        <v>3338051.56</v>
      </c>
      <c r="K615" s="2">
        <v>2499423.94</v>
      </c>
      <c r="L615" s="2">
        <f t="shared" si="92"/>
        <v>-838627.62000000011</v>
      </c>
      <c r="M615" s="2">
        <v>4862250.76</v>
      </c>
      <c r="N615" s="2">
        <v>3926555.35</v>
      </c>
      <c r="O615" s="2">
        <f t="shared" si="93"/>
        <v>-935695.40999999968</v>
      </c>
      <c r="P615" s="2">
        <v>345619.31</v>
      </c>
      <c r="Q615" s="2">
        <v>354322.08</v>
      </c>
      <c r="R615" s="2">
        <f t="shared" si="94"/>
        <v>8702.7700000000186</v>
      </c>
      <c r="S615" s="2">
        <v>564863.73</v>
      </c>
      <c r="T615" s="2">
        <v>378048.75</v>
      </c>
      <c r="U615" s="2">
        <f t="shared" si="95"/>
        <v>-186814.97999999998</v>
      </c>
      <c r="V615" s="2">
        <v>372774.26</v>
      </c>
      <c r="W615" s="2">
        <v>351314.7</v>
      </c>
      <c r="X615" s="2">
        <f t="shared" si="96"/>
        <v>-21459.559999999998</v>
      </c>
      <c r="Y615" s="2">
        <v>408478.86</v>
      </c>
      <c r="Z615" s="2">
        <v>366219.5</v>
      </c>
      <c r="AA615" s="2">
        <f t="shared" si="97"/>
        <v>-42259.359999999986</v>
      </c>
      <c r="AB615" s="2">
        <v>392850.04</v>
      </c>
      <c r="AC615" s="2">
        <v>350755.78</v>
      </c>
      <c r="AD615" s="2">
        <f t="shared" si="98"/>
        <v>-42094.259999999951</v>
      </c>
      <c r="AE615" s="2">
        <v>2085834.2</v>
      </c>
      <c r="AF615" s="2">
        <v>4328733.47</v>
      </c>
      <c r="AG615" s="2">
        <f t="shared" si="99"/>
        <v>2242899.2699999996</v>
      </c>
    </row>
    <row r="616" spans="1:33" x14ac:dyDescent="0.3">
      <c r="B616" s="3"/>
      <c r="C616" t="str">
        <f xml:space="preserve"> _xll.EPMOlapMemberO("[CLACO].[PARENTH1].[AMSAMAT_Y_REP.2]","","Materiales y repuest","","000")</f>
        <v>Materiales y repuest</v>
      </c>
      <c r="D616" s="2"/>
      <c r="E616" s="2"/>
      <c r="F616" s="2">
        <f t="shared" si="90"/>
        <v>0</v>
      </c>
      <c r="G616" s="2">
        <v>0</v>
      </c>
      <c r="H616" s="2"/>
      <c r="I616" s="2">
        <f t="shared" si="91"/>
        <v>0</v>
      </c>
      <c r="J616" s="2"/>
      <c r="K616" s="2"/>
      <c r="L616" s="2">
        <f t="shared" si="92"/>
        <v>0</v>
      </c>
      <c r="M616" s="2">
        <v>69.260000000000005</v>
      </c>
      <c r="N616" s="2"/>
      <c r="O616" s="2">
        <f t="shared" si="93"/>
        <v>-69.260000000000005</v>
      </c>
      <c r="P616" s="2"/>
      <c r="Q616" s="2"/>
      <c r="R616" s="2">
        <f t="shared" si="94"/>
        <v>0</v>
      </c>
      <c r="S616" s="2"/>
      <c r="T616" s="2"/>
      <c r="U616" s="2">
        <f t="shared" si="95"/>
        <v>0</v>
      </c>
      <c r="V616" s="2"/>
      <c r="W616" s="2"/>
      <c r="X616" s="2">
        <f t="shared" si="96"/>
        <v>0</v>
      </c>
      <c r="Y616" s="2"/>
      <c r="Z616" s="2"/>
      <c r="AA616" s="2">
        <f t="shared" si="97"/>
        <v>0</v>
      </c>
      <c r="AB616" s="2"/>
      <c r="AC616" s="2"/>
      <c r="AD616" s="2">
        <f t="shared" si="98"/>
        <v>0</v>
      </c>
      <c r="AE616" s="2"/>
      <c r="AF616" s="2"/>
      <c r="AG616" s="2">
        <f t="shared" si="99"/>
        <v>0</v>
      </c>
    </row>
    <row r="617" spans="1:33" x14ac:dyDescent="0.3">
      <c r="B617" s="3"/>
      <c r="C617" t="str">
        <f xml:space="preserve"> _xll.EPMOlapMemberO("[CLACO].[PARENTH1].[AMSAADM_PERSON]","","Administración Perso","","000")</f>
        <v>Administración Perso</v>
      </c>
      <c r="D617" s="2">
        <v>53726.91</v>
      </c>
      <c r="E617" s="2"/>
      <c r="F617" s="2">
        <f t="shared" si="90"/>
        <v>-53726.91</v>
      </c>
      <c r="G617" s="2">
        <v>640.01</v>
      </c>
      <c r="H617" s="2"/>
      <c r="I617" s="2">
        <f t="shared" si="91"/>
        <v>-640.01</v>
      </c>
      <c r="J617" s="2">
        <v>2230.54</v>
      </c>
      <c r="K617" s="2"/>
      <c r="L617" s="2">
        <f t="shared" si="92"/>
        <v>-2230.54</v>
      </c>
      <c r="M617" s="2">
        <v>5416.05</v>
      </c>
      <c r="N617" s="2"/>
      <c r="O617" s="2">
        <f t="shared" si="93"/>
        <v>-5416.05</v>
      </c>
      <c r="P617" s="2"/>
      <c r="Q617" s="2"/>
      <c r="R617" s="2">
        <f t="shared" si="94"/>
        <v>0</v>
      </c>
      <c r="S617" s="2"/>
      <c r="T617" s="2"/>
      <c r="U617" s="2">
        <f t="shared" si="95"/>
        <v>0</v>
      </c>
      <c r="V617" s="2"/>
      <c r="W617" s="2"/>
      <c r="X617" s="2">
        <f t="shared" si="96"/>
        <v>0</v>
      </c>
      <c r="Y617" s="2"/>
      <c r="Z617" s="2"/>
      <c r="AA617" s="2">
        <f t="shared" si="97"/>
        <v>0</v>
      </c>
      <c r="AB617" s="2"/>
      <c r="AC617" s="2"/>
      <c r="AD617" s="2">
        <f t="shared" si="98"/>
        <v>0</v>
      </c>
      <c r="AE617" s="2"/>
      <c r="AF617" s="2"/>
      <c r="AG617" s="2">
        <f t="shared" si="99"/>
        <v>0</v>
      </c>
    </row>
    <row r="618" spans="1:33" x14ac:dyDescent="0.3">
      <c r="B618" s="3"/>
      <c r="C618" t="str">
        <f xml:space="preserve"> _xll.EPMOlapMemberO("[CLACO].[PARENTH1].[AMSAENTRENAMI]","","Entrenamiento","","000")</f>
        <v>Entrenamiento</v>
      </c>
      <c r="D618" s="2">
        <v>4939.1099999999997</v>
      </c>
      <c r="E618" s="2"/>
      <c r="F618" s="2">
        <f t="shared" si="90"/>
        <v>-4939.1099999999997</v>
      </c>
      <c r="G618" s="2">
        <v>11418.1</v>
      </c>
      <c r="H618" s="2">
        <v>52432.3</v>
      </c>
      <c r="I618" s="2">
        <f t="shared" si="91"/>
        <v>41014.200000000004</v>
      </c>
      <c r="J618" s="2">
        <v>30176.76</v>
      </c>
      <c r="K618" s="2">
        <v>14635.29</v>
      </c>
      <c r="L618" s="2">
        <f t="shared" si="92"/>
        <v>-15541.469999999998</v>
      </c>
      <c r="M618" s="2">
        <v>8201.9</v>
      </c>
      <c r="N618" s="2"/>
      <c r="O618" s="2">
        <f t="shared" si="93"/>
        <v>-8201.9</v>
      </c>
      <c r="P618" s="2">
        <v>5477.71</v>
      </c>
      <c r="Q618" s="2"/>
      <c r="R618" s="2">
        <f t="shared" si="94"/>
        <v>-5477.71</v>
      </c>
      <c r="S618" s="2"/>
      <c r="T618" s="2"/>
      <c r="U618" s="2">
        <f t="shared" si="95"/>
        <v>0</v>
      </c>
      <c r="V618" s="2"/>
      <c r="W618" s="2"/>
      <c r="X618" s="2">
        <f t="shared" si="96"/>
        <v>0</v>
      </c>
      <c r="Y618" s="2"/>
      <c r="Z618" s="2"/>
      <c r="AA618" s="2">
        <f t="shared" si="97"/>
        <v>0</v>
      </c>
      <c r="AB618" s="2"/>
      <c r="AC618" s="2"/>
      <c r="AD618" s="2">
        <f t="shared" si="98"/>
        <v>0</v>
      </c>
      <c r="AE618" s="2">
        <v>5477.71</v>
      </c>
      <c r="AF618" s="2"/>
      <c r="AG618" s="2">
        <f t="shared" si="99"/>
        <v>-5477.71</v>
      </c>
    </row>
    <row r="619" spans="1:33" x14ac:dyDescent="0.3">
      <c r="B619" s="3"/>
      <c r="C619" t="str">
        <f xml:space="preserve"> _xll.EPMOlapMemberO("[CLACO].[PARENTH1].[AMSAASESORIAS]","","Asesorías y Consulto","","000")</f>
        <v>Asesorías y Consulto</v>
      </c>
      <c r="D619" s="2">
        <v>246236.88</v>
      </c>
      <c r="E619" s="2">
        <v>428071</v>
      </c>
      <c r="F619" s="2">
        <f t="shared" si="90"/>
        <v>181834.12</v>
      </c>
      <c r="G619" s="2">
        <v>98454.88</v>
      </c>
      <c r="H619" s="2">
        <v>131297.20000000001</v>
      </c>
      <c r="I619" s="2">
        <f t="shared" si="91"/>
        <v>32842.320000000007</v>
      </c>
      <c r="J619" s="2">
        <v>20049.900000000001</v>
      </c>
      <c r="K619" s="2"/>
      <c r="L619" s="2">
        <f t="shared" si="92"/>
        <v>-20049.900000000001</v>
      </c>
      <c r="M619" s="2">
        <v>9288.6</v>
      </c>
      <c r="N619" s="2"/>
      <c r="O619" s="2">
        <f t="shared" si="93"/>
        <v>-9288.6</v>
      </c>
      <c r="P619" s="2"/>
      <c r="Q619" s="2"/>
      <c r="R619" s="2">
        <f t="shared" si="94"/>
        <v>0</v>
      </c>
      <c r="S619" s="2"/>
      <c r="T619" s="2"/>
      <c r="U619" s="2">
        <f t="shared" si="95"/>
        <v>0</v>
      </c>
      <c r="V619" s="2"/>
      <c r="W619" s="2"/>
      <c r="X619" s="2">
        <f t="shared" si="96"/>
        <v>0</v>
      </c>
      <c r="Y619" s="2"/>
      <c r="Z619" s="2"/>
      <c r="AA619" s="2">
        <f t="shared" si="97"/>
        <v>0</v>
      </c>
      <c r="AB619" s="2"/>
      <c r="AC619" s="2"/>
      <c r="AD619" s="2">
        <f t="shared" si="98"/>
        <v>0</v>
      </c>
      <c r="AE619" s="2"/>
      <c r="AF619" s="2"/>
      <c r="AG619" s="2">
        <f t="shared" si="99"/>
        <v>0</v>
      </c>
    </row>
    <row r="620" spans="1:33" x14ac:dyDescent="0.3">
      <c r="B620" s="3"/>
      <c r="C620" t="str">
        <f xml:space="preserve"> _xll.EPMOlapMemberO("[CLACO].[PARENTH1].[AMSASERVICIOS]","","Servicios","","000")</f>
        <v>Servicios</v>
      </c>
      <c r="D620" s="2">
        <v>7413.43</v>
      </c>
      <c r="E620" s="2"/>
      <c r="F620" s="2">
        <f t="shared" si="90"/>
        <v>-7413.43</v>
      </c>
      <c r="G620" s="2">
        <v>189338.07</v>
      </c>
      <c r="H620" s="2">
        <v>199997.91</v>
      </c>
      <c r="I620" s="2">
        <f t="shared" si="91"/>
        <v>10659.839999999997</v>
      </c>
      <c r="J620" s="2">
        <v>121672.58</v>
      </c>
      <c r="K620" s="2">
        <v>300492.43</v>
      </c>
      <c r="L620" s="2">
        <f t="shared" si="92"/>
        <v>178819.84999999998</v>
      </c>
      <c r="M620" s="2">
        <v>63527.27</v>
      </c>
      <c r="N620" s="2">
        <v>129698.72</v>
      </c>
      <c r="O620" s="2">
        <f t="shared" si="93"/>
        <v>66171.450000000012</v>
      </c>
      <c r="P620" s="2">
        <v>5433.59</v>
      </c>
      <c r="Q620" s="2">
        <v>25741.69</v>
      </c>
      <c r="R620" s="2">
        <f t="shared" si="94"/>
        <v>20308.099999999999</v>
      </c>
      <c r="S620" s="2">
        <v>5357.45</v>
      </c>
      <c r="T620" s="2">
        <v>4543.3599999999997</v>
      </c>
      <c r="U620" s="2">
        <f t="shared" si="95"/>
        <v>-814.09000000000015</v>
      </c>
      <c r="V620" s="2">
        <v>5327.42</v>
      </c>
      <c r="W620" s="2">
        <v>4542.55</v>
      </c>
      <c r="X620" s="2">
        <f t="shared" si="96"/>
        <v>-784.86999999999989</v>
      </c>
      <c r="Y620" s="2">
        <v>5610.85</v>
      </c>
      <c r="Z620" s="2">
        <v>4542.1499999999996</v>
      </c>
      <c r="AA620" s="2">
        <f t="shared" si="97"/>
        <v>-1068.7000000000007</v>
      </c>
      <c r="AB620" s="2">
        <v>5474.23</v>
      </c>
      <c r="AC620" s="2">
        <v>4541.28</v>
      </c>
      <c r="AD620" s="2">
        <f t="shared" si="98"/>
        <v>-932.94999999999982</v>
      </c>
      <c r="AE620" s="2">
        <v>32929.86</v>
      </c>
      <c r="AF620" s="2">
        <v>130123.39</v>
      </c>
      <c r="AG620" s="2">
        <f t="shared" si="99"/>
        <v>97193.53</v>
      </c>
    </row>
    <row r="621" spans="1:33" x14ac:dyDescent="0.3">
      <c r="B621" s="3"/>
      <c r="C621" t="str">
        <f xml:space="preserve"> _xll.EPMOlapMemberO("[CLACO].[PARENTH1].[AMSAINFORMATIC]","","Informática y Comuni","","000")</f>
        <v>Informática y Comuni</v>
      </c>
      <c r="D621" s="2">
        <v>40972.44</v>
      </c>
      <c r="E621" s="2">
        <v>539.38</v>
      </c>
      <c r="F621" s="2">
        <f t="shared" si="90"/>
        <v>-40433.060000000005</v>
      </c>
      <c r="G621" s="2">
        <v>3538.6</v>
      </c>
      <c r="H621" s="2">
        <v>1072.04</v>
      </c>
      <c r="I621" s="2">
        <f t="shared" si="91"/>
        <v>-2466.56</v>
      </c>
      <c r="J621" s="2">
        <v>17351.740000000002</v>
      </c>
      <c r="K621" s="2">
        <v>3980.9</v>
      </c>
      <c r="L621" s="2">
        <f t="shared" si="92"/>
        <v>-13370.840000000002</v>
      </c>
      <c r="M621" s="2">
        <v>6978.75</v>
      </c>
      <c r="N621" s="2">
        <v>5633.37</v>
      </c>
      <c r="O621" s="2">
        <f t="shared" si="93"/>
        <v>-1345.38</v>
      </c>
      <c r="P621" s="2">
        <v>9022.11</v>
      </c>
      <c r="Q621" s="2">
        <v>531.73</v>
      </c>
      <c r="R621" s="2">
        <f t="shared" si="94"/>
        <v>-8490.380000000001</v>
      </c>
      <c r="S621" s="2">
        <v>12468.67</v>
      </c>
      <c r="T621" s="2">
        <v>530.03</v>
      </c>
      <c r="U621" s="2">
        <f t="shared" si="95"/>
        <v>-11938.64</v>
      </c>
      <c r="V621" s="2">
        <v>1548.78</v>
      </c>
      <c r="W621" s="2">
        <v>183.08</v>
      </c>
      <c r="X621" s="2">
        <f t="shared" si="96"/>
        <v>-1365.7</v>
      </c>
      <c r="Y621" s="2">
        <v>3779.67</v>
      </c>
      <c r="Z621" s="2">
        <v>183.06</v>
      </c>
      <c r="AA621" s="2">
        <f t="shared" si="97"/>
        <v>-3596.61</v>
      </c>
      <c r="AB621" s="2">
        <v>1062.67</v>
      </c>
      <c r="AC621" s="2"/>
      <c r="AD621" s="2">
        <f t="shared" si="98"/>
        <v>-1062.67</v>
      </c>
      <c r="AE621" s="2">
        <v>28452.57</v>
      </c>
      <c r="AF621" s="2">
        <v>4847.09</v>
      </c>
      <c r="AG621" s="2">
        <f t="shared" si="99"/>
        <v>-23605.48</v>
      </c>
    </row>
    <row r="622" spans="1:33" x14ac:dyDescent="0.3">
      <c r="B622" s="3"/>
      <c r="C622" t="str">
        <f xml:space="preserve"> _xll.EPMOlapMemberO("[CLACO].[PARENTH1].[AMSAG_VIAJES]","","Gastos de Viajes","","000")</f>
        <v>Gastos de Viajes</v>
      </c>
      <c r="D622" s="2">
        <v>26363.74</v>
      </c>
      <c r="E622" s="2">
        <v>46132.08</v>
      </c>
      <c r="F622" s="2">
        <f t="shared" si="90"/>
        <v>19768.34</v>
      </c>
      <c r="G622" s="2">
        <v>33369.78</v>
      </c>
      <c r="H622" s="2">
        <v>26542.880000000001</v>
      </c>
      <c r="I622" s="2">
        <f t="shared" si="91"/>
        <v>-6826.8999999999978</v>
      </c>
      <c r="J622" s="2">
        <v>57223.59</v>
      </c>
      <c r="K622" s="2">
        <v>53367.08</v>
      </c>
      <c r="L622" s="2">
        <f t="shared" si="92"/>
        <v>-3856.5099999999948</v>
      </c>
      <c r="M622" s="2">
        <v>98674.75</v>
      </c>
      <c r="N622" s="2">
        <v>63959.16</v>
      </c>
      <c r="O622" s="2">
        <f t="shared" si="93"/>
        <v>-34715.589999999997</v>
      </c>
      <c r="P622" s="2">
        <v>464.13</v>
      </c>
      <c r="Q622" s="2">
        <v>2158.6799999999998</v>
      </c>
      <c r="R622" s="2">
        <f t="shared" si="94"/>
        <v>1694.5499999999997</v>
      </c>
      <c r="S622" s="2">
        <v>2281.94</v>
      </c>
      <c r="T622" s="2">
        <v>10028.82</v>
      </c>
      <c r="U622" s="2">
        <f t="shared" si="95"/>
        <v>7746.8799999999992</v>
      </c>
      <c r="V622" s="2">
        <v>499.98</v>
      </c>
      <c r="W622" s="2">
        <v>1769.36</v>
      </c>
      <c r="X622" s="2">
        <f t="shared" si="96"/>
        <v>1269.3799999999999</v>
      </c>
      <c r="Y622" s="2">
        <v>-465.08</v>
      </c>
      <c r="Z622" s="2">
        <v>1495</v>
      </c>
      <c r="AA622" s="2">
        <f t="shared" si="97"/>
        <v>1960.08</v>
      </c>
      <c r="AB622" s="2">
        <v>142.58000000000001</v>
      </c>
      <c r="AC622" s="2">
        <v>1494.29</v>
      </c>
      <c r="AD622" s="2">
        <f t="shared" si="98"/>
        <v>1351.71</v>
      </c>
      <c r="AE622" s="2">
        <v>3478.11</v>
      </c>
      <c r="AF622" s="2">
        <v>67868.73</v>
      </c>
      <c r="AG622" s="2">
        <f t="shared" si="99"/>
        <v>64390.619999999995</v>
      </c>
    </row>
    <row r="623" spans="1:33" x14ac:dyDescent="0.3">
      <c r="B623" s="3"/>
      <c r="C623" t="str">
        <f xml:space="preserve"> _xll.EPMOlapMemberO("[CLACO].[PARENTH1].[AMSAIMP_PATEN]","","Impuestos / Patentes","","000")</f>
        <v>Impuestos / Patentes</v>
      </c>
      <c r="D623" s="2"/>
      <c r="E623" s="2"/>
      <c r="F623" s="2">
        <f t="shared" si="90"/>
        <v>0</v>
      </c>
      <c r="G623" s="2">
        <v>88.63</v>
      </c>
      <c r="H623" s="2"/>
      <c r="I623" s="2">
        <f t="shared" si="91"/>
        <v>-88.63</v>
      </c>
      <c r="J623" s="2"/>
      <c r="K623" s="2"/>
      <c r="L623" s="2">
        <f t="shared" si="92"/>
        <v>0</v>
      </c>
      <c r="M623" s="2"/>
      <c r="N623" s="2"/>
      <c r="O623" s="2">
        <f t="shared" si="93"/>
        <v>0</v>
      </c>
      <c r="P623" s="2"/>
      <c r="Q623" s="2"/>
      <c r="R623" s="2">
        <f t="shared" si="94"/>
        <v>0</v>
      </c>
      <c r="S623" s="2"/>
      <c r="T623" s="2"/>
      <c r="U623" s="2">
        <f t="shared" si="95"/>
        <v>0</v>
      </c>
      <c r="V623" s="2"/>
      <c r="W623" s="2"/>
      <c r="X623" s="2">
        <f t="shared" si="96"/>
        <v>0</v>
      </c>
      <c r="Y623" s="2"/>
      <c r="Z623" s="2"/>
      <c r="AA623" s="2">
        <f t="shared" si="97"/>
        <v>0</v>
      </c>
      <c r="AB623" s="2"/>
      <c r="AC623" s="2"/>
      <c r="AD623" s="2">
        <f t="shared" si="98"/>
        <v>0</v>
      </c>
      <c r="AE623" s="2"/>
      <c r="AF623" s="2"/>
      <c r="AG623" s="2">
        <f t="shared" si="99"/>
        <v>0</v>
      </c>
    </row>
    <row r="624" spans="1:33" x14ac:dyDescent="0.3">
      <c r="B624" s="3"/>
      <c r="C624" t="str">
        <f xml:space="preserve"> _xll.EPMOlapMemberO("[CLACO].[PARENTH1].[AMSAGGENERALES.2]","","Otros Gastos","","000")</f>
        <v>Otros Gastos</v>
      </c>
      <c r="D624" s="2">
        <v>1804.61</v>
      </c>
      <c r="E624" s="2">
        <v>281.73</v>
      </c>
      <c r="F624" s="2">
        <f t="shared" si="90"/>
        <v>-1522.8799999999999</v>
      </c>
      <c r="G624" s="2">
        <v>36779.839999999997</v>
      </c>
      <c r="H624" s="2">
        <v>74337.570000000007</v>
      </c>
      <c r="I624" s="2">
        <f t="shared" si="91"/>
        <v>37557.73000000001</v>
      </c>
      <c r="J624" s="2">
        <v>8291.5499999999993</v>
      </c>
      <c r="K624" s="2">
        <v>16243.17</v>
      </c>
      <c r="L624" s="2">
        <f t="shared" si="92"/>
        <v>7951.6200000000008</v>
      </c>
      <c r="M624" s="2">
        <v>64762.34</v>
      </c>
      <c r="N624" s="2">
        <v>17266.650000000001</v>
      </c>
      <c r="O624" s="2">
        <f t="shared" si="93"/>
        <v>-47495.689999999995</v>
      </c>
      <c r="P624" s="2">
        <v>3052.31</v>
      </c>
      <c r="Q624" s="2"/>
      <c r="R624" s="2">
        <f t="shared" si="94"/>
        <v>-3052.31</v>
      </c>
      <c r="S624" s="2">
        <v>558.11</v>
      </c>
      <c r="T624" s="2"/>
      <c r="U624" s="2">
        <f t="shared" si="95"/>
        <v>-558.11</v>
      </c>
      <c r="V624" s="2">
        <v>266.07</v>
      </c>
      <c r="W624" s="2">
        <v>1594.05</v>
      </c>
      <c r="X624" s="2">
        <f t="shared" si="96"/>
        <v>1327.98</v>
      </c>
      <c r="Y624" s="2">
        <v>1032.67</v>
      </c>
      <c r="Z624" s="2"/>
      <c r="AA624" s="2">
        <f t="shared" si="97"/>
        <v>-1032.67</v>
      </c>
      <c r="AB624" s="2">
        <v>556.20000000000005</v>
      </c>
      <c r="AC624" s="2"/>
      <c r="AD624" s="2">
        <f t="shared" si="98"/>
        <v>-556.20000000000005</v>
      </c>
      <c r="AE624" s="2">
        <v>5944.89</v>
      </c>
      <c r="AF624" s="2">
        <v>18514.669999999998</v>
      </c>
      <c r="AG624" s="2">
        <f t="shared" si="99"/>
        <v>12569.779999999999</v>
      </c>
    </row>
    <row r="625" spans="1:33" x14ac:dyDescent="0.3">
      <c r="A625" t="s">
        <v>74</v>
      </c>
      <c r="B625" s="3" t="str">
        <f xml:space="preserve"> _xll.EPMOlapMemberO("[CECO].[PARENTH3].[AMSA1000AC7014]","","Transformación Digit","","000")</f>
        <v>Transformación Digit</v>
      </c>
      <c r="C625" t="str">
        <f xml:space="preserve"> _xll.EPMOlapMemberO("[CLACO].[PARENTH1].[AMSAREMUNERACI.SS]","","Remuneraciones Super","","000")</f>
        <v>Remuneraciones Super</v>
      </c>
      <c r="D625" s="2">
        <v>-2.75</v>
      </c>
      <c r="E625" s="2"/>
      <c r="F625" s="2">
        <f t="shared" si="90"/>
        <v>2.75</v>
      </c>
      <c r="G625" s="2"/>
      <c r="H625" s="2"/>
      <c r="I625" s="2">
        <f t="shared" si="91"/>
        <v>0</v>
      </c>
      <c r="J625" s="2"/>
      <c r="K625" s="2"/>
      <c r="L625" s="2">
        <f t="shared" si="92"/>
        <v>0</v>
      </c>
      <c r="M625" s="2"/>
      <c r="N625" s="2"/>
      <c r="O625" s="2">
        <f t="shared" si="93"/>
        <v>0</v>
      </c>
      <c r="P625" s="2"/>
      <c r="Q625" s="2"/>
      <c r="R625" s="2">
        <f t="shared" si="94"/>
        <v>0</v>
      </c>
      <c r="S625" s="2"/>
      <c r="T625" s="2"/>
      <c r="U625" s="2">
        <f t="shared" si="95"/>
        <v>0</v>
      </c>
      <c r="V625" s="2"/>
      <c r="W625" s="2"/>
      <c r="X625" s="2">
        <f t="shared" si="96"/>
        <v>0</v>
      </c>
      <c r="Y625" s="2"/>
      <c r="Z625" s="2"/>
      <c r="AA625" s="2">
        <f t="shared" si="97"/>
        <v>0</v>
      </c>
      <c r="AB625" s="2"/>
      <c r="AC625" s="2"/>
      <c r="AD625" s="2">
        <f t="shared" si="98"/>
        <v>0</v>
      </c>
      <c r="AE625" s="2"/>
      <c r="AF625" s="2"/>
      <c r="AG625" s="2">
        <f t="shared" si="99"/>
        <v>0</v>
      </c>
    </row>
    <row r="626" spans="1:33" x14ac:dyDescent="0.3">
      <c r="B626" s="3"/>
      <c r="C626" t="str">
        <f xml:space="preserve"> _xll.EPMOlapMemberO("[CLACO].[PARENTH1].[AMSAENTRENAMI]","","Entrenamiento","","000")</f>
        <v>Entrenamiento</v>
      </c>
      <c r="D626" s="2">
        <v>-15731.41</v>
      </c>
      <c r="E626" s="2"/>
      <c r="F626" s="2">
        <f t="shared" si="90"/>
        <v>15731.41</v>
      </c>
      <c r="G626" s="2"/>
      <c r="H626" s="2"/>
      <c r="I626" s="2">
        <f t="shared" si="91"/>
        <v>0</v>
      </c>
      <c r="J626" s="2"/>
      <c r="K626" s="2"/>
      <c r="L626" s="2">
        <f t="shared" si="92"/>
        <v>0</v>
      </c>
      <c r="M626" s="2"/>
      <c r="N626" s="2"/>
      <c r="O626" s="2">
        <f t="shared" si="93"/>
        <v>0</v>
      </c>
      <c r="P626" s="2"/>
      <c r="Q626" s="2"/>
      <c r="R626" s="2">
        <f t="shared" si="94"/>
        <v>0</v>
      </c>
      <c r="S626" s="2"/>
      <c r="T626" s="2"/>
      <c r="U626" s="2">
        <f t="shared" si="95"/>
        <v>0</v>
      </c>
      <c r="V626" s="2"/>
      <c r="W626" s="2"/>
      <c r="X626" s="2">
        <f t="shared" si="96"/>
        <v>0</v>
      </c>
      <c r="Y626" s="2"/>
      <c r="Z626" s="2"/>
      <c r="AA626" s="2">
        <f t="shared" si="97"/>
        <v>0</v>
      </c>
      <c r="AB626" s="2"/>
      <c r="AC626" s="2"/>
      <c r="AD626" s="2">
        <f t="shared" si="98"/>
        <v>0</v>
      </c>
      <c r="AE626" s="2"/>
      <c r="AF626" s="2"/>
      <c r="AG626" s="2">
        <f t="shared" si="99"/>
        <v>0</v>
      </c>
    </row>
    <row r="627" spans="1:33" x14ac:dyDescent="0.3">
      <c r="B627" s="3"/>
      <c r="C627" t="str">
        <f xml:space="preserve"> _xll.EPMOlapMemberO("[CLACO].[PARENTH1].[AMSAASESORIAS]","","Asesorías y Consulto","","000")</f>
        <v>Asesorías y Consulto</v>
      </c>
      <c r="D627" s="2">
        <v>4184.46</v>
      </c>
      <c r="E627" s="2"/>
      <c r="F627" s="2">
        <f t="shared" si="90"/>
        <v>-4184.46</v>
      </c>
      <c r="G627" s="2"/>
      <c r="H627" s="2"/>
      <c r="I627" s="2">
        <f t="shared" si="91"/>
        <v>0</v>
      </c>
      <c r="J627" s="2"/>
      <c r="K627" s="2"/>
      <c r="L627" s="2">
        <f t="shared" si="92"/>
        <v>0</v>
      </c>
      <c r="M627" s="2"/>
      <c r="N627" s="2"/>
      <c r="O627" s="2">
        <f t="shared" si="93"/>
        <v>0</v>
      </c>
      <c r="P627" s="2"/>
      <c r="Q627" s="2"/>
      <c r="R627" s="2">
        <f t="shared" si="94"/>
        <v>0</v>
      </c>
      <c r="S627" s="2"/>
      <c r="T627" s="2"/>
      <c r="U627" s="2">
        <f t="shared" si="95"/>
        <v>0</v>
      </c>
      <c r="V627" s="2"/>
      <c r="W627" s="2"/>
      <c r="X627" s="2">
        <f t="shared" si="96"/>
        <v>0</v>
      </c>
      <c r="Y627" s="2"/>
      <c r="Z627" s="2"/>
      <c r="AA627" s="2">
        <f t="shared" si="97"/>
        <v>0</v>
      </c>
      <c r="AB627" s="2"/>
      <c r="AC627" s="2"/>
      <c r="AD627" s="2">
        <f t="shared" si="98"/>
        <v>0</v>
      </c>
      <c r="AE627" s="2"/>
      <c r="AF627" s="2"/>
      <c r="AG627" s="2">
        <f t="shared" si="99"/>
        <v>0</v>
      </c>
    </row>
    <row r="628" spans="1:33" x14ac:dyDescent="0.3">
      <c r="B628" s="3"/>
      <c r="C628" t="str">
        <f xml:space="preserve"> _xll.EPMOlapMemberO("[CLACO].[PARENTH1].[AMSAINFORMATIC]","","Informática y Comuni","","000")</f>
        <v>Informática y Comuni</v>
      </c>
      <c r="D628" s="2">
        <v>1490.71</v>
      </c>
      <c r="E628" s="2"/>
      <c r="F628" s="2">
        <f t="shared" si="90"/>
        <v>-1490.71</v>
      </c>
      <c r="G628" s="2">
        <v>0.18</v>
      </c>
      <c r="H628" s="2"/>
      <c r="I628" s="2">
        <f t="shared" si="91"/>
        <v>-0.18</v>
      </c>
      <c r="J628" s="2"/>
      <c r="K628" s="2"/>
      <c r="L628" s="2">
        <f t="shared" si="92"/>
        <v>0</v>
      </c>
      <c r="M628" s="2"/>
      <c r="N628" s="2"/>
      <c r="O628" s="2">
        <f t="shared" si="93"/>
        <v>0</v>
      </c>
      <c r="P628" s="2"/>
      <c r="Q628" s="2"/>
      <c r="R628" s="2">
        <f t="shared" si="94"/>
        <v>0</v>
      </c>
      <c r="S628" s="2"/>
      <c r="T628" s="2"/>
      <c r="U628" s="2">
        <f t="shared" si="95"/>
        <v>0</v>
      </c>
      <c r="V628" s="2"/>
      <c r="W628" s="2"/>
      <c r="X628" s="2">
        <f t="shared" si="96"/>
        <v>0</v>
      </c>
      <c r="Y628" s="2"/>
      <c r="Z628" s="2"/>
      <c r="AA628" s="2">
        <f t="shared" si="97"/>
        <v>0</v>
      </c>
      <c r="AB628" s="2"/>
      <c r="AC628" s="2"/>
      <c r="AD628" s="2">
        <f t="shared" si="98"/>
        <v>0</v>
      </c>
      <c r="AE628" s="2"/>
      <c r="AF628" s="2"/>
      <c r="AG628" s="2">
        <f t="shared" si="99"/>
        <v>0</v>
      </c>
    </row>
    <row r="629" spans="1:33" x14ac:dyDescent="0.3">
      <c r="B629" s="3"/>
      <c r="C629" t="str">
        <f xml:space="preserve"> _xll.EPMOlapMemberO("[CLACO].[PARENTH1].[AMSAGGENERALES.2]","","Otros Gastos","","000")</f>
        <v>Otros Gastos</v>
      </c>
      <c r="D629" s="2">
        <v>2.0699999999999998</v>
      </c>
      <c r="E629" s="2"/>
      <c r="F629" s="2">
        <f t="shared" si="90"/>
        <v>-2.0699999999999998</v>
      </c>
      <c r="G629" s="2"/>
      <c r="H629" s="2"/>
      <c r="I629" s="2">
        <f t="shared" si="91"/>
        <v>0</v>
      </c>
      <c r="J629" s="2"/>
      <c r="K629" s="2"/>
      <c r="L629" s="2">
        <f t="shared" si="92"/>
        <v>0</v>
      </c>
      <c r="M629" s="2"/>
      <c r="N629" s="2"/>
      <c r="O629" s="2">
        <f t="shared" si="93"/>
        <v>0</v>
      </c>
      <c r="P629" s="2"/>
      <c r="Q629" s="2"/>
      <c r="R629" s="2">
        <f t="shared" si="94"/>
        <v>0</v>
      </c>
      <c r="S629" s="2"/>
      <c r="T629" s="2"/>
      <c r="U629" s="2">
        <f t="shared" si="95"/>
        <v>0</v>
      </c>
      <c r="V629" s="2"/>
      <c r="W629" s="2"/>
      <c r="X629" s="2">
        <f t="shared" si="96"/>
        <v>0</v>
      </c>
      <c r="Y629" s="2"/>
      <c r="Z629" s="2"/>
      <c r="AA629" s="2">
        <f t="shared" si="97"/>
        <v>0</v>
      </c>
      <c r="AB629" s="2"/>
      <c r="AC629" s="2"/>
      <c r="AD629" s="2">
        <f t="shared" si="98"/>
        <v>0</v>
      </c>
      <c r="AE629" s="2"/>
      <c r="AF629" s="2"/>
      <c r="AG629" s="2">
        <f t="shared" si="99"/>
        <v>0</v>
      </c>
    </row>
    <row r="630" spans="1:33" x14ac:dyDescent="0.3">
      <c r="A630" t="s">
        <v>75</v>
      </c>
      <c r="B630" s="3" t="str">
        <f xml:space="preserve"> _xll.EPMOlapMemberO("[CECO].[PARENTH3].[AMSA1000AC7016]","","Geren de Descarboniz","","000")</f>
        <v>Geren de Descarboniz</v>
      </c>
      <c r="C630" t="str">
        <f xml:space="preserve"> _xll.EPMOlapMemberO("[CLACO].[PARENTH1].[AMSAMAT_Y_REP.2]","","Materiales y repuest","","000")</f>
        <v>Materiales y repuest</v>
      </c>
      <c r="D630" s="2"/>
      <c r="E630" s="2"/>
      <c r="F630" s="2">
        <f t="shared" si="90"/>
        <v>0</v>
      </c>
      <c r="G630" s="2"/>
      <c r="H630" s="2"/>
      <c r="I630" s="2">
        <f t="shared" si="91"/>
        <v>0</v>
      </c>
      <c r="J630" s="2"/>
      <c r="K630" s="2"/>
      <c r="L630" s="2">
        <f t="shared" si="92"/>
        <v>0</v>
      </c>
      <c r="M630" s="2"/>
      <c r="N630" s="2"/>
      <c r="O630" s="2">
        <f t="shared" si="93"/>
        <v>0</v>
      </c>
      <c r="P630" s="2"/>
      <c r="Q630" s="2"/>
      <c r="R630" s="2">
        <f t="shared" si="94"/>
        <v>0</v>
      </c>
      <c r="S630" s="2"/>
      <c r="T630" s="2"/>
      <c r="U630" s="2">
        <f t="shared" si="95"/>
        <v>0</v>
      </c>
      <c r="V630" s="2"/>
      <c r="W630" s="2"/>
      <c r="X630" s="2">
        <f t="shared" si="96"/>
        <v>0</v>
      </c>
      <c r="Y630" s="2"/>
      <c r="Z630" s="2"/>
      <c r="AA630" s="2">
        <f t="shared" si="97"/>
        <v>0</v>
      </c>
      <c r="AB630" s="2"/>
      <c r="AC630" s="2"/>
      <c r="AD630" s="2">
        <f t="shared" si="98"/>
        <v>0</v>
      </c>
      <c r="AE630" s="2">
        <v>721395</v>
      </c>
      <c r="AF630" s="2"/>
      <c r="AG630" s="2">
        <f t="shared" si="99"/>
        <v>-721395</v>
      </c>
    </row>
    <row r="631" spans="1:33" x14ac:dyDescent="0.3">
      <c r="B631" s="3"/>
      <c r="C631" t="str">
        <f xml:space="preserve"> _xll.EPMOlapMemberO("[CLACO].[PARENTH1].[AMSAADM_PERSON]","","Administración Perso","","000")</f>
        <v>Administración Perso</v>
      </c>
      <c r="D631" s="2"/>
      <c r="E631" s="2"/>
      <c r="F631" s="2">
        <f t="shared" si="90"/>
        <v>0</v>
      </c>
      <c r="G631" s="2"/>
      <c r="H631" s="2"/>
      <c r="I631" s="2">
        <f t="shared" si="91"/>
        <v>0</v>
      </c>
      <c r="J631" s="2"/>
      <c r="K631" s="2"/>
      <c r="L631" s="2">
        <f t="shared" si="92"/>
        <v>0</v>
      </c>
      <c r="M631" s="2">
        <v>1629.29</v>
      </c>
      <c r="N631" s="2"/>
      <c r="O631" s="2">
        <f t="shared" si="93"/>
        <v>-1629.29</v>
      </c>
      <c r="P631" s="2"/>
      <c r="Q631" s="2"/>
      <c r="R631" s="2">
        <f t="shared" si="94"/>
        <v>0</v>
      </c>
      <c r="S631" s="2"/>
      <c r="T631" s="2"/>
      <c r="U631" s="2">
        <f t="shared" si="95"/>
        <v>0</v>
      </c>
      <c r="V631" s="2"/>
      <c r="W631" s="2"/>
      <c r="X631" s="2">
        <f t="shared" si="96"/>
        <v>0</v>
      </c>
      <c r="Y631" s="2"/>
      <c r="Z631" s="2"/>
      <c r="AA631" s="2">
        <f t="shared" si="97"/>
        <v>0</v>
      </c>
      <c r="AB631" s="2"/>
      <c r="AC631" s="2"/>
      <c r="AD631" s="2">
        <f t="shared" si="98"/>
        <v>0</v>
      </c>
      <c r="AE631" s="2"/>
      <c r="AF631" s="2"/>
      <c r="AG631" s="2">
        <f t="shared" si="99"/>
        <v>0</v>
      </c>
    </row>
    <row r="632" spans="1:33" x14ac:dyDescent="0.3">
      <c r="B632" s="3"/>
      <c r="C632" t="str">
        <f xml:space="preserve"> _xll.EPMOlapMemberO("[CLACO].[PARENTH1].[AMSAENTRENAMI]","","Entrenamiento","","000")</f>
        <v>Entrenamiento</v>
      </c>
      <c r="D632" s="2"/>
      <c r="E632" s="2"/>
      <c r="F632" s="2">
        <f t="shared" si="90"/>
        <v>0</v>
      </c>
      <c r="G632" s="2"/>
      <c r="H632" s="2"/>
      <c r="I632" s="2">
        <f t="shared" si="91"/>
        <v>0</v>
      </c>
      <c r="J632" s="2"/>
      <c r="K632" s="2"/>
      <c r="L632" s="2">
        <f t="shared" si="92"/>
        <v>0</v>
      </c>
      <c r="M632" s="2">
        <v>10315.11</v>
      </c>
      <c r="N632" s="2">
        <v>4537.78</v>
      </c>
      <c r="O632" s="2">
        <f t="shared" si="93"/>
        <v>-5777.3300000000008</v>
      </c>
      <c r="P632" s="2"/>
      <c r="Q632" s="2">
        <v>9808.14</v>
      </c>
      <c r="R632" s="2">
        <f t="shared" si="94"/>
        <v>9808.14</v>
      </c>
      <c r="S632" s="2"/>
      <c r="T632" s="2"/>
      <c r="U632" s="2">
        <f t="shared" si="95"/>
        <v>0</v>
      </c>
      <c r="V632" s="2"/>
      <c r="W632" s="2"/>
      <c r="X632" s="2">
        <f t="shared" si="96"/>
        <v>0</v>
      </c>
      <c r="Y632" s="2"/>
      <c r="Z632" s="2"/>
      <c r="AA632" s="2">
        <f t="shared" si="97"/>
        <v>0</v>
      </c>
      <c r="AB632" s="2">
        <v>13285.02</v>
      </c>
      <c r="AC632" s="2"/>
      <c r="AD632" s="2">
        <f t="shared" si="98"/>
        <v>-13285.02</v>
      </c>
      <c r="AE632" s="2">
        <v>13285.02</v>
      </c>
      <c r="AF632" s="2">
        <v>19612.650000000001</v>
      </c>
      <c r="AG632" s="2">
        <f t="shared" si="99"/>
        <v>6327.630000000001</v>
      </c>
    </row>
    <row r="633" spans="1:33" x14ac:dyDescent="0.3">
      <c r="B633" s="3"/>
      <c r="C633" t="str">
        <f xml:space="preserve"> _xll.EPMOlapMemberO("[CLACO].[PARENTH1].[AMSAASESORIAS]","","Asesorías y Consulto","","000")</f>
        <v>Asesorías y Consulto</v>
      </c>
      <c r="D633" s="2"/>
      <c r="E633" s="2"/>
      <c r="F633" s="2">
        <f t="shared" si="90"/>
        <v>0</v>
      </c>
      <c r="G633" s="2">
        <v>10614.83</v>
      </c>
      <c r="H633" s="2"/>
      <c r="I633" s="2">
        <f t="shared" si="91"/>
        <v>-10614.83</v>
      </c>
      <c r="J633" s="2">
        <v>93685.78</v>
      </c>
      <c r="K633" s="2">
        <v>191600</v>
      </c>
      <c r="L633" s="2">
        <f t="shared" si="92"/>
        <v>97914.22</v>
      </c>
      <c r="M633" s="2">
        <v>237996.87</v>
      </c>
      <c r="N633" s="2">
        <v>245002.03</v>
      </c>
      <c r="O633" s="2">
        <f t="shared" si="93"/>
        <v>7005.1600000000035</v>
      </c>
      <c r="P633" s="2">
        <v>31125.78</v>
      </c>
      <c r="Q633" s="2">
        <v>15470.33</v>
      </c>
      <c r="R633" s="2">
        <f t="shared" si="94"/>
        <v>-15655.449999999999</v>
      </c>
      <c r="S633" s="2"/>
      <c r="T633" s="2">
        <v>64607.73</v>
      </c>
      <c r="U633" s="2">
        <f t="shared" si="95"/>
        <v>64607.73</v>
      </c>
      <c r="V633" s="2"/>
      <c r="W633" s="2">
        <v>11815.56</v>
      </c>
      <c r="X633" s="2">
        <f t="shared" si="96"/>
        <v>11815.56</v>
      </c>
      <c r="Y633" s="2"/>
      <c r="Z633" s="2">
        <v>11820.36</v>
      </c>
      <c r="AA633" s="2">
        <f t="shared" si="97"/>
        <v>11820.36</v>
      </c>
      <c r="AB633" s="2">
        <v>1805.5</v>
      </c>
      <c r="AC633" s="2">
        <v>11826.36</v>
      </c>
      <c r="AD633" s="2">
        <f t="shared" si="98"/>
        <v>10020.86</v>
      </c>
      <c r="AE633" s="2">
        <v>33589.43</v>
      </c>
      <c r="AF633" s="2">
        <v>325561.21999999997</v>
      </c>
      <c r="AG633" s="2">
        <f t="shared" si="99"/>
        <v>291971.78999999998</v>
      </c>
    </row>
    <row r="634" spans="1:33" x14ac:dyDescent="0.3">
      <c r="B634" s="3"/>
      <c r="C634" t="str">
        <f xml:space="preserve"> _xll.EPMOlapMemberO("[CLACO].[PARENTH1].[AMSASERVICIOS]","","Servicios","","000")</f>
        <v>Servicios</v>
      </c>
      <c r="D634" s="2"/>
      <c r="E634" s="2"/>
      <c r="F634" s="2">
        <f t="shared" si="90"/>
        <v>0</v>
      </c>
      <c r="G634" s="2">
        <v>71333.570000000007</v>
      </c>
      <c r="H634" s="2"/>
      <c r="I634" s="2">
        <f t="shared" si="91"/>
        <v>-71333.570000000007</v>
      </c>
      <c r="J634" s="2">
        <v>152165.70000000001</v>
      </c>
      <c r="K634" s="2">
        <v>60975</v>
      </c>
      <c r="L634" s="2">
        <f t="shared" si="92"/>
        <v>-91190.700000000012</v>
      </c>
      <c r="M634" s="2">
        <v>402036.69</v>
      </c>
      <c r="N634" s="2">
        <v>460402.09</v>
      </c>
      <c r="O634" s="2">
        <f t="shared" si="93"/>
        <v>58365.400000000023</v>
      </c>
      <c r="P634" s="2">
        <v>68688</v>
      </c>
      <c r="Q634" s="2">
        <v>55367.45</v>
      </c>
      <c r="R634" s="2">
        <f t="shared" si="94"/>
        <v>-13320.550000000003</v>
      </c>
      <c r="S634" s="2">
        <v>45760.85</v>
      </c>
      <c r="T634" s="2">
        <v>26775.38</v>
      </c>
      <c r="U634" s="2">
        <f t="shared" si="95"/>
        <v>-18985.469999999998</v>
      </c>
      <c r="V634" s="2">
        <v>25389.18</v>
      </c>
      <c r="W634" s="2">
        <v>56447.61</v>
      </c>
      <c r="X634" s="2">
        <f t="shared" si="96"/>
        <v>31058.43</v>
      </c>
      <c r="Y634" s="2">
        <v>6404.89</v>
      </c>
      <c r="Z634" s="2">
        <v>14870.6</v>
      </c>
      <c r="AA634" s="2">
        <f t="shared" si="97"/>
        <v>8465.7099999999991</v>
      </c>
      <c r="AB634" s="2">
        <v>-1643.52</v>
      </c>
      <c r="AC634" s="2">
        <v>32578.86</v>
      </c>
      <c r="AD634" s="2">
        <f t="shared" si="98"/>
        <v>34222.379999999997</v>
      </c>
      <c r="AE634" s="2">
        <v>69236.600000000006</v>
      </c>
      <c r="AF634" s="2">
        <v>393215.62</v>
      </c>
      <c r="AG634" s="2">
        <f t="shared" si="99"/>
        <v>323979.02</v>
      </c>
    </row>
    <row r="635" spans="1:33" x14ac:dyDescent="0.3">
      <c r="B635" s="3"/>
      <c r="C635" t="str">
        <f xml:space="preserve"> _xll.EPMOlapMemberO("[CLACO].[PARENTH1].[AMSASERMANTO.REPA]","","Servicios Mantenimie","","000")</f>
        <v>Servicios Mantenimie</v>
      </c>
      <c r="D635" s="2"/>
      <c r="E635" s="2"/>
      <c r="F635" s="2">
        <f t="shared" si="90"/>
        <v>0</v>
      </c>
      <c r="G635" s="2"/>
      <c r="H635" s="2"/>
      <c r="I635" s="2">
        <f t="shared" si="91"/>
        <v>0</v>
      </c>
      <c r="J635" s="2"/>
      <c r="K635" s="2"/>
      <c r="L635" s="2">
        <f t="shared" si="92"/>
        <v>0</v>
      </c>
      <c r="M635" s="2">
        <v>1061.22</v>
      </c>
      <c r="N635" s="2"/>
      <c r="O635" s="2">
        <f t="shared" si="93"/>
        <v>-1061.22</v>
      </c>
      <c r="P635" s="2"/>
      <c r="Q635" s="2"/>
      <c r="R635" s="2">
        <f t="shared" si="94"/>
        <v>0</v>
      </c>
      <c r="S635" s="2"/>
      <c r="T635" s="2"/>
      <c r="U635" s="2">
        <f t="shared" si="95"/>
        <v>0</v>
      </c>
      <c r="V635" s="2"/>
      <c r="W635" s="2"/>
      <c r="X635" s="2">
        <f t="shared" si="96"/>
        <v>0</v>
      </c>
      <c r="Y635" s="2"/>
      <c r="Z635" s="2"/>
      <c r="AA635" s="2">
        <f t="shared" si="97"/>
        <v>0</v>
      </c>
      <c r="AB635" s="2"/>
      <c r="AC635" s="2"/>
      <c r="AD635" s="2">
        <f t="shared" si="98"/>
        <v>0</v>
      </c>
      <c r="AE635" s="2"/>
      <c r="AF635" s="2"/>
      <c r="AG635" s="2">
        <f t="shared" si="99"/>
        <v>0</v>
      </c>
    </row>
    <row r="636" spans="1:33" x14ac:dyDescent="0.3">
      <c r="B636" s="3"/>
      <c r="C636" t="str">
        <f xml:space="preserve"> _xll.EPMOlapMemberO("[CLACO].[PARENTH1].[AMSAINFORMATIC]","","Informática y Comuni","","000")</f>
        <v>Informática y Comuni</v>
      </c>
      <c r="D636" s="2"/>
      <c r="E636" s="2"/>
      <c r="F636" s="2">
        <f t="shared" si="90"/>
        <v>0</v>
      </c>
      <c r="G636" s="2">
        <v>34.979999999999997</v>
      </c>
      <c r="H636" s="2"/>
      <c r="I636" s="2">
        <f t="shared" si="91"/>
        <v>-34.979999999999997</v>
      </c>
      <c r="J636" s="2">
        <v>37059.06</v>
      </c>
      <c r="K636" s="2">
        <v>6904.28</v>
      </c>
      <c r="L636" s="2">
        <f t="shared" si="92"/>
        <v>-30154.78</v>
      </c>
      <c r="M636" s="2">
        <v>32342.89</v>
      </c>
      <c r="N636" s="2">
        <v>64661.919999999998</v>
      </c>
      <c r="O636" s="2">
        <f t="shared" si="93"/>
        <v>32319.03</v>
      </c>
      <c r="P636" s="2">
        <v>4534.92</v>
      </c>
      <c r="Q636" s="2">
        <v>100.98</v>
      </c>
      <c r="R636" s="2">
        <f t="shared" si="94"/>
        <v>-4433.9400000000005</v>
      </c>
      <c r="S636" s="2">
        <v>76.31</v>
      </c>
      <c r="T636" s="2">
        <v>100.81</v>
      </c>
      <c r="U636" s="2">
        <f t="shared" si="95"/>
        <v>24.5</v>
      </c>
      <c r="V636" s="2">
        <v>75.95</v>
      </c>
      <c r="W636" s="2">
        <v>111.62</v>
      </c>
      <c r="X636" s="2">
        <f t="shared" si="96"/>
        <v>35.67</v>
      </c>
      <c r="Y636" s="2">
        <v>81.239999999999995</v>
      </c>
      <c r="Z636" s="2">
        <v>109.63</v>
      </c>
      <c r="AA636" s="2">
        <f t="shared" si="97"/>
        <v>28.39</v>
      </c>
      <c r="AB636" s="2">
        <v>77.38</v>
      </c>
      <c r="AC636" s="2"/>
      <c r="AD636" s="2">
        <f t="shared" si="98"/>
        <v>-77.38</v>
      </c>
      <c r="AE636" s="2">
        <v>4920.22</v>
      </c>
      <c r="AF636" s="2">
        <v>26045.06</v>
      </c>
      <c r="AG636" s="2">
        <f t="shared" si="99"/>
        <v>21124.84</v>
      </c>
    </row>
    <row r="637" spans="1:33" x14ac:dyDescent="0.3">
      <c r="B637" s="3"/>
      <c r="C637" t="str">
        <f xml:space="preserve"> _xll.EPMOlapMemberO("[CLACO].[PARENTH1].[AMSAG_VIAJES]","","Gastos de Viajes","","000")</f>
        <v>Gastos de Viajes</v>
      </c>
      <c r="D637" s="2"/>
      <c r="E637" s="2"/>
      <c r="F637" s="2">
        <f t="shared" si="90"/>
        <v>0</v>
      </c>
      <c r="G637" s="2">
        <v>13618.31</v>
      </c>
      <c r="H637" s="2"/>
      <c r="I637" s="2">
        <f t="shared" si="91"/>
        <v>-13618.31</v>
      </c>
      <c r="J637" s="2">
        <v>77712.3</v>
      </c>
      <c r="K637" s="2">
        <v>43756.43</v>
      </c>
      <c r="L637" s="2">
        <f t="shared" si="92"/>
        <v>-33955.870000000003</v>
      </c>
      <c r="M637" s="2">
        <v>42917.58</v>
      </c>
      <c r="N637" s="2">
        <v>37567.46</v>
      </c>
      <c r="O637" s="2">
        <f t="shared" si="93"/>
        <v>-5350.1200000000026</v>
      </c>
      <c r="P637" s="2">
        <v>118.04</v>
      </c>
      <c r="Q637" s="2">
        <v>5245.27</v>
      </c>
      <c r="R637" s="2">
        <f t="shared" si="94"/>
        <v>5127.2300000000005</v>
      </c>
      <c r="S637" s="2">
        <v>3227.18</v>
      </c>
      <c r="T637" s="2">
        <v>17984.95</v>
      </c>
      <c r="U637" s="2">
        <f t="shared" si="95"/>
        <v>14757.77</v>
      </c>
      <c r="V637" s="2">
        <v>1920.24</v>
      </c>
      <c r="W637" s="2"/>
      <c r="X637" s="2">
        <f t="shared" si="96"/>
        <v>-1920.24</v>
      </c>
      <c r="Y637" s="2">
        <v>-484.87</v>
      </c>
      <c r="Z637" s="2">
        <v>711.55</v>
      </c>
      <c r="AA637" s="2">
        <f t="shared" si="97"/>
        <v>1196.42</v>
      </c>
      <c r="AB637" s="2">
        <v>8511.0400000000009</v>
      </c>
      <c r="AC637" s="2">
        <v>2893.34</v>
      </c>
      <c r="AD637" s="2">
        <f t="shared" si="98"/>
        <v>-5617.7000000000007</v>
      </c>
      <c r="AE637" s="2">
        <v>14130.58</v>
      </c>
      <c r="AF637" s="2">
        <v>67411.17</v>
      </c>
      <c r="AG637" s="2">
        <f t="shared" si="99"/>
        <v>53280.59</v>
      </c>
    </row>
    <row r="638" spans="1:33" x14ac:dyDescent="0.3">
      <c r="B638" s="3"/>
      <c r="C638" t="str">
        <f xml:space="preserve"> _xll.EPMOlapMemberO("[CLACO].[PARENTH1].[AMSAGGENERALES.2]","","Otros Gastos","","000")</f>
        <v>Otros Gastos</v>
      </c>
      <c r="D638" s="2"/>
      <c r="E638" s="2"/>
      <c r="F638" s="2">
        <f t="shared" si="90"/>
        <v>0</v>
      </c>
      <c r="G638" s="2">
        <v>28308.38</v>
      </c>
      <c r="H638" s="2"/>
      <c r="I638" s="2">
        <f t="shared" si="91"/>
        <v>-28308.38</v>
      </c>
      <c r="J638" s="2">
        <v>22741.37</v>
      </c>
      <c r="K638" s="2">
        <v>530676.9</v>
      </c>
      <c r="L638" s="2">
        <f t="shared" si="92"/>
        <v>507935.53</v>
      </c>
      <c r="M638" s="2">
        <v>10666.22</v>
      </c>
      <c r="N638" s="2">
        <v>12412.84</v>
      </c>
      <c r="O638" s="2">
        <f t="shared" si="93"/>
        <v>1746.6200000000008</v>
      </c>
      <c r="P638" s="2">
        <v>17.899999999999999</v>
      </c>
      <c r="Q638" s="2"/>
      <c r="R638" s="2">
        <f t="shared" si="94"/>
        <v>-17.899999999999999</v>
      </c>
      <c r="S638" s="2">
        <v>4.62</v>
      </c>
      <c r="T638" s="2"/>
      <c r="U638" s="2">
        <f t="shared" si="95"/>
        <v>-4.62</v>
      </c>
      <c r="V638" s="2">
        <v>0.15</v>
      </c>
      <c r="W638" s="2">
        <v>10542.16</v>
      </c>
      <c r="X638" s="2">
        <f t="shared" si="96"/>
        <v>10542.01</v>
      </c>
      <c r="Y638" s="2">
        <v>29939.24</v>
      </c>
      <c r="Z638" s="2"/>
      <c r="AA638" s="2">
        <f t="shared" si="97"/>
        <v>-29939.24</v>
      </c>
      <c r="AB638" s="2">
        <v>13.04</v>
      </c>
      <c r="AC638" s="2"/>
      <c r="AD638" s="2">
        <f t="shared" si="98"/>
        <v>-13.04</v>
      </c>
      <c r="AE638" s="2">
        <v>30009.200000000001</v>
      </c>
      <c r="AF638" s="2">
        <v>10542.16</v>
      </c>
      <c r="AG638" s="2">
        <f t="shared" si="99"/>
        <v>-19467.04</v>
      </c>
    </row>
    <row r="639" spans="1:33" x14ac:dyDescent="0.3">
      <c r="A639" t="s">
        <v>76</v>
      </c>
      <c r="B639" s="3" t="str">
        <f xml:space="preserve"> _xll.EPMOlapMemberO("[CECO].[PARENTH3].[AMSA1000AC4504]","","Gerencia Rep y Sust","","000")</f>
        <v>Gerencia Rep y Sust</v>
      </c>
      <c r="C639" t="str">
        <f xml:space="preserve"> _xll.EPMOlapMemberO("[CLACO].[PARENTH1].[AMSAREMUNERACI.SS]","","Remuneraciones Super","","000")</f>
        <v>Remuneraciones Super</v>
      </c>
      <c r="D639" s="2"/>
      <c r="E639" s="2"/>
      <c r="F639" s="2">
        <f t="shared" si="90"/>
        <v>0</v>
      </c>
      <c r="G639" s="2"/>
      <c r="H639" s="2">
        <v>698314.6</v>
      </c>
      <c r="I639" s="2">
        <f t="shared" si="91"/>
        <v>698314.6</v>
      </c>
      <c r="J639" s="2"/>
      <c r="K639" s="2"/>
      <c r="L639" s="2">
        <f t="shared" si="92"/>
        <v>0</v>
      </c>
      <c r="M639" s="2"/>
      <c r="N639" s="2"/>
      <c r="O639" s="2">
        <f t="shared" si="93"/>
        <v>0</v>
      </c>
      <c r="P639" s="2"/>
      <c r="Q639" s="2"/>
      <c r="R639" s="2">
        <f t="shared" si="94"/>
        <v>0</v>
      </c>
      <c r="S639" s="2"/>
      <c r="T639" s="2"/>
      <c r="U639" s="2">
        <f t="shared" si="95"/>
        <v>0</v>
      </c>
      <c r="V639" s="2"/>
      <c r="W639" s="2"/>
      <c r="X639" s="2">
        <f t="shared" si="96"/>
        <v>0</v>
      </c>
      <c r="Y639" s="2"/>
      <c r="Z639" s="2"/>
      <c r="AA639" s="2">
        <f t="shared" si="97"/>
        <v>0</v>
      </c>
      <c r="AB639" s="2"/>
      <c r="AC639" s="2"/>
      <c r="AD639" s="2">
        <f t="shared" si="98"/>
        <v>0</v>
      </c>
      <c r="AE639" s="2"/>
      <c r="AF639" s="2"/>
      <c r="AG639" s="2">
        <f t="shared" si="99"/>
        <v>0</v>
      </c>
    </row>
    <row r="640" spans="1:33" x14ac:dyDescent="0.3">
      <c r="B640" s="3"/>
      <c r="C640" t="str">
        <f xml:space="preserve"> _xll.EPMOlapMemberO("[CLACO].[PARENTH1].[AMSAASESORIAS]","","Asesorías y Consulto","","000")</f>
        <v>Asesorías y Consulto</v>
      </c>
      <c r="D640" s="2"/>
      <c r="E640" s="2"/>
      <c r="F640" s="2">
        <f t="shared" si="90"/>
        <v>0</v>
      </c>
      <c r="G640" s="2">
        <v>31807.49</v>
      </c>
      <c r="H640" s="2">
        <v>18051.009999999998</v>
      </c>
      <c r="I640" s="2">
        <f t="shared" si="91"/>
        <v>-13756.480000000003</v>
      </c>
      <c r="J640" s="2">
        <v>-5780.01</v>
      </c>
      <c r="K640" s="2"/>
      <c r="L640" s="2">
        <f t="shared" si="92"/>
        <v>5780.01</v>
      </c>
      <c r="M640" s="2">
        <v>0</v>
      </c>
      <c r="N640" s="2"/>
      <c r="O640" s="2">
        <f t="shared" si="93"/>
        <v>0</v>
      </c>
      <c r="P640" s="2"/>
      <c r="Q640" s="2"/>
      <c r="R640" s="2">
        <f t="shared" si="94"/>
        <v>0</v>
      </c>
      <c r="S640" s="2"/>
      <c r="T640" s="2"/>
      <c r="U640" s="2">
        <f t="shared" si="95"/>
        <v>0</v>
      </c>
      <c r="V640" s="2"/>
      <c r="W640" s="2"/>
      <c r="X640" s="2">
        <f t="shared" si="96"/>
        <v>0</v>
      </c>
      <c r="Y640" s="2"/>
      <c r="Z640" s="2"/>
      <c r="AA640" s="2">
        <f t="shared" si="97"/>
        <v>0</v>
      </c>
      <c r="AB640" s="2">
        <v>0</v>
      </c>
      <c r="AC640" s="2"/>
      <c r="AD640" s="2">
        <f t="shared" si="98"/>
        <v>0</v>
      </c>
      <c r="AE640" s="2">
        <v>0</v>
      </c>
      <c r="AF640" s="2"/>
      <c r="AG640" s="2">
        <f t="shared" si="99"/>
        <v>0</v>
      </c>
    </row>
    <row r="641" spans="1:33" x14ac:dyDescent="0.3">
      <c r="B641" s="3"/>
      <c r="C641" t="str">
        <f xml:space="preserve"> _xll.EPMOlapMemberO("[CLACO].[PARENTH1].[AMSASERVICIOS]","","Servicios","","000")</f>
        <v>Servicios</v>
      </c>
      <c r="D641" s="2"/>
      <c r="E641" s="2"/>
      <c r="F641" s="2">
        <f t="shared" si="90"/>
        <v>0</v>
      </c>
      <c r="G641" s="2">
        <v>21959.52</v>
      </c>
      <c r="H641" s="2">
        <v>22972.3</v>
      </c>
      <c r="I641" s="2">
        <f t="shared" si="91"/>
        <v>1012.7799999999988</v>
      </c>
      <c r="J641" s="2">
        <v>44108.9</v>
      </c>
      <c r="K641" s="2">
        <v>32125.599999999999</v>
      </c>
      <c r="L641" s="2">
        <f t="shared" si="92"/>
        <v>-11983.300000000003</v>
      </c>
      <c r="M641" s="2">
        <v>34187.07</v>
      </c>
      <c r="N641" s="2">
        <v>21732.68</v>
      </c>
      <c r="O641" s="2">
        <f t="shared" si="93"/>
        <v>-12454.39</v>
      </c>
      <c r="P641" s="2">
        <v>3568.57</v>
      </c>
      <c r="Q641" s="2">
        <v>19562.04</v>
      </c>
      <c r="R641" s="2">
        <f t="shared" si="94"/>
        <v>15993.470000000001</v>
      </c>
      <c r="S641" s="2">
        <v>36777.53</v>
      </c>
      <c r="T641" s="2">
        <v>31801.31</v>
      </c>
      <c r="U641" s="2">
        <f t="shared" si="95"/>
        <v>-4976.2199999999975</v>
      </c>
      <c r="V641" s="2">
        <v>37120.07</v>
      </c>
      <c r="W641" s="2">
        <v>43541.75</v>
      </c>
      <c r="X641" s="2">
        <f t="shared" si="96"/>
        <v>6421.68</v>
      </c>
      <c r="Y641" s="2">
        <v>2026.77</v>
      </c>
      <c r="Z641" s="2">
        <v>6607.6</v>
      </c>
      <c r="AA641" s="2">
        <f t="shared" si="97"/>
        <v>4580.83</v>
      </c>
      <c r="AB641" s="2">
        <v>31151.13</v>
      </c>
      <c r="AC641" s="2">
        <v>6592.46</v>
      </c>
      <c r="AD641" s="2">
        <f t="shared" si="98"/>
        <v>-24558.670000000002</v>
      </c>
      <c r="AE641" s="2">
        <v>120317.54</v>
      </c>
      <c r="AF641" s="2">
        <v>339676.14</v>
      </c>
      <c r="AG641" s="2">
        <f t="shared" si="99"/>
        <v>219358.60000000003</v>
      </c>
    </row>
    <row r="642" spans="1:33" x14ac:dyDescent="0.3">
      <c r="B642" s="3"/>
      <c r="C642" t="str">
        <f xml:space="preserve"> _xll.EPMOlapMemberO("[CLACO].[PARENTH1].[AMSAINFORMATIC]","","Informática y Comuni","","000")</f>
        <v>Informática y Comuni</v>
      </c>
      <c r="D642" s="2"/>
      <c r="E642" s="2"/>
      <c r="F642" s="2">
        <f t="shared" si="90"/>
        <v>0</v>
      </c>
      <c r="G642" s="2">
        <v>35240.410000000003</v>
      </c>
      <c r="H642" s="2">
        <v>30941.47</v>
      </c>
      <c r="I642" s="2">
        <f t="shared" si="91"/>
        <v>-4298.9400000000023</v>
      </c>
      <c r="J642" s="2">
        <v>30.62</v>
      </c>
      <c r="K642" s="2">
        <v>609.78</v>
      </c>
      <c r="L642" s="2">
        <f t="shared" si="92"/>
        <v>579.16</v>
      </c>
      <c r="M642" s="2">
        <v>649.5</v>
      </c>
      <c r="N642" s="2">
        <v>607.48</v>
      </c>
      <c r="O642" s="2">
        <f t="shared" si="93"/>
        <v>-42.019999999999982</v>
      </c>
      <c r="P642" s="2">
        <v>438.34</v>
      </c>
      <c r="Q642" s="2"/>
      <c r="R642" s="2">
        <f t="shared" si="94"/>
        <v>-438.34</v>
      </c>
      <c r="S642" s="2">
        <v>38.159999999999997</v>
      </c>
      <c r="T642" s="2"/>
      <c r="U642" s="2">
        <f t="shared" si="95"/>
        <v>-38.159999999999997</v>
      </c>
      <c r="V642" s="2">
        <v>37.97</v>
      </c>
      <c r="W642" s="2"/>
      <c r="X642" s="2">
        <f t="shared" si="96"/>
        <v>-37.97</v>
      </c>
      <c r="Y642" s="2">
        <v>40.619999999999997</v>
      </c>
      <c r="Z642" s="2"/>
      <c r="AA642" s="2">
        <f t="shared" si="97"/>
        <v>-40.619999999999997</v>
      </c>
      <c r="AB642" s="2">
        <v>38.69</v>
      </c>
      <c r="AC642" s="2"/>
      <c r="AD642" s="2">
        <f t="shared" si="98"/>
        <v>-38.69</v>
      </c>
      <c r="AE642" s="2">
        <v>632.64</v>
      </c>
      <c r="AF642" s="2"/>
      <c r="AG642" s="2">
        <f t="shared" si="99"/>
        <v>-632.64</v>
      </c>
    </row>
    <row r="643" spans="1:33" x14ac:dyDescent="0.3">
      <c r="B643" s="3"/>
      <c r="C643" t="str">
        <f xml:space="preserve"> _xll.EPMOlapMemberO("[CLACO].[PARENTH1].[AMSAG_VIAJES]","","Gastos de Viajes","","000")</f>
        <v>Gastos de Viajes</v>
      </c>
      <c r="D643" s="2"/>
      <c r="E643" s="2"/>
      <c r="F643" s="2">
        <f t="shared" si="90"/>
        <v>0</v>
      </c>
      <c r="G643" s="2">
        <v>51837.37</v>
      </c>
      <c r="H643" s="2">
        <v>44882.41</v>
      </c>
      <c r="I643" s="2">
        <f t="shared" si="91"/>
        <v>-6954.9599999999991</v>
      </c>
      <c r="J643" s="2">
        <v>19375.349999999999</v>
      </c>
      <c r="K643" s="2">
        <v>41952.17</v>
      </c>
      <c r="L643" s="2">
        <f t="shared" si="92"/>
        <v>22576.82</v>
      </c>
      <c r="M643" s="2">
        <v>13770.82</v>
      </c>
      <c r="N643" s="2">
        <v>42494.92</v>
      </c>
      <c r="O643" s="2">
        <f t="shared" si="93"/>
        <v>28724.1</v>
      </c>
      <c r="P643" s="2">
        <v>-7519.4</v>
      </c>
      <c r="Q643" s="2">
        <v>3444.78</v>
      </c>
      <c r="R643" s="2">
        <f t="shared" si="94"/>
        <v>10964.18</v>
      </c>
      <c r="S643" s="2">
        <v>9111.27</v>
      </c>
      <c r="T643" s="2">
        <v>3548.94</v>
      </c>
      <c r="U643" s="2">
        <f t="shared" si="95"/>
        <v>-5562.33</v>
      </c>
      <c r="V643" s="2">
        <v>1170.76</v>
      </c>
      <c r="W643" s="2">
        <v>2993.67</v>
      </c>
      <c r="X643" s="2">
        <f t="shared" si="96"/>
        <v>1822.91</v>
      </c>
      <c r="Y643" s="2">
        <v>374.98</v>
      </c>
      <c r="Z643" s="2"/>
      <c r="AA643" s="2">
        <f t="shared" si="97"/>
        <v>-374.98</v>
      </c>
      <c r="AB643" s="2"/>
      <c r="AC643" s="2"/>
      <c r="AD643" s="2">
        <f t="shared" si="98"/>
        <v>0</v>
      </c>
      <c r="AE643" s="2">
        <v>3251.11</v>
      </c>
      <c r="AF643" s="2">
        <v>41809.64</v>
      </c>
      <c r="AG643" s="2">
        <f t="shared" si="99"/>
        <v>38558.53</v>
      </c>
    </row>
    <row r="644" spans="1:33" x14ac:dyDescent="0.3">
      <c r="B644" s="3"/>
      <c r="C644" t="str">
        <f xml:space="preserve"> _xll.EPMOlapMemberO("[CLACO].[PARENTH1].[AMSAGGENERALES.2]","","Otros Gastos","","000")</f>
        <v>Otros Gastos</v>
      </c>
      <c r="D644" s="2"/>
      <c r="E644" s="2"/>
      <c r="F644" s="2">
        <f t="shared" si="90"/>
        <v>0</v>
      </c>
      <c r="G644" s="2">
        <v>240.95</v>
      </c>
      <c r="H644" s="2">
        <v>24516.14</v>
      </c>
      <c r="I644" s="2">
        <f t="shared" si="91"/>
        <v>24275.19</v>
      </c>
      <c r="J644" s="2">
        <v>47.42</v>
      </c>
      <c r="K644" s="2"/>
      <c r="L644" s="2">
        <f t="shared" si="92"/>
        <v>-47.42</v>
      </c>
      <c r="M644" s="2">
        <v>9301.48</v>
      </c>
      <c r="N644" s="2"/>
      <c r="O644" s="2">
        <f t="shared" si="93"/>
        <v>-9301.48</v>
      </c>
      <c r="P644" s="2">
        <v>-40876.129999999997</v>
      </c>
      <c r="Q644" s="2"/>
      <c r="R644" s="2">
        <f t="shared" si="94"/>
        <v>40876.129999999997</v>
      </c>
      <c r="S644" s="2">
        <v>6.36</v>
      </c>
      <c r="T644" s="2"/>
      <c r="U644" s="2">
        <f t="shared" si="95"/>
        <v>-6.36</v>
      </c>
      <c r="V644" s="2">
        <v>41605.279999999999</v>
      </c>
      <c r="W644" s="2">
        <v>9862.73</v>
      </c>
      <c r="X644" s="2">
        <f t="shared" si="96"/>
        <v>-31742.55</v>
      </c>
      <c r="Y644" s="2"/>
      <c r="Z644" s="2"/>
      <c r="AA644" s="2">
        <f t="shared" si="97"/>
        <v>0</v>
      </c>
      <c r="AB644" s="2"/>
      <c r="AC644" s="2"/>
      <c r="AD644" s="2">
        <f t="shared" si="98"/>
        <v>0</v>
      </c>
      <c r="AE644" s="2">
        <v>735.51</v>
      </c>
      <c r="AF644" s="2">
        <v>9862.73</v>
      </c>
      <c r="AG644" s="2">
        <f t="shared" si="99"/>
        <v>9127.2199999999993</v>
      </c>
    </row>
    <row r="645" spans="1:33" x14ac:dyDescent="0.3">
      <c r="A645" t="s">
        <v>77</v>
      </c>
      <c r="B645" s="3" t="str">
        <f xml:space="preserve"> _xll.EPMOlapMemberO("[CECO].[PARENTH3].[AMSA1000AC4506]","","Gcia Medioambiente","","000")</f>
        <v>Gcia Medioambiente</v>
      </c>
      <c r="C645" t="str">
        <f xml:space="preserve"> _xll.EPMOlapMemberO("[CLACO].[PARENTH1].[AMSAREMUNERACI.SS]","","Remuneraciones Super","","000")</f>
        <v>Remuneraciones Super</v>
      </c>
      <c r="D645" s="2">
        <v>1103458.44</v>
      </c>
      <c r="E645" s="2">
        <v>1238879.5</v>
      </c>
      <c r="F645" s="2">
        <f t="shared" si="90"/>
        <v>135421.06000000006</v>
      </c>
      <c r="G645" s="2">
        <v>1337113.71</v>
      </c>
      <c r="H645" s="2">
        <v>1151045.6599999999</v>
      </c>
      <c r="I645" s="2">
        <f t="shared" si="91"/>
        <v>-186068.05000000005</v>
      </c>
      <c r="J645" s="2">
        <v>1225988.8400000001</v>
      </c>
      <c r="K645" s="2">
        <v>1724686.53</v>
      </c>
      <c r="L645" s="2">
        <f t="shared" si="92"/>
        <v>498697.68999999994</v>
      </c>
      <c r="M645" s="2">
        <v>1097168.33</v>
      </c>
      <c r="N645" s="2">
        <v>1180184.49</v>
      </c>
      <c r="O645" s="2">
        <f t="shared" si="93"/>
        <v>83016.159999999916</v>
      </c>
      <c r="P645" s="2">
        <v>110628.28</v>
      </c>
      <c r="Q645" s="2">
        <v>72085.539999999994</v>
      </c>
      <c r="R645" s="2">
        <f t="shared" si="94"/>
        <v>-38542.740000000005</v>
      </c>
      <c r="S645" s="2">
        <v>120825.25</v>
      </c>
      <c r="T645" s="2">
        <v>78018.210000000006</v>
      </c>
      <c r="U645" s="2">
        <f t="shared" si="95"/>
        <v>-42807.039999999994</v>
      </c>
      <c r="V645" s="2">
        <v>110065.97</v>
      </c>
      <c r="W645" s="2">
        <v>71910.240000000005</v>
      </c>
      <c r="X645" s="2">
        <f t="shared" si="96"/>
        <v>-38155.729999999996</v>
      </c>
      <c r="Y645" s="2">
        <v>106215.83</v>
      </c>
      <c r="Z645" s="2">
        <v>76290.03</v>
      </c>
      <c r="AA645" s="2">
        <f t="shared" si="97"/>
        <v>-29925.800000000003</v>
      </c>
      <c r="AB645" s="2">
        <v>108692.26</v>
      </c>
      <c r="AC645" s="2">
        <v>71141.5</v>
      </c>
      <c r="AD645" s="2">
        <f t="shared" si="98"/>
        <v>-37550.759999999995</v>
      </c>
      <c r="AE645" s="2">
        <v>559106.93000000005</v>
      </c>
      <c r="AF645" s="2">
        <v>886637.86</v>
      </c>
      <c r="AG645" s="2">
        <f t="shared" si="99"/>
        <v>327530.92999999993</v>
      </c>
    </row>
    <row r="646" spans="1:33" x14ac:dyDescent="0.3">
      <c r="B646" s="3"/>
      <c r="C646" t="str">
        <f xml:space="preserve"> _xll.EPMOlapMemberO("[CLACO].[PARENTH1].[AMSAMAT_Y_REP.2]","","Materiales y repuest","","000")</f>
        <v>Materiales y repuest</v>
      </c>
      <c r="D646" s="2"/>
      <c r="E646" s="2"/>
      <c r="F646" s="2">
        <f t="shared" si="90"/>
        <v>0</v>
      </c>
      <c r="G646" s="2">
        <v>0</v>
      </c>
      <c r="H646" s="2"/>
      <c r="I646" s="2">
        <f t="shared" si="91"/>
        <v>0</v>
      </c>
      <c r="J646" s="2"/>
      <c r="K646" s="2"/>
      <c r="L646" s="2">
        <f t="shared" si="92"/>
        <v>0</v>
      </c>
      <c r="M646" s="2">
        <v>1839.38</v>
      </c>
      <c r="N646" s="2"/>
      <c r="O646" s="2">
        <f t="shared" si="93"/>
        <v>-1839.38</v>
      </c>
      <c r="P646" s="2"/>
      <c r="Q646" s="2"/>
      <c r="R646" s="2">
        <f t="shared" si="94"/>
        <v>0</v>
      </c>
      <c r="S646" s="2"/>
      <c r="T646" s="2"/>
      <c r="U646" s="2">
        <f t="shared" si="95"/>
        <v>0</v>
      </c>
      <c r="V646" s="2"/>
      <c r="W646" s="2"/>
      <c r="X646" s="2">
        <f t="shared" si="96"/>
        <v>0</v>
      </c>
      <c r="Y646" s="2"/>
      <c r="Z646" s="2"/>
      <c r="AA646" s="2">
        <f t="shared" si="97"/>
        <v>0</v>
      </c>
      <c r="AB646" s="2"/>
      <c r="AC646" s="2"/>
      <c r="AD646" s="2">
        <f t="shared" si="98"/>
        <v>0</v>
      </c>
      <c r="AE646" s="2"/>
      <c r="AF646" s="2"/>
      <c r="AG646" s="2">
        <f t="shared" si="99"/>
        <v>0</v>
      </c>
    </row>
    <row r="647" spans="1:33" x14ac:dyDescent="0.3">
      <c r="B647" s="3"/>
      <c r="C647" t="str">
        <f xml:space="preserve"> _xll.EPMOlapMemberO("[CLACO].[PARENTH1].[AMSAENTRENAMI]","","Entrenamiento","","000")</f>
        <v>Entrenamiento</v>
      </c>
      <c r="D647" s="2"/>
      <c r="E647" s="2">
        <v>5144.45</v>
      </c>
      <c r="F647" s="2">
        <f t="shared" si="90"/>
        <v>5144.45</v>
      </c>
      <c r="G647" s="2">
        <v>1885.29</v>
      </c>
      <c r="H647" s="2">
        <v>3635.93</v>
      </c>
      <c r="I647" s="2">
        <f t="shared" si="91"/>
        <v>1750.6399999999999</v>
      </c>
      <c r="J647" s="2"/>
      <c r="K647" s="2">
        <v>1800</v>
      </c>
      <c r="L647" s="2">
        <f t="shared" si="92"/>
        <v>1800</v>
      </c>
      <c r="M647" s="2">
        <v>17739.32</v>
      </c>
      <c r="N647" s="2">
        <v>6069.72</v>
      </c>
      <c r="O647" s="2">
        <f t="shared" si="93"/>
        <v>-11669.599999999999</v>
      </c>
      <c r="P647" s="2"/>
      <c r="Q647" s="2"/>
      <c r="R647" s="2">
        <f t="shared" si="94"/>
        <v>0</v>
      </c>
      <c r="S647" s="2">
        <v>-14823.53</v>
      </c>
      <c r="T647" s="2"/>
      <c r="U647" s="2">
        <f t="shared" si="95"/>
        <v>14823.53</v>
      </c>
      <c r="V647" s="2">
        <v>-903.57</v>
      </c>
      <c r="W647" s="2"/>
      <c r="X647" s="2">
        <f t="shared" si="96"/>
        <v>903.57</v>
      </c>
      <c r="Y647" s="2">
        <v>-30.28</v>
      </c>
      <c r="Z647" s="2"/>
      <c r="AA647" s="2">
        <f t="shared" si="97"/>
        <v>30.28</v>
      </c>
      <c r="AB647" s="2">
        <v>984.58</v>
      </c>
      <c r="AC647" s="2"/>
      <c r="AD647" s="2">
        <f t="shared" si="98"/>
        <v>-984.58</v>
      </c>
      <c r="AE647" s="2">
        <v>-14772.8</v>
      </c>
      <c r="AF647" s="2">
        <v>10391.700000000001</v>
      </c>
      <c r="AG647" s="2">
        <f t="shared" si="99"/>
        <v>25164.5</v>
      </c>
    </row>
    <row r="648" spans="1:33" x14ac:dyDescent="0.3">
      <c r="B648" s="3"/>
      <c r="C648" t="str">
        <f xml:space="preserve"> _xll.EPMOlapMemberO("[CLACO].[PARENTH1].[AMSAASESORIAS]","","Asesorías y Consulto","","000")</f>
        <v>Asesorías y Consulto</v>
      </c>
      <c r="D648" s="2">
        <v>533862.43000000005</v>
      </c>
      <c r="E648" s="2">
        <v>535396.68000000005</v>
      </c>
      <c r="F648" s="2">
        <f t="shared" si="90"/>
        <v>1534.25</v>
      </c>
      <c r="G648" s="2">
        <v>837952.02</v>
      </c>
      <c r="H648" s="2">
        <v>807357.17</v>
      </c>
      <c r="I648" s="2">
        <f t="shared" si="91"/>
        <v>-30594.849999999977</v>
      </c>
      <c r="J648" s="2">
        <v>788407.6</v>
      </c>
      <c r="K648" s="2">
        <v>833693.64</v>
      </c>
      <c r="L648" s="2">
        <f t="shared" si="92"/>
        <v>45286.040000000037</v>
      </c>
      <c r="M648" s="2">
        <v>785131.7</v>
      </c>
      <c r="N648" s="2">
        <v>906577.04</v>
      </c>
      <c r="O648" s="2">
        <f t="shared" si="93"/>
        <v>121445.34000000008</v>
      </c>
      <c r="P648" s="2">
        <v>55721.99</v>
      </c>
      <c r="Q648" s="2">
        <v>31711.83</v>
      </c>
      <c r="R648" s="2">
        <f t="shared" si="94"/>
        <v>-24010.159999999996</v>
      </c>
      <c r="S648" s="2">
        <v>48967.02</v>
      </c>
      <c r="T648" s="2">
        <v>35162.79</v>
      </c>
      <c r="U648" s="2">
        <f t="shared" si="95"/>
        <v>-13804.229999999996</v>
      </c>
      <c r="V648" s="2">
        <v>51846.44</v>
      </c>
      <c r="W648" s="2">
        <v>41626.629999999997</v>
      </c>
      <c r="X648" s="2">
        <f t="shared" si="96"/>
        <v>-10219.810000000005</v>
      </c>
      <c r="Y648" s="2">
        <v>39892.42</v>
      </c>
      <c r="Z648" s="2">
        <v>35013</v>
      </c>
      <c r="AA648" s="2">
        <f t="shared" si="97"/>
        <v>-4879.4199999999983</v>
      </c>
      <c r="AB648" s="2">
        <v>388.15</v>
      </c>
      <c r="AC648" s="2">
        <v>34253.68</v>
      </c>
      <c r="AD648" s="2">
        <f t="shared" si="98"/>
        <v>33865.53</v>
      </c>
      <c r="AE648" s="2">
        <v>273703.17</v>
      </c>
      <c r="AF648" s="2">
        <v>453844.93</v>
      </c>
      <c r="AG648" s="2">
        <f t="shared" si="99"/>
        <v>180141.76</v>
      </c>
    </row>
    <row r="649" spans="1:33" x14ac:dyDescent="0.3">
      <c r="B649" s="3"/>
      <c r="C649" t="str">
        <f xml:space="preserve"> _xll.EPMOlapMemberO("[CLACO].[PARENTH1].[AMSASERVICIOS]","","Servicios","","000")</f>
        <v>Servicios</v>
      </c>
      <c r="D649" s="2"/>
      <c r="E649" s="2"/>
      <c r="F649" s="2">
        <f t="shared" si="90"/>
        <v>0</v>
      </c>
      <c r="G649" s="2">
        <v>42.38</v>
      </c>
      <c r="H649" s="2"/>
      <c r="I649" s="2">
        <f t="shared" si="91"/>
        <v>-42.38</v>
      </c>
      <c r="J649" s="2">
        <v>17785.8</v>
      </c>
      <c r="K649" s="2"/>
      <c r="L649" s="2">
        <f t="shared" si="92"/>
        <v>-17785.8</v>
      </c>
      <c r="M649" s="2">
        <v>1758.01</v>
      </c>
      <c r="N649" s="2">
        <v>2835.13</v>
      </c>
      <c r="O649" s="2">
        <f t="shared" si="93"/>
        <v>1077.1200000000001</v>
      </c>
      <c r="P649" s="2">
        <v>320.8</v>
      </c>
      <c r="Q649" s="2"/>
      <c r="R649" s="2">
        <f t="shared" si="94"/>
        <v>-320.8</v>
      </c>
      <c r="S649" s="2">
        <v>542.29</v>
      </c>
      <c r="T649" s="2"/>
      <c r="U649" s="2">
        <f t="shared" si="95"/>
        <v>-542.29</v>
      </c>
      <c r="V649" s="2">
        <v>823.87</v>
      </c>
      <c r="W649" s="2"/>
      <c r="X649" s="2">
        <f t="shared" si="96"/>
        <v>-823.87</v>
      </c>
      <c r="Y649" s="2"/>
      <c r="Z649" s="2">
        <v>1333.33</v>
      </c>
      <c r="AA649" s="2">
        <f t="shared" si="97"/>
        <v>1333.33</v>
      </c>
      <c r="AB649" s="2">
        <v>486.74</v>
      </c>
      <c r="AC649" s="2">
        <v>1485.26</v>
      </c>
      <c r="AD649" s="2">
        <f t="shared" si="98"/>
        <v>998.52</v>
      </c>
      <c r="AE649" s="2">
        <v>2173.6999999999998</v>
      </c>
      <c r="AF649" s="2">
        <v>2818.59</v>
      </c>
      <c r="AG649" s="2">
        <f t="shared" si="99"/>
        <v>644.89000000000033</v>
      </c>
    </row>
    <row r="650" spans="1:33" x14ac:dyDescent="0.3">
      <c r="B650" s="3"/>
      <c r="C650" t="str">
        <f xml:space="preserve"> _xll.EPMOlapMemberO("[CLACO].[PARENTH1].[AMSAINFORMATIC]","","Informática y Comuni","","000")</f>
        <v>Informática y Comuni</v>
      </c>
      <c r="D650" s="2">
        <v>2618.65</v>
      </c>
      <c r="E650" s="2">
        <v>21728.43</v>
      </c>
      <c r="F650" s="2">
        <f t="shared" si="90"/>
        <v>19109.78</v>
      </c>
      <c r="G650" s="2">
        <v>1736.13</v>
      </c>
      <c r="H650" s="2">
        <v>11484.44</v>
      </c>
      <c r="I650" s="2">
        <f t="shared" si="91"/>
        <v>9748.3100000000013</v>
      </c>
      <c r="J650" s="2">
        <v>18077.810000000001</v>
      </c>
      <c r="K650" s="2">
        <v>21294.68</v>
      </c>
      <c r="L650" s="2">
        <f t="shared" si="92"/>
        <v>3216.869999999999</v>
      </c>
      <c r="M650" s="2">
        <v>173893.11</v>
      </c>
      <c r="N650" s="2">
        <v>40507.22</v>
      </c>
      <c r="O650" s="2">
        <f t="shared" si="93"/>
        <v>-133385.88999999998</v>
      </c>
      <c r="P650" s="2">
        <v>-873.73</v>
      </c>
      <c r="Q650" s="2">
        <v>10706.12</v>
      </c>
      <c r="R650" s="2">
        <f t="shared" si="94"/>
        <v>11579.85</v>
      </c>
      <c r="S650" s="2">
        <v>1500.38</v>
      </c>
      <c r="T650" s="2">
        <v>624.46</v>
      </c>
      <c r="U650" s="2">
        <f t="shared" si="95"/>
        <v>-875.92000000000007</v>
      </c>
      <c r="V650" s="2">
        <v>255.22</v>
      </c>
      <c r="W650" s="2">
        <v>16662.21</v>
      </c>
      <c r="X650" s="2">
        <f t="shared" si="96"/>
        <v>16406.989999999998</v>
      </c>
      <c r="Y650" s="2">
        <v>-1577.69</v>
      </c>
      <c r="Z650" s="2">
        <v>621.65</v>
      </c>
      <c r="AA650" s="2">
        <f t="shared" si="97"/>
        <v>2199.34</v>
      </c>
      <c r="AB650" s="2">
        <v>1508.14</v>
      </c>
      <c r="AC650" s="2">
        <v>865.45</v>
      </c>
      <c r="AD650" s="2">
        <f t="shared" si="98"/>
        <v>-642.69000000000005</v>
      </c>
      <c r="AE650" s="2">
        <v>-159148.82</v>
      </c>
      <c r="AF650" s="2">
        <v>87592.56</v>
      </c>
      <c r="AG650" s="2">
        <f t="shared" si="99"/>
        <v>246741.38</v>
      </c>
    </row>
    <row r="651" spans="1:33" x14ac:dyDescent="0.3">
      <c r="B651" s="3"/>
      <c r="C651" t="str">
        <f xml:space="preserve"> _xll.EPMOlapMemberO("[CLACO].[PARENTH1].[AMSAG_VIAJES]","","Gastos de Viajes","","000")</f>
        <v>Gastos de Viajes</v>
      </c>
      <c r="D651" s="2">
        <v>32427.01</v>
      </c>
      <c r="E651" s="2">
        <v>50923.45</v>
      </c>
      <c r="F651" s="2">
        <f t="shared" ref="F651:F668" si="100">+E651-D651</f>
        <v>18496.439999999999</v>
      </c>
      <c r="G651" s="2">
        <v>50335.98</v>
      </c>
      <c r="H651" s="2">
        <v>54914.83</v>
      </c>
      <c r="I651" s="2">
        <f t="shared" ref="I651:I668" si="101">+H651-G651</f>
        <v>4578.8499999999985</v>
      </c>
      <c r="J651" s="2">
        <v>46564.94</v>
      </c>
      <c r="K651" s="2">
        <v>104856.16</v>
      </c>
      <c r="L651" s="2">
        <f t="shared" ref="L651:L668" si="102">+K651-J651</f>
        <v>58291.22</v>
      </c>
      <c r="M651" s="2">
        <v>70652.03</v>
      </c>
      <c r="N651" s="2">
        <v>115234.47</v>
      </c>
      <c r="O651" s="2">
        <f t="shared" ref="O651:O668" si="103">+N651-M651</f>
        <v>44582.44</v>
      </c>
      <c r="P651" s="2">
        <v>165.63</v>
      </c>
      <c r="Q651" s="2">
        <v>6632.58</v>
      </c>
      <c r="R651" s="2">
        <f t="shared" ref="R651:R668" si="104">+Q651-P651</f>
        <v>6466.95</v>
      </c>
      <c r="S651" s="2">
        <v>2273.62</v>
      </c>
      <c r="T651" s="2">
        <v>6665.26</v>
      </c>
      <c r="U651" s="2">
        <f t="shared" ref="U651:U668" si="105">+T651-S651</f>
        <v>4391.6400000000003</v>
      </c>
      <c r="V651" s="2">
        <v>121.81</v>
      </c>
      <c r="W651" s="2">
        <v>6607.34</v>
      </c>
      <c r="X651" s="2">
        <f t="shared" ref="X651:X668" si="106">+W651-V651</f>
        <v>6485.53</v>
      </c>
      <c r="Y651" s="2">
        <v>-1699.87</v>
      </c>
      <c r="Z651" s="2">
        <v>6594.94</v>
      </c>
      <c r="AA651" s="2">
        <f t="shared" ref="AA651:AA668" si="107">+Z651-Y651</f>
        <v>8294.81</v>
      </c>
      <c r="AB651" s="2">
        <v>1703.19</v>
      </c>
      <c r="AC651" s="2">
        <v>6582.52</v>
      </c>
      <c r="AD651" s="2">
        <f t="shared" ref="AD651:AD668" si="108">+AC651-AB651</f>
        <v>4879.33</v>
      </c>
      <c r="AE651" s="2">
        <v>4203.79</v>
      </c>
      <c r="AF651" s="2">
        <v>109975.2</v>
      </c>
      <c r="AG651" s="2">
        <f t="shared" ref="AG651:AG668" si="109">+AF651-AE651</f>
        <v>105771.41</v>
      </c>
    </row>
    <row r="652" spans="1:33" x14ac:dyDescent="0.3">
      <c r="B652" s="3"/>
      <c r="C652" t="str">
        <f xml:space="preserve"> _xll.EPMOlapMemberO("[CLACO].[PARENTH1].[AMSAGGENERALES.2]","","Otros Gastos","","000")</f>
        <v>Otros Gastos</v>
      </c>
      <c r="D652" s="2">
        <v>31061.55</v>
      </c>
      <c r="E652" s="2">
        <v>42672.31</v>
      </c>
      <c r="F652" s="2">
        <f t="shared" si="100"/>
        <v>11610.759999999998</v>
      </c>
      <c r="G652" s="2">
        <v>861.45</v>
      </c>
      <c r="H652" s="2">
        <v>22057.82</v>
      </c>
      <c r="I652" s="2">
        <f t="shared" si="101"/>
        <v>21196.37</v>
      </c>
      <c r="J652" s="2">
        <v>4584.55</v>
      </c>
      <c r="K652" s="2">
        <v>1524.39</v>
      </c>
      <c r="L652" s="2">
        <f t="shared" si="102"/>
        <v>-3060.16</v>
      </c>
      <c r="M652" s="2">
        <v>1800.74</v>
      </c>
      <c r="N652" s="2">
        <v>1518.71</v>
      </c>
      <c r="O652" s="2">
        <f t="shared" si="103"/>
        <v>-282.02999999999997</v>
      </c>
      <c r="P652" s="2">
        <v>33.950000000000003</v>
      </c>
      <c r="Q652" s="2">
        <v>126.05</v>
      </c>
      <c r="R652" s="2">
        <f t="shared" si="104"/>
        <v>92.1</v>
      </c>
      <c r="S652" s="2">
        <v>369.9</v>
      </c>
      <c r="T652" s="2">
        <v>125.81</v>
      </c>
      <c r="U652" s="2">
        <f t="shared" si="105"/>
        <v>-244.08999999999997</v>
      </c>
      <c r="V652" s="2">
        <v>126.92</v>
      </c>
      <c r="W652" s="2">
        <v>125.57</v>
      </c>
      <c r="X652" s="2">
        <f t="shared" si="106"/>
        <v>-1.3500000000000085</v>
      </c>
      <c r="Y652" s="2">
        <v>23.61</v>
      </c>
      <c r="Z652" s="2">
        <v>125.34</v>
      </c>
      <c r="AA652" s="2">
        <f t="shared" si="107"/>
        <v>101.73</v>
      </c>
      <c r="AB652" s="2">
        <v>68.78</v>
      </c>
      <c r="AC652" s="2">
        <v>125.1</v>
      </c>
      <c r="AD652" s="2">
        <f t="shared" si="108"/>
        <v>56.319999999999993</v>
      </c>
      <c r="AE652" s="2">
        <v>623.71</v>
      </c>
      <c r="AF652" s="2">
        <v>1516.95</v>
      </c>
      <c r="AG652" s="2">
        <f t="shared" si="109"/>
        <v>893.24</v>
      </c>
    </row>
    <row r="653" spans="1:33" x14ac:dyDescent="0.3">
      <c r="A653" t="s">
        <v>78</v>
      </c>
      <c r="B653" s="3" t="str">
        <f xml:space="preserve"> _xll.EPMOlapMemberO("[CECO].[PARENTH3].[AMSA1000AC5001]","","Gerencia de S&amp;SO","","000")</f>
        <v>Gerencia de S&amp;SO</v>
      </c>
      <c r="C653" t="str">
        <f xml:space="preserve"> _xll.EPMOlapMemberO("[CLACO].[PARENTH1].[AMSAREMUNERACI.SS]","","Remuneraciones Super","","000")</f>
        <v>Remuneraciones Super</v>
      </c>
      <c r="D653" s="2">
        <v>1256189.26</v>
      </c>
      <c r="E653" s="2">
        <v>1236170.51</v>
      </c>
      <c r="F653" s="2">
        <f t="shared" si="100"/>
        <v>-20018.75</v>
      </c>
      <c r="G653" s="2">
        <v>1155929.77</v>
      </c>
      <c r="H653" s="2">
        <v>1280787.07</v>
      </c>
      <c r="I653" s="2">
        <f t="shared" si="101"/>
        <v>124857.30000000005</v>
      </c>
      <c r="J653" s="2">
        <v>979787.82</v>
      </c>
      <c r="K653" s="2">
        <v>968049.39</v>
      </c>
      <c r="L653" s="2">
        <f t="shared" si="102"/>
        <v>-11738.429999999935</v>
      </c>
      <c r="M653" s="2">
        <v>1176459.05</v>
      </c>
      <c r="N653" s="2">
        <v>970923.85</v>
      </c>
      <c r="O653" s="2">
        <f t="shared" si="103"/>
        <v>-205535.20000000007</v>
      </c>
      <c r="P653" s="2">
        <v>84910.57</v>
      </c>
      <c r="Q653" s="2">
        <v>89946.48</v>
      </c>
      <c r="R653" s="2">
        <f t="shared" si="104"/>
        <v>5035.9099999999889</v>
      </c>
      <c r="S653" s="2">
        <v>137126.42000000001</v>
      </c>
      <c r="T653" s="2">
        <v>99784.35</v>
      </c>
      <c r="U653" s="2">
        <f t="shared" si="105"/>
        <v>-37342.070000000007</v>
      </c>
      <c r="V653" s="2">
        <v>86127.83</v>
      </c>
      <c r="W653" s="2">
        <v>89386.83</v>
      </c>
      <c r="X653" s="2">
        <f t="shared" si="106"/>
        <v>3259</v>
      </c>
      <c r="Y653" s="2">
        <v>123434.29</v>
      </c>
      <c r="Z653" s="2">
        <v>96989.22</v>
      </c>
      <c r="AA653" s="2">
        <f t="shared" si="107"/>
        <v>-26445.069999999992</v>
      </c>
      <c r="AB653" s="2">
        <v>91143.18</v>
      </c>
      <c r="AC653" s="2">
        <v>88749.47</v>
      </c>
      <c r="AD653" s="2">
        <f t="shared" si="108"/>
        <v>-2393.7099999999919</v>
      </c>
      <c r="AE653" s="2">
        <v>523294.9</v>
      </c>
      <c r="AF653" s="2">
        <v>1112127.17</v>
      </c>
      <c r="AG653" s="2">
        <f t="shared" si="109"/>
        <v>588832.2699999999</v>
      </c>
    </row>
    <row r="654" spans="1:33" x14ac:dyDescent="0.3">
      <c r="B654" s="3"/>
      <c r="C654" t="str">
        <f xml:space="preserve"> _xll.EPMOlapMemberO("[CLACO].[PARENTH1].[AMSAMAT_Y_REP.2]","","Materiales y repuest","","000")</f>
        <v>Materiales y repuest</v>
      </c>
      <c r="D654" s="2"/>
      <c r="E654" s="2"/>
      <c r="F654" s="2">
        <f t="shared" si="100"/>
        <v>0</v>
      </c>
      <c r="G654" s="2">
        <v>0</v>
      </c>
      <c r="H654" s="2"/>
      <c r="I654" s="2">
        <f t="shared" si="101"/>
        <v>0</v>
      </c>
      <c r="J654" s="2"/>
      <c r="K654" s="2"/>
      <c r="L654" s="2">
        <f t="shared" si="102"/>
        <v>0</v>
      </c>
      <c r="M654" s="2"/>
      <c r="N654" s="2"/>
      <c r="O654" s="2">
        <f t="shared" si="103"/>
        <v>0</v>
      </c>
      <c r="P654" s="2"/>
      <c r="Q654" s="2"/>
      <c r="R654" s="2">
        <f t="shared" si="104"/>
        <v>0</v>
      </c>
      <c r="S654" s="2"/>
      <c r="T654" s="2"/>
      <c r="U654" s="2">
        <f t="shared" si="105"/>
        <v>0</v>
      </c>
      <c r="V654" s="2"/>
      <c r="W654" s="2"/>
      <c r="X654" s="2">
        <f t="shared" si="106"/>
        <v>0</v>
      </c>
      <c r="Y654" s="2"/>
      <c r="Z654" s="2"/>
      <c r="AA654" s="2">
        <f t="shared" si="107"/>
        <v>0</v>
      </c>
      <c r="AB654" s="2"/>
      <c r="AC654" s="2"/>
      <c r="AD654" s="2">
        <f t="shared" si="108"/>
        <v>0</v>
      </c>
      <c r="AE654" s="2"/>
      <c r="AF654" s="2"/>
      <c r="AG654" s="2">
        <f t="shared" si="109"/>
        <v>0</v>
      </c>
    </row>
    <row r="655" spans="1:33" x14ac:dyDescent="0.3">
      <c r="B655" s="3"/>
      <c r="C655" t="str">
        <f xml:space="preserve"> _xll.EPMOlapMemberO("[CLACO].[PARENTH1].[AMSAADM_PERSON]","","Administración Perso","","000")</f>
        <v>Administración Perso</v>
      </c>
      <c r="D655" s="2">
        <v>166750.62</v>
      </c>
      <c r="E655" s="2">
        <v>486822.1</v>
      </c>
      <c r="F655" s="2">
        <f t="shared" si="100"/>
        <v>320071.48</v>
      </c>
      <c r="G655" s="2">
        <v>-114083</v>
      </c>
      <c r="H655" s="2"/>
      <c r="I655" s="2">
        <f t="shared" si="101"/>
        <v>114083</v>
      </c>
      <c r="J655" s="2">
        <v>0</v>
      </c>
      <c r="K655" s="2"/>
      <c r="L655" s="2">
        <f t="shared" si="102"/>
        <v>0</v>
      </c>
      <c r="M655" s="2">
        <v>-269.43</v>
      </c>
      <c r="N655" s="2"/>
      <c r="O655" s="2">
        <f t="shared" si="103"/>
        <v>269.43</v>
      </c>
      <c r="P655" s="2"/>
      <c r="Q655" s="2"/>
      <c r="R655" s="2">
        <f t="shared" si="104"/>
        <v>0</v>
      </c>
      <c r="S655" s="2"/>
      <c r="T655" s="2"/>
      <c r="U655" s="2">
        <f t="shared" si="105"/>
        <v>0</v>
      </c>
      <c r="V655" s="2"/>
      <c r="W655" s="2"/>
      <c r="X655" s="2">
        <f t="shared" si="106"/>
        <v>0</v>
      </c>
      <c r="Y655" s="2"/>
      <c r="Z655" s="2"/>
      <c r="AA655" s="2">
        <f t="shared" si="107"/>
        <v>0</v>
      </c>
      <c r="AB655" s="2"/>
      <c r="AC655" s="2"/>
      <c r="AD655" s="2">
        <f t="shared" si="108"/>
        <v>0</v>
      </c>
      <c r="AE655" s="2"/>
      <c r="AF655" s="2"/>
      <c r="AG655" s="2">
        <f t="shared" si="109"/>
        <v>0</v>
      </c>
    </row>
    <row r="656" spans="1:33" x14ac:dyDescent="0.3">
      <c r="B656" s="3"/>
      <c r="C656" t="str">
        <f xml:space="preserve"> _xll.EPMOlapMemberO("[CLACO].[PARENTH1].[AMSAENTRENAMI]","","Entrenamiento","","000")</f>
        <v>Entrenamiento</v>
      </c>
      <c r="D656" s="2">
        <v>2457.23</v>
      </c>
      <c r="E656" s="2">
        <v>6402.79</v>
      </c>
      <c r="F656" s="2">
        <f t="shared" si="100"/>
        <v>3945.56</v>
      </c>
      <c r="G656" s="2">
        <v>16942.72</v>
      </c>
      <c r="H656" s="2">
        <v>2874.01</v>
      </c>
      <c r="I656" s="2">
        <f t="shared" si="101"/>
        <v>-14068.710000000001</v>
      </c>
      <c r="J656" s="2">
        <v>20325.14</v>
      </c>
      <c r="K656" s="2"/>
      <c r="L656" s="2">
        <f t="shared" si="102"/>
        <v>-20325.14</v>
      </c>
      <c r="M656" s="2">
        <v>11557.4</v>
      </c>
      <c r="N656" s="2"/>
      <c r="O656" s="2">
        <f t="shared" si="103"/>
        <v>-11557.4</v>
      </c>
      <c r="P656" s="2"/>
      <c r="Q656" s="2"/>
      <c r="R656" s="2">
        <f t="shared" si="104"/>
        <v>0</v>
      </c>
      <c r="S656" s="2"/>
      <c r="T656" s="2"/>
      <c r="U656" s="2">
        <f t="shared" si="105"/>
        <v>0</v>
      </c>
      <c r="V656" s="2"/>
      <c r="W656" s="2"/>
      <c r="X656" s="2">
        <f t="shared" si="106"/>
        <v>0</v>
      </c>
      <c r="Y656" s="2"/>
      <c r="Z656" s="2"/>
      <c r="AA656" s="2">
        <f t="shared" si="107"/>
        <v>0</v>
      </c>
      <c r="AB656" s="2"/>
      <c r="AC656" s="2"/>
      <c r="AD656" s="2">
        <f t="shared" si="108"/>
        <v>0</v>
      </c>
      <c r="AE656" s="2"/>
      <c r="AF656" s="2"/>
      <c r="AG656" s="2">
        <f t="shared" si="109"/>
        <v>0</v>
      </c>
    </row>
    <row r="657" spans="1:34" x14ac:dyDescent="0.3">
      <c r="B657" s="3"/>
      <c r="C657" t="str">
        <f xml:space="preserve"> _xll.EPMOlapMemberO("[CLACO].[PARENTH1].[AMSAASESORIAS]","","Asesorías y Consulto","","000")</f>
        <v>Asesorías y Consulto</v>
      </c>
      <c r="D657" s="2">
        <v>96094.83</v>
      </c>
      <c r="E657" s="2">
        <v>244671.62</v>
      </c>
      <c r="F657" s="2">
        <f t="shared" si="100"/>
        <v>148576.78999999998</v>
      </c>
      <c r="G657" s="2">
        <v>176794.93</v>
      </c>
      <c r="H657" s="2">
        <v>180323.74</v>
      </c>
      <c r="I657" s="2">
        <f t="shared" si="101"/>
        <v>3528.8099999999977</v>
      </c>
      <c r="J657" s="2">
        <v>-30565.07</v>
      </c>
      <c r="K657" s="2">
        <v>91313.72</v>
      </c>
      <c r="L657" s="2">
        <f t="shared" si="102"/>
        <v>121878.79000000001</v>
      </c>
      <c r="M657" s="2">
        <v>8.58</v>
      </c>
      <c r="N657" s="2"/>
      <c r="O657" s="2">
        <f t="shared" si="103"/>
        <v>-8.58</v>
      </c>
      <c r="P657" s="2"/>
      <c r="Q657" s="2"/>
      <c r="R657" s="2">
        <f t="shared" si="104"/>
        <v>0</v>
      </c>
      <c r="S657" s="2">
        <v>0</v>
      </c>
      <c r="T657" s="2"/>
      <c r="U657" s="2">
        <f t="shared" si="105"/>
        <v>0</v>
      </c>
      <c r="V657" s="2"/>
      <c r="W657" s="2"/>
      <c r="X657" s="2">
        <f t="shared" si="106"/>
        <v>0</v>
      </c>
      <c r="Y657" s="2"/>
      <c r="Z657" s="2"/>
      <c r="AA657" s="2">
        <f t="shared" si="107"/>
        <v>0</v>
      </c>
      <c r="AB657" s="2"/>
      <c r="AC657" s="2"/>
      <c r="AD657" s="2">
        <f t="shared" si="108"/>
        <v>0</v>
      </c>
      <c r="AE657" s="2">
        <v>442.31</v>
      </c>
      <c r="AF657" s="2"/>
      <c r="AG657" s="2">
        <f t="shared" si="109"/>
        <v>-442.31</v>
      </c>
    </row>
    <row r="658" spans="1:34" x14ac:dyDescent="0.3">
      <c r="B658" s="3"/>
      <c r="C658" t="str">
        <f xml:space="preserve"> _xll.EPMOlapMemberO("[CLACO].[PARENTH1].[AMSASERVICIOS]","","Servicios","","000")</f>
        <v>Servicios</v>
      </c>
      <c r="D658" s="2">
        <v>15517.3</v>
      </c>
      <c r="E658" s="2">
        <v>46233.52</v>
      </c>
      <c r="F658" s="2">
        <f t="shared" si="100"/>
        <v>30716.219999999998</v>
      </c>
      <c r="G658" s="2">
        <v>-39213.620000000003</v>
      </c>
      <c r="H658" s="2">
        <v>34204.089999999997</v>
      </c>
      <c r="I658" s="2">
        <f t="shared" si="101"/>
        <v>73417.709999999992</v>
      </c>
      <c r="J658" s="2">
        <v>19038.23</v>
      </c>
      <c r="K658" s="2">
        <v>50482.35</v>
      </c>
      <c r="L658" s="2">
        <f t="shared" si="102"/>
        <v>31444.12</v>
      </c>
      <c r="M658" s="2">
        <v>31645.439999999999</v>
      </c>
      <c r="N658" s="2">
        <v>33983.32</v>
      </c>
      <c r="O658" s="2">
        <f t="shared" si="103"/>
        <v>2337.880000000001</v>
      </c>
      <c r="P658" s="2">
        <v>521.88</v>
      </c>
      <c r="Q658" s="2">
        <v>2801.24</v>
      </c>
      <c r="R658" s="2">
        <f t="shared" si="104"/>
        <v>2279.3599999999997</v>
      </c>
      <c r="S658" s="2">
        <v>9322.2099999999991</v>
      </c>
      <c r="T658" s="2">
        <v>2793.42</v>
      </c>
      <c r="U658" s="2">
        <f t="shared" si="105"/>
        <v>-6528.7899999999991</v>
      </c>
      <c r="V658" s="2">
        <v>-199.59</v>
      </c>
      <c r="W658" s="2">
        <v>2785.59</v>
      </c>
      <c r="X658" s="2">
        <f t="shared" si="106"/>
        <v>2985.1800000000003</v>
      </c>
      <c r="Y658" s="2">
        <v>17.29</v>
      </c>
      <c r="Z658" s="2">
        <v>2777.76</v>
      </c>
      <c r="AA658" s="2">
        <f t="shared" si="107"/>
        <v>2760.4700000000003</v>
      </c>
      <c r="AB658" s="2">
        <v>173.31</v>
      </c>
      <c r="AC658" s="2">
        <v>2770.19</v>
      </c>
      <c r="AD658" s="2">
        <f t="shared" si="108"/>
        <v>2596.88</v>
      </c>
      <c r="AE658" s="2">
        <v>9835.1</v>
      </c>
      <c r="AF658" s="2">
        <v>33756.53</v>
      </c>
      <c r="AG658" s="2">
        <f t="shared" si="109"/>
        <v>23921.43</v>
      </c>
    </row>
    <row r="659" spans="1:34" x14ac:dyDescent="0.3">
      <c r="B659" s="3"/>
      <c r="C659" t="str">
        <f xml:space="preserve"> _xll.EPMOlapMemberO("[CLACO].[PARENTH1].[AMSASERMANTO.REPA]","","Servicios Mantenimie","","000")</f>
        <v>Servicios Mantenimie</v>
      </c>
      <c r="D659" s="2"/>
      <c r="E659" s="2"/>
      <c r="F659" s="2">
        <f t="shared" si="100"/>
        <v>0</v>
      </c>
      <c r="G659" s="2"/>
      <c r="H659" s="2"/>
      <c r="I659" s="2">
        <f t="shared" si="101"/>
        <v>0</v>
      </c>
      <c r="J659" s="2"/>
      <c r="K659" s="2"/>
      <c r="L659" s="2">
        <f t="shared" si="102"/>
        <v>0</v>
      </c>
      <c r="M659" s="2">
        <v>0</v>
      </c>
      <c r="N659" s="2"/>
      <c r="O659" s="2">
        <f t="shared" si="103"/>
        <v>0</v>
      </c>
      <c r="P659" s="2"/>
      <c r="Q659" s="2"/>
      <c r="R659" s="2">
        <f t="shared" si="104"/>
        <v>0</v>
      </c>
      <c r="S659" s="2"/>
      <c r="T659" s="2"/>
      <c r="U659" s="2">
        <f t="shared" si="105"/>
        <v>0</v>
      </c>
      <c r="V659" s="2"/>
      <c r="W659" s="2"/>
      <c r="X659" s="2">
        <f t="shared" si="106"/>
        <v>0</v>
      </c>
      <c r="Y659" s="2"/>
      <c r="Z659" s="2"/>
      <c r="AA659" s="2">
        <f t="shared" si="107"/>
        <v>0</v>
      </c>
      <c r="AB659" s="2"/>
      <c r="AC659" s="2"/>
      <c r="AD659" s="2">
        <f t="shared" si="108"/>
        <v>0</v>
      </c>
      <c r="AE659" s="2"/>
      <c r="AF659" s="2"/>
      <c r="AG659" s="2">
        <f t="shared" si="109"/>
        <v>0</v>
      </c>
    </row>
    <row r="660" spans="1:34" x14ac:dyDescent="0.3">
      <c r="B660" s="3"/>
      <c r="C660" t="str">
        <f xml:space="preserve"> _xll.EPMOlapMemberO("[CLACO].[PARENTH1].[AMSAINFORMATIC]","","Informática y Comuni","","000")</f>
        <v>Informática y Comuni</v>
      </c>
      <c r="D660" s="2">
        <v>5548.05</v>
      </c>
      <c r="E660" s="2">
        <v>9000.1299999999992</v>
      </c>
      <c r="F660" s="2">
        <f t="shared" si="100"/>
        <v>3452.079999999999</v>
      </c>
      <c r="G660" s="2">
        <v>183461.69</v>
      </c>
      <c r="H660" s="2">
        <v>7990.12</v>
      </c>
      <c r="I660" s="2">
        <f t="shared" si="101"/>
        <v>-175471.57</v>
      </c>
      <c r="J660" s="2">
        <v>80312.13</v>
      </c>
      <c r="K660" s="2">
        <v>80207.75</v>
      </c>
      <c r="L660" s="2">
        <f t="shared" si="102"/>
        <v>-104.38000000000466</v>
      </c>
      <c r="M660" s="2">
        <v>66337.759999999995</v>
      </c>
      <c r="N660" s="2">
        <v>76469.61</v>
      </c>
      <c r="O660" s="2">
        <f t="shared" si="103"/>
        <v>10131.850000000006</v>
      </c>
      <c r="P660" s="2"/>
      <c r="Q660" s="2">
        <v>6216.06</v>
      </c>
      <c r="R660" s="2">
        <f t="shared" si="104"/>
        <v>6216.06</v>
      </c>
      <c r="S660" s="2">
        <v>19046.13</v>
      </c>
      <c r="T660" s="2">
        <v>6198.85</v>
      </c>
      <c r="U660" s="2">
        <f t="shared" si="105"/>
        <v>-12847.28</v>
      </c>
      <c r="V660" s="2">
        <v>182.33</v>
      </c>
      <c r="W660" s="2">
        <v>9524.33</v>
      </c>
      <c r="X660" s="2">
        <f t="shared" si="106"/>
        <v>9342</v>
      </c>
      <c r="Y660" s="2">
        <v>170.88</v>
      </c>
      <c r="Z660" s="2">
        <v>6164.41</v>
      </c>
      <c r="AA660" s="2">
        <f t="shared" si="107"/>
        <v>5993.53</v>
      </c>
      <c r="AB660" s="2">
        <v>250.87</v>
      </c>
      <c r="AC660" s="2">
        <v>6147.74</v>
      </c>
      <c r="AD660" s="2">
        <f t="shared" si="108"/>
        <v>5896.87</v>
      </c>
      <c r="AE660" s="2">
        <v>19932.330000000002</v>
      </c>
      <c r="AF660" s="2">
        <v>83890.3</v>
      </c>
      <c r="AG660" s="2">
        <f t="shared" si="109"/>
        <v>63957.97</v>
      </c>
    </row>
    <row r="661" spans="1:34" x14ac:dyDescent="0.3">
      <c r="B661" s="3"/>
      <c r="C661" t="str">
        <f xml:space="preserve"> _xll.EPMOlapMemberO("[CLACO].[PARENTH1].[AMSAG_VIAJES]","","Gastos de Viajes","","000")</f>
        <v>Gastos de Viajes</v>
      </c>
      <c r="D661" s="2">
        <v>98145.64</v>
      </c>
      <c r="E661" s="2">
        <v>102530.33</v>
      </c>
      <c r="F661" s="2">
        <f t="shared" si="100"/>
        <v>4384.6900000000023</v>
      </c>
      <c r="G661" s="2">
        <v>100752.04</v>
      </c>
      <c r="H661" s="2">
        <v>140126.38</v>
      </c>
      <c r="I661" s="2">
        <f t="shared" si="101"/>
        <v>39374.340000000011</v>
      </c>
      <c r="J661" s="2">
        <v>110969.47</v>
      </c>
      <c r="K661" s="2">
        <v>100361.58</v>
      </c>
      <c r="L661" s="2">
        <f t="shared" si="102"/>
        <v>-10607.89</v>
      </c>
      <c r="M661" s="2">
        <v>101460.35</v>
      </c>
      <c r="N661" s="2">
        <v>96097.07</v>
      </c>
      <c r="O661" s="2">
        <f t="shared" si="103"/>
        <v>-5363.2799999999988</v>
      </c>
      <c r="P661" s="2">
        <v>-6806.24</v>
      </c>
      <c r="Q661" s="2">
        <v>5417.49</v>
      </c>
      <c r="R661" s="2">
        <f t="shared" si="104"/>
        <v>12223.73</v>
      </c>
      <c r="S661" s="2">
        <v>8108.05</v>
      </c>
      <c r="T661" s="2">
        <v>5406.98</v>
      </c>
      <c r="U661" s="2">
        <f t="shared" si="105"/>
        <v>-2701.0700000000006</v>
      </c>
      <c r="V661" s="2">
        <v>3093.03</v>
      </c>
      <c r="W661" s="2">
        <v>18958.43</v>
      </c>
      <c r="X661" s="2">
        <f t="shared" si="106"/>
        <v>15865.4</v>
      </c>
      <c r="Y661" s="2">
        <v>12188.59</v>
      </c>
      <c r="Z661" s="2">
        <v>5386.13</v>
      </c>
      <c r="AA661" s="2">
        <f t="shared" si="107"/>
        <v>-6802.46</v>
      </c>
      <c r="AB661" s="2">
        <v>2526.77</v>
      </c>
      <c r="AC661" s="2">
        <v>5175.6499999999996</v>
      </c>
      <c r="AD661" s="2">
        <f t="shared" si="108"/>
        <v>2648.8799999999997</v>
      </c>
      <c r="AE661" s="2">
        <v>22378.87</v>
      </c>
      <c r="AF661" s="2">
        <v>92330.54</v>
      </c>
      <c r="AG661" s="2">
        <f t="shared" si="109"/>
        <v>69951.67</v>
      </c>
    </row>
    <row r="662" spans="1:34" x14ac:dyDescent="0.3">
      <c r="B662" s="3"/>
      <c r="C662" t="str">
        <f xml:space="preserve"> _xll.EPMOlapMemberO("[CLACO].[PARENTH1].[AMSAGGENERALES.2]","","Otros Gastos","","000")</f>
        <v>Otros Gastos</v>
      </c>
      <c r="D662" s="2">
        <v>18178.669999999998</v>
      </c>
      <c r="E662" s="2">
        <v>12745.05</v>
      </c>
      <c r="F662" s="2">
        <f t="shared" si="100"/>
        <v>-5433.619999999999</v>
      </c>
      <c r="G662" s="2">
        <v>34115.82</v>
      </c>
      <c r="H662" s="2">
        <v>13818.3</v>
      </c>
      <c r="I662" s="2">
        <f t="shared" si="101"/>
        <v>-20297.52</v>
      </c>
      <c r="J662" s="2">
        <v>15783.86</v>
      </c>
      <c r="K662" s="2">
        <v>13396.47</v>
      </c>
      <c r="L662" s="2">
        <f t="shared" si="102"/>
        <v>-2387.3900000000012</v>
      </c>
      <c r="M662" s="2">
        <v>4746.92</v>
      </c>
      <c r="N662" s="2">
        <v>12625.87</v>
      </c>
      <c r="O662" s="2">
        <f t="shared" si="103"/>
        <v>7878.9500000000007</v>
      </c>
      <c r="P662" s="2">
        <v>51.84</v>
      </c>
      <c r="Q662" s="2">
        <v>1064.47</v>
      </c>
      <c r="R662" s="2">
        <f t="shared" si="104"/>
        <v>1012.63</v>
      </c>
      <c r="S662" s="2">
        <v>429.31</v>
      </c>
      <c r="T662" s="2">
        <v>1061.49</v>
      </c>
      <c r="U662" s="2">
        <f t="shared" si="105"/>
        <v>632.18000000000006</v>
      </c>
      <c r="V662" s="2">
        <v>186.94</v>
      </c>
      <c r="W662" s="2">
        <v>1058.53</v>
      </c>
      <c r="X662" s="2">
        <f t="shared" si="106"/>
        <v>871.58999999999992</v>
      </c>
      <c r="Y662" s="2">
        <v>34.69</v>
      </c>
      <c r="Z662" s="2">
        <v>1055.55</v>
      </c>
      <c r="AA662" s="2">
        <f t="shared" si="107"/>
        <v>1020.8599999999999</v>
      </c>
      <c r="AB662" s="2">
        <v>135.76</v>
      </c>
      <c r="AC662" s="2">
        <v>1052.68</v>
      </c>
      <c r="AD662" s="2">
        <f t="shared" si="108"/>
        <v>916.92000000000007</v>
      </c>
      <c r="AE662" s="2">
        <v>863.46</v>
      </c>
      <c r="AF662" s="2">
        <v>12541.87</v>
      </c>
      <c r="AG662" s="2">
        <f t="shared" si="109"/>
        <v>11678.41</v>
      </c>
    </row>
    <row r="663" spans="1:34" x14ac:dyDescent="0.3">
      <c r="A663" t="s">
        <v>79</v>
      </c>
      <c r="B663" s="3" t="str">
        <f xml:space="preserve"> _xll.EPMOlapMemberO("[CECO].[PARENTH3].[AMSA1000AC7201]","","VP Sustentabilidad","","000")</f>
        <v>VP Sustentabilidad</v>
      </c>
      <c r="C663" t="str">
        <f xml:space="preserve"> _xll.EPMOlapMemberO("[CLACO].[PARENTH1].[AMSAREMUNERACI.SS]","","Remuneraciones Super","","000")</f>
        <v>Remuneraciones Super</v>
      </c>
      <c r="D663" s="2"/>
      <c r="E663" s="2"/>
      <c r="F663" s="2">
        <f t="shared" si="100"/>
        <v>0</v>
      </c>
      <c r="G663" s="2"/>
      <c r="H663" s="2"/>
      <c r="I663" s="2">
        <f t="shared" si="101"/>
        <v>0</v>
      </c>
      <c r="J663" s="2"/>
      <c r="K663" s="2"/>
      <c r="L663" s="2">
        <f t="shared" si="102"/>
        <v>0</v>
      </c>
      <c r="M663" s="2">
        <v>1486955.78</v>
      </c>
      <c r="N663" s="2">
        <v>1166368.68</v>
      </c>
      <c r="O663" s="2">
        <f t="shared" si="103"/>
        <v>-320587.10000000009</v>
      </c>
      <c r="P663" s="2">
        <v>145789.48000000001</v>
      </c>
      <c r="Q663" s="2">
        <v>151870.03</v>
      </c>
      <c r="R663" s="2">
        <f t="shared" si="104"/>
        <v>6080.5499999999884</v>
      </c>
      <c r="S663" s="2">
        <v>188699.41</v>
      </c>
      <c r="T663" s="2">
        <v>169478.68</v>
      </c>
      <c r="U663" s="2">
        <f t="shared" si="105"/>
        <v>-19220.73000000001</v>
      </c>
      <c r="V663" s="2">
        <v>137843.84</v>
      </c>
      <c r="W663" s="2">
        <v>150660.93</v>
      </c>
      <c r="X663" s="2">
        <f t="shared" si="106"/>
        <v>12817.089999999997</v>
      </c>
      <c r="Y663" s="2">
        <v>154506.46</v>
      </c>
      <c r="Z663" s="2">
        <v>165006.79</v>
      </c>
      <c r="AA663" s="2">
        <f t="shared" si="107"/>
        <v>10500.330000000016</v>
      </c>
      <c r="AB663" s="2">
        <v>143185.24</v>
      </c>
      <c r="AC663" s="2">
        <v>150420.79999999999</v>
      </c>
      <c r="AD663" s="2">
        <f t="shared" si="108"/>
        <v>7235.5599999999977</v>
      </c>
      <c r="AE663" s="2">
        <v>770387.01</v>
      </c>
      <c r="AF663" s="2">
        <v>1882589.84</v>
      </c>
      <c r="AG663" s="2">
        <f t="shared" si="109"/>
        <v>1112202.83</v>
      </c>
    </row>
    <row r="664" spans="1:34" x14ac:dyDescent="0.3">
      <c r="B664" s="3"/>
      <c r="C664" t="str">
        <f xml:space="preserve"> _xll.EPMOlapMemberO("[CLACO].[PARENTH1].[AMSAENTRENAMI]","","Entrenamiento","","000")</f>
        <v>Entrenamiento</v>
      </c>
      <c r="D664" s="2"/>
      <c r="E664" s="2"/>
      <c r="F664" s="2">
        <f t="shared" si="100"/>
        <v>0</v>
      </c>
      <c r="G664" s="2"/>
      <c r="H664" s="2"/>
      <c r="I664" s="2">
        <f t="shared" si="101"/>
        <v>0</v>
      </c>
      <c r="J664" s="2"/>
      <c r="K664" s="2"/>
      <c r="L664" s="2">
        <f t="shared" si="102"/>
        <v>0</v>
      </c>
      <c r="M664" s="2">
        <v>13159.46</v>
      </c>
      <c r="N664" s="2"/>
      <c r="O664" s="2">
        <f t="shared" si="103"/>
        <v>-13159.46</v>
      </c>
      <c r="P664" s="2">
        <v>953.99</v>
      </c>
      <c r="Q664" s="2"/>
      <c r="R664" s="2">
        <f t="shared" si="104"/>
        <v>-953.99</v>
      </c>
      <c r="S664" s="2"/>
      <c r="T664" s="2"/>
      <c r="U664" s="2">
        <f t="shared" si="105"/>
        <v>0</v>
      </c>
      <c r="V664" s="2"/>
      <c r="W664" s="2"/>
      <c r="X664" s="2">
        <f t="shared" si="106"/>
        <v>0</v>
      </c>
      <c r="Y664" s="2"/>
      <c r="Z664" s="2"/>
      <c r="AA664" s="2">
        <f t="shared" si="107"/>
        <v>0</v>
      </c>
      <c r="AB664" s="2"/>
      <c r="AC664" s="2"/>
      <c r="AD664" s="2">
        <f t="shared" si="108"/>
        <v>0</v>
      </c>
      <c r="AE664" s="2">
        <v>953.99</v>
      </c>
      <c r="AF664" s="2"/>
      <c r="AG664" s="2">
        <f t="shared" si="109"/>
        <v>-953.99</v>
      </c>
    </row>
    <row r="665" spans="1:34" x14ac:dyDescent="0.3">
      <c r="B665" s="3"/>
      <c r="C665" t="str">
        <f xml:space="preserve"> _xll.EPMOlapMemberO("[CLACO].[PARENTH1].[AMSAASESORIAS]","","Asesorías y Consulto","","000")</f>
        <v>Asesorías y Consulto</v>
      </c>
      <c r="D665" s="2"/>
      <c r="E665" s="2"/>
      <c r="F665" s="2">
        <f t="shared" si="100"/>
        <v>0</v>
      </c>
      <c r="G665" s="2"/>
      <c r="H665" s="2"/>
      <c r="I665" s="2">
        <f t="shared" si="101"/>
        <v>0</v>
      </c>
      <c r="J665" s="2"/>
      <c r="K665" s="2"/>
      <c r="L665" s="2">
        <f t="shared" si="102"/>
        <v>0</v>
      </c>
      <c r="M665" s="2">
        <v>21746.94</v>
      </c>
      <c r="N665" s="2">
        <v>21065.55</v>
      </c>
      <c r="O665" s="2">
        <f t="shared" si="103"/>
        <v>-681.38999999999942</v>
      </c>
      <c r="P665" s="2">
        <v>4907.92</v>
      </c>
      <c r="Q665" s="2">
        <v>2801.24</v>
      </c>
      <c r="R665" s="2">
        <f t="shared" si="104"/>
        <v>-2106.6800000000003</v>
      </c>
      <c r="S665" s="2">
        <v>6846.7</v>
      </c>
      <c r="T665" s="2"/>
      <c r="U665" s="2">
        <f t="shared" si="105"/>
        <v>-6846.7</v>
      </c>
      <c r="V665" s="2"/>
      <c r="W665" s="2"/>
      <c r="X665" s="2">
        <f t="shared" si="106"/>
        <v>0</v>
      </c>
      <c r="Y665" s="2"/>
      <c r="Z665" s="2"/>
      <c r="AA665" s="2">
        <f t="shared" si="107"/>
        <v>0</v>
      </c>
      <c r="AB665" s="2"/>
      <c r="AC665" s="2"/>
      <c r="AD665" s="2">
        <f t="shared" si="108"/>
        <v>0</v>
      </c>
      <c r="AE665" s="2">
        <v>11754.62</v>
      </c>
      <c r="AF665" s="2">
        <v>20919.080000000002</v>
      </c>
      <c r="AG665" s="2">
        <f t="shared" si="109"/>
        <v>9164.4600000000009</v>
      </c>
    </row>
    <row r="666" spans="1:34" x14ac:dyDescent="0.3">
      <c r="B666" s="3"/>
      <c r="C666" t="str">
        <f xml:space="preserve"> _xll.EPMOlapMemberO("[CLACO].[PARENTH1].[AMSAINFORMATIC]","","Informática y Comuni","","000")</f>
        <v>Informática y Comuni</v>
      </c>
      <c r="D666" s="2"/>
      <c r="E666" s="2"/>
      <c r="F666" s="2">
        <f t="shared" si="100"/>
        <v>0</v>
      </c>
      <c r="G666" s="2"/>
      <c r="H666" s="2"/>
      <c r="I666" s="2">
        <f t="shared" si="101"/>
        <v>0</v>
      </c>
      <c r="J666" s="2"/>
      <c r="K666" s="2"/>
      <c r="L666" s="2">
        <f t="shared" si="102"/>
        <v>0</v>
      </c>
      <c r="M666" s="2">
        <v>2756.12</v>
      </c>
      <c r="N666" s="2">
        <v>2721.39</v>
      </c>
      <c r="O666" s="2">
        <f t="shared" si="103"/>
        <v>-34.730000000000018</v>
      </c>
      <c r="P666" s="2">
        <v>652.9</v>
      </c>
      <c r="Q666" s="2">
        <v>152.27000000000001</v>
      </c>
      <c r="R666" s="2">
        <f t="shared" si="104"/>
        <v>-500.63</v>
      </c>
      <c r="S666" s="2">
        <v>212.03</v>
      </c>
      <c r="T666" s="2">
        <v>151.99</v>
      </c>
      <c r="U666" s="2">
        <f t="shared" si="105"/>
        <v>-60.039999999999992</v>
      </c>
      <c r="V666" s="2">
        <v>191.53</v>
      </c>
      <c r="W666" s="2">
        <v>905.14</v>
      </c>
      <c r="X666" s="2">
        <f t="shared" si="106"/>
        <v>713.61</v>
      </c>
      <c r="Y666" s="2">
        <v>1413.99</v>
      </c>
      <c r="Z666" s="2">
        <v>151.41</v>
      </c>
      <c r="AA666" s="2">
        <f t="shared" si="107"/>
        <v>-1262.58</v>
      </c>
      <c r="AB666" s="2">
        <v>1445.35</v>
      </c>
      <c r="AC666" s="2">
        <v>151.12</v>
      </c>
      <c r="AD666" s="2">
        <f t="shared" si="108"/>
        <v>-1294.23</v>
      </c>
      <c r="AE666" s="2">
        <v>3954.66</v>
      </c>
      <c r="AF666" s="2">
        <v>3081.02</v>
      </c>
      <c r="AG666" s="2">
        <f t="shared" si="109"/>
        <v>-873.63999999999987</v>
      </c>
    </row>
    <row r="667" spans="1:34" x14ac:dyDescent="0.3">
      <c r="B667" s="3"/>
      <c r="C667" t="str">
        <f xml:space="preserve"> _xll.EPMOlapMemberO("[CLACO].[PARENTH1].[AMSAG_VIAJES]","","Gastos de Viajes","","000")</f>
        <v>Gastos de Viajes</v>
      </c>
      <c r="D667" s="2"/>
      <c r="E667" s="2"/>
      <c r="F667" s="2">
        <f t="shared" si="100"/>
        <v>0</v>
      </c>
      <c r="G667" s="2"/>
      <c r="H667" s="2"/>
      <c r="I667" s="2">
        <f t="shared" si="101"/>
        <v>0</v>
      </c>
      <c r="J667" s="2"/>
      <c r="K667" s="2"/>
      <c r="L667" s="2">
        <f t="shared" si="102"/>
        <v>0</v>
      </c>
      <c r="M667" s="2">
        <v>77627.070000000007</v>
      </c>
      <c r="N667" s="2">
        <v>95810.41</v>
      </c>
      <c r="O667" s="2">
        <f t="shared" si="103"/>
        <v>18183.339999999997</v>
      </c>
      <c r="P667" s="2">
        <v>-7220.32</v>
      </c>
      <c r="Q667" s="2">
        <v>2330.4699999999998</v>
      </c>
      <c r="R667" s="2">
        <f t="shared" si="104"/>
        <v>9550.7899999999991</v>
      </c>
      <c r="S667" s="2">
        <v>32304.99</v>
      </c>
      <c r="T667" s="2">
        <v>16457.39</v>
      </c>
      <c r="U667" s="2">
        <f t="shared" si="105"/>
        <v>-15847.600000000002</v>
      </c>
      <c r="V667" s="2">
        <v>1098.1600000000001</v>
      </c>
      <c r="W667" s="2">
        <v>19299.150000000001</v>
      </c>
      <c r="X667" s="2">
        <f t="shared" si="106"/>
        <v>18200.990000000002</v>
      </c>
      <c r="Y667" s="2">
        <v>8875.16</v>
      </c>
      <c r="Z667" s="2">
        <v>335.9</v>
      </c>
      <c r="AA667" s="2">
        <f t="shared" si="107"/>
        <v>-8539.26</v>
      </c>
      <c r="AB667" s="2">
        <v>438.22</v>
      </c>
      <c r="AC667" s="2"/>
      <c r="AD667" s="2">
        <f t="shared" si="108"/>
        <v>-438.22</v>
      </c>
      <c r="AE667" s="2">
        <v>35499.269999999997</v>
      </c>
      <c r="AF667" s="2">
        <v>99174.9</v>
      </c>
      <c r="AG667" s="2">
        <f t="shared" si="109"/>
        <v>63675.63</v>
      </c>
    </row>
    <row r="668" spans="1:34" x14ac:dyDescent="0.3">
      <c r="B668" s="3"/>
      <c r="C668" t="str">
        <f xml:space="preserve"> _xll.EPMOlapMemberO("[CLACO].[PARENTH1].[AMSAGGENERALES.2]","","Otros Gastos","","000")</f>
        <v>Otros Gastos</v>
      </c>
      <c r="D668" s="2"/>
      <c r="E668" s="2"/>
      <c r="F668" s="2">
        <f t="shared" si="100"/>
        <v>0</v>
      </c>
      <c r="G668" s="2"/>
      <c r="H668" s="2"/>
      <c r="I668" s="2">
        <f t="shared" si="101"/>
        <v>0</v>
      </c>
      <c r="J668" s="2"/>
      <c r="K668" s="2"/>
      <c r="L668" s="2">
        <f t="shared" si="102"/>
        <v>0</v>
      </c>
      <c r="M668" s="2">
        <v>3826.36</v>
      </c>
      <c r="N668" s="2">
        <v>7961.99</v>
      </c>
      <c r="O668" s="2">
        <f t="shared" si="103"/>
        <v>4135.6299999999992</v>
      </c>
      <c r="P668" s="2">
        <v>273.39</v>
      </c>
      <c r="Q668" s="2">
        <v>625.79</v>
      </c>
      <c r="R668" s="2">
        <f t="shared" si="104"/>
        <v>352.4</v>
      </c>
      <c r="S668" s="2">
        <v>42.12</v>
      </c>
      <c r="T668" s="2">
        <v>624.11</v>
      </c>
      <c r="U668" s="2">
        <f t="shared" si="105"/>
        <v>581.99</v>
      </c>
      <c r="V668" s="2">
        <v>26.11</v>
      </c>
      <c r="W668" s="2">
        <v>488.71</v>
      </c>
      <c r="X668" s="2">
        <f t="shared" si="106"/>
        <v>462.59999999999997</v>
      </c>
      <c r="Y668" s="2">
        <v>116.71</v>
      </c>
      <c r="Z668" s="2">
        <v>231.84</v>
      </c>
      <c r="AA668" s="2">
        <f t="shared" si="107"/>
        <v>115.13000000000001</v>
      </c>
      <c r="AB668" s="2">
        <v>15.15</v>
      </c>
      <c r="AC668" s="2">
        <v>65.05</v>
      </c>
      <c r="AD668" s="2">
        <f t="shared" si="108"/>
        <v>49.9</v>
      </c>
      <c r="AE668" s="2">
        <v>474.44</v>
      </c>
      <c r="AF668" s="2">
        <v>7613.23</v>
      </c>
      <c r="AG668" s="2">
        <f t="shared" si="109"/>
        <v>7138.79</v>
      </c>
    </row>
    <row r="669" spans="1:34" x14ac:dyDescent="0.3"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F669" s="2"/>
      <c r="AG669" s="2"/>
      <c r="AH669" s="2"/>
    </row>
    <row r="670" spans="1:34" x14ac:dyDescent="0.3"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F670" s="2"/>
      <c r="AG670" s="2"/>
      <c r="AH670" s="2"/>
    </row>
  </sheetData>
  <pageMargins left="0.7" right="0.7" top="0.75" bottom="0.75" header="0.3" footer="0.3"/>
  <customProperties>
    <customPr name="EpmWorksheetKeyString_GUID" r:id="rId1"/>
    <customPr name="FPMExcelClientCellBasedFunctionStatus" r:id="rId2"/>
    <customPr name="FPMExcelClientRefreshTime" r:id="rId3"/>
  </customProperties>
  <drawing r:id="rId4"/>
  <legacyDrawing r:id="rId5"/>
  <controls>
    <mc:AlternateContent xmlns:mc="http://schemas.openxmlformats.org/markup-compatibility/2006">
      <mc:Choice Requires="x14">
        <control shapeId="5124" r:id="rId6" name="AnalyzerDynReport000tb1">
          <controlPr defaultSize="0" autoLine="0" autoPict="0" r:id="rId7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0</xdr:colOff>
                <xdr:row>0</xdr:row>
                <xdr:rowOff>0</xdr:rowOff>
              </to>
            </anchor>
          </controlPr>
        </control>
      </mc:Choice>
      <mc:Fallback>
        <control shapeId="5124" r:id="rId6" name="AnalyzerDynReport000tb1"/>
      </mc:Fallback>
    </mc:AlternateContent>
    <mc:AlternateContent xmlns:mc="http://schemas.openxmlformats.org/markup-compatibility/2006">
      <mc:Choice Requires="x14">
        <control shapeId="5123" r:id="rId8" name="MultipleReportManagerInfotb1">
          <controlPr defaultSize="0" autoLine="0" autoPict="0" r:id="rId9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0</xdr:colOff>
                <xdr:row>0</xdr:row>
                <xdr:rowOff>0</xdr:rowOff>
              </to>
            </anchor>
          </controlPr>
        </control>
      </mc:Choice>
      <mc:Fallback>
        <control shapeId="5123" r:id="rId8" name="MultipleReportManagerInfotb1"/>
      </mc:Fallback>
    </mc:AlternateContent>
    <mc:AlternateContent xmlns:mc="http://schemas.openxmlformats.org/markup-compatibility/2006">
      <mc:Choice Requires="x14">
        <control shapeId="5122" r:id="rId10" name="ConnectionDescriptorsInfotb1">
          <controlPr defaultSize="0" autoLine="0" autoPict="0" r:id="rId11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0</xdr:colOff>
                <xdr:row>0</xdr:row>
                <xdr:rowOff>0</xdr:rowOff>
              </to>
            </anchor>
          </controlPr>
        </control>
      </mc:Choice>
      <mc:Fallback>
        <control shapeId="5122" r:id="rId10" name="ConnectionDescriptorsInfotb1"/>
      </mc:Fallback>
    </mc:AlternateContent>
    <mc:AlternateContent xmlns:mc="http://schemas.openxmlformats.org/markup-compatibility/2006">
      <mc:Choice Requires="x14">
        <control shapeId="5121" r:id="rId12" name="FPMExcelClientSheetOptionstb1">
          <controlPr defaultSize="0" autoLine="0" autoPict="0" r:id="rId13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0</xdr:colOff>
                <xdr:row>0</xdr:row>
                <xdr:rowOff>0</xdr:rowOff>
              </to>
            </anchor>
          </controlPr>
        </control>
      </mc:Choice>
      <mc:Fallback>
        <control shapeId="5121" r:id="rId12" name="FPMExcelClientSheetOptionstb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 Corpo VP+Gerencia+items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Antonio San Martin Ardiles</dc:creator>
  <cp:lastModifiedBy>Michelle Belen Madrid Araya</cp:lastModifiedBy>
  <dcterms:created xsi:type="dcterms:W3CDTF">2026-05-25T13:34:13Z</dcterms:created>
  <dcterms:modified xsi:type="dcterms:W3CDTF">2026-06-25T03:20:27Z</dcterms:modified>
</cp:coreProperties>
</file>