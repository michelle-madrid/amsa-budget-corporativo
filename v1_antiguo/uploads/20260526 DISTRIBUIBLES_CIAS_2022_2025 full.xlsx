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ustomProperty1.bin" ContentType="application/vnd.openxmlformats-officedocument.spreadsheetml.customProperty"/>
  <Override PartName="/xl/customProperty2.bin" ContentType="application/vnd.openxmlformats-officedocument.spreadsheetml.customProperty"/>
  <Override PartName="/xl/customProperty3.bin" ContentType="application/vnd.openxmlformats-officedocument.spreadsheetml.customProperty"/>
  <Override PartName="/xl/drawings/drawing1.xml" ContentType="application/vnd.openxmlformats-officedocument.drawing+xml"/>
  <Override PartName="/xl/activeX/activeX1.xml" ContentType="application/vnd.ms-office.activeX+xml"/>
  <Override PartName="/xl/activeX/activeX1.bin" ContentType="application/vnd.ms-office.activeX"/>
  <Override PartName="/xl/activeX/activeX2.xml" ContentType="application/vnd.ms-office.activeX+xml"/>
  <Override PartName="/xl/activeX/activeX2.bin" ContentType="application/vnd.ms-office.activeX"/>
  <Override PartName="/xl/activeX/activeX3.xml" ContentType="application/vnd.ms-office.activeX+xml"/>
  <Override PartName="/xl/activeX/activeX3.bin" ContentType="application/vnd.ms-office.activeX"/>
  <Override PartName="/xl/activeX/activeX4.xml" ContentType="application/vnd.ms-office.activeX+xml"/>
  <Override PartName="/xl/activeX/activeX4.bin" ContentType="application/vnd.ms-office.activeX"/>
  <Override PartName="/xl/customProperty4.bin" ContentType="application/vnd.openxmlformats-officedocument.spreadsheetml.customProperty"/>
  <Override PartName="/xl/customProperty5.bin" ContentType="application/vnd.openxmlformats-officedocument.spreadsheetml.customProperty"/>
  <Override PartName="/xl/drawings/drawing2.xml" ContentType="application/vnd.openxmlformats-officedocument.drawing+xml"/>
  <Override PartName="/xl/activeX/activeX5.xml" ContentType="application/vnd.ms-office.activeX+xml"/>
  <Override PartName="/xl/activeX/activeX5.bin" ContentType="application/vnd.ms-office.activeX"/>
  <Override PartName="/xl/activeX/activeX6.xml" ContentType="application/vnd.ms-office.activeX+xml"/>
  <Override PartName="/xl/activeX/activeX6.bin" ContentType="application/vnd.ms-office.activeX"/>
  <Override PartName="/xl/activeX/activeX7.xml" ContentType="application/vnd.ms-office.activeX+xml"/>
  <Override PartName="/xl/activeX/activeX7.bin" ContentType="application/vnd.ms-office.activeX"/>
  <Override PartName="/xl/activeX/activeX8.xml" ContentType="application/vnd.ms-office.activeX+xml"/>
  <Override PartName="/xl/activeX/activeX8.bin" ContentType="application/vnd.ms-office.activeX"/>
  <Override PartName="/xl/customProperty6.bin" ContentType="application/vnd.openxmlformats-officedocument.spreadsheetml.customProperty"/>
  <Override PartName="/xl/customProperty7.bin" ContentType="application/vnd.openxmlformats-officedocument.spreadsheetml.customProperty"/>
  <Override PartName="/xl/drawings/drawing3.xml" ContentType="application/vnd.openxmlformats-officedocument.drawing+xml"/>
  <Override PartName="/xl/activeX/activeX9.xml" ContentType="application/vnd.ms-office.activeX+xml"/>
  <Override PartName="/xl/activeX/activeX9.bin" ContentType="application/vnd.ms-office.activeX"/>
  <Override PartName="/xl/activeX/activeX10.xml" ContentType="application/vnd.ms-office.activeX+xml"/>
  <Override PartName="/xl/activeX/activeX10.bin" ContentType="application/vnd.ms-office.activeX"/>
  <Override PartName="/xl/activeX/activeX11.xml" ContentType="application/vnd.ms-office.activeX+xml"/>
  <Override PartName="/xl/activeX/activeX11.bin" ContentType="application/vnd.ms-office.activeX"/>
  <Override PartName="/xl/activeX/activeX12.xml" ContentType="application/vnd.ms-office.activeX+xml"/>
  <Override PartName="/xl/activeX/activeX12.bin" ContentType="application/vnd.ms-office.activeX"/>
  <Override PartName="/xl/customProperty8.bin" ContentType="application/vnd.openxmlformats-officedocument.spreadsheetml.customProperty"/>
  <Override PartName="/xl/customProperty9.bin" ContentType="application/vnd.openxmlformats-officedocument.spreadsheetml.customProperty"/>
  <Override PartName="/xl/drawings/drawing4.xml" ContentType="application/vnd.openxmlformats-officedocument.drawing+xml"/>
  <Override PartName="/xl/activeX/activeX13.xml" ContentType="application/vnd.ms-office.activeX+xml"/>
  <Override PartName="/xl/activeX/activeX13.bin" ContentType="application/vnd.ms-office.activeX"/>
  <Override PartName="/xl/activeX/activeX14.xml" ContentType="application/vnd.ms-office.activeX+xml"/>
  <Override PartName="/xl/activeX/activeX14.bin" ContentType="application/vnd.ms-office.activeX"/>
  <Override PartName="/xl/activeX/activeX15.xml" ContentType="application/vnd.ms-office.activeX+xml"/>
  <Override PartName="/xl/activeX/activeX15.bin" ContentType="application/vnd.ms-office.activeX"/>
  <Override PartName="/xl/activeX/activeX16.xml" ContentType="application/vnd.ms-office.activeX+xml"/>
  <Override PartName="/xl/activeX/activeX16.bin" ContentType="application/vnd.ms-office.activeX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minerals-my.sharepoint.com/personal/mmadrida_pelambres_cl1/Documents/Documentos/Control Gestión 2026/Presupuesto Corporativo/"/>
    </mc:Choice>
  </mc:AlternateContent>
  <xr:revisionPtr revIDLastSave="623" documentId="13_ncr:1_{F6169839-F4AF-4BCA-9DC6-67C09FB75DAE}" xr6:coauthVersionLast="47" xr6:coauthVersionMax="47" xr10:uidLastSave="{A673FDEE-2717-4A8E-8B4B-3F4306F9441F}"/>
  <bookViews>
    <workbookView xWindow="-108" yWindow="-108" windowWidth="23256" windowHeight="12576" xr2:uid="{32BFF55C-E63E-4C89-AC3E-DC9A237F456B}"/>
  </bookViews>
  <sheets>
    <sheet name="MLP" sheetId="1" r:id="rId1"/>
    <sheet name="ANT" sheetId="9" r:id="rId2"/>
    <sheet name="CEN" sheetId="8" r:id="rId3"/>
    <sheet name="CMZ" sheetId="10" r:id="rId4"/>
    <sheet name="CECOS" sheetId="6" r:id="rId5"/>
    <sheet name="CECOS Corporativos" sheetId="11" r:id="rId6"/>
  </sheets>
  <definedNames>
    <definedName name="__FPMExcelClient_Connection" localSheetId="0">"_FPM_BPCNW10_[http://10.87.9.254:8000/sap/bpc/]_[AMSA_PLC]_[COSTOS]_[false]_[false]\1"</definedName>
    <definedName name="_xlnm._FilterDatabase" localSheetId="5" hidden="1">'CECOS Corporativos'!$A$1:$P$280</definedName>
    <definedName name="_xlnm._FilterDatabase" localSheetId="0" hidden="1">MLP!$A$8:$S$8</definedName>
    <definedName name="EPMWorkbookOptions_1" hidden="1">"dgEAAB+LCAAAAAAABACF0MEOgjAMBuC7ie+w7C4DTTwYwINeTCQYTdRrhQKL0JFtOh9fokGjHrz+/dqmDee3pmZX1EYqinjg+ZwhZSqXVEb8YotRMOXzeDgID0qfT0qd09Z21LCuj8zsZvKIV9a2MyGcc56beEqXYuz7gTgm611WYQP8heV/PJJkLFCGvNvKWLjFQqOpUkpbpLiA2mAoPsOHW9QIegkWUtrBFXv5HT9sf8tGK4uZxbzXv4VP"</definedName>
    <definedName name="EPMWorkbookOptions_2" hidden="1">"73ImntHK7EFLONWYoC7fE37y7nXi63fxHS3iv392AQAA"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0" i="10" l="1"/>
  <c r="D11" i="10"/>
  <c r="D12" i="10"/>
  <c r="D13" i="10"/>
  <c r="D14" i="10"/>
  <c r="D15" i="10"/>
  <c r="D16" i="10"/>
  <c r="D17" i="10"/>
  <c r="D18" i="10"/>
  <c r="D19" i="10"/>
  <c r="D20" i="10"/>
  <c r="D21" i="10"/>
  <c r="D22" i="10"/>
  <c r="D23" i="10"/>
  <c r="D24" i="10"/>
  <c r="D25" i="10"/>
  <c r="D26" i="10"/>
  <c r="D27" i="10"/>
  <c r="D28" i="10"/>
  <c r="D29" i="10"/>
  <c r="D30" i="10"/>
  <c r="D31" i="10"/>
  <c r="D32" i="10"/>
  <c r="D33" i="10"/>
  <c r="D34" i="10"/>
  <c r="D35" i="10"/>
  <c r="D36" i="10"/>
  <c r="D37" i="10"/>
  <c r="D38" i="10"/>
  <c r="D39" i="10"/>
  <c r="D40" i="10"/>
  <c r="D41" i="10"/>
  <c r="D42" i="10"/>
  <c r="D43" i="10"/>
  <c r="D44" i="10"/>
  <c r="D45" i="10"/>
  <c r="D46" i="10"/>
  <c r="D47" i="10"/>
  <c r="D48" i="10"/>
  <c r="D49" i="10"/>
  <c r="D50" i="10"/>
  <c r="D51" i="10"/>
  <c r="D52" i="10"/>
  <c r="D53" i="10"/>
  <c r="D54" i="10"/>
  <c r="D55" i="10"/>
  <c r="D56" i="10"/>
  <c r="D57" i="10"/>
  <c r="D58" i="10"/>
  <c r="D59" i="10"/>
  <c r="D60" i="10"/>
  <c r="D61" i="10"/>
  <c r="D62" i="10"/>
  <c r="D63" i="10"/>
  <c r="D64" i="10"/>
  <c r="D65" i="10"/>
  <c r="D66" i="10"/>
  <c r="D67" i="10"/>
  <c r="D68" i="10"/>
  <c r="D69" i="10"/>
  <c r="D70" i="10"/>
  <c r="D71" i="10"/>
  <c r="D72" i="10"/>
  <c r="D73" i="10"/>
  <c r="D74" i="10"/>
  <c r="D75" i="10"/>
  <c r="D76" i="10"/>
  <c r="D77" i="10"/>
  <c r="D78" i="10"/>
  <c r="D79" i="10"/>
  <c r="D80" i="10"/>
  <c r="D81" i="10"/>
  <c r="D82" i="10"/>
  <c r="D83" i="10"/>
  <c r="D84" i="10"/>
  <c r="D85" i="10"/>
  <c r="D86" i="10"/>
  <c r="D87" i="10"/>
  <c r="D88" i="10"/>
  <c r="D89" i="10"/>
  <c r="D90" i="10"/>
  <c r="D91" i="10"/>
  <c r="D92" i="10"/>
  <c r="D93" i="10"/>
  <c r="D94" i="10"/>
  <c r="D95" i="10"/>
  <c r="D96" i="10"/>
  <c r="D97" i="10"/>
  <c r="D98" i="10"/>
  <c r="D99" i="10"/>
  <c r="D100" i="10"/>
  <c r="D101" i="10"/>
  <c r="D102" i="10"/>
  <c r="D103" i="10"/>
  <c r="D104" i="10"/>
  <c r="D105" i="10"/>
  <c r="D106" i="10"/>
  <c r="D107" i="10"/>
  <c r="D108" i="10"/>
  <c r="D109" i="10"/>
  <c r="D110" i="10"/>
  <c r="D111" i="10"/>
  <c r="D112" i="10"/>
  <c r="D113" i="10"/>
  <c r="D114" i="10"/>
  <c r="D115" i="10"/>
  <c r="D116" i="10"/>
  <c r="D117" i="10"/>
  <c r="D118" i="10"/>
  <c r="D119" i="10"/>
  <c r="D120" i="10"/>
  <c r="D121" i="10"/>
  <c r="D122" i="10"/>
  <c r="D123" i="10"/>
  <c r="D124" i="10"/>
  <c r="D125" i="10"/>
  <c r="D126" i="10"/>
  <c r="D127" i="10"/>
  <c r="D128" i="10"/>
  <c r="D129" i="10"/>
  <c r="D130" i="10"/>
  <c r="D131" i="10"/>
  <c r="D132" i="10"/>
  <c r="D133" i="10"/>
  <c r="D134" i="10"/>
  <c r="D135" i="10"/>
  <c r="D136" i="10"/>
  <c r="D137" i="10"/>
  <c r="D138" i="10"/>
  <c r="D139" i="10"/>
  <c r="D140" i="10"/>
  <c r="D141" i="10"/>
  <c r="D142" i="10"/>
  <c r="D143" i="10"/>
  <c r="D144" i="10"/>
  <c r="D145" i="10"/>
  <c r="D146" i="10"/>
  <c r="D147" i="10"/>
  <c r="D148" i="10"/>
  <c r="D149" i="10"/>
  <c r="D150" i="10"/>
  <c r="D151" i="10"/>
  <c r="D152" i="10"/>
  <c r="D153" i="10"/>
  <c r="D154" i="10"/>
  <c r="D155" i="10"/>
  <c r="D156" i="10"/>
  <c r="D157" i="10"/>
  <c r="D158" i="10"/>
  <c r="D159" i="10"/>
  <c r="D160" i="10"/>
  <c r="D161" i="10"/>
  <c r="D162" i="10"/>
  <c r="D163" i="10"/>
  <c r="D164" i="10"/>
  <c r="D165" i="10"/>
  <c r="D166" i="10"/>
  <c r="D167" i="10"/>
  <c r="D168" i="10"/>
  <c r="D169" i="10"/>
  <c r="D170" i="10"/>
  <c r="D171" i="10"/>
  <c r="D172" i="10"/>
  <c r="D173" i="10"/>
  <c r="D174" i="10"/>
  <c r="D175" i="10"/>
  <c r="D176" i="10"/>
  <c r="D177" i="10"/>
  <c r="D178" i="10"/>
  <c r="D179" i="10"/>
  <c r="D180" i="10"/>
  <c r="D181" i="10"/>
  <c r="D182" i="10"/>
  <c r="D183" i="10"/>
  <c r="D184" i="10"/>
  <c r="D185" i="10"/>
  <c r="D186" i="10"/>
  <c r="D187" i="10"/>
  <c r="D188" i="10"/>
  <c r="D189" i="10"/>
  <c r="D190" i="10"/>
  <c r="D191" i="10"/>
  <c r="D192" i="10"/>
  <c r="D193" i="10"/>
  <c r="D194" i="10"/>
  <c r="D195" i="10"/>
  <c r="D196" i="10"/>
  <c r="D197" i="10"/>
  <c r="D198" i="10"/>
  <c r="D199" i="10"/>
  <c r="D200" i="10"/>
  <c r="D201" i="10"/>
  <c r="D9" i="10"/>
  <c r="C9" i="10"/>
  <c r="D10" i="8"/>
  <c r="D11" i="8"/>
  <c r="D12" i="8"/>
  <c r="D13" i="8"/>
  <c r="D14" i="8"/>
  <c r="D15" i="8"/>
  <c r="D16" i="8"/>
  <c r="D17" i="8"/>
  <c r="D18" i="8"/>
  <c r="D19" i="8"/>
  <c r="D20" i="8"/>
  <c r="D21" i="8"/>
  <c r="D22" i="8"/>
  <c r="D23" i="8"/>
  <c r="D24" i="8"/>
  <c r="D25" i="8"/>
  <c r="D26" i="8"/>
  <c r="D27" i="8"/>
  <c r="D28" i="8"/>
  <c r="D29" i="8"/>
  <c r="D30" i="8"/>
  <c r="D31" i="8"/>
  <c r="D32" i="8"/>
  <c r="D33" i="8"/>
  <c r="D34" i="8"/>
  <c r="D35" i="8"/>
  <c r="D36" i="8"/>
  <c r="D37" i="8"/>
  <c r="D38" i="8"/>
  <c r="D39" i="8"/>
  <c r="D40" i="8"/>
  <c r="D41" i="8"/>
  <c r="D42" i="8"/>
  <c r="D43" i="8"/>
  <c r="D44" i="8"/>
  <c r="D45" i="8"/>
  <c r="D46" i="8"/>
  <c r="D47" i="8"/>
  <c r="D48" i="8"/>
  <c r="D49" i="8"/>
  <c r="D50" i="8"/>
  <c r="D51" i="8"/>
  <c r="D52" i="8"/>
  <c r="D53" i="8"/>
  <c r="D54" i="8"/>
  <c r="D55" i="8"/>
  <c r="D56" i="8"/>
  <c r="D57" i="8"/>
  <c r="D58" i="8"/>
  <c r="D59" i="8"/>
  <c r="D60" i="8"/>
  <c r="D61" i="8"/>
  <c r="D62" i="8"/>
  <c r="D63" i="8"/>
  <c r="D64" i="8"/>
  <c r="D65" i="8"/>
  <c r="D66" i="8"/>
  <c r="D67" i="8"/>
  <c r="D68" i="8"/>
  <c r="D69" i="8"/>
  <c r="D70" i="8"/>
  <c r="D71" i="8"/>
  <c r="D72" i="8"/>
  <c r="D73" i="8"/>
  <c r="D74" i="8"/>
  <c r="D75" i="8"/>
  <c r="D76" i="8"/>
  <c r="D77" i="8"/>
  <c r="D78" i="8"/>
  <c r="D79" i="8"/>
  <c r="D80" i="8"/>
  <c r="D81" i="8"/>
  <c r="D82" i="8"/>
  <c r="D83" i="8"/>
  <c r="D84" i="8"/>
  <c r="D85" i="8"/>
  <c r="D86" i="8"/>
  <c r="D87" i="8"/>
  <c r="D88" i="8"/>
  <c r="D89" i="8"/>
  <c r="D90" i="8"/>
  <c r="D91" i="8"/>
  <c r="D92" i="8"/>
  <c r="D93" i="8"/>
  <c r="D94" i="8"/>
  <c r="D95" i="8"/>
  <c r="D96" i="8"/>
  <c r="D97" i="8"/>
  <c r="D98" i="8"/>
  <c r="D99" i="8"/>
  <c r="D100" i="8"/>
  <c r="D101" i="8"/>
  <c r="D102" i="8"/>
  <c r="D103" i="8"/>
  <c r="D104" i="8"/>
  <c r="D105" i="8"/>
  <c r="D106" i="8"/>
  <c r="D107" i="8"/>
  <c r="D108" i="8"/>
  <c r="D109" i="8"/>
  <c r="D110" i="8"/>
  <c r="D111" i="8"/>
  <c r="D112" i="8"/>
  <c r="D113" i="8"/>
  <c r="D114" i="8"/>
  <c r="D115" i="8"/>
  <c r="D116" i="8"/>
  <c r="D117" i="8"/>
  <c r="D118" i="8"/>
  <c r="D119" i="8"/>
  <c r="D120" i="8"/>
  <c r="D121" i="8"/>
  <c r="D122" i="8"/>
  <c r="D123" i="8"/>
  <c r="D124" i="8"/>
  <c r="D125" i="8"/>
  <c r="D126" i="8"/>
  <c r="D127" i="8"/>
  <c r="D128" i="8"/>
  <c r="D129" i="8"/>
  <c r="D130" i="8"/>
  <c r="D131" i="8"/>
  <c r="D132" i="8"/>
  <c r="D133" i="8"/>
  <c r="D134" i="8"/>
  <c r="D135" i="8"/>
  <c r="D136" i="8"/>
  <c r="D137" i="8"/>
  <c r="D138" i="8"/>
  <c r="D139" i="8"/>
  <c r="D140" i="8"/>
  <c r="D141" i="8"/>
  <c r="D142" i="8"/>
  <c r="D143" i="8"/>
  <c r="D144" i="8"/>
  <c r="D145" i="8"/>
  <c r="D146" i="8"/>
  <c r="D147" i="8"/>
  <c r="D148" i="8"/>
  <c r="D149" i="8"/>
  <c r="D150" i="8"/>
  <c r="D151" i="8"/>
  <c r="D152" i="8"/>
  <c r="D153" i="8"/>
  <c r="D154" i="8"/>
  <c r="D155" i="8"/>
  <c r="D156" i="8"/>
  <c r="D157" i="8"/>
  <c r="D158" i="8"/>
  <c r="D159" i="8"/>
  <c r="D160" i="8"/>
  <c r="D161" i="8"/>
  <c r="D162" i="8"/>
  <c r="D163" i="8"/>
  <c r="D164" i="8"/>
  <c r="D165" i="8"/>
  <c r="D166" i="8"/>
  <c r="D167" i="8"/>
  <c r="D168" i="8"/>
  <c r="D169" i="8"/>
  <c r="D170" i="8"/>
  <c r="D171" i="8"/>
  <c r="D172" i="8"/>
  <c r="D173" i="8"/>
  <c r="D174" i="8"/>
  <c r="D175" i="8"/>
  <c r="D176" i="8"/>
  <c r="D177" i="8"/>
  <c r="D178" i="8"/>
  <c r="D179" i="8"/>
  <c r="D180" i="8"/>
  <c r="D181" i="8"/>
  <c r="D182" i="8"/>
  <c r="D11" i="9"/>
  <c r="D12" i="9"/>
  <c r="D13" i="9"/>
  <c r="D14" i="9"/>
  <c r="D15" i="9"/>
  <c r="D16" i="9"/>
  <c r="D17" i="9"/>
  <c r="D18" i="9"/>
  <c r="D19" i="9"/>
  <c r="D20" i="9"/>
  <c r="D21" i="9"/>
  <c r="D22" i="9"/>
  <c r="D23" i="9"/>
  <c r="D24" i="9"/>
  <c r="D25" i="9"/>
  <c r="D26" i="9"/>
  <c r="D27" i="9"/>
  <c r="D28" i="9"/>
  <c r="D29" i="9"/>
  <c r="D30" i="9"/>
  <c r="D31" i="9"/>
  <c r="D32" i="9"/>
  <c r="D33" i="9"/>
  <c r="D34" i="9"/>
  <c r="D35" i="9"/>
  <c r="D36" i="9"/>
  <c r="D37" i="9"/>
  <c r="D38" i="9"/>
  <c r="D39" i="9"/>
  <c r="D40" i="9"/>
  <c r="D41" i="9"/>
  <c r="D42" i="9"/>
  <c r="D43" i="9"/>
  <c r="D44" i="9"/>
  <c r="D45" i="9"/>
  <c r="D46" i="9"/>
  <c r="D47" i="9"/>
  <c r="D48" i="9"/>
  <c r="D49" i="9"/>
  <c r="D50" i="9"/>
  <c r="D51" i="9"/>
  <c r="D52" i="9"/>
  <c r="D53" i="9"/>
  <c r="D54" i="9"/>
  <c r="D55" i="9"/>
  <c r="D56" i="9"/>
  <c r="D57" i="9"/>
  <c r="D58" i="9"/>
  <c r="D59" i="9"/>
  <c r="D60" i="9"/>
  <c r="D61" i="9"/>
  <c r="D62" i="9"/>
  <c r="D63" i="9"/>
  <c r="D64" i="9"/>
  <c r="D65" i="9"/>
  <c r="D66" i="9"/>
  <c r="D67" i="9"/>
  <c r="D68" i="9"/>
  <c r="D69" i="9"/>
  <c r="D70" i="9"/>
  <c r="D71" i="9"/>
  <c r="D72" i="9"/>
  <c r="D73" i="9"/>
  <c r="D74" i="9"/>
  <c r="D75" i="9"/>
  <c r="D76" i="9"/>
  <c r="D77" i="9"/>
  <c r="D78" i="9"/>
  <c r="D79" i="9"/>
  <c r="D80" i="9"/>
  <c r="D81" i="9"/>
  <c r="D82" i="9"/>
  <c r="D83" i="9"/>
  <c r="D84" i="9"/>
  <c r="D85" i="9"/>
  <c r="D86" i="9"/>
  <c r="D87" i="9"/>
  <c r="D88" i="9"/>
  <c r="D89" i="9"/>
  <c r="D90" i="9"/>
  <c r="D91" i="9"/>
  <c r="D92" i="9"/>
  <c r="D93" i="9"/>
  <c r="D94" i="9"/>
  <c r="D95" i="9"/>
  <c r="D96" i="9"/>
  <c r="D97" i="9"/>
  <c r="D98" i="9"/>
  <c r="D99" i="9"/>
  <c r="D100" i="9"/>
  <c r="D101" i="9"/>
  <c r="D102" i="9"/>
  <c r="D103" i="9"/>
  <c r="D104" i="9"/>
  <c r="D105" i="9"/>
  <c r="D106" i="9"/>
  <c r="D107" i="9"/>
  <c r="D108" i="9"/>
  <c r="D109" i="9"/>
  <c r="D110" i="9"/>
  <c r="D111" i="9"/>
  <c r="D112" i="9"/>
  <c r="D113" i="9"/>
  <c r="D114" i="9"/>
  <c r="D115" i="9"/>
  <c r="D116" i="9"/>
  <c r="D117" i="9"/>
  <c r="D118" i="9"/>
  <c r="D119" i="9"/>
  <c r="D120" i="9"/>
  <c r="D121" i="9"/>
  <c r="D122" i="9"/>
  <c r="D123" i="9"/>
  <c r="D124" i="9"/>
  <c r="D125" i="9"/>
  <c r="D126" i="9"/>
  <c r="D127" i="9"/>
  <c r="D128" i="9"/>
  <c r="D129" i="9"/>
  <c r="D130" i="9"/>
  <c r="D131" i="9"/>
  <c r="D132" i="9"/>
  <c r="D133" i="9"/>
  <c r="D134" i="9"/>
  <c r="D135" i="9"/>
  <c r="D136" i="9"/>
  <c r="D137" i="9"/>
  <c r="D138" i="9"/>
  <c r="D139" i="9"/>
  <c r="D140" i="9"/>
  <c r="D141" i="9"/>
  <c r="D142" i="9"/>
  <c r="D143" i="9"/>
  <c r="D144" i="9"/>
  <c r="D145" i="9"/>
  <c r="D146" i="9"/>
  <c r="D147" i="9"/>
  <c r="D148" i="9"/>
  <c r="D149" i="9"/>
  <c r="D150" i="9"/>
  <c r="D151" i="9"/>
  <c r="D152" i="9"/>
  <c r="D153" i="9"/>
  <c r="D154" i="9"/>
  <c r="D155" i="9"/>
  <c r="D156" i="9"/>
  <c r="D157" i="9"/>
  <c r="D158" i="9"/>
  <c r="D159" i="9"/>
  <c r="D160" i="9"/>
  <c r="D161" i="9"/>
  <c r="D162" i="9"/>
  <c r="D163" i="9"/>
  <c r="D164" i="9"/>
  <c r="D165" i="9"/>
  <c r="D166" i="9"/>
  <c r="D167" i="9"/>
  <c r="D168" i="9"/>
  <c r="A1" i="9" a="1"/>
  <c r="S8" i="10"/>
  <c r="P8" i="10"/>
  <c r="R8" i="10"/>
  <c r="Q8" i="10"/>
  <c r="O8" i="10"/>
  <c r="N8" i="10"/>
  <c r="L8" i="10"/>
  <c r="M8" i="10"/>
  <c r="K8" i="10"/>
  <c r="J8" i="10"/>
  <c r="I8" i="10"/>
  <c r="H8" i="10"/>
  <c r="S8" i="8"/>
  <c r="R8" i="8"/>
  <c r="Q8" i="8"/>
  <c r="P8" i="8"/>
  <c r="O8" i="8"/>
  <c r="N8" i="8"/>
  <c r="M8" i="8"/>
  <c r="L8" i="8"/>
  <c r="K8" i="8"/>
  <c r="J8" i="8"/>
  <c r="I8" i="8"/>
  <c r="H8" i="8"/>
  <c r="S8" i="9"/>
  <c r="R8" i="9"/>
  <c r="O8" i="9"/>
  <c r="Q8" i="9"/>
  <c r="P8" i="9"/>
  <c r="N8" i="9"/>
  <c r="M8" i="9"/>
  <c r="L8" i="9"/>
  <c r="K8" i="9"/>
  <c r="J8" i="9"/>
  <c r="I8" i="9"/>
  <c r="H8" i="9"/>
  <c r="A1" i="9" l="1"/>
  <c r="A1" i="8" a="1"/>
  <c r="A1" i="10" a="1"/>
  <c r="A1" i="8" l="1"/>
  <c r="A1" i="10"/>
  <c r="D9" i="8"/>
  <c r="C9" i="8"/>
  <c r="D10" i="9" l="1"/>
  <c r="D9" i="9"/>
  <c r="C9" i="9" l="1"/>
  <c r="A1" i="1" a="1"/>
  <c r="A1" i="1" l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171" i="1"/>
  <c r="D172" i="1"/>
  <c r="D173" i="1"/>
  <c r="D174" i="1"/>
  <c r="D175" i="1"/>
  <c r="D176" i="1"/>
  <c r="D177" i="1"/>
  <c r="D178" i="1"/>
  <c r="D179" i="1"/>
  <c r="D180" i="1"/>
  <c r="D181" i="1"/>
  <c r="D182" i="1"/>
  <c r="D183" i="1"/>
  <c r="D184" i="1"/>
  <c r="D185" i="1"/>
  <c r="D186" i="1"/>
  <c r="D187" i="1"/>
  <c r="D188" i="1"/>
  <c r="D189" i="1"/>
  <c r="D190" i="1"/>
  <c r="D191" i="1"/>
  <c r="D192" i="1"/>
  <c r="D193" i="1"/>
  <c r="D194" i="1"/>
  <c r="D195" i="1"/>
  <c r="D196" i="1"/>
  <c r="D197" i="1"/>
  <c r="D198" i="1"/>
  <c r="D199" i="1"/>
  <c r="D200" i="1"/>
  <c r="D201" i="1"/>
  <c r="D202" i="1"/>
  <c r="D203" i="1"/>
  <c r="D204" i="1"/>
  <c r="D205" i="1"/>
  <c r="D206" i="1"/>
  <c r="D207" i="1"/>
  <c r="D208" i="1"/>
  <c r="D209" i="1"/>
  <c r="D210" i="1"/>
  <c r="D211" i="1"/>
  <c r="D212" i="1"/>
  <c r="D213" i="1"/>
  <c r="D214" i="1"/>
  <c r="D215" i="1"/>
  <c r="D216" i="1"/>
  <c r="D217" i="1"/>
  <c r="D218" i="1"/>
  <c r="D219" i="1"/>
  <c r="D220" i="1"/>
  <c r="D221" i="1"/>
  <c r="D222" i="1"/>
  <c r="D223" i="1"/>
  <c r="D224" i="1"/>
  <c r="D225" i="1"/>
  <c r="D226" i="1"/>
  <c r="D227" i="1"/>
  <c r="D228" i="1"/>
  <c r="D229" i="1"/>
  <c r="D230" i="1"/>
  <c r="D231" i="1"/>
  <c r="D232" i="1"/>
  <c r="D233" i="1"/>
  <c r="D234" i="1"/>
  <c r="D235" i="1"/>
  <c r="D236" i="1"/>
  <c r="D237" i="1"/>
  <c r="D238" i="1"/>
  <c r="D239" i="1"/>
  <c r="D240" i="1"/>
  <c r="D241" i="1"/>
  <c r="D242" i="1"/>
  <c r="D243" i="1"/>
  <c r="D244" i="1"/>
  <c r="D245" i="1"/>
  <c r="D246" i="1"/>
  <c r="D247" i="1"/>
  <c r="D248" i="1"/>
  <c r="D249" i="1"/>
  <c r="D250" i="1"/>
  <c r="D251" i="1"/>
  <c r="D252" i="1"/>
  <c r="C9" i="1"/>
  <c r="F10" i="10" l="1"/>
  <c r="F11" i="10"/>
  <c r="F12" i="10"/>
  <c r="F13" i="10"/>
  <c r="F14" i="10"/>
  <c r="F15" i="10"/>
  <c r="F16" i="10"/>
  <c r="F17" i="10"/>
  <c r="F18" i="10"/>
  <c r="F19" i="10"/>
  <c r="F20" i="10"/>
  <c r="F21" i="10"/>
  <c r="F22" i="10"/>
  <c r="F23" i="10"/>
  <c r="F24" i="10"/>
  <c r="F25" i="10"/>
  <c r="F26" i="10"/>
  <c r="F27" i="10"/>
  <c r="F28" i="10"/>
  <c r="F29" i="10"/>
  <c r="F30" i="10"/>
  <c r="F31" i="10"/>
  <c r="F32" i="10"/>
  <c r="F33" i="10"/>
  <c r="F34" i="10"/>
  <c r="F35" i="10"/>
  <c r="F36" i="10"/>
  <c r="F37" i="10"/>
  <c r="F38" i="10"/>
  <c r="F39" i="10"/>
  <c r="F40" i="10"/>
  <c r="F41" i="10"/>
  <c r="F42" i="10"/>
  <c r="F43" i="10"/>
  <c r="F44" i="10"/>
  <c r="F45" i="10"/>
  <c r="F46" i="10"/>
  <c r="F47" i="10"/>
  <c r="F48" i="10"/>
  <c r="F49" i="10"/>
  <c r="F50" i="10"/>
  <c r="F51" i="10"/>
  <c r="F52" i="10"/>
  <c r="F53" i="10"/>
  <c r="F54" i="10"/>
  <c r="F55" i="10"/>
  <c r="F56" i="10"/>
  <c r="F57" i="10"/>
  <c r="F58" i="10"/>
  <c r="F59" i="10"/>
  <c r="F60" i="10"/>
  <c r="F61" i="10"/>
  <c r="F62" i="10"/>
  <c r="F63" i="10"/>
  <c r="F64" i="10"/>
  <c r="F65" i="10"/>
  <c r="F66" i="10"/>
  <c r="F67" i="10"/>
  <c r="F68" i="10"/>
  <c r="F69" i="10"/>
  <c r="F70" i="10"/>
  <c r="F71" i="10"/>
  <c r="F72" i="10"/>
  <c r="F73" i="10"/>
  <c r="F74" i="10"/>
  <c r="F75" i="10"/>
  <c r="F76" i="10"/>
  <c r="F77" i="10"/>
  <c r="F78" i="10"/>
  <c r="F79" i="10"/>
  <c r="F80" i="10"/>
  <c r="F81" i="10"/>
  <c r="F82" i="10"/>
  <c r="F83" i="10"/>
  <c r="F84" i="10"/>
  <c r="F85" i="10"/>
  <c r="F86" i="10"/>
  <c r="F87" i="10"/>
  <c r="F88" i="10"/>
  <c r="F89" i="10"/>
  <c r="F90" i="10"/>
  <c r="F91" i="10"/>
  <c r="F92" i="10"/>
  <c r="F93" i="10"/>
  <c r="F94" i="10"/>
  <c r="F95" i="10"/>
  <c r="F96" i="10"/>
  <c r="F97" i="10"/>
  <c r="F98" i="10"/>
  <c r="F99" i="10"/>
  <c r="F100" i="10"/>
  <c r="F101" i="10"/>
  <c r="F102" i="10"/>
  <c r="F103" i="10"/>
  <c r="F104" i="10"/>
  <c r="F105" i="10"/>
  <c r="F106" i="10"/>
  <c r="F107" i="10"/>
  <c r="F108" i="10"/>
  <c r="F109" i="10"/>
  <c r="F110" i="10"/>
  <c r="F111" i="10"/>
  <c r="F112" i="10"/>
  <c r="F113" i="10"/>
  <c r="F114" i="10"/>
  <c r="F115" i="10"/>
  <c r="F116" i="10"/>
  <c r="F117" i="10"/>
  <c r="F118" i="10"/>
  <c r="F119" i="10"/>
  <c r="F120" i="10"/>
  <c r="F121" i="10"/>
  <c r="F122" i="10"/>
  <c r="F123" i="10"/>
  <c r="F124" i="10"/>
  <c r="F125" i="10"/>
  <c r="F126" i="10"/>
  <c r="F127" i="10"/>
  <c r="F128" i="10"/>
  <c r="F129" i="10"/>
  <c r="F130" i="10"/>
  <c r="F131" i="10"/>
  <c r="F132" i="10"/>
  <c r="F133" i="10"/>
  <c r="F134" i="10"/>
  <c r="F135" i="10"/>
  <c r="F136" i="10"/>
  <c r="F137" i="10"/>
  <c r="F138" i="10"/>
  <c r="F139" i="10"/>
  <c r="F140" i="10"/>
  <c r="F141" i="10"/>
  <c r="F142" i="10"/>
  <c r="F143" i="10"/>
  <c r="F144" i="10"/>
  <c r="F145" i="10"/>
  <c r="F146" i="10"/>
  <c r="F147" i="10"/>
  <c r="F148" i="10"/>
  <c r="F149" i="10"/>
  <c r="F150" i="10"/>
  <c r="F151" i="10"/>
  <c r="F152" i="10"/>
  <c r="F153" i="10"/>
  <c r="F154" i="10"/>
  <c r="F155" i="10"/>
  <c r="F156" i="10"/>
  <c r="F157" i="10"/>
  <c r="F158" i="10"/>
  <c r="F159" i="10"/>
  <c r="F160" i="10"/>
  <c r="F161" i="10"/>
  <c r="F162" i="10"/>
  <c r="F163" i="10"/>
  <c r="F164" i="10"/>
  <c r="F165" i="10"/>
  <c r="F166" i="10"/>
  <c r="F167" i="10"/>
  <c r="F168" i="10"/>
  <c r="F169" i="10"/>
  <c r="F170" i="10"/>
  <c r="F171" i="10"/>
  <c r="F172" i="10"/>
  <c r="F173" i="10"/>
  <c r="F174" i="10"/>
  <c r="F175" i="10"/>
  <c r="F176" i="10"/>
  <c r="F177" i="10"/>
  <c r="F178" i="10"/>
  <c r="F179" i="10"/>
  <c r="F180" i="10"/>
  <c r="F181" i="10"/>
  <c r="F182" i="10"/>
  <c r="F183" i="10"/>
  <c r="F184" i="10"/>
  <c r="F185" i="10"/>
  <c r="F186" i="10"/>
  <c r="F187" i="10"/>
  <c r="F188" i="10"/>
  <c r="F189" i="10"/>
  <c r="F190" i="10"/>
  <c r="F191" i="10"/>
  <c r="F192" i="10"/>
  <c r="F193" i="10"/>
  <c r="F194" i="10"/>
  <c r="F195" i="10"/>
  <c r="F196" i="10"/>
  <c r="F197" i="10"/>
  <c r="F198" i="10"/>
  <c r="F199" i="10"/>
  <c r="F200" i="10"/>
  <c r="F201" i="10"/>
  <c r="F9" i="10"/>
  <c r="F10" i="8" l="1"/>
  <c r="H10" i="8" s="1"/>
  <c r="F11" i="8"/>
  <c r="H11" i="8" s="1"/>
  <c r="F12" i="8"/>
  <c r="H12" i="8" s="1"/>
  <c r="F13" i="8"/>
  <c r="H13" i="8" s="1"/>
  <c r="F14" i="8"/>
  <c r="H14" i="8" s="1"/>
  <c r="F15" i="8"/>
  <c r="H15" i="8" s="1"/>
  <c r="F16" i="8"/>
  <c r="H16" i="8" s="1"/>
  <c r="F17" i="8"/>
  <c r="H17" i="8" s="1"/>
  <c r="F18" i="8"/>
  <c r="H18" i="8" s="1"/>
  <c r="F19" i="8"/>
  <c r="H19" i="8" s="1"/>
  <c r="F20" i="8"/>
  <c r="H20" i="8" s="1"/>
  <c r="F21" i="8"/>
  <c r="H21" i="8" s="1"/>
  <c r="F22" i="8"/>
  <c r="H22" i="8" s="1"/>
  <c r="F23" i="8"/>
  <c r="H23" i="8" s="1"/>
  <c r="F24" i="8"/>
  <c r="H24" i="8" s="1"/>
  <c r="F25" i="8"/>
  <c r="H25" i="8" s="1"/>
  <c r="F26" i="8"/>
  <c r="H26" i="8" s="1"/>
  <c r="F27" i="8"/>
  <c r="H27" i="8" s="1"/>
  <c r="F28" i="8"/>
  <c r="H28" i="8" s="1"/>
  <c r="F29" i="8"/>
  <c r="H29" i="8" s="1"/>
  <c r="F30" i="8"/>
  <c r="H30" i="8" s="1"/>
  <c r="F31" i="8"/>
  <c r="H31" i="8" s="1"/>
  <c r="F32" i="8"/>
  <c r="H32" i="8" s="1"/>
  <c r="F33" i="8"/>
  <c r="H33" i="8" s="1"/>
  <c r="F34" i="8"/>
  <c r="H34" i="8" s="1"/>
  <c r="F35" i="8"/>
  <c r="H35" i="8" s="1"/>
  <c r="F36" i="8"/>
  <c r="H36" i="8" s="1"/>
  <c r="F37" i="8"/>
  <c r="H37" i="8" s="1"/>
  <c r="F38" i="8"/>
  <c r="H38" i="8" s="1"/>
  <c r="F39" i="8"/>
  <c r="H39" i="8" s="1"/>
  <c r="F40" i="8"/>
  <c r="H40" i="8" s="1"/>
  <c r="F41" i="8"/>
  <c r="H41" i="8" s="1"/>
  <c r="F42" i="8"/>
  <c r="H42" i="8" s="1"/>
  <c r="F43" i="8"/>
  <c r="H43" i="8" s="1"/>
  <c r="F44" i="8"/>
  <c r="H44" i="8" s="1"/>
  <c r="F45" i="8"/>
  <c r="H45" i="8" s="1"/>
  <c r="F46" i="8"/>
  <c r="H46" i="8" s="1"/>
  <c r="F47" i="8"/>
  <c r="H47" i="8" s="1"/>
  <c r="F48" i="8"/>
  <c r="H48" i="8" s="1"/>
  <c r="F49" i="8"/>
  <c r="H49" i="8" s="1"/>
  <c r="F50" i="8"/>
  <c r="H50" i="8" s="1"/>
  <c r="F51" i="8"/>
  <c r="H51" i="8" s="1"/>
  <c r="F52" i="8"/>
  <c r="H52" i="8" s="1"/>
  <c r="F53" i="8"/>
  <c r="H53" i="8" s="1"/>
  <c r="F54" i="8"/>
  <c r="H54" i="8" s="1"/>
  <c r="F55" i="8"/>
  <c r="H55" i="8" s="1"/>
  <c r="F56" i="8"/>
  <c r="H56" i="8" s="1"/>
  <c r="F57" i="8"/>
  <c r="H57" i="8" s="1"/>
  <c r="F58" i="8"/>
  <c r="H58" i="8" s="1"/>
  <c r="F59" i="8"/>
  <c r="H59" i="8" s="1"/>
  <c r="F60" i="8"/>
  <c r="H60" i="8" s="1"/>
  <c r="F61" i="8"/>
  <c r="H61" i="8" s="1"/>
  <c r="F62" i="8"/>
  <c r="H62" i="8" s="1"/>
  <c r="F63" i="8"/>
  <c r="H63" i="8" s="1"/>
  <c r="F64" i="8"/>
  <c r="H64" i="8" s="1"/>
  <c r="F65" i="8"/>
  <c r="H65" i="8" s="1"/>
  <c r="F66" i="8"/>
  <c r="H66" i="8" s="1"/>
  <c r="F67" i="8"/>
  <c r="H67" i="8" s="1"/>
  <c r="F68" i="8"/>
  <c r="H68" i="8" s="1"/>
  <c r="F69" i="8"/>
  <c r="H69" i="8" s="1"/>
  <c r="F70" i="8"/>
  <c r="H70" i="8" s="1"/>
  <c r="F71" i="8"/>
  <c r="H71" i="8" s="1"/>
  <c r="F72" i="8"/>
  <c r="H72" i="8" s="1"/>
  <c r="F73" i="8"/>
  <c r="H73" i="8" s="1"/>
  <c r="F74" i="8"/>
  <c r="H74" i="8" s="1"/>
  <c r="F75" i="8"/>
  <c r="H75" i="8" s="1"/>
  <c r="F76" i="8"/>
  <c r="H76" i="8" s="1"/>
  <c r="F77" i="8"/>
  <c r="H77" i="8" s="1"/>
  <c r="F78" i="8"/>
  <c r="H78" i="8" s="1"/>
  <c r="F79" i="8"/>
  <c r="H79" i="8" s="1"/>
  <c r="F80" i="8"/>
  <c r="H80" i="8" s="1"/>
  <c r="F81" i="8"/>
  <c r="H81" i="8" s="1"/>
  <c r="F82" i="8"/>
  <c r="H82" i="8" s="1"/>
  <c r="F83" i="8"/>
  <c r="H83" i="8" s="1"/>
  <c r="F84" i="8"/>
  <c r="H84" i="8" s="1"/>
  <c r="F85" i="8"/>
  <c r="H85" i="8" s="1"/>
  <c r="F86" i="8"/>
  <c r="H86" i="8" s="1"/>
  <c r="F87" i="8"/>
  <c r="H87" i="8" s="1"/>
  <c r="F88" i="8"/>
  <c r="H88" i="8" s="1"/>
  <c r="F89" i="8"/>
  <c r="H89" i="8" s="1"/>
  <c r="F90" i="8"/>
  <c r="H90" i="8" s="1"/>
  <c r="F91" i="8"/>
  <c r="H91" i="8" s="1"/>
  <c r="F92" i="8"/>
  <c r="H92" i="8" s="1"/>
  <c r="F93" i="8"/>
  <c r="H93" i="8" s="1"/>
  <c r="F94" i="8"/>
  <c r="H94" i="8" s="1"/>
  <c r="F95" i="8"/>
  <c r="H95" i="8" s="1"/>
  <c r="F96" i="8"/>
  <c r="H96" i="8" s="1"/>
  <c r="F97" i="8"/>
  <c r="H97" i="8" s="1"/>
  <c r="F98" i="8"/>
  <c r="H98" i="8" s="1"/>
  <c r="F99" i="8"/>
  <c r="H99" i="8" s="1"/>
  <c r="F100" i="8"/>
  <c r="H100" i="8" s="1"/>
  <c r="F101" i="8"/>
  <c r="H101" i="8" s="1"/>
  <c r="F102" i="8"/>
  <c r="H102" i="8" s="1"/>
  <c r="F103" i="8"/>
  <c r="H103" i="8" s="1"/>
  <c r="F104" i="8"/>
  <c r="H104" i="8" s="1"/>
  <c r="F105" i="8"/>
  <c r="H105" i="8" s="1"/>
  <c r="F106" i="8"/>
  <c r="H106" i="8" s="1"/>
  <c r="F107" i="8"/>
  <c r="H107" i="8" s="1"/>
  <c r="F108" i="8"/>
  <c r="H108" i="8" s="1"/>
  <c r="F109" i="8"/>
  <c r="H109" i="8" s="1"/>
  <c r="F110" i="8"/>
  <c r="H110" i="8" s="1"/>
  <c r="F111" i="8"/>
  <c r="H111" i="8" s="1"/>
  <c r="F112" i="8"/>
  <c r="H112" i="8" s="1"/>
  <c r="F113" i="8"/>
  <c r="H113" i="8" s="1"/>
  <c r="F114" i="8"/>
  <c r="H114" i="8" s="1"/>
  <c r="F115" i="8"/>
  <c r="H115" i="8" s="1"/>
  <c r="F116" i="8"/>
  <c r="H116" i="8" s="1"/>
  <c r="F117" i="8"/>
  <c r="H117" i="8" s="1"/>
  <c r="F118" i="8"/>
  <c r="H118" i="8" s="1"/>
  <c r="F119" i="8"/>
  <c r="H119" i="8" s="1"/>
  <c r="F120" i="8"/>
  <c r="H120" i="8" s="1"/>
  <c r="F121" i="8"/>
  <c r="H121" i="8" s="1"/>
  <c r="F122" i="8"/>
  <c r="H122" i="8" s="1"/>
  <c r="F123" i="8"/>
  <c r="H123" i="8" s="1"/>
  <c r="F124" i="8"/>
  <c r="H124" i="8" s="1"/>
  <c r="F125" i="8"/>
  <c r="H125" i="8" s="1"/>
  <c r="F126" i="8"/>
  <c r="H126" i="8" s="1"/>
  <c r="F127" i="8"/>
  <c r="H127" i="8" s="1"/>
  <c r="F128" i="8"/>
  <c r="H128" i="8" s="1"/>
  <c r="F129" i="8"/>
  <c r="H129" i="8" s="1"/>
  <c r="F130" i="8"/>
  <c r="H130" i="8" s="1"/>
  <c r="F131" i="8"/>
  <c r="H131" i="8" s="1"/>
  <c r="F132" i="8"/>
  <c r="H132" i="8" s="1"/>
  <c r="F133" i="8"/>
  <c r="H133" i="8" s="1"/>
  <c r="F134" i="8"/>
  <c r="H134" i="8" s="1"/>
  <c r="F135" i="8"/>
  <c r="H135" i="8" s="1"/>
  <c r="F136" i="8"/>
  <c r="H136" i="8" s="1"/>
  <c r="F137" i="8"/>
  <c r="H137" i="8" s="1"/>
  <c r="F138" i="8"/>
  <c r="H138" i="8" s="1"/>
  <c r="F139" i="8"/>
  <c r="H139" i="8" s="1"/>
  <c r="F140" i="8"/>
  <c r="H140" i="8" s="1"/>
  <c r="F141" i="8"/>
  <c r="H141" i="8" s="1"/>
  <c r="F142" i="8"/>
  <c r="H142" i="8" s="1"/>
  <c r="F143" i="8"/>
  <c r="H143" i="8" s="1"/>
  <c r="F144" i="8"/>
  <c r="H144" i="8" s="1"/>
  <c r="F145" i="8"/>
  <c r="H145" i="8" s="1"/>
  <c r="F146" i="8"/>
  <c r="H146" i="8" s="1"/>
  <c r="F147" i="8"/>
  <c r="H147" i="8" s="1"/>
  <c r="F148" i="8"/>
  <c r="H148" i="8" s="1"/>
  <c r="F149" i="8"/>
  <c r="H149" i="8" s="1"/>
  <c r="F150" i="8"/>
  <c r="H150" i="8" s="1"/>
  <c r="F151" i="8"/>
  <c r="H151" i="8" s="1"/>
  <c r="F152" i="8"/>
  <c r="H152" i="8" s="1"/>
  <c r="F153" i="8"/>
  <c r="H153" i="8" s="1"/>
  <c r="F154" i="8"/>
  <c r="H154" i="8" s="1"/>
  <c r="F155" i="8"/>
  <c r="H155" i="8" s="1"/>
  <c r="F156" i="8"/>
  <c r="H156" i="8" s="1"/>
  <c r="F157" i="8"/>
  <c r="H157" i="8" s="1"/>
  <c r="F158" i="8"/>
  <c r="H158" i="8" s="1"/>
  <c r="F159" i="8"/>
  <c r="H159" i="8" s="1"/>
  <c r="F160" i="8"/>
  <c r="H160" i="8" s="1"/>
  <c r="F161" i="8"/>
  <c r="H161" i="8" s="1"/>
  <c r="F162" i="8"/>
  <c r="H162" i="8" s="1"/>
  <c r="F163" i="8"/>
  <c r="H163" i="8" s="1"/>
  <c r="F164" i="8"/>
  <c r="H164" i="8" s="1"/>
  <c r="F165" i="8"/>
  <c r="H165" i="8" s="1"/>
  <c r="F166" i="8"/>
  <c r="H166" i="8" s="1"/>
  <c r="F167" i="8"/>
  <c r="H167" i="8" s="1"/>
  <c r="F168" i="8"/>
  <c r="H168" i="8" s="1"/>
  <c r="F169" i="8"/>
  <c r="H169" i="8" s="1"/>
  <c r="F170" i="8"/>
  <c r="H170" i="8" s="1"/>
  <c r="F171" i="8"/>
  <c r="H171" i="8" s="1"/>
  <c r="F172" i="8"/>
  <c r="H172" i="8" s="1"/>
  <c r="F173" i="8"/>
  <c r="H173" i="8" s="1"/>
  <c r="F174" i="8"/>
  <c r="H174" i="8" s="1"/>
  <c r="F175" i="8"/>
  <c r="H175" i="8" s="1"/>
  <c r="F176" i="8"/>
  <c r="H176" i="8" s="1"/>
  <c r="F177" i="8"/>
  <c r="H177" i="8" s="1"/>
  <c r="F178" i="8"/>
  <c r="H178" i="8" s="1"/>
  <c r="F179" i="8"/>
  <c r="H179" i="8" s="1"/>
  <c r="F180" i="8"/>
  <c r="H180" i="8" s="1"/>
  <c r="F181" i="8"/>
  <c r="H181" i="8" s="1"/>
  <c r="F182" i="8"/>
  <c r="H182" i="8" s="1"/>
  <c r="F9" i="8"/>
  <c r="H9" i="8" s="1"/>
  <c r="F10" i="9" l="1"/>
  <c r="H10" i="9" s="1"/>
  <c r="F11" i="9"/>
  <c r="H11" i="9" s="1"/>
  <c r="F12" i="9"/>
  <c r="H12" i="9" s="1"/>
  <c r="F13" i="9"/>
  <c r="H13" i="9" s="1"/>
  <c r="F14" i="9"/>
  <c r="H14" i="9" s="1"/>
  <c r="F15" i="9"/>
  <c r="H15" i="9" s="1"/>
  <c r="F16" i="9"/>
  <c r="H16" i="9" s="1"/>
  <c r="F17" i="9"/>
  <c r="H17" i="9" s="1"/>
  <c r="F18" i="9"/>
  <c r="H18" i="9" s="1"/>
  <c r="F19" i="9"/>
  <c r="H19" i="9" s="1"/>
  <c r="F20" i="9"/>
  <c r="H20" i="9" s="1"/>
  <c r="F21" i="9"/>
  <c r="H21" i="9" s="1"/>
  <c r="F22" i="9"/>
  <c r="H22" i="9" s="1"/>
  <c r="F23" i="9"/>
  <c r="H23" i="9" s="1"/>
  <c r="F24" i="9"/>
  <c r="H24" i="9" s="1"/>
  <c r="F25" i="9"/>
  <c r="H25" i="9" s="1"/>
  <c r="F26" i="9"/>
  <c r="H26" i="9" s="1"/>
  <c r="F27" i="9"/>
  <c r="H27" i="9" s="1"/>
  <c r="F28" i="9"/>
  <c r="H28" i="9" s="1"/>
  <c r="F29" i="9"/>
  <c r="H29" i="9" s="1"/>
  <c r="F30" i="9"/>
  <c r="H30" i="9" s="1"/>
  <c r="F31" i="9"/>
  <c r="H31" i="9" s="1"/>
  <c r="F32" i="9"/>
  <c r="H32" i="9" s="1"/>
  <c r="F33" i="9"/>
  <c r="H33" i="9" s="1"/>
  <c r="F34" i="9"/>
  <c r="H34" i="9" s="1"/>
  <c r="F35" i="9"/>
  <c r="H35" i="9" s="1"/>
  <c r="F36" i="9"/>
  <c r="H36" i="9" s="1"/>
  <c r="F37" i="9"/>
  <c r="H37" i="9" s="1"/>
  <c r="F38" i="9"/>
  <c r="H38" i="9" s="1"/>
  <c r="F39" i="9"/>
  <c r="H39" i="9" s="1"/>
  <c r="F40" i="9"/>
  <c r="H40" i="9" s="1"/>
  <c r="F41" i="9"/>
  <c r="H41" i="9" s="1"/>
  <c r="F42" i="9"/>
  <c r="H42" i="9" s="1"/>
  <c r="F43" i="9"/>
  <c r="H43" i="9" s="1"/>
  <c r="F44" i="9"/>
  <c r="H44" i="9" s="1"/>
  <c r="F45" i="9"/>
  <c r="H45" i="9" s="1"/>
  <c r="F46" i="9"/>
  <c r="H46" i="9" s="1"/>
  <c r="F47" i="9"/>
  <c r="H47" i="9" s="1"/>
  <c r="F48" i="9"/>
  <c r="H48" i="9" s="1"/>
  <c r="F49" i="9"/>
  <c r="H49" i="9" s="1"/>
  <c r="F50" i="9"/>
  <c r="H50" i="9" s="1"/>
  <c r="F51" i="9"/>
  <c r="H51" i="9" s="1"/>
  <c r="F52" i="9"/>
  <c r="H52" i="9" s="1"/>
  <c r="F53" i="9"/>
  <c r="H53" i="9" s="1"/>
  <c r="F54" i="9"/>
  <c r="H54" i="9" s="1"/>
  <c r="F55" i="9"/>
  <c r="H55" i="9" s="1"/>
  <c r="F56" i="9"/>
  <c r="H56" i="9" s="1"/>
  <c r="F57" i="9"/>
  <c r="H57" i="9" s="1"/>
  <c r="F58" i="9"/>
  <c r="H58" i="9" s="1"/>
  <c r="F59" i="9"/>
  <c r="H59" i="9" s="1"/>
  <c r="F60" i="9"/>
  <c r="H60" i="9" s="1"/>
  <c r="F61" i="9"/>
  <c r="H61" i="9" s="1"/>
  <c r="F62" i="9"/>
  <c r="H62" i="9" s="1"/>
  <c r="F63" i="9"/>
  <c r="H63" i="9" s="1"/>
  <c r="F64" i="9"/>
  <c r="H64" i="9" s="1"/>
  <c r="F65" i="9"/>
  <c r="H65" i="9" s="1"/>
  <c r="F66" i="9"/>
  <c r="H66" i="9" s="1"/>
  <c r="F67" i="9"/>
  <c r="H67" i="9" s="1"/>
  <c r="F68" i="9"/>
  <c r="H68" i="9" s="1"/>
  <c r="F69" i="9"/>
  <c r="H69" i="9" s="1"/>
  <c r="F70" i="9"/>
  <c r="H70" i="9" s="1"/>
  <c r="F71" i="9"/>
  <c r="H71" i="9" s="1"/>
  <c r="F72" i="9"/>
  <c r="H72" i="9" s="1"/>
  <c r="F73" i="9"/>
  <c r="H73" i="9" s="1"/>
  <c r="F74" i="9"/>
  <c r="H74" i="9" s="1"/>
  <c r="F75" i="9"/>
  <c r="H75" i="9" s="1"/>
  <c r="F76" i="9"/>
  <c r="H76" i="9" s="1"/>
  <c r="F77" i="9"/>
  <c r="H77" i="9" s="1"/>
  <c r="F78" i="9"/>
  <c r="H78" i="9" s="1"/>
  <c r="F79" i="9"/>
  <c r="H79" i="9" s="1"/>
  <c r="F80" i="9"/>
  <c r="H80" i="9" s="1"/>
  <c r="F81" i="9"/>
  <c r="H81" i="9" s="1"/>
  <c r="F82" i="9"/>
  <c r="H82" i="9" s="1"/>
  <c r="F83" i="9"/>
  <c r="H83" i="9" s="1"/>
  <c r="F84" i="9"/>
  <c r="H84" i="9" s="1"/>
  <c r="F85" i="9"/>
  <c r="H85" i="9" s="1"/>
  <c r="F86" i="9"/>
  <c r="H86" i="9" s="1"/>
  <c r="F87" i="9"/>
  <c r="H87" i="9" s="1"/>
  <c r="F88" i="9"/>
  <c r="H88" i="9" s="1"/>
  <c r="F89" i="9"/>
  <c r="H89" i="9" s="1"/>
  <c r="F90" i="9"/>
  <c r="H90" i="9" s="1"/>
  <c r="F91" i="9"/>
  <c r="H91" i="9" s="1"/>
  <c r="F92" i="9"/>
  <c r="H92" i="9" s="1"/>
  <c r="F93" i="9"/>
  <c r="H93" i="9" s="1"/>
  <c r="F94" i="9"/>
  <c r="H94" i="9" s="1"/>
  <c r="F95" i="9"/>
  <c r="H95" i="9" s="1"/>
  <c r="F96" i="9"/>
  <c r="H96" i="9" s="1"/>
  <c r="F97" i="9"/>
  <c r="H97" i="9" s="1"/>
  <c r="F98" i="9"/>
  <c r="H98" i="9" s="1"/>
  <c r="F99" i="9"/>
  <c r="H99" i="9" s="1"/>
  <c r="F100" i="9"/>
  <c r="H100" i="9" s="1"/>
  <c r="F101" i="9"/>
  <c r="H101" i="9" s="1"/>
  <c r="F102" i="9"/>
  <c r="H102" i="9" s="1"/>
  <c r="F103" i="9"/>
  <c r="H103" i="9" s="1"/>
  <c r="F104" i="9"/>
  <c r="H104" i="9" s="1"/>
  <c r="F105" i="9"/>
  <c r="H105" i="9" s="1"/>
  <c r="F106" i="9"/>
  <c r="H106" i="9" s="1"/>
  <c r="F107" i="9"/>
  <c r="H107" i="9" s="1"/>
  <c r="F108" i="9"/>
  <c r="H108" i="9" s="1"/>
  <c r="F109" i="9"/>
  <c r="H109" i="9" s="1"/>
  <c r="F110" i="9"/>
  <c r="H110" i="9" s="1"/>
  <c r="F111" i="9"/>
  <c r="H111" i="9" s="1"/>
  <c r="F112" i="9"/>
  <c r="H112" i="9" s="1"/>
  <c r="F113" i="9"/>
  <c r="H113" i="9" s="1"/>
  <c r="F114" i="9"/>
  <c r="H114" i="9" s="1"/>
  <c r="F115" i="9"/>
  <c r="H115" i="9" s="1"/>
  <c r="F116" i="9"/>
  <c r="H116" i="9" s="1"/>
  <c r="F117" i="9"/>
  <c r="H117" i="9" s="1"/>
  <c r="F118" i="9"/>
  <c r="H118" i="9" s="1"/>
  <c r="F119" i="9"/>
  <c r="H119" i="9" s="1"/>
  <c r="F120" i="9"/>
  <c r="H120" i="9" s="1"/>
  <c r="F121" i="9"/>
  <c r="H121" i="9" s="1"/>
  <c r="F122" i="9"/>
  <c r="H122" i="9" s="1"/>
  <c r="F123" i="9"/>
  <c r="H123" i="9" s="1"/>
  <c r="F124" i="9"/>
  <c r="H124" i="9" s="1"/>
  <c r="F125" i="9"/>
  <c r="H125" i="9" s="1"/>
  <c r="F126" i="9"/>
  <c r="H126" i="9" s="1"/>
  <c r="F127" i="9"/>
  <c r="H127" i="9" s="1"/>
  <c r="F128" i="9"/>
  <c r="H128" i="9" s="1"/>
  <c r="F129" i="9"/>
  <c r="H129" i="9" s="1"/>
  <c r="F130" i="9"/>
  <c r="H130" i="9" s="1"/>
  <c r="F131" i="9"/>
  <c r="H131" i="9" s="1"/>
  <c r="F132" i="9"/>
  <c r="H132" i="9" s="1"/>
  <c r="F133" i="9"/>
  <c r="H133" i="9" s="1"/>
  <c r="F134" i="9"/>
  <c r="H134" i="9" s="1"/>
  <c r="F135" i="9"/>
  <c r="H135" i="9" s="1"/>
  <c r="F136" i="9"/>
  <c r="H136" i="9" s="1"/>
  <c r="F137" i="9"/>
  <c r="H137" i="9" s="1"/>
  <c r="F138" i="9"/>
  <c r="H138" i="9" s="1"/>
  <c r="F139" i="9"/>
  <c r="H139" i="9" s="1"/>
  <c r="F140" i="9"/>
  <c r="H140" i="9" s="1"/>
  <c r="F141" i="9"/>
  <c r="H141" i="9" s="1"/>
  <c r="F142" i="9"/>
  <c r="H142" i="9" s="1"/>
  <c r="F143" i="9"/>
  <c r="H143" i="9" s="1"/>
  <c r="F144" i="9"/>
  <c r="H144" i="9" s="1"/>
  <c r="F145" i="9"/>
  <c r="H145" i="9" s="1"/>
  <c r="F146" i="9"/>
  <c r="H146" i="9" s="1"/>
  <c r="F147" i="9"/>
  <c r="H147" i="9" s="1"/>
  <c r="F148" i="9"/>
  <c r="H148" i="9" s="1"/>
  <c r="F149" i="9"/>
  <c r="H149" i="9" s="1"/>
  <c r="F150" i="9"/>
  <c r="H150" i="9" s="1"/>
  <c r="F151" i="9"/>
  <c r="H151" i="9" s="1"/>
  <c r="F152" i="9"/>
  <c r="H152" i="9" s="1"/>
  <c r="F153" i="9"/>
  <c r="H153" i="9" s="1"/>
  <c r="F154" i="9"/>
  <c r="H154" i="9" s="1"/>
  <c r="F155" i="9"/>
  <c r="H155" i="9" s="1"/>
  <c r="F156" i="9"/>
  <c r="H156" i="9" s="1"/>
  <c r="F157" i="9"/>
  <c r="H157" i="9" s="1"/>
  <c r="F158" i="9"/>
  <c r="H158" i="9" s="1"/>
  <c r="F159" i="9"/>
  <c r="H159" i="9" s="1"/>
  <c r="F160" i="9"/>
  <c r="H160" i="9" s="1"/>
  <c r="F161" i="9"/>
  <c r="H161" i="9" s="1"/>
  <c r="F162" i="9"/>
  <c r="H162" i="9" s="1"/>
  <c r="F163" i="9"/>
  <c r="H163" i="9" s="1"/>
  <c r="F164" i="9"/>
  <c r="H164" i="9" s="1"/>
  <c r="F165" i="9"/>
  <c r="H165" i="9" s="1"/>
  <c r="F166" i="9"/>
  <c r="H166" i="9" s="1"/>
  <c r="F167" i="9"/>
  <c r="H167" i="9" s="1"/>
  <c r="F168" i="9"/>
  <c r="H168" i="9" s="1"/>
  <c r="F9" i="9"/>
  <c r="H9" i="9" s="1"/>
  <c r="F9" i="1"/>
  <c r="F10" i="1" l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F157" i="1"/>
  <c r="F158" i="1"/>
  <c r="F159" i="1"/>
  <c r="F160" i="1"/>
  <c r="F161" i="1"/>
  <c r="F162" i="1"/>
  <c r="F163" i="1"/>
  <c r="F164" i="1"/>
  <c r="F165" i="1"/>
  <c r="F166" i="1"/>
  <c r="F167" i="1"/>
  <c r="F168" i="1"/>
  <c r="F169" i="1"/>
  <c r="F170" i="1"/>
  <c r="F171" i="1"/>
  <c r="F172" i="1"/>
  <c r="F173" i="1"/>
  <c r="F174" i="1"/>
  <c r="F175" i="1"/>
  <c r="F176" i="1"/>
  <c r="F177" i="1"/>
  <c r="F178" i="1"/>
  <c r="F179" i="1"/>
  <c r="F180" i="1"/>
  <c r="F181" i="1"/>
  <c r="F182" i="1"/>
  <c r="F183" i="1"/>
  <c r="F184" i="1"/>
  <c r="F185" i="1"/>
  <c r="F186" i="1"/>
  <c r="F187" i="1"/>
  <c r="F188" i="1"/>
  <c r="F189" i="1"/>
  <c r="F190" i="1"/>
  <c r="F191" i="1"/>
  <c r="F192" i="1"/>
  <c r="F193" i="1"/>
  <c r="F194" i="1"/>
  <c r="F195" i="1"/>
  <c r="F196" i="1"/>
  <c r="F197" i="1"/>
  <c r="F198" i="1"/>
  <c r="F199" i="1"/>
  <c r="F200" i="1"/>
  <c r="F201" i="1"/>
  <c r="F202" i="1"/>
  <c r="F203" i="1"/>
  <c r="F204" i="1"/>
  <c r="F205" i="1"/>
  <c r="F206" i="1"/>
  <c r="F207" i="1"/>
  <c r="F208" i="1"/>
  <c r="F209" i="1"/>
  <c r="F210" i="1"/>
  <c r="F211" i="1"/>
  <c r="F212" i="1"/>
  <c r="F213" i="1"/>
  <c r="F214" i="1"/>
  <c r="F215" i="1"/>
  <c r="F216" i="1"/>
  <c r="F217" i="1"/>
  <c r="F218" i="1"/>
  <c r="F219" i="1"/>
  <c r="F220" i="1"/>
  <c r="F221" i="1"/>
  <c r="F222" i="1"/>
  <c r="F223" i="1"/>
  <c r="F224" i="1"/>
  <c r="F225" i="1"/>
  <c r="F226" i="1"/>
  <c r="F227" i="1"/>
  <c r="F228" i="1"/>
  <c r="F229" i="1"/>
  <c r="F230" i="1"/>
  <c r="F231" i="1"/>
  <c r="F232" i="1"/>
  <c r="F233" i="1"/>
  <c r="F234" i="1"/>
  <c r="F235" i="1"/>
  <c r="F236" i="1"/>
  <c r="F237" i="1"/>
  <c r="F238" i="1"/>
  <c r="F239" i="1"/>
  <c r="F240" i="1"/>
  <c r="F241" i="1"/>
  <c r="F242" i="1"/>
  <c r="F243" i="1"/>
  <c r="F244" i="1"/>
  <c r="F245" i="1"/>
  <c r="F246" i="1"/>
  <c r="F247" i="1"/>
  <c r="F248" i="1"/>
  <c r="F249" i="1"/>
  <c r="F250" i="1"/>
  <c r="F251" i="1"/>
  <c r="F252" i="1"/>
  <c r="S10" i="10" l="1"/>
  <c r="S11" i="10"/>
  <c r="S12" i="10"/>
  <c r="S13" i="10"/>
  <c r="S14" i="10"/>
  <c r="S15" i="10"/>
  <c r="S16" i="10"/>
  <c r="S17" i="10"/>
  <c r="S18" i="10"/>
  <c r="S19" i="10"/>
  <c r="S20" i="10"/>
  <c r="S21" i="10"/>
  <c r="S22" i="10"/>
  <c r="S23" i="10"/>
  <c r="S24" i="10"/>
  <c r="S25" i="10"/>
  <c r="S26" i="10"/>
  <c r="S27" i="10"/>
  <c r="S28" i="10"/>
  <c r="S29" i="10"/>
  <c r="S30" i="10"/>
  <c r="S31" i="10"/>
  <c r="S32" i="10"/>
  <c r="S33" i="10"/>
  <c r="S34" i="10"/>
  <c r="S35" i="10"/>
  <c r="S36" i="10"/>
  <c r="S37" i="10"/>
  <c r="S38" i="10"/>
  <c r="S39" i="10"/>
  <c r="S40" i="10"/>
  <c r="S41" i="10"/>
  <c r="S42" i="10"/>
  <c r="S43" i="10"/>
  <c r="S44" i="10"/>
  <c r="S45" i="10"/>
  <c r="S46" i="10"/>
  <c r="S47" i="10"/>
  <c r="S48" i="10"/>
  <c r="S49" i="10"/>
  <c r="S50" i="10"/>
  <c r="S51" i="10"/>
  <c r="S52" i="10"/>
  <c r="S53" i="10"/>
  <c r="S54" i="10"/>
  <c r="S55" i="10"/>
  <c r="S56" i="10"/>
  <c r="S57" i="10"/>
  <c r="S58" i="10"/>
  <c r="S59" i="10"/>
  <c r="S60" i="10"/>
  <c r="S61" i="10"/>
  <c r="S62" i="10"/>
  <c r="S63" i="10"/>
  <c r="S64" i="10"/>
  <c r="S65" i="10"/>
  <c r="S66" i="10"/>
  <c r="S67" i="10"/>
  <c r="S68" i="10"/>
  <c r="S69" i="10"/>
  <c r="S70" i="10"/>
  <c r="S71" i="10"/>
  <c r="S72" i="10"/>
  <c r="S73" i="10"/>
  <c r="S74" i="10"/>
  <c r="S75" i="10"/>
  <c r="S76" i="10"/>
  <c r="S77" i="10"/>
  <c r="S78" i="10"/>
  <c r="S79" i="10"/>
  <c r="S80" i="10"/>
  <c r="S81" i="10"/>
  <c r="S82" i="10"/>
  <c r="S83" i="10"/>
  <c r="S84" i="10"/>
  <c r="S85" i="10"/>
  <c r="S86" i="10"/>
  <c r="S87" i="10"/>
  <c r="S88" i="10"/>
  <c r="S89" i="10"/>
  <c r="S90" i="10"/>
  <c r="S91" i="10"/>
  <c r="S92" i="10"/>
  <c r="S93" i="10"/>
  <c r="S94" i="10"/>
  <c r="S95" i="10"/>
  <c r="S96" i="10"/>
  <c r="S97" i="10"/>
  <c r="S98" i="10"/>
  <c r="S99" i="10"/>
  <c r="S100" i="10"/>
  <c r="S101" i="10"/>
  <c r="S102" i="10"/>
  <c r="S103" i="10"/>
  <c r="S104" i="10"/>
  <c r="S105" i="10"/>
  <c r="S106" i="10"/>
  <c r="S107" i="10"/>
  <c r="S108" i="10"/>
  <c r="S109" i="10"/>
  <c r="S110" i="10"/>
  <c r="S111" i="10"/>
  <c r="S112" i="10"/>
  <c r="S113" i="10"/>
  <c r="S114" i="10"/>
  <c r="S115" i="10"/>
  <c r="S116" i="10"/>
  <c r="S117" i="10"/>
  <c r="S118" i="10"/>
  <c r="S119" i="10"/>
  <c r="S120" i="10"/>
  <c r="S121" i="10"/>
  <c r="S122" i="10"/>
  <c r="S123" i="10"/>
  <c r="S124" i="10"/>
  <c r="S125" i="10"/>
  <c r="S126" i="10"/>
  <c r="S127" i="10"/>
  <c r="S128" i="10"/>
  <c r="S129" i="10"/>
  <c r="S130" i="10"/>
  <c r="S131" i="10"/>
  <c r="S132" i="10"/>
  <c r="S133" i="10"/>
  <c r="S134" i="10"/>
  <c r="S135" i="10"/>
  <c r="S136" i="10"/>
  <c r="S137" i="10"/>
  <c r="S138" i="10"/>
  <c r="S139" i="10"/>
  <c r="S140" i="10"/>
  <c r="S141" i="10"/>
  <c r="S142" i="10"/>
  <c r="S143" i="10"/>
  <c r="S144" i="10"/>
  <c r="S145" i="10"/>
  <c r="S146" i="10"/>
  <c r="S147" i="10"/>
  <c r="S148" i="10"/>
  <c r="S149" i="10"/>
  <c r="S150" i="10"/>
  <c r="S151" i="10"/>
  <c r="S152" i="10"/>
  <c r="S153" i="10"/>
  <c r="S154" i="10"/>
  <c r="S155" i="10"/>
  <c r="S156" i="10"/>
  <c r="S157" i="10"/>
  <c r="S158" i="10"/>
  <c r="S159" i="10"/>
  <c r="S160" i="10"/>
  <c r="S161" i="10"/>
  <c r="S162" i="10"/>
  <c r="S163" i="10"/>
  <c r="S164" i="10"/>
  <c r="S165" i="10"/>
  <c r="S166" i="10"/>
  <c r="S167" i="10"/>
  <c r="S168" i="10"/>
  <c r="S169" i="10"/>
  <c r="S170" i="10"/>
  <c r="S171" i="10"/>
  <c r="S172" i="10"/>
  <c r="S173" i="10"/>
  <c r="S174" i="10"/>
  <c r="S175" i="10"/>
  <c r="S176" i="10"/>
  <c r="S177" i="10"/>
  <c r="S178" i="10"/>
  <c r="S179" i="10"/>
  <c r="S180" i="10"/>
  <c r="S181" i="10"/>
  <c r="S182" i="10"/>
  <c r="S183" i="10"/>
  <c r="S184" i="10"/>
  <c r="S185" i="10"/>
  <c r="S186" i="10"/>
  <c r="S187" i="10"/>
  <c r="S188" i="10"/>
  <c r="S189" i="10"/>
  <c r="S190" i="10"/>
  <c r="S191" i="10"/>
  <c r="S192" i="10"/>
  <c r="S193" i="10"/>
  <c r="S194" i="10"/>
  <c r="S195" i="10"/>
  <c r="S196" i="10"/>
  <c r="S197" i="10"/>
  <c r="S198" i="10"/>
  <c r="S199" i="10"/>
  <c r="S200" i="10"/>
  <c r="S201" i="10"/>
  <c r="S9" i="10"/>
  <c r="P10" i="10"/>
  <c r="P11" i="10"/>
  <c r="P12" i="10"/>
  <c r="P13" i="10"/>
  <c r="P14" i="10"/>
  <c r="P15" i="10"/>
  <c r="P16" i="10"/>
  <c r="P17" i="10"/>
  <c r="P18" i="10"/>
  <c r="P19" i="10"/>
  <c r="P20" i="10"/>
  <c r="P21" i="10"/>
  <c r="P22" i="10"/>
  <c r="P23" i="10"/>
  <c r="P24" i="10"/>
  <c r="P25" i="10"/>
  <c r="P26" i="10"/>
  <c r="P27" i="10"/>
  <c r="P28" i="10"/>
  <c r="P29" i="10"/>
  <c r="P30" i="10"/>
  <c r="P31" i="10"/>
  <c r="P32" i="10"/>
  <c r="P33" i="10"/>
  <c r="P34" i="10"/>
  <c r="P35" i="10"/>
  <c r="P36" i="10"/>
  <c r="P37" i="10"/>
  <c r="P38" i="10"/>
  <c r="P39" i="10"/>
  <c r="P40" i="10"/>
  <c r="P41" i="10"/>
  <c r="P42" i="10"/>
  <c r="P43" i="10"/>
  <c r="P44" i="10"/>
  <c r="P45" i="10"/>
  <c r="P46" i="10"/>
  <c r="P47" i="10"/>
  <c r="P48" i="10"/>
  <c r="P49" i="10"/>
  <c r="P50" i="10"/>
  <c r="P51" i="10"/>
  <c r="P52" i="10"/>
  <c r="P53" i="10"/>
  <c r="P54" i="10"/>
  <c r="P55" i="10"/>
  <c r="P56" i="10"/>
  <c r="P57" i="10"/>
  <c r="P58" i="10"/>
  <c r="P59" i="10"/>
  <c r="P60" i="10"/>
  <c r="P61" i="10"/>
  <c r="P62" i="10"/>
  <c r="P63" i="10"/>
  <c r="P64" i="10"/>
  <c r="P65" i="10"/>
  <c r="P66" i="10"/>
  <c r="P67" i="10"/>
  <c r="P68" i="10"/>
  <c r="P69" i="10"/>
  <c r="P70" i="10"/>
  <c r="P71" i="10"/>
  <c r="P72" i="10"/>
  <c r="P73" i="10"/>
  <c r="P74" i="10"/>
  <c r="P75" i="10"/>
  <c r="P76" i="10"/>
  <c r="P77" i="10"/>
  <c r="P78" i="10"/>
  <c r="P79" i="10"/>
  <c r="P80" i="10"/>
  <c r="P81" i="10"/>
  <c r="P82" i="10"/>
  <c r="P83" i="10"/>
  <c r="P84" i="10"/>
  <c r="P85" i="10"/>
  <c r="P86" i="10"/>
  <c r="P87" i="10"/>
  <c r="P88" i="10"/>
  <c r="P89" i="10"/>
  <c r="P90" i="10"/>
  <c r="P91" i="10"/>
  <c r="P92" i="10"/>
  <c r="P93" i="10"/>
  <c r="P94" i="10"/>
  <c r="P95" i="10"/>
  <c r="P96" i="10"/>
  <c r="P97" i="10"/>
  <c r="P98" i="10"/>
  <c r="P99" i="10"/>
  <c r="P100" i="10"/>
  <c r="P101" i="10"/>
  <c r="P102" i="10"/>
  <c r="P103" i="10"/>
  <c r="P104" i="10"/>
  <c r="P105" i="10"/>
  <c r="P106" i="10"/>
  <c r="P107" i="10"/>
  <c r="P108" i="10"/>
  <c r="P109" i="10"/>
  <c r="P110" i="10"/>
  <c r="P111" i="10"/>
  <c r="P112" i="10"/>
  <c r="P113" i="10"/>
  <c r="P114" i="10"/>
  <c r="P115" i="10"/>
  <c r="P116" i="10"/>
  <c r="P117" i="10"/>
  <c r="P118" i="10"/>
  <c r="P119" i="10"/>
  <c r="P120" i="10"/>
  <c r="P121" i="10"/>
  <c r="P122" i="10"/>
  <c r="P123" i="10"/>
  <c r="P124" i="10"/>
  <c r="P125" i="10"/>
  <c r="P126" i="10"/>
  <c r="P127" i="10"/>
  <c r="P128" i="10"/>
  <c r="P129" i="10"/>
  <c r="P130" i="10"/>
  <c r="P131" i="10"/>
  <c r="P132" i="10"/>
  <c r="P133" i="10"/>
  <c r="P134" i="10"/>
  <c r="P135" i="10"/>
  <c r="P136" i="10"/>
  <c r="P137" i="10"/>
  <c r="P138" i="10"/>
  <c r="P139" i="10"/>
  <c r="P140" i="10"/>
  <c r="P141" i="10"/>
  <c r="P142" i="10"/>
  <c r="P143" i="10"/>
  <c r="P144" i="10"/>
  <c r="P145" i="10"/>
  <c r="P146" i="10"/>
  <c r="P147" i="10"/>
  <c r="P148" i="10"/>
  <c r="P149" i="10"/>
  <c r="P150" i="10"/>
  <c r="P151" i="10"/>
  <c r="P152" i="10"/>
  <c r="P153" i="10"/>
  <c r="P154" i="10"/>
  <c r="P155" i="10"/>
  <c r="P156" i="10"/>
  <c r="P157" i="10"/>
  <c r="P158" i="10"/>
  <c r="P159" i="10"/>
  <c r="P160" i="10"/>
  <c r="P161" i="10"/>
  <c r="P162" i="10"/>
  <c r="P163" i="10"/>
  <c r="P164" i="10"/>
  <c r="P165" i="10"/>
  <c r="P166" i="10"/>
  <c r="P167" i="10"/>
  <c r="P168" i="10"/>
  <c r="P169" i="10"/>
  <c r="P170" i="10"/>
  <c r="P171" i="10"/>
  <c r="P172" i="10"/>
  <c r="P173" i="10"/>
  <c r="P174" i="10"/>
  <c r="P175" i="10"/>
  <c r="P176" i="10"/>
  <c r="P177" i="10"/>
  <c r="P178" i="10"/>
  <c r="P179" i="10"/>
  <c r="P180" i="10"/>
  <c r="P181" i="10"/>
  <c r="P182" i="10"/>
  <c r="P183" i="10"/>
  <c r="P184" i="10"/>
  <c r="P185" i="10"/>
  <c r="P186" i="10"/>
  <c r="P187" i="10"/>
  <c r="P188" i="10"/>
  <c r="P189" i="10"/>
  <c r="P190" i="10"/>
  <c r="P191" i="10"/>
  <c r="P192" i="10"/>
  <c r="P193" i="10"/>
  <c r="P194" i="10"/>
  <c r="P195" i="10"/>
  <c r="P196" i="10"/>
  <c r="P197" i="10"/>
  <c r="P198" i="10"/>
  <c r="P199" i="10"/>
  <c r="P200" i="10"/>
  <c r="P201" i="10"/>
  <c r="P9" i="10"/>
  <c r="M10" i="10"/>
  <c r="M11" i="10"/>
  <c r="M12" i="10"/>
  <c r="M13" i="10"/>
  <c r="M14" i="10"/>
  <c r="M15" i="10"/>
  <c r="M16" i="10"/>
  <c r="M17" i="10"/>
  <c r="M18" i="10"/>
  <c r="M19" i="10"/>
  <c r="M20" i="10"/>
  <c r="M21" i="10"/>
  <c r="M22" i="10"/>
  <c r="M23" i="10"/>
  <c r="M24" i="10"/>
  <c r="M25" i="10"/>
  <c r="M26" i="10"/>
  <c r="M27" i="10"/>
  <c r="M28" i="10"/>
  <c r="M29" i="10"/>
  <c r="M30" i="10"/>
  <c r="M31" i="10"/>
  <c r="M32" i="10"/>
  <c r="M33" i="10"/>
  <c r="M34" i="10"/>
  <c r="M35" i="10"/>
  <c r="M36" i="10"/>
  <c r="M37" i="10"/>
  <c r="M38" i="10"/>
  <c r="M39" i="10"/>
  <c r="M40" i="10"/>
  <c r="M41" i="10"/>
  <c r="M42" i="10"/>
  <c r="M43" i="10"/>
  <c r="M44" i="10"/>
  <c r="M45" i="10"/>
  <c r="M46" i="10"/>
  <c r="M47" i="10"/>
  <c r="M48" i="10"/>
  <c r="M49" i="10"/>
  <c r="M50" i="10"/>
  <c r="M51" i="10"/>
  <c r="M52" i="10"/>
  <c r="M53" i="10"/>
  <c r="M54" i="10"/>
  <c r="M55" i="10"/>
  <c r="M56" i="10"/>
  <c r="M57" i="10"/>
  <c r="M58" i="10"/>
  <c r="M59" i="10"/>
  <c r="M60" i="10"/>
  <c r="M61" i="10"/>
  <c r="M62" i="10"/>
  <c r="M63" i="10"/>
  <c r="M64" i="10"/>
  <c r="M65" i="10"/>
  <c r="M66" i="10"/>
  <c r="M67" i="10"/>
  <c r="M68" i="10"/>
  <c r="M69" i="10"/>
  <c r="M70" i="10"/>
  <c r="M71" i="10"/>
  <c r="M72" i="10"/>
  <c r="M73" i="10"/>
  <c r="M74" i="10"/>
  <c r="M75" i="10"/>
  <c r="M76" i="10"/>
  <c r="M77" i="10"/>
  <c r="M78" i="10"/>
  <c r="M79" i="10"/>
  <c r="M80" i="10"/>
  <c r="M81" i="10"/>
  <c r="M82" i="10"/>
  <c r="M83" i="10"/>
  <c r="M84" i="10"/>
  <c r="M85" i="10"/>
  <c r="M86" i="10"/>
  <c r="M87" i="10"/>
  <c r="M88" i="10"/>
  <c r="M89" i="10"/>
  <c r="M90" i="10"/>
  <c r="M91" i="10"/>
  <c r="M92" i="10"/>
  <c r="M93" i="10"/>
  <c r="M94" i="10"/>
  <c r="M95" i="10"/>
  <c r="M96" i="10"/>
  <c r="M97" i="10"/>
  <c r="M98" i="10"/>
  <c r="M99" i="10"/>
  <c r="M100" i="10"/>
  <c r="M101" i="10"/>
  <c r="M102" i="10"/>
  <c r="M103" i="10"/>
  <c r="M104" i="10"/>
  <c r="M105" i="10"/>
  <c r="M106" i="10"/>
  <c r="M107" i="10"/>
  <c r="M108" i="10"/>
  <c r="M109" i="10"/>
  <c r="M110" i="10"/>
  <c r="M111" i="10"/>
  <c r="M112" i="10"/>
  <c r="M113" i="10"/>
  <c r="M114" i="10"/>
  <c r="M115" i="10"/>
  <c r="M116" i="10"/>
  <c r="M117" i="10"/>
  <c r="M118" i="10"/>
  <c r="M119" i="10"/>
  <c r="M120" i="10"/>
  <c r="M121" i="10"/>
  <c r="M122" i="10"/>
  <c r="M123" i="10"/>
  <c r="M124" i="10"/>
  <c r="M125" i="10"/>
  <c r="M126" i="10"/>
  <c r="M127" i="10"/>
  <c r="M128" i="10"/>
  <c r="M129" i="10"/>
  <c r="M130" i="10"/>
  <c r="M131" i="10"/>
  <c r="M132" i="10"/>
  <c r="M133" i="10"/>
  <c r="M134" i="10"/>
  <c r="M135" i="10"/>
  <c r="M136" i="10"/>
  <c r="M137" i="10"/>
  <c r="M138" i="10"/>
  <c r="M139" i="10"/>
  <c r="M140" i="10"/>
  <c r="M141" i="10"/>
  <c r="M142" i="10"/>
  <c r="M143" i="10"/>
  <c r="M144" i="10"/>
  <c r="M145" i="10"/>
  <c r="M146" i="10"/>
  <c r="M147" i="10"/>
  <c r="M148" i="10"/>
  <c r="M149" i="10"/>
  <c r="M150" i="10"/>
  <c r="M151" i="10"/>
  <c r="M152" i="10"/>
  <c r="M153" i="10"/>
  <c r="M154" i="10"/>
  <c r="M155" i="10"/>
  <c r="M156" i="10"/>
  <c r="M157" i="10"/>
  <c r="M158" i="10"/>
  <c r="M159" i="10"/>
  <c r="M160" i="10"/>
  <c r="M161" i="10"/>
  <c r="M162" i="10"/>
  <c r="M163" i="10"/>
  <c r="M164" i="10"/>
  <c r="M165" i="10"/>
  <c r="M166" i="10"/>
  <c r="M167" i="10"/>
  <c r="M168" i="10"/>
  <c r="M169" i="10"/>
  <c r="M170" i="10"/>
  <c r="M171" i="10"/>
  <c r="M172" i="10"/>
  <c r="M173" i="10"/>
  <c r="M174" i="10"/>
  <c r="M175" i="10"/>
  <c r="M176" i="10"/>
  <c r="M177" i="10"/>
  <c r="M178" i="10"/>
  <c r="M179" i="10"/>
  <c r="M180" i="10"/>
  <c r="M181" i="10"/>
  <c r="M182" i="10"/>
  <c r="M183" i="10"/>
  <c r="M184" i="10"/>
  <c r="M185" i="10"/>
  <c r="M186" i="10"/>
  <c r="M187" i="10"/>
  <c r="M188" i="10"/>
  <c r="M189" i="10"/>
  <c r="M190" i="10"/>
  <c r="M191" i="10"/>
  <c r="M192" i="10"/>
  <c r="M193" i="10"/>
  <c r="M194" i="10"/>
  <c r="M195" i="10"/>
  <c r="M196" i="10"/>
  <c r="M197" i="10"/>
  <c r="M198" i="10"/>
  <c r="M199" i="10"/>
  <c r="M200" i="10"/>
  <c r="M201" i="10"/>
  <c r="M9" i="10"/>
  <c r="J10" i="10"/>
  <c r="J11" i="10"/>
  <c r="J12" i="10"/>
  <c r="J13" i="10"/>
  <c r="J14" i="10"/>
  <c r="J15" i="10"/>
  <c r="J16" i="10"/>
  <c r="J17" i="10"/>
  <c r="J18" i="10"/>
  <c r="J19" i="10"/>
  <c r="J20" i="10"/>
  <c r="J21" i="10"/>
  <c r="J22" i="10"/>
  <c r="J23" i="10"/>
  <c r="J24" i="10"/>
  <c r="J25" i="10"/>
  <c r="J26" i="10"/>
  <c r="J27" i="10"/>
  <c r="J28" i="10"/>
  <c r="J29" i="10"/>
  <c r="J30" i="10"/>
  <c r="J31" i="10"/>
  <c r="J32" i="10"/>
  <c r="J33" i="10"/>
  <c r="J34" i="10"/>
  <c r="J35" i="10"/>
  <c r="J36" i="10"/>
  <c r="J37" i="10"/>
  <c r="J38" i="10"/>
  <c r="J39" i="10"/>
  <c r="J40" i="10"/>
  <c r="J41" i="10"/>
  <c r="J42" i="10"/>
  <c r="J43" i="10"/>
  <c r="J44" i="10"/>
  <c r="J45" i="10"/>
  <c r="J46" i="10"/>
  <c r="J47" i="10"/>
  <c r="J48" i="10"/>
  <c r="J49" i="10"/>
  <c r="J50" i="10"/>
  <c r="J51" i="10"/>
  <c r="J52" i="10"/>
  <c r="J53" i="10"/>
  <c r="J54" i="10"/>
  <c r="J55" i="10"/>
  <c r="J56" i="10"/>
  <c r="J57" i="10"/>
  <c r="J58" i="10"/>
  <c r="J59" i="10"/>
  <c r="J60" i="10"/>
  <c r="J61" i="10"/>
  <c r="J62" i="10"/>
  <c r="J63" i="10"/>
  <c r="J64" i="10"/>
  <c r="J65" i="10"/>
  <c r="J66" i="10"/>
  <c r="J67" i="10"/>
  <c r="J68" i="10"/>
  <c r="J69" i="10"/>
  <c r="J70" i="10"/>
  <c r="J71" i="10"/>
  <c r="J72" i="10"/>
  <c r="J73" i="10"/>
  <c r="J74" i="10"/>
  <c r="J75" i="10"/>
  <c r="J76" i="10"/>
  <c r="J77" i="10"/>
  <c r="J78" i="10"/>
  <c r="J79" i="10"/>
  <c r="J80" i="10"/>
  <c r="J81" i="10"/>
  <c r="J82" i="10"/>
  <c r="J83" i="10"/>
  <c r="J84" i="10"/>
  <c r="J85" i="10"/>
  <c r="J86" i="10"/>
  <c r="J87" i="10"/>
  <c r="J88" i="10"/>
  <c r="J89" i="10"/>
  <c r="J90" i="10"/>
  <c r="J91" i="10"/>
  <c r="J92" i="10"/>
  <c r="J93" i="10"/>
  <c r="J94" i="10"/>
  <c r="J95" i="10"/>
  <c r="J96" i="10"/>
  <c r="J97" i="10"/>
  <c r="J98" i="10"/>
  <c r="J99" i="10"/>
  <c r="J100" i="10"/>
  <c r="J101" i="10"/>
  <c r="J102" i="10"/>
  <c r="J103" i="10"/>
  <c r="J104" i="10"/>
  <c r="J105" i="10"/>
  <c r="J106" i="10"/>
  <c r="J107" i="10"/>
  <c r="J108" i="10"/>
  <c r="J109" i="10"/>
  <c r="J110" i="10"/>
  <c r="J111" i="10"/>
  <c r="J112" i="10"/>
  <c r="J113" i="10"/>
  <c r="J114" i="10"/>
  <c r="J115" i="10"/>
  <c r="J116" i="10"/>
  <c r="J117" i="10"/>
  <c r="J118" i="10"/>
  <c r="J119" i="10"/>
  <c r="J120" i="10"/>
  <c r="J121" i="10"/>
  <c r="J122" i="10"/>
  <c r="J123" i="10"/>
  <c r="J124" i="10"/>
  <c r="J125" i="10"/>
  <c r="J126" i="10"/>
  <c r="J127" i="10"/>
  <c r="J128" i="10"/>
  <c r="J129" i="10"/>
  <c r="J130" i="10"/>
  <c r="J131" i="10"/>
  <c r="J132" i="10"/>
  <c r="J133" i="10"/>
  <c r="J134" i="10"/>
  <c r="J135" i="10"/>
  <c r="J136" i="10"/>
  <c r="J137" i="10"/>
  <c r="J138" i="10"/>
  <c r="J139" i="10"/>
  <c r="J140" i="10"/>
  <c r="J141" i="10"/>
  <c r="J142" i="10"/>
  <c r="J143" i="10"/>
  <c r="J144" i="10"/>
  <c r="J145" i="10"/>
  <c r="J146" i="10"/>
  <c r="J147" i="10"/>
  <c r="J148" i="10"/>
  <c r="J149" i="10"/>
  <c r="J150" i="10"/>
  <c r="J151" i="10"/>
  <c r="J152" i="10"/>
  <c r="J153" i="10"/>
  <c r="J154" i="10"/>
  <c r="J155" i="10"/>
  <c r="J156" i="10"/>
  <c r="J157" i="10"/>
  <c r="J158" i="10"/>
  <c r="J159" i="10"/>
  <c r="J160" i="10"/>
  <c r="J161" i="10"/>
  <c r="J162" i="10"/>
  <c r="J163" i="10"/>
  <c r="J164" i="10"/>
  <c r="J165" i="10"/>
  <c r="J166" i="10"/>
  <c r="J167" i="10"/>
  <c r="J168" i="10"/>
  <c r="J169" i="10"/>
  <c r="J170" i="10"/>
  <c r="J171" i="10"/>
  <c r="J172" i="10"/>
  <c r="J173" i="10"/>
  <c r="J174" i="10"/>
  <c r="J175" i="10"/>
  <c r="J176" i="10"/>
  <c r="J177" i="10"/>
  <c r="J178" i="10"/>
  <c r="J179" i="10"/>
  <c r="J180" i="10"/>
  <c r="J181" i="10"/>
  <c r="J182" i="10"/>
  <c r="J183" i="10"/>
  <c r="J184" i="10"/>
  <c r="J185" i="10"/>
  <c r="J186" i="10"/>
  <c r="J187" i="10"/>
  <c r="J188" i="10"/>
  <c r="J189" i="10"/>
  <c r="J190" i="10"/>
  <c r="J191" i="10"/>
  <c r="J192" i="10"/>
  <c r="J193" i="10"/>
  <c r="J194" i="10"/>
  <c r="J195" i="10"/>
  <c r="J196" i="10"/>
  <c r="J197" i="10"/>
  <c r="J198" i="10"/>
  <c r="J199" i="10"/>
  <c r="J200" i="10"/>
  <c r="J201" i="10"/>
  <c r="J9" i="10"/>
  <c r="T10" i="8"/>
  <c r="T11" i="8"/>
  <c r="T12" i="8"/>
  <c r="T13" i="8"/>
  <c r="T14" i="8"/>
  <c r="T15" i="8"/>
  <c r="T16" i="8"/>
  <c r="T17" i="8"/>
  <c r="T18" i="8"/>
  <c r="T19" i="8"/>
  <c r="T20" i="8"/>
  <c r="T21" i="8"/>
  <c r="T22" i="8"/>
  <c r="T23" i="8"/>
  <c r="T24" i="8"/>
  <c r="T25" i="8"/>
  <c r="T26" i="8"/>
  <c r="T27" i="8"/>
  <c r="T28" i="8"/>
  <c r="T29" i="8"/>
  <c r="T30" i="8"/>
  <c r="T31" i="8"/>
  <c r="T32" i="8"/>
  <c r="T33" i="8"/>
  <c r="T34" i="8"/>
  <c r="T35" i="8"/>
  <c r="T36" i="8"/>
  <c r="T37" i="8"/>
  <c r="T38" i="8"/>
  <c r="T39" i="8"/>
  <c r="T40" i="8"/>
  <c r="T41" i="8"/>
  <c r="T42" i="8"/>
  <c r="T43" i="8"/>
  <c r="T44" i="8"/>
  <c r="T45" i="8"/>
  <c r="T46" i="8"/>
  <c r="T47" i="8"/>
  <c r="T48" i="8"/>
  <c r="T49" i="8"/>
  <c r="T50" i="8"/>
  <c r="T51" i="8"/>
  <c r="T52" i="8"/>
  <c r="T53" i="8"/>
  <c r="T54" i="8"/>
  <c r="T55" i="8"/>
  <c r="T56" i="8"/>
  <c r="T57" i="8"/>
  <c r="T58" i="8"/>
  <c r="T59" i="8"/>
  <c r="T60" i="8"/>
  <c r="T61" i="8"/>
  <c r="T62" i="8"/>
  <c r="T63" i="8"/>
  <c r="T64" i="8"/>
  <c r="T65" i="8"/>
  <c r="T66" i="8"/>
  <c r="T67" i="8"/>
  <c r="T68" i="8"/>
  <c r="T69" i="8"/>
  <c r="T70" i="8"/>
  <c r="T71" i="8"/>
  <c r="T72" i="8"/>
  <c r="T73" i="8"/>
  <c r="T74" i="8"/>
  <c r="T75" i="8"/>
  <c r="T76" i="8"/>
  <c r="T77" i="8"/>
  <c r="T78" i="8"/>
  <c r="T79" i="8"/>
  <c r="T80" i="8"/>
  <c r="T81" i="8"/>
  <c r="T82" i="8"/>
  <c r="T83" i="8"/>
  <c r="T84" i="8"/>
  <c r="T85" i="8"/>
  <c r="T86" i="8"/>
  <c r="T87" i="8"/>
  <c r="T88" i="8"/>
  <c r="T89" i="8"/>
  <c r="T90" i="8"/>
  <c r="T91" i="8"/>
  <c r="T92" i="8"/>
  <c r="T93" i="8"/>
  <c r="T94" i="8"/>
  <c r="T95" i="8"/>
  <c r="T96" i="8"/>
  <c r="T97" i="8"/>
  <c r="T98" i="8"/>
  <c r="T99" i="8"/>
  <c r="T100" i="8"/>
  <c r="T101" i="8"/>
  <c r="T102" i="8"/>
  <c r="T103" i="8"/>
  <c r="T104" i="8"/>
  <c r="T105" i="8"/>
  <c r="T106" i="8"/>
  <c r="T107" i="8"/>
  <c r="T108" i="8"/>
  <c r="T109" i="8"/>
  <c r="T110" i="8"/>
  <c r="T111" i="8"/>
  <c r="T112" i="8"/>
  <c r="T113" i="8"/>
  <c r="T114" i="8"/>
  <c r="T115" i="8"/>
  <c r="T116" i="8"/>
  <c r="T117" i="8"/>
  <c r="T118" i="8"/>
  <c r="T119" i="8"/>
  <c r="T120" i="8"/>
  <c r="T121" i="8"/>
  <c r="T122" i="8"/>
  <c r="T123" i="8"/>
  <c r="T124" i="8"/>
  <c r="T125" i="8"/>
  <c r="T126" i="8"/>
  <c r="T127" i="8"/>
  <c r="T128" i="8"/>
  <c r="T129" i="8"/>
  <c r="T130" i="8"/>
  <c r="T131" i="8"/>
  <c r="T132" i="8"/>
  <c r="T133" i="8"/>
  <c r="T134" i="8"/>
  <c r="T135" i="8"/>
  <c r="T136" i="8"/>
  <c r="T137" i="8"/>
  <c r="T138" i="8"/>
  <c r="T139" i="8"/>
  <c r="T140" i="8"/>
  <c r="T141" i="8"/>
  <c r="T142" i="8"/>
  <c r="T143" i="8"/>
  <c r="T144" i="8"/>
  <c r="T145" i="8"/>
  <c r="T146" i="8"/>
  <c r="T147" i="8"/>
  <c r="T148" i="8"/>
  <c r="T149" i="8"/>
  <c r="T150" i="8"/>
  <c r="T151" i="8"/>
  <c r="T152" i="8"/>
  <c r="T153" i="8"/>
  <c r="T154" i="8"/>
  <c r="T155" i="8"/>
  <c r="T156" i="8"/>
  <c r="T157" i="8"/>
  <c r="T158" i="8"/>
  <c r="T159" i="8"/>
  <c r="T160" i="8"/>
  <c r="T161" i="8"/>
  <c r="T162" i="8"/>
  <c r="T163" i="8"/>
  <c r="T164" i="8"/>
  <c r="T165" i="8"/>
  <c r="T166" i="8"/>
  <c r="T167" i="8"/>
  <c r="T168" i="8"/>
  <c r="T169" i="8"/>
  <c r="T170" i="8"/>
  <c r="T171" i="8"/>
  <c r="T172" i="8"/>
  <c r="T173" i="8"/>
  <c r="T174" i="8"/>
  <c r="T175" i="8"/>
  <c r="T176" i="8"/>
  <c r="T177" i="8"/>
  <c r="T178" i="8"/>
  <c r="T179" i="8"/>
  <c r="T180" i="8"/>
  <c r="T181" i="8"/>
  <c r="T182" i="8"/>
  <c r="T9" i="8"/>
  <c r="Q10" i="8"/>
  <c r="Q11" i="8"/>
  <c r="Q12" i="8"/>
  <c r="Q13" i="8"/>
  <c r="Q14" i="8"/>
  <c r="Q15" i="8"/>
  <c r="Q16" i="8"/>
  <c r="Q17" i="8"/>
  <c r="Q18" i="8"/>
  <c r="Q19" i="8"/>
  <c r="Q20" i="8"/>
  <c r="Q21" i="8"/>
  <c r="Q22" i="8"/>
  <c r="Q23" i="8"/>
  <c r="Q24" i="8"/>
  <c r="Q25" i="8"/>
  <c r="Q26" i="8"/>
  <c r="Q27" i="8"/>
  <c r="Q28" i="8"/>
  <c r="Q29" i="8"/>
  <c r="Q30" i="8"/>
  <c r="Q31" i="8"/>
  <c r="Q32" i="8"/>
  <c r="Q33" i="8"/>
  <c r="Q34" i="8"/>
  <c r="Q35" i="8"/>
  <c r="Q36" i="8"/>
  <c r="Q37" i="8"/>
  <c r="Q38" i="8"/>
  <c r="Q39" i="8"/>
  <c r="Q40" i="8"/>
  <c r="Q41" i="8"/>
  <c r="Q42" i="8"/>
  <c r="Q43" i="8"/>
  <c r="Q44" i="8"/>
  <c r="Q45" i="8"/>
  <c r="Q46" i="8"/>
  <c r="Q47" i="8"/>
  <c r="Q48" i="8"/>
  <c r="Q49" i="8"/>
  <c r="Q50" i="8"/>
  <c r="Q51" i="8"/>
  <c r="Q52" i="8"/>
  <c r="Q53" i="8"/>
  <c r="Q54" i="8"/>
  <c r="Q55" i="8"/>
  <c r="Q56" i="8"/>
  <c r="Q57" i="8"/>
  <c r="Q58" i="8"/>
  <c r="Q59" i="8"/>
  <c r="Q60" i="8"/>
  <c r="Q61" i="8"/>
  <c r="Q62" i="8"/>
  <c r="Q63" i="8"/>
  <c r="Q64" i="8"/>
  <c r="Q65" i="8"/>
  <c r="Q66" i="8"/>
  <c r="Q67" i="8"/>
  <c r="Q68" i="8"/>
  <c r="Q69" i="8"/>
  <c r="Q70" i="8"/>
  <c r="Q71" i="8"/>
  <c r="Q72" i="8"/>
  <c r="Q73" i="8"/>
  <c r="Q74" i="8"/>
  <c r="Q75" i="8"/>
  <c r="Q76" i="8"/>
  <c r="Q77" i="8"/>
  <c r="Q78" i="8"/>
  <c r="Q79" i="8"/>
  <c r="Q80" i="8"/>
  <c r="Q81" i="8"/>
  <c r="Q82" i="8"/>
  <c r="Q83" i="8"/>
  <c r="Q84" i="8"/>
  <c r="Q85" i="8"/>
  <c r="Q86" i="8"/>
  <c r="Q87" i="8"/>
  <c r="Q88" i="8"/>
  <c r="Q89" i="8"/>
  <c r="Q90" i="8"/>
  <c r="Q91" i="8"/>
  <c r="Q92" i="8"/>
  <c r="Q93" i="8"/>
  <c r="Q94" i="8"/>
  <c r="Q95" i="8"/>
  <c r="Q96" i="8"/>
  <c r="Q97" i="8"/>
  <c r="Q98" i="8"/>
  <c r="Q99" i="8"/>
  <c r="Q100" i="8"/>
  <c r="Q101" i="8"/>
  <c r="Q102" i="8"/>
  <c r="Q103" i="8"/>
  <c r="Q104" i="8"/>
  <c r="Q105" i="8"/>
  <c r="Q106" i="8"/>
  <c r="Q107" i="8"/>
  <c r="Q108" i="8"/>
  <c r="Q109" i="8"/>
  <c r="Q110" i="8"/>
  <c r="Q111" i="8"/>
  <c r="Q112" i="8"/>
  <c r="Q113" i="8"/>
  <c r="Q114" i="8"/>
  <c r="Q115" i="8"/>
  <c r="Q116" i="8"/>
  <c r="Q117" i="8"/>
  <c r="Q118" i="8"/>
  <c r="Q119" i="8"/>
  <c r="Q120" i="8"/>
  <c r="Q121" i="8"/>
  <c r="Q122" i="8"/>
  <c r="Q123" i="8"/>
  <c r="Q124" i="8"/>
  <c r="Q125" i="8"/>
  <c r="Q126" i="8"/>
  <c r="Q127" i="8"/>
  <c r="Q128" i="8"/>
  <c r="Q129" i="8"/>
  <c r="Q130" i="8"/>
  <c r="Q131" i="8"/>
  <c r="Q132" i="8"/>
  <c r="Q133" i="8"/>
  <c r="Q134" i="8"/>
  <c r="Q135" i="8"/>
  <c r="Q136" i="8"/>
  <c r="Q137" i="8"/>
  <c r="Q138" i="8"/>
  <c r="Q139" i="8"/>
  <c r="Q140" i="8"/>
  <c r="Q141" i="8"/>
  <c r="Q142" i="8"/>
  <c r="Q143" i="8"/>
  <c r="Q144" i="8"/>
  <c r="Q145" i="8"/>
  <c r="Q146" i="8"/>
  <c r="Q147" i="8"/>
  <c r="Q148" i="8"/>
  <c r="Q149" i="8"/>
  <c r="Q150" i="8"/>
  <c r="Q151" i="8"/>
  <c r="Q152" i="8"/>
  <c r="Q153" i="8"/>
  <c r="Q154" i="8"/>
  <c r="Q155" i="8"/>
  <c r="Q156" i="8"/>
  <c r="Q157" i="8"/>
  <c r="Q158" i="8"/>
  <c r="Q159" i="8"/>
  <c r="Q160" i="8"/>
  <c r="Q161" i="8"/>
  <c r="Q162" i="8"/>
  <c r="Q163" i="8"/>
  <c r="Q164" i="8"/>
  <c r="Q165" i="8"/>
  <c r="Q166" i="8"/>
  <c r="Q167" i="8"/>
  <c r="Q168" i="8"/>
  <c r="Q169" i="8"/>
  <c r="Q170" i="8"/>
  <c r="Q171" i="8"/>
  <c r="Q172" i="8"/>
  <c r="Q173" i="8"/>
  <c r="Q174" i="8"/>
  <c r="Q175" i="8"/>
  <c r="Q176" i="8"/>
  <c r="Q177" i="8"/>
  <c r="Q178" i="8"/>
  <c r="Q179" i="8"/>
  <c r="Q180" i="8"/>
  <c r="Q181" i="8"/>
  <c r="Q182" i="8"/>
  <c r="Q9" i="8"/>
  <c r="N10" i="8"/>
  <c r="N11" i="8"/>
  <c r="N12" i="8"/>
  <c r="N13" i="8"/>
  <c r="N14" i="8"/>
  <c r="N15" i="8"/>
  <c r="N16" i="8"/>
  <c r="N17" i="8"/>
  <c r="N18" i="8"/>
  <c r="N19" i="8"/>
  <c r="N20" i="8"/>
  <c r="N21" i="8"/>
  <c r="N22" i="8"/>
  <c r="N23" i="8"/>
  <c r="N24" i="8"/>
  <c r="N25" i="8"/>
  <c r="N26" i="8"/>
  <c r="N27" i="8"/>
  <c r="N28" i="8"/>
  <c r="N29" i="8"/>
  <c r="N30" i="8"/>
  <c r="N31" i="8"/>
  <c r="N32" i="8"/>
  <c r="N33" i="8"/>
  <c r="N34" i="8"/>
  <c r="N35" i="8"/>
  <c r="N36" i="8"/>
  <c r="N37" i="8"/>
  <c r="N38" i="8"/>
  <c r="N39" i="8"/>
  <c r="N40" i="8"/>
  <c r="N41" i="8"/>
  <c r="N42" i="8"/>
  <c r="N43" i="8"/>
  <c r="N44" i="8"/>
  <c r="N45" i="8"/>
  <c r="N46" i="8"/>
  <c r="N47" i="8"/>
  <c r="N48" i="8"/>
  <c r="N49" i="8"/>
  <c r="N50" i="8"/>
  <c r="N51" i="8"/>
  <c r="N52" i="8"/>
  <c r="N53" i="8"/>
  <c r="N54" i="8"/>
  <c r="N55" i="8"/>
  <c r="N56" i="8"/>
  <c r="N57" i="8"/>
  <c r="N58" i="8"/>
  <c r="N59" i="8"/>
  <c r="N60" i="8"/>
  <c r="N61" i="8"/>
  <c r="N62" i="8"/>
  <c r="N63" i="8"/>
  <c r="N64" i="8"/>
  <c r="N65" i="8"/>
  <c r="N66" i="8"/>
  <c r="N67" i="8"/>
  <c r="N68" i="8"/>
  <c r="N69" i="8"/>
  <c r="N70" i="8"/>
  <c r="N71" i="8"/>
  <c r="N72" i="8"/>
  <c r="N73" i="8"/>
  <c r="N74" i="8"/>
  <c r="N75" i="8"/>
  <c r="N76" i="8"/>
  <c r="N77" i="8"/>
  <c r="N78" i="8"/>
  <c r="N79" i="8"/>
  <c r="N80" i="8"/>
  <c r="N81" i="8"/>
  <c r="N82" i="8"/>
  <c r="N83" i="8"/>
  <c r="N84" i="8"/>
  <c r="N85" i="8"/>
  <c r="N86" i="8"/>
  <c r="N87" i="8"/>
  <c r="N88" i="8"/>
  <c r="N89" i="8"/>
  <c r="N90" i="8"/>
  <c r="N91" i="8"/>
  <c r="N92" i="8"/>
  <c r="N93" i="8"/>
  <c r="N94" i="8"/>
  <c r="N95" i="8"/>
  <c r="N96" i="8"/>
  <c r="N97" i="8"/>
  <c r="N98" i="8"/>
  <c r="N99" i="8"/>
  <c r="N100" i="8"/>
  <c r="N101" i="8"/>
  <c r="N102" i="8"/>
  <c r="N103" i="8"/>
  <c r="N104" i="8"/>
  <c r="N105" i="8"/>
  <c r="N106" i="8"/>
  <c r="N107" i="8"/>
  <c r="N108" i="8"/>
  <c r="N109" i="8"/>
  <c r="N110" i="8"/>
  <c r="N111" i="8"/>
  <c r="N112" i="8"/>
  <c r="N113" i="8"/>
  <c r="N114" i="8"/>
  <c r="N115" i="8"/>
  <c r="N116" i="8"/>
  <c r="N117" i="8"/>
  <c r="N118" i="8"/>
  <c r="N119" i="8"/>
  <c r="N120" i="8"/>
  <c r="N121" i="8"/>
  <c r="N122" i="8"/>
  <c r="N123" i="8"/>
  <c r="N124" i="8"/>
  <c r="N125" i="8"/>
  <c r="N126" i="8"/>
  <c r="N127" i="8"/>
  <c r="N128" i="8"/>
  <c r="N129" i="8"/>
  <c r="N130" i="8"/>
  <c r="N131" i="8"/>
  <c r="N132" i="8"/>
  <c r="N133" i="8"/>
  <c r="N134" i="8"/>
  <c r="N135" i="8"/>
  <c r="N136" i="8"/>
  <c r="N137" i="8"/>
  <c r="N138" i="8"/>
  <c r="N139" i="8"/>
  <c r="N140" i="8"/>
  <c r="N141" i="8"/>
  <c r="N142" i="8"/>
  <c r="N143" i="8"/>
  <c r="N144" i="8"/>
  <c r="N145" i="8"/>
  <c r="N146" i="8"/>
  <c r="N147" i="8"/>
  <c r="N148" i="8"/>
  <c r="N149" i="8"/>
  <c r="N150" i="8"/>
  <c r="N151" i="8"/>
  <c r="N152" i="8"/>
  <c r="N153" i="8"/>
  <c r="N154" i="8"/>
  <c r="N155" i="8"/>
  <c r="N156" i="8"/>
  <c r="N157" i="8"/>
  <c r="N158" i="8"/>
  <c r="N159" i="8"/>
  <c r="N160" i="8"/>
  <c r="N161" i="8"/>
  <c r="N162" i="8"/>
  <c r="N163" i="8"/>
  <c r="N164" i="8"/>
  <c r="N165" i="8"/>
  <c r="N166" i="8"/>
  <c r="N167" i="8"/>
  <c r="N168" i="8"/>
  <c r="N169" i="8"/>
  <c r="N170" i="8"/>
  <c r="N171" i="8"/>
  <c r="N172" i="8"/>
  <c r="N173" i="8"/>
  <c r="N174" i="8"/>
  <c r="N175" i="8"/>
  <c r="N176" i="8"/>
  <c r="N177" i="8"/>
  <c r="N178" i="8"/>
  <c r="N179" i="8"/>
  <c r="N180" i="8"/>
  <c r="N181" i="8"/>
  <c r="N182" i="8"/>
  <c r="N9" i="8"/>
  <c r="K10" i="8"/>
  <c r="K11" i="8"/>
  <c r="K12" i="8"/>
  <c r="K13" i="8"/>
  <c r="K14" i="8"/>
  <c r="K15" i="8"/>
  <c r="K16" i="8"/>
  <c r="K17" i="8"/>
  <c r="K18" i="8"/>
  <c r="K19" i="8"/>
  <c r="K20" i="8"/>
  <c r="K21" i="8"/>
  <c r="K22" i="8"/>
  <c r="K23" i="8"/>
  <c r="K24" i="8"/>
  <c r="K25" i="8"/>
  <c r="K26" i="8"/>
  <c r="K27" i="8"/>
  <c r="K28" i="8"/>
  <c r="K29" i="8"/>
  <c r="K30" i="8"/>
  <c r="K31" i="8"/>
  <c r="K32" i="8"/>
  <c r="K33" i="8"/>
  <c r="K34" i="8"/>
  <c r="K35" i="8"/>
  <c r="K36" i="8"/>
  <c r="K37" i="8"/>
  <c r="K38" i="8"/>
  <c r="K39" i="8"/>
  <c r="K40" i="8"/>
  <c r="K41" i="8"/>
  <c r="K42" i="8"/>
  <c r="K43" i="8"/>
  <c r="K44" i="8"/>
  <c r="K45" i="8"/>
  <c r="K46" i="8"/>
  <c r="K47" i="8"/>
  <c r="K48" i="8"/>
  <c r="K49" i="8"/>
  <c r="K50" i="8"/>
  <c r="K51" i="8"/>
  <c r="K52" i="8"/>
  <c r="K53" i="8"/>
  <c r="K54" i="8"/>
  <c r="K55" i="8"/>
  <c r="K56" i="8"/>
  <c r="K57" i="8"/>
  <c r="K58" i="8"/>
  <c r="K59" i="8"/>
  <c r="K60" i="8"/>
  <c r="K61" i="8"/>
  <c r="K62" i="8"/>
  <c r="K63" i="8"/>
  <c r="K64" i="8"/>
  <c r="K65" i="8"/>
  <c r="K66" i="8"/>
  <c r="K67" i="8"/>
  <c r="K68" i="8"/>
  <c r="K69" i="8"/>
  <c r="K70" i="8"/>
  <c r="K71" i="8"/>
  <c r="K72" i="8"/>
  <c r="K73" i="8"/>
  <c r="K74" i="8"/>
  <c r="K75" i="8"/>
  <c r="K76" i="8"/>
  <c r="K77" i="8"/>
  <c r="K78" i="8"/>
  <c r="K79" i="8"/>
  <c r="K80" i="8"/>
  <c r="K81" i="8"/>
  <c r="K82" i="8"/>
  <c r="K83" i="8"/>
  <c r="K84" i="8"/>
  <c r="K85" i="8"/>
  <c r="K86" i="8"/>
  <c r="K87" i="8"/>
  <c r="K88" i="8"/>
  <c r="K89" i="8"/>
  <c r="K90" i="8"/>
  <c r="K91" i="8"/>
  <c r="K92" i="8"/>
  <c r="K93" i="8"/>
  <c r="K94" i="8"/>
  <c r="K95" i="8"/>
  <c r="K96" i="8"/>
  <c r="K97" i="8"/>
  <c r="K98" i="8"/>
  <c r="K99" i="8"/>
  <c r="K100" i="8"/>
  <c r="K101" i="8"/>
  <c r="K102" i="8"/>
  <c r="K103" i="8"/>
  <c r="K104" i="8"/>
  <c r="K105" i="8"/>
  <c r="K106" i="8"/>
  <c r="K107" i="8"/>
  <c r="K108" i="8"/>
  <c r="K109" i="8"/>
  <c r="K110" i="8"/>
  <c r="K111" i="8"/>
  <c r="K112" i="8"/>
  <c r="K113" i="8"/>
  <c r="K114" i="8"/>
  <c r="K115" i="8"/>
  <c r="K116" i="8"/>
  <c r="K117" i="8"/>
  <c r="K118" i="8"/>
  <c r="K119" i="8"/>
  <c r="K120" i="8"/>
  <c r="K121" i="8"/>
  <c r="K122" i="8"/>
  <c r="K123" i="8"/>
  <c r="K124" i="8"/>
  <c r="K125" i="8"/>
  <c r="K126" i="8"/>
  <c r="K127" i="8"/>
  <c r="K128" i="8"/>
  <c r="K129" i="8"/>
  <c r="K130" i="8"/>
  <c r="K131" i="8"/>
  <c r="K132" i="8"/>
  <c r="K133" i="8"/>
  <c r="K134" i="8"/>
  <c r="K135" i="8"/>
  <c r="K136" i="8"/>
  <c r="K137" i="8"/>
  <c r="K138" i="8"/>
  <c r="K139" i="8"/>
  <c r="K140" i="8"/>
  <c r="K141" i="8"/>
  <c r="K142" i="8"/>
  <c r="K143" i="8"/>
  <c r="K144" i="8"/>
  <c r="K145" i="8"/>
  <c r="K146" i="8"/>
  <c r="K147" i="8"/>
  <c r="K148" i="8"/>
  <c r="K149" i="8"/>
  <c r="K150" i="8"/>
  <c r="K151" i="8"/>
  <c r="K152" i="8"/>
  <c r="K153" i="8"/>
  <c r="K154" i="8"/>
  <c r="K155" i="8"/>
  <c r="K156" i="8"/>
  <c r="K157" i="8"/>
  <c r="K158" i="8"/>
  <c r="K159" i="8"/>
  <c r="K160" i="8"/>
  <c r="K161" i="8"/>
  <c r="K162" i="8"/>
  <c r="K163" i="8"/>
  <c r="K164" i="8"/>
  <c r="K165" i="8"/>
  <c r="K166" i="8"/>
  <c r="K167" i="8"/>
  <c r="K168" i="8"/>
  <c r="K169" i="8"/>
  <c r="K170" i="8"/>
  <c r="K171" i="8"/>
  <c r="K172" i="8"/>
  <c r="K173" i="8"/>
  <c r="K174" i="8"/>
  <c r="K175" i="8"/>
  <c r="K176" i="8"/>
  <c r="K177" i="8"/>
  <c r="K178" i="8"/>
  <c r="K179" i="8"/>
  <c r="K180" i="8"/>
  <c r="K181" i="8"/>
  <c r="K182" i="8"/>
  <c r="K9" i="8"/>
  <c r="T10" i="9"/>
  <c r="T11" i="9"/>
  <c r="T12" i="9"/>
  <c r="T13" i="9"/>
  <c r="T14" i="9"/>
  <c r="T15" i="9"/>
  <c r="T16" i="9"/>
  <c r="T17" i="9"/>
  <c r="T18" i="9"/>
  <c r="T19" i="9"/>
  <c r="T20" i="9"/>
  <c r="T21" i="9"/>
  <c r="T22" i="9"/>
  <c r="T23" i="9"/>
  <c r="T24" i="9"/>
  <c r="T25" i="9"/>
  <c r="T26" i="9"/>
  <c r="T27" i="9"/>
  <c r="T28" i="9"/>
  <c r="T29" i="9"/>
  <c r="T30" i="9"/>
  <c r="T31" i="9"/>
  <c r="T32" i="9"/>
  <c r="T33" i="9"/>
  <c r="T34" i="9"/>
  <c r="T35" i="9"/>
  <c r="T36" i="9"/>
  <c r="T37" i="9"/>
  <c r="T38" i="9"/>
  <c r="T39" i="9"/>
  <c r="T40" i="9"/>
  <c r="T41" i="9"/>
  <c r="T42" i="9"/>
  <c r="T43" i="9"/>
  <c r="T44" i="9"/>
  <c r="T45" i="9"/>
  <c r="T46" i="9"/>
  <c r="T47" i="9"/>
  <c r="T48" i="9"/>
  <c r="T49" i="9"/>
  <c r="T50" i="9"/>
  <c r="T51" i="9"/>
  <c r="T52" i="9"/>
  <c r="T53" i="9"/>
  <c r="T54" i="9"/>
  <c r="T55" i="9"/>
  <c r="T56" i="9"/>
  <c r="T57" i="9"/>
  <c r="T58" i="9"/>
  <c r="T59" i="9"/>
  <c r="T60" i="9"/>
  <c r="T61" i="9"/>
  <c r="T62" i="9"/>
  <c r="T63" i="9"/>
  <c r="T64" i="9"/>
  <c r="T65" i="9"/>
  <c r="T66" i="9"/>
  <c r="T67" i="9"/>
  <c r="T68" i="9"/>
  <c r="T69" i="9"/>
  <c r="T70" i="9"/>
  <c r="T71" i="9"/>
  <c r="T72" i="9"/>
  <c r="T73" i="9"/>
  <c r="T74" i="9"/>
  <c r="T75" i="9"/>
  <c r="T76" i="9"/>
  <c r="T77" i="9"/>
  <c r="T78" i="9"/>
  <c r="T79" i="9"/>
  <c r="T80" i="9"/>
  <c r="T81" i="9"/>
  <c r="T82" i="9"/>
  <c r="T83" i="9"/>
  <c r="T84" i="9"/>
  <c r="T85" i="9"/>
  <c r="T86" i="9"/>
  <c r="T87" i="9"/>
  <c r="T88" i="9"/>
  <c r="T89" i="9"/>
  <c r="T90" i="9"/>
  <c r="T91" i="9"/>
  <c r="T92" i="9"/>
  <c r="T93" i="9"/>
  <c r="T94" i="9"/>
  <c r="T95" i="9"/>
  <c r="T96" i="9"/>
  <c r="T97" i="9"/>
  <c r="T98" i="9"/>
  <c r="T99" i="9"/>
  <c r="T100" i="9"/>
  <c r="T101" i="9"/>
  <c r="T102" i="9"/>
  <c r="T103" i="9"/>
  <c r="T104" i="9"/>
  <c r="T105" i="9"/>
  <c r="T106" i="9"/>
  <c r="T107" i="9"/>
  <c r="T108" i="9"/>
  <c r="T109" i="9"/>
  <c r="T110" i="9"/>
  <c r="T111" i="9"/>
  <c r="T112" i="9"/>
  <c r="T113" i="9"/>
  <c r="T114" i="9"/>
  <c r="T115" i="9"/>
  <c r="T116" i="9"/>
  <c r="T117" i="9"/>
  <c r="T118" i="9"/>
  <c r="T119" i="9"/>
  <c r="T120" i="9"/>
  <c r="T121" i="9"/>
  <c r="T122" i="9"/>
  <c r="T123" i="9"/>
  <c r="T124" i="9"/>
  <c r="T125" i="9"/>
  <c r="T126" i="9"/>
  <c r="T127" i="9"/>
  <c r="T128" i="9"/>
  <c r="T129" i="9"/>
  <c r="T130" i="9"/>
  <c r="T131" i="9"/>
  <c r="T132" i="9"/>
  <c r="T133" i="9"/>
  <c r="T134" i="9"/>
  <c r="T135" i="9"/>
  <c r="T136" i="9"/>
  <c r="T137" i="9"/>
  <c r="T138" i="9"/>
  <c r="T139" i="9"/>
  <c r="T140" i="9"/>
  <c r="T141" i="9"/>
  <c r="T142" i="9"/>
  <c r="T143" i="9"/>
  <c r="T144" i="9"/>
  <c r="T145" i="9"/>
  <c r="T146" i="9"/>
  <c r="T147" i="9"/>
  <c r="T148" i="9"/>
  <c r="T149" i="9"/>
  <c r="T150" i="9"/>
  <c r="T151" i="9"/>
  <c r="T152" i="9"/>
  <c r="T153" i="9"/>
  <c r="T154" i="9"/>
  <c r="T155" i="9"/>
  <c r="T156" i="9"/>
  <c r="T157" i="9"/>
  <c r="T158" i="9"/>
  <c r="T159" i="9"/>
  <c r="T160" i="9"/>
  <c r="T161" i="9"/>
  <c r="T162" i="9"/>
  <c r="T163" i="9"/>
  <c r="T164" i="9"/>
  <c r="T165" i="9"/>
  <c r="T166" i="9"/>
  <c r="T167" i="9"/>
  <c r="T168" i="9"/>
  <c r="T9" i="9"/>
  <c r="Q10" i="9"/>
  <c r="Q11" i="9"/>
  <c r="Q12" i="9"/>
  <c r="Q13" i="9"/>
  <c r="Q14" i="9"/>
  <c r="Q15" i="9"/>
  <c r="Q16" i="9"/>
  <c r="Q17" i="9"/>
  <c r="Q18" i="9"/>
  <c r="Q19" i="9"/>
  <c r="Q20" i="9"/>
  <c r="Q21" i="9"/>
  <c r="Q22" i="9"/>
  <c r="Q23" i="9"/>
  <c r="Q24" i="9"/>
  <c r="Q25" i="9"/>
  <c r="Q26" i="9"/>
  <c r="Q27" i="9"/>
  <c r="Q28" i="9"/>
  <c r="Q29" i="9"/>
  <c r="Q30" i="9"/>
  <c r="Q31" i="9"/>
  <c r="Q32" i="9"/>
  <c r="Q33" i="9"/>
  <c r="Q34" i="9"/>
  <c r="Q35" i="9"/>
  <c r="Q36" i="9"/>
  <c r="Q37" i="9"/>
  <c r="Q38" i="9"/>
  <c r="Q39" i="9"/>
  <c r="Q40" i="9"/>
  <c r="Q41" i="9"/>
  <c r="Q42" i="9"/>
  <c r="Q43" i="9"/>
  <c r="Q44" i="9"/>
  <c r="Q45" i="9"/>
  <c r="Q46" i="9"/>
  <c r="Q47" i="9"/>
  <c r="Q48" i="9"/>
  <c r="Q49" i="9"/>
  <c r="Q50" i="9"/>
  <c r="Q51" i="9"/>
  <c r="Q52" i="9"/>
  <c r="Q53" i="9"/>
  <c r="Q54" i="9"/>
  <c r="Q55" i="9"/>
  <c r="Q56" i="9"/>
  <c r="Q57" i="9"/>
  <c r="Q58" i="9"/>
  <c r="Q59" i="9"/>
  <c r="Q60" i="9"/>
  <c r="Q61" i="9"/>
  <c r="Q62" i="9"/>
  <c r="Q63" i="9"/>
  <c r="Q64" i="9"/>
  <c r="Q65" i="9"/>
  <c r="Q66" i="9"/>
  <c r="Q67" i="9"/>
  <c r="Q68" i="9"/>
  <c r="Q69" i="9"/>
  <c r="Q70" i="9"/>
  <c r="Q71" i="9"/>
  <c r="Q72" i="9"/>
  <c r="Q73" i="9"/>
  <c r="Q74" i="9"/>
  <c r="Q75" i="9"/>
  <c r="Q76" i="9"/>
  <c r="Q77" i="9"/>
  <c r="Q78" i="9"/>
  <c r="Q79" i="9"/>
  <c r="Q80" i="9"/>
  <c r="Q81" i="9"/>
  <c r="Q82" i="9"/>
  <c r="Q83" i="9"/>
  <c r="Q84" i="9"/>
  <c r="Q85" i="9"/>
  <c r="Q86" i="9"/>
  <c r="Q87" i="9"/>
  <c r="Q88" i="9"/>
  <c r="Q89" i="9"/>
  <c r="Q90" i="9"/>
  <c r="Q91" i="9"/>
  <c r="Q92" i="9"/>
  <c r="Q93" i="9"/>
  <c r="Q94" i="9"/>
  <c r="Q95" i="9"/>
  <c r="Q96" i="9"/>
  <c r="Q97" i="9"/>
  <c r="Q98" i="9"/>
  <c r="Q99" i="9"/>
  <c r="Q100" i="9"/>
  <c r="Q101" i="9"/>
  <c r="Q102" i="9"/>
  <c r="Q103" i="9"/>
  <c r="Q104" i="9"/>
  <c r="Q105" i="9"/>
  <c r="Q106" i="9"/>
  <c r="Q107" i="9"/>
  <c r="Q108" i="9"/>
  <c r="Q109" i="9"/>
  <c r="Q110" i="9"/>
  <c r="Q111" i="9"/>
  <c r="Q112" i="9"/>
  <c r="Q113" i="9"/>
  <c r="Q114" i="9"/>
  <c r="Q115" i="9"/>
  <c r="Q116" i="9"/>
  <c r="Q117" i="9"/>
  <c r="Q118" i="9"/>
  <c r="Q119" i="9"/>
  <c r="Q120" i="9"/>
  <c r="Q121" i="9"/>
  <c r="Q122" i="9"/>
  <c r="Q123" i="9"/>
  <c r="Q124" i="9"/>
  <c r="Q125" i="9"/>
  <c r="Q126" i="9"/>
  <c r="Q127" i="9"/>
  <c r="Q128" i="9"/>
  <c r="Q129" i="9"/>
  <c r="Q130" i="9"/>
  <c r="Q131" i="9"/>
  <c r="Q132" i="9"/>
  <c r="Q133" i="9"/>
  <c r="Q134" i="9"/>
  <c r="Q135" i="9"/>
  <c r="Q136" i="9"/>
  <c r="Q137" i="9"/>
  <c r="Q138" i="9"/>
  <c r="Q139" i="9"/>
  <c r="Q140" i="9"/>
  <c r="Q141" i="9"/>
  <c r="Q142" i="9"/>
  <c r="Q143" i="9"/>
  <c r="Q144" i="9"/>
  <c r="Q145" i="9"/>
  <c r="Q146" i="9"/>
  <c r="Q147" i="9"/>
  <c r="Q148" i="9"/>
  <c r="Q149" i="9"/>
  <c r="Q150" i="9"/>
  <c r="Q151" i="9"/>
  <c r="Q152" i="9"/>
  <c r="Q153" i="9"/>
  <c r="Q154" i="9"/>
  <c r="Q155" i="9"/>
  <c r="Q156" i="9"/>
  <c r="Q157" i="9"/>
  <c r="Q158" i="9"/>
  <c r="Q159" i="9"/>
  <c r="Q160" i="9"/>
  <c r="Q161" i="9"/>
  <c r="Q162" i="9"/>
  <c r="Q163" i="9"/>
  <c r="Q164" i="9"/>
  <c r="Q165" i="9"/>
  <c r="Q166" i="9"/>
  <c r="Q167" i="9"/>
  <c r="Q168" i="9"/>
  <c r="Q9" i="9"/>
  <c r="N10" i="9"/>
  <c r="N11" i="9"/>
  <c r="N12" i="9"/>
  <c r="N13" i="9"/>
  <c r="N14" i="9"/>
  <c r="N15" i="9"/>
  <c r="N16" i="9"/>
  <c r="N17" i="9"/>
  <c r="N18" i="9"/>
  <c r="N19" i="9"/>
  <c r="N20" i="9"/>
  <c r="N21" i="9"/>
  <c r="N22" i="9"/>
  <c r="N23" i="9"/>
  <c r="N24" i="9"/>
  <c r="N25" i="9"/>
  <c r="N26" i="9"/>
  <c r="N27" i="9"/>
  <c r="N28" i="9"/>
  <c r="N29" i="9"/>
  <c r="N30" i="9"/>
  <c r="N31" i="9"/>
  <c r="N32" i="9"/>
  <c r="N33" i="9"/>
  <c r="N34" i="9"/>
  <c r="N35" i="9"/>
  <c r="N36" i="9"/>
  <c r="N37" i="9"/>
  <c r="N38" i="9"/>
  <c r="N39" i="9"/>
  <c r="N40" i="9"/>
  <c r="N41" i="9"/>
  <c r="N42" i="9"/>
  <c r="N43" i="9"/>
  <c r="N44" i="9"/>
  <c r="N45" i="9"/>
  <c r="N46" i="9"/>
  <c r="N47" i="9"/>
  <c r="N48" i="9"/>
  <c r="N49" i="9"/>
  <c r="N50" i="9"/>
  <c r="N51" i="9"/>
  <c r="N52" i="9"/>
  <c r="N53" i="9"/>
  <c r="N54" i="9"/>
  <c r="N55" i="9"/>
  <c r="N56" i="9"/>
  <c r="N57" i="9"/>
  <c r="N58" i="9"/>
  <c r="N59" i="9"/>
  <c r="N60" i="9"/>
  <c r="N61" i="9"/>
  <c r="N62" i="9"/>
  <c r="N63" i="9"/>
  <c r="N64" i="9"/>
  <c r="N65" i="9"/>
  <c r="N66" i="9"/>
  <c r="N67" i="9"/>
  <c r="N68" i="9"/>
  <c r="N69" i="9"/>
  <c r="N70" i="9"/>
  <c r="N71" i="9"/>
  <c r="N72" i="9"/>
  <c r="N73" i="9"/>
  <c r="N74" i="9"/>
  <c r="N75" i="9"/>
  <c r="N76" i="9"/>
  <c r="N77" i="9"/>
  <c r="N78" i="9"/>
  <c r="N79" i="9"/>
  <c r="N80" i="9"/>
  <c r="N81" i="9"/>
  <c r="N82" i="9"/>
  <c r="N83" i="9"/>
  <c r="N84" i="9"/>
  <c r="N85" i="9"/>
  <c r="N86" i="9"/>
  <c r="N87" i="9"/>
  <c r="N88" i="9"/>
  <c r="N89" i="9"/>
  <c r="N90" i="9"/>
  <c r="N91" i="9"/>
  <c r="N92" i="9"/>
  <c r="N93" i="9"/>
  <c r="N94" i="9"/>
  <c r="N95" i="9"/>
  <c r="N96" i="9"/>
  <c r="N97" i="9"/>
  <c r="N98" i="9"/>
  <c r="N99" i="9"/>
  <c r="N100" i="9"/>
  <c r="N101" i="9"/>
  <c r="N102" i="9"/>
  <c r="N103" i="9"/>
  <c r="N104" i="9"/>
  <c r="N105" i="9"/>
  <c r="N106" i="9"/>
  <c r="N107" i="9"/>
  <c r="N108" i="9"/>
  <c r="N109" i="9"/>
  <c r="N110" i="9"/>
  <c r="N111" i="9"/>
  <c r="N112" i="9"/>
  <c r="N113" i="9"/>
  <c r="N114" i="9"/>
  <c r="N115" i="9"/>
  <c r="N116" i="9"/>
  <c r="N117" i="9"/>
  <c r="N118" i="9"/>
  <c r="N119" i="9"/>
  <c r="N120" i="9"/>
  <c r="N121" i="9"/>
  <c r="N122" i="9"/>
  <c r="N123" i="9"/>
  <c r="N124" i="9"/>
  <c r="N125" i="9"/>
  <c r="N126" i="9"/>
  <c r="N127" i="9"/>
  <c r="N128" i="9"/>
  <c r="N129" i="9"/>
  <c r="N130" i="9"/>
  <c r="N131" i="9"/>
  <c r="N132" i="9"/>
  <c r="N133" i="9"/>
  <c r="N134" i="9"/>
  <c r="N135" i="9"/>
  <c r="N136" i="9"/>
  <c r="N137" i="9"/>
  <c r="N138" i="9"/>
  <c r="N139" i="9"/>
  <c r="N140" i="9"/>
  <c r="N141" i="9"/>
  <c r="N142" i="9"/>
  <c r="N143" i="9"/>
  <c r="N144" i="9"/>
  <c r="N145" i="9"/>
  <c r="N146" i="9"/>
  <c r="N147" i="9"/>
  <c r="N148" i="9"/>
  <c r="N149" i="9"/>
  <c r="N150" i="9"/>
  <c r="N151" i="9"/>
  <c r="N152" i="9"/>
  <c r="N153" i="9"/>
  <c r="N154" i="9"/>
  <c r="N155" i="9"/>
  <c r="N156" i="9"/>
  <c r="N157" i="9"/>
  <c r="N158" i="9"/>
  <c r="N159" i="9"/>
  <c r="N160" i="9"/>
  <c r="N161" i="9"/>
  <c r="N162" i="9"/>
  <c r="N163" i="9"/>
  <c r="N164" i="9"/>
  <c r="N165" i="9"/>
  <c r="N166" i="9"/>
  <c r="N167" i="9"/>
  <c r="N168" i="9"/>
  <c r="N9" i="9"/>
  <c r="K10" i="9"/>
  <c r="K11" i="9"/>
  <c r="K12" i="9"/>
  <c r="K13" i="9"/>
  <c r="K14" i="9"/>
  <c r="K15" i="9"/>
  <c r="K16" i="9"/>
  <c r="K17" i="9"/>
  <c r="K18" i="9"/>
  <c r="K19" i="9"/>
  <c r="K20" i="9"/>
  <c r="K21" i="9"/>
  <c r="K22" i="9"/>
  <c r="K23" i="9"/>
  <c r="K24" i="9"/>
  <c r="K25" i="9"/>
  <c r="K26" i="9"/>
  <c r="K27" i="9"/>
  <c r="K28" i="9"/>
  <c r="K29" i="9"/>
  <c r="K30" i="9"/>
  <c r="K31" i="9"/>
  <c r="K32" i="9"/>
  <c r="K33" i="9"/>
  <c r="K34" i="9"/>
  <c r="K35" i="9"/>
  <c r="K36" i="9"/>
  <c r="K37" i="9"/>
  <c r="K38" i="9"/>
  <c r="K39" i="9"/>
  <c r="K40" i="9"/>
  <c r="K41" i="9"/>
  <c r="K42" i="9"/>
  <c r="K43" i="9"/>
  <c r="K44" i="9"/>
  <c r="K45" i="9"/>
  <c r="K46" i="9"/>
  <c r="K47" i="9"/>
  <c r="K48" i="9"/>
  <c r="K49" i="9"/>
  <c r="K50" i="9"/>
  <c r="K51" i="9"/>
  <c r="K52" i="9"/>
  <c r="K53" i="9"/>
  <c r="K54" i="9"/>
  <c r="K55" i="9"/>
  <c r="K56" i="9"/>
  <c r="K57" i="9"/>
  <c r="K58" i="9"/>
  <c r="K59" i="9"/>
  <c r="K60" i="9"/>
  <c r="K61" i="9"/>
  <c r="K62" i="9"/>
  <c r="K63" i="9"/>
  <c r="K64" i="9"/>
  <c r="K65" i="9"/>
  <c r="K66" i="9"/>
  <c r="K67" i="9"/>
  <c r="K68" i="9"/>
  <c r="K69" i="9"/>
  <c r="K70" i="9"/>
  <c r="K71" i="9"/>
  <c r="K72" i="9"/>
  <c r="K73" i="9"/>
  <c r="K74" i="9"/>
  <c r="K75" i="9"/>
  <c r="K76" i="9"/>
  <c r="K77" i="9"/>
  <c r="K78" i="9"/>
  <c r="K79" i="9"/>
  <c r="K80" i="9"/>
  <c r="K81" i="9"/>
  <c r="K82" i="9"/>
  <c r="K83" i="9"/>
  <c r="K84" i="9"/>
  <c r="K85" i="9"/>
  <c r="K86" i="9"/>
  <c r="K87" i="9"/>
  <c r="K88" i="9"/>
  <c r="K89" i="9"/>
  <c r="K90" i="9"/>
  <c r="K91" i="9"/>
  <c r="K92" i="9"/>
  <c r="K93" i="9"/>
  <c r="K94" i="9"/>
  <c r="K95" i="9"/>
  <c r="K96" i="9"/>
  <c r="K97" i="9"/>
  <c r="K98" i="9"/>
  <c r="K99" i="9"/>
  <c r="K100" i="9"/>
  <c r="K101" i="9"/>
  <c r="K102" i="9"/>
  <c r="K103" i="9"/>
  <c r="K104" i="9"/>
  <c r="K105" i="9"/>
  <c r="K106" i="9"/>
  <c r="K107" i="9"/>
  <c r="K108" i="9"/>
  <c r="K109" i="9"/>
  <c r="K110" i="9"/>
  <c r="K111" i="9"/>
  <c r="K112" i="9"/>
  <c r="K113" i="9"/>
  <c r="K114" i="9"/>
  <c r="K115" i="9"/>
  <c r="K116" i="9"/>
  <c r="K117" i="9"/>
  <c r="K118" i="9"/>
  <c r="K119" i="9"/>
  <c r="K120" i="9"/>
  <c r="K121" i="9"/>
  <c r="K122" i="9"/>
  <c r="K123" i="9"/>
  <c r="K124" i="9"/>
  <c r="K125" i="9"/>
  <c r="K126" i="9"/>
  <c r="K127" i="9"/>
  <c r="K128" i="9"/>
  <c r="K129" i="9"/>
  <c r="K130" i="9"/>
  <c r="K131" i="9"/>
  <c r="K132" i="9"/>
  <c r="K133" i="9"/>
  <c r="K134" i="9"/>
  <c r="K135" i="9"/>
  <c r="K136" i="9"/>
  <c r="K137" i="9"/>
  <c r="K138" i="9"/>
  <c r="K139" i="9"/>
  <c r="K140" i="9"/>
  <c r="K141" i="9"/>
  <c r="K142" i="9"/>
  <c r="K143" i="9"/>
  <c r="K144" i="9"/>
  <c r="K145" i="9"/>
  <c r="K146" i="9"/>
  <c r="K147" i="9"/>
  <c r="K148" i="9"/>
  <c r="K149" i="9"/>
  <c r="K150" i="9"/>
  <c r="K151" i="9"/>
  <c r="K152" i="9"/>
  <c r="K153" i="9"/>
  <c r="K154" i="9"/>
  <c r="K155" i="9"/>
  <c r="K156" i="9"/>
  <c r="K157" i="9"/>
  <c r="K158" i="9"/>
  <c r="K159" i="9"/>
  <c r="K160" i="9"/>
  <c r="K161" i="9"/>
  <c r="K162" i="9"/>
  <c r="K163" i="9"/>
  <c r="K164" i="9"/>
  <c r="K165" i="9"/>
  <c r="K166" i="9"/>
  <c r="K167" i="9"/>
  <c r="K168" i="9"/>
  <c r="K9" i="9"/>
  <c r="S10" i="1"/>
  <c r="S11" i="1"/>
  <c r="S12" i="1"/>
  <c r="S13" i="1"/>
  <c r="S14" i="1"/>
  <c r="S15" i="1"/>
  <c r="S16" i="1"/>
  <c r="S17" i="1"/>
  <c r="S18" i="1"/>
  <c r="S19" i="1"/>
  <c r="S20" i="1"/>
  <c r="S21" i="1"/>
  <c r="S22" i="1"/>
  <c r="S23" i="1"/>
  <c r="S24" i="1"/>
  <c r="S25" i="1"/>
  <c r="S26" i="1"/>
  <c r="S27" i="1"/>
  <c r="S28" i="1"/>
  <c r="S29" i="1"/>
  <c r="S30" i="1"/>
  <c r="S31" i="1"/>
  <c r="S32" i="1"/>
  <c r="S33" i="1"/>
  <c r="S34" i="1"/>
  <c r="S35" i="1"/>
  <c r="S36" i="1"/>
  <c r="S37" i="1"/>
  <c r="S38" i="1"/>
  <c r="S39" i="1"/>
  <c r="S40" i="1"/>
  <c r="S41" i="1"/>
  <c r="S42" i="1"/>
  <c r="S43" i="1"/>
  <c r="S44" i="1"/>
  <c r="S45" i="1"/>
  <c r="S46" i="1"/>
  <c r="S47" i="1"/>
  <c r="S48" i="1"/>
  <c r="S49" i="1"/>
  <c r="S50" i="1"/>
  <c r="S51" i="1"/>
  <c r="S52" i="1"/>
  <c r="S53" i="1"/>
  <c r="S54" i="1"/>
  <c r="S55" i="1"/>
  <c r="S56" i="1"/>
  <c r="S57" i="1"/>
  <c r="S58" i="1"/>
  <c r="S59" i="1"/>
  <c r="S60" i="1"/>
  <c r="S61" i="1"/>
  <c r="S62" i="1"/>
  <c r="S63" i="1"/>
  <c r="S64" i="1"/>
  <c r="S65" i="1"/>
  <c r="S66" i="1"/>
  <c r="S67" i="1"/>
  <c r="S68" i="1"/>
  <c r="S69" i="1"/>
  <c r="S70" i="1"/>
  <c r="S71" i="1"/>
  <c r="S72" i="1"/>
  <c r="S73" i="1"/>
  <c r="S74" i="1"/>
  <c r="S75" i="1"/>
  <c r="S76" i="1"/>
  <c r="S77" i="1"/>
  <c r="S78" i="1"/>
  <c r="S79" i="1"/>
  <c r="S80" i="1"/>
  <c r="S81" i="1"/>
  <c r="S82" i="1"/>
  <c r="S83" i="1"/>
  <c r="S84" i="1"/>
  <c r="S85" i="1"/>
  <c r="S86" i="1"/>
  <c r="S87" i="1"/>
  <c r="S88" i="1"/>
  <c r="S89" i="1"/>
  <c r="S90" i="1"/>
  <c r="S91" i="1"/>
  <c r="S92" i="1"/>
  <c r="S93" i="1"/>
  <c r="S94" i="1"/>
  <c r="S95" i="1"/>
  <c r="S96" i="1"/>
  <c r="S97" i="1"/>
  <c r="S98" i="1"/>
  <c r="S99" i="1"/>
  <c r="S100" i="1"/>
  <c r="S101" i="1"/>
  <c r="S102" i="1"/>
  <c r="S103" i="1"/>
  <c r="S104" i="1"/>
  <c r="S105" i="1"/>
  <c r="S106" i="1"/>
  <c r="S107" i="1"/>
  <c r="S108" i="1"/>
  <c r="S109" i="1"/>
  <c r="S110" i="1"/>
  <c r="S111" i="1"/>
  <c r="S112" i="1"/>
  <c r="S113" i="1"/>
  <c r="S114" i="1"/>
  <c r="S115" i="1"/>
  <c r="S116" i="1"/>
  <c r="S117" i="1"/>
  <c r="S118" i="1"/>
  <c r="S119" i="1"/>
  <c r="S120" i="1"/>
  <c r="S121" i="1"/>
  <c r="S122" i="1"/>
  <c r="S123" i="1"/>
  <c r="S124" i="1"/>
  <c r="S125" i="1"/>
  <c r="S126" i="1"/>
  <c r="S127" i="1"/>
  <c r="S128" i="1"/>
  <c r="S129" i="1"/>
  <c r="S130" i="1"/>
  <c r="S131" i="1"/>
  <c r="S132" i="1"/>
  <c r="S133" i="1"/>
  <c r="S134" i="1"/>
  <c r="S135" i="1"/>
  <c r="S136" i="1"/>
  <c r="S137" i="1"/>
  <c r="S138" i="1"/>
  <c r="S139" i="1"/>
  <c r="S140" i="1"/>
  <c r="S141" i="1"/>
  <c r="S142" i="1"/>
  <c r="S143" i="1"/>
  <c r="S144" i="1"/>
  <c r="S145" i="1"/>
  <c r="S146" i="1"/>
  <c r="S147" i="1"/>
  <c r="S148" i="1"/>
  <c r="S149" i="1"/>
  <c r="S150" i="1"/>
  <c r="S151" i="1"/>
  <c r="S152" i="1"/>
  <c r="S153" i="1"/>
  <c r="S154" i="1"/>
  <c r="S155" i="1"/>
  <c r="S156" i="1"/>
  <c r="S157" i="1"/>
  <c r="S158" i="1"/>
  <c r="S159" i="1"/>
  <c r="S160" i="1"/>
  <c r="S161" i="1"/>
  <c r="S162" i="1"/>
  <c r="S163" i="1"/>
  <c r="S164" i="1"/>
  <c r="S165" i="1"/>
  <c r="S166" i="1"/>
  <c r="S167" i="1"/>
  <c r="S168" i="1"/>
  <c r="S169" i="1"/>
  <c r="S170" i="1"/>
  <c r="S171" i="1"/>
  <c r="S172" i="1"/>
  <c r="S173" i="1"/>
  <c r="S174" i="1"/>
  <c r="S175" i="1"/>
  <c r="S176" i="1"/>
  <c r="S177" i="1"/>
  <c r="S178" i="1"/>
  <c r="S179" i="1"/>
  <c r="S180" i="1"/>
  <c r="S181" i="1"/>
  <c r="S182" i="1"/>
  <c r="S183" i="1"/>
  <c r="S184" i="1"/>
  <c r="S185" i="1"/>
  <c r="S186" i="1"/>
  <c r="S187" i="1"/>
  <c r="S188" i="1"/>
  <c r="S189" i="1"/>
  <c r="S190" i="1"/>
  <c r="S191" i="1"/>
  <c r="S192" i="1"/>
  <c r="S193" i="1"/>
  <c r="S194" i="1"/>
  <c r="S195" i="1"/>
  <c r="S196" i="1"/>
  <c r="S197" i="1"/>
  <c r="S198" i="1"/>
  <c r="S199" i="1"/>
  <c r="S200" i="1"/>
  <c r="S201" i="1"/>
  <c r="S202" i="1"/>
  <c r="S203" i="1"/>
  <c r="S204" i="1"/>
  <c r="S205" i="1"/>
  <c r="S206" i="1"/>
  <c r="S207" i="1"/>
  <c r="S208" i="1"/>
  <c r="S209" i="1"/>
  <c r="S210" i="1"/>
  <c r="S211" i="1"/>
  <c r="S212" i="1"/>
  <c r="S213" i="1"/>
  <c r="S214" i="1"/>
  <c r="S215" i="1"/>
  <c r="S216" i="1"/>
  <c r="S217" i="1"/>
  <c r="S218" i="1"/>
  <c r="S219" i="1"/>
  <c r="S220" i="1"/>
  <c r="S221" i="1"/>
  <c r="S222" i="1"/>
  <c r="S223" i="1"/>
  <c r="S224" i="1"/>
  <c r="S225" i="1"/>
  <c r="S226" i="1"/>
  <c r="S227" i="1"/>
  <c r="S228" i="1"/>
  <c r="S229" i="1"/>
  <c r="S230" i="1"/>
  <c r="S231" i="1"/>
  <c r="S232" i="1"/>
  <c r="S233" i="1"/>
  <c r="S234" i="1"/>
  <c r="S235" i="1"/>
  <c r="S236" i="1"/>
  <c r="S237" i="1"/>
  <c r="S238" i="1"/>
  <c r="S239" i="1"/>
  <c r="S240" i="1"/>
  <c r="S241" i="1"/>
  <c r="S242" i="1"/>
  <c r="S243" i="1"/>
  <c r="S244" i="1"/>
  <c r="S245" i="1"/>
  <c r="S246" i="1"/>
  <c r="S247" i="1"/>
  <c r="S248" i="1"/>
  <c r="S249" i="1"/>
  <c r="S250" i="1"/>
  <c r="S251" i="1"/>
  <c r="S252" i="1"/>
  <c r="S9" i="1"/>
  <c r="P10" i="1"/>
  <c r="P11" i="1"/>
  <c r="P12" i="1"/>
  <c r="P13" i="1"/>
  <c r="P14" i="1"/>
  <c r="P15" i="1"/>
  <c r="P16" i="1"/>
  <c r="P17" i="1"/>
  <c r="P18" i="1"/>
  <c r="P19" i="1"/>
  <c r="P20" i="1"/>
  <c r="P21" i="1"/>
  <c r="P22" i="1"/>
  <c r="P23" i="1"/>
  <c r="P24" i="1"/>
  <c r="P25" i="1"/>
  <c r="P26" i="1"/>
  <c r="P27" i="1"/>
  <c r="P28" i="1"/>
  <c r="P29" i="1"/>
  <c r="P30" i="1"/>
  <c r="P31" i="1"/>
  <c r="P32" i="1"/>
  <c r="P33" i="1"/>
  <c r="P34" i="1"/>
  <c r="P35" i="1"/>
  <c r="P36" i="1"/>
  <c r="P37" i="1"/>
  <c r="P38" i="1"/>
  <c r="P39" i="1"/>
  <c r="P40" i="1"/>
  <c r="P41" i="1"/>
  <c r="P42" i="1"/>
  <c r="P43" i="1"/>
  <c r="P44" i="1"/>
  <c r="P45" i="1"/>
  <c r="P46" i="1"/>
  <c r="P47" i="1"/>
  <c r="P48" i="1"/>
  <c r="P49" i="1"/>
  <c r="P50" i="1"/>
  <c r="P51" i="1"/>
  <c r="P52" i="1"/>
  <c r="P53" i="1"/>
  <c r="P54" i="1"/>
  <c r="P55" i="1"/>
  <c r="P56" i="1"/>
  <c r="P57" i="1"/>
  <c r="P58" i="1"/>
  <c r="P59" i="1"/>
  <c r="P60" i="1"/>
  <c r="P61" i="1"/>
  <c r="P62" i="1"/>
  <c r="P63" i="1"/>
  <c r="P64" i="1"/>
  <c r="P65" i="1"/>
  <c r="P66" i="1"/>
  <c r="P67" i="1"/>
  <c r="P68" i="1"/>
  <c r="P69" i="1"/>
  <c r="P70" i="1"/>
  <c r="P71" i="1"/>
  <c r="P72" i="1"/>
  <c r="P73" i="1"/>
  <c r="P74" i="1"/>
  <c r="P75" i="1"/>
  <c r="P76" i="1"/>
  <c r="P77" i="1"/>
  <c r="P78" i="1"/>
  <c r="P79" i="1"/>
  <c r="P80" i="1"/>
  <c r="P81" i="1"/>
  <c r="P82" i="1"/>
  <c r="P83" i="1"/>
  <c r="P84" i="1"/>
  <c r="P85" i="1"/>
  <c r="P86" i="1"/>
  <c r="P87" i="1"/>
  <c r="P88" i="1"/>
  <c r="P89" i="1"/>
  <c r="P90" i="1"/>
  <c r="P91" i="1"/>
  <c r="P92" i="1"/>
  <c r="P93" i="1"/>
  <c r="P94" i="1"/>
  <c r="P95" i="1"/>
  <c r="P96" i="1"/>
  <c r="P97" i="1"/>
  <c r="P98" i="1"/>
  <c r="P99" i="1"/>
  <c r="P100" i="1"/>
  <c r="P101" i="1"/>
  <c r="P102" i="1"/>
  <c r="P103" i="1"/>
  <c r="P104" i="1"/>
  <c r="P105" i="1"/>
  <c r="P106" i="1"/>
  <c r="P107" i="1"/>
  <c r="P108" i="1"/>
  <c r="P109" i="1"/>
  <c r="P110" i="1"/>
  <c r="P111" i="1"/>
  <c r="P112" i="1"/>
  <c r="P113" i="1"/>
  <c r="P114" i="1"/>
  <c r="P115" i="1"/>
  <c r="P116" i="1"/>
  <c r="P117" i="1"/>
  <c r="P118" i="1"/>
  <c r="P119" i="1"/>
  <c r="P120" i="1"/>
  <c r="P121" i="1"/>
  <c r="P122" i="1"/>
  <c r="P123" i="1"/>
  <c r="P124" i="1"/>
  <c r="P125" i="1"/>
  <c r="P126" i="1"/>
  <c r="P127" i="1"/>
  <c r="P128" i="1"/>
  <c r="P129" i="1"/>
  <c r="P130" i="1"/>
  <c r="P131" i="1"/>
  <c r="P132" i="1"/>
  <c r="P133" i="1"/>
  <c r="P134" i="1"/>
  <c r="P135" i="1"/>
  <c r="P136" i="1"/>
  <c r="P137" i="1"/>
  <c r="P138" i="1"/>
  <c r="P139" i="1"/>
  <c r="P140" i="1"/>
  <c r="P141" i="1"/>
  <c r="P142" i="1"/>
  <c r="P143" i="1"/>
  <c r="P144" i="1"/>
  <c r="P145" i="1"/>
  <c r="P146" i="1"/>
  <c r="P147" i="1"/>
  <c r="P148" i="1"/>
  <c r="P149" i="1"/>
  <c r="P150" i="1"/>
  <c r="P151" i="1"/>
  <c r="P152" i="1"/>
  <c r="P153" i="1"/>
  <c r="P154" i="1"/>
  <c r="P155" i="1"/>
  <c r="P156" i="1"/>
  <c r="P157" i="1"/>
  <c r="P158" i="1"/>
  <c r="P159" i="1"/>
  <c r="P160" i="1"/>
  <c r="P161" i="1"/>
  <c r="P162" i="1"/>
  <c r="P163" i="1"/>
  <c r="P164" i="1"/>
  <c r="P165" i="1"/>
  <c r="P166" i="1"/>
  <c r="P167" i="1"/>
  <c r="P168" i="1"/>
  <c r="P169" i="1"/>
  <c r="P170" i="1"/>
  <c r="P171" i="1"/>
  <c r="P172" i="1"/>
  <c r="P173" i="1"/>
  <c r="P174" i="1"/>
  <c r="P175" i="1"/>
  <c r="P176" i="1"/>
  <c r="P177" i="1"/>
  <c r="P178" i="1"/>
  <c r="P179" i="1"/>
  <c r="P180" i="1"/>
  <c r="P181" i="1"/>
  <c r="P182" i="1"/>
  <c r="P183" i="1"/>
  <c r="P184" i="1"/>
  <c r="P185" i="1"/>
  <c r="P186" i="1"/>
  <c r="P187" i="1"/>
  <c r="P188" i="1"/>
  <c r="P189" i="1"/>
  <c r="P190" i="1"/>
  <c r="P191" i="1"/>
  <c r="P192" i="1"/>
  <c r="P193" i="1"/>
  <c r="P194" i="1"/>
  <c r="P195" i="1"/>
  <c r="P196" i="1"/>
  <c r="P197" i="1"/>
  <c r="P198" i="1"/>
  <c r="P199" i="1"/>
  <c r="P200" i="1"/>
  <c r="P201" i="1"/>
  <c r="P202" i="1"/>
  <c r="P203" i="1"/>
  <c r="P204" i="1"/>
  <c r="P205" i="1"/>
  <c r="P206" i="1"/>
  <c r="P207" i="1"/>
  <c r="P208" i="1"/>
  <c r="P209" i="1"/>
  <c r="P210" i="1"/>
  <c r="P211" i="1"/>
  <c r="P212" i="1"/>
  <c r="P213" i="1"/>
  <c r="P214" i="1"/>
  <c r="P215" i="1"/>
  <c r="P216" i="1"/>
  <c r="P217" i="1"/>
  <c r="P218" i="1"/>
  <c r="P219" i="1"/>
  <c r="P220" i="1"/>
  <c r="P221" i="1"/>
  <c r="P222" i="1"/>
  <c r="P223" i="1"/>
  <c r="P224" i="1"/>
  <c r="P225" i="1"/>
  <c r="P226" i="1"/>
  <c r="P227" i="1"/>
  <c r="P228" i="1"/>
  <c r="P229" i="1"/>
  <c r="P230" i="1"/>
  <c r="P231" i="1"/>
  <c r="P232" i="1"/>
  <c r="P233" i="1"/>
  <c r="P234" i="1"/>
  <c r="P235" i="1"/>
  <c r="P236" i="1"/>
  <c r="P237" i="1"/>
  <c r="P238" i="1"/>
  <c r="P239" i="1"/>
  <c r="P240" i="1"/>
  <c r="P241" i="1"/>
  <c r="P242" i="1"/>
  <c r="P243" i="1"/>
  <c r="P244" i="1"/>
  <c r="P245" i="1"/>
  <c r="P246" i="1"/>
  <c r="P247" i="1"/>
  <c r="P248" i="1"/>
  <c r="P249" i="1"/>
  <c r="P250" i="1"/>
  <c r="P251" i="1"/>
  <c r="P252" i="1"/>
  <c r="P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M51" i="1"/>
  <c r="M52" i="1"/>
  <c r="M53" i="1"/>
  <c r="M54" i="1"/>
  <c r="M55" i="1"/>
  <c r="M56" i="1"/>
  <c r="M57" i="1"/>
  <c r="M58" i="1"/>
  <c r="M59" i="1"/>
  <c r="M60" i="1"/>
  <c r="M61" i="1"/>
  <c r="M62" i="1"/>
  <c r="M63" i="1"/>
  <c r="M64" i="1"/>
  <c r="M65" i="1"/>
  <c r="M66" i="1"/>
  <c r="M67" i="1"/>
  <c r="M68" i="1"/>
  <c r="M69" i="1"/>
  <c r="M70" i="1"/>
  <c r="M71" i="1"/>
  <c r="M72" i="1"/>
  <c r="M73" i="1"/>
  <c r="M74" i="1"/>
  <c r="M75" i="1"/>
  <c r="M76" i="1"/>
  <c r="M77" i="1"/>
  <c r="M78" i="1"/>
  <c r="M79" i="1"/>
  <c r="M80" i="1"/>
  <c r="M81" i="1"/>
  <c r="M82" i="1"/>
  <c r="M83" i="1"/>
  <c r="M84" i="1"/>
  <c r="M85" i="1"/>
  <c r="M86" i="1"/>
  <c r="M87" i="1"/>
  <c r="M88" i="1"/>
  <c r="M89" i="1"/>
  <c r="M90" i="1"/>
  <c r="M91" i="1"/>
  <c r="M92" i="1"/>
  <c r="M93" i="1"/>
  <c r="M94" i="1"/>
  <c r="M95" i="1"/>
  <c r="M96" i="1"/>
  <c r="M97" i="1"/>
  <c r="M98" i="1"/>
  <c r="M99" i="1"/>
  <c r="M100" i="1"/>
  <c r="M101" i="1"/>
  <c r="M102" i="1"/>
  <c r="M103" i="1"/>
  <c r="M104" i="1"/>
  <c r="M105" i="1"/>
  <c r="M106" i="1"/>
  <c r="M107" i="1"/>
  <c r="M108" i="1"/>
  <c r="M109" i="1"/>
  <c r="M110" i="1"/>
  <c r="M111" i="1"/>
  <c r="M112" i="1"/>
  <c r="M113" i="1"/>
  <c r="M114" i="1"/>
  <c r="M115" i="1"/>
  <c r="M116" i="1"/>
  <c r="M117" i="1"/>
  <c r="M118" i="1"/>
  <c r="M119" i="1"/>
  <c r="M120" i="1"/>
  <c r="M121" i="1"/>
  <c r="M122" i="1"/>
  <c r="M123" i="1"/>
  <c r="M124" i="1"/>
  <c r="M125" i="1"/>
  <c r="M126" i="1"/>
  <c r="M127" i="1"/>
  <c r="M128" i="1"/>
  <c r="M129" i="1"/>
  <c r="M130" i="1"/>
  <c r="M131" i="1"/>
  <c r="M132" i="1"/>
  <c r="M133" i="1"/>
  <c r="M134" i="1"/>
  <c r="M135" i="1"/>
  <c r="M136" i="1"/>
  <c r="M137" i="1"/>
  <c r="M138" i="1"/>
  <c r="M139" i="1"/>
  <c r="M140" i="1"/>
  <c r="M141" i="1"/>
  <c r="M142" i="1"/>
  <c r="M143" i="1"/>
  <c r="M144" i="1"/>
  <c r="M145" i="1"/>
  <c r="M146" i="1"/>
  <c r="M147" i="1"/>
  <c r="M148" i="1"/>
  <c r="M149" i="1"/>
  <c r="M150" i="1"/>
  <c r="M151" i="1"/>
  <c r="M152" i="1"/>
  <c r="M153" i="1"/>
  <c r="M154" i="1"/>
  <c r="M155" i="1"/>
  <c r="M156" i="1"/>
  <c r="M157" i="1"/>
  <c r="M158" i="1"/>
  <c r="M159" i="1"/>
  <c r="M160" i="1"/>
  <c r="M161" i="1"/>
  <c r="M162" i="1"/>
  <c r="M163" i="1"/>
  <c r="M164" i="1"/>
  <c r="M165" i="1"/>
  <c r="M166" i="1"/>
  <c r="M167" i="1"/>
  <c r="M168" i="1"/>
  <c r="M169" i="1"/>
  <c r="M170" i="1"/>
  <c r="M171" i="1"/>
  <c r="M172" i="1"/>
  <c r="M173" i="1"/>
  <c r="M174" i="1"/>
  <c r="M175" i="1"/>
  <c r="M176" i="1"/>
  <c r="M177" i="1"/>
  <c r="M178" i="1"/>
  <c r="M179" i="1"/>
  <c r="M180" i="1"/>
  <c r="M181" i="1"/>
  <c r="M182" i="1"/>
  <c r="M183" i="1"/>
  <c r="M184" i="1"/>
  <c r="M185" i="1"/>
  <c r="M186" i="1"/>
  <c r="M187" i="1"/>
  <c r="M188" i="1"/>
  <c r="M189" i="1"/>
  <c r="M190" i="1"/>
  <c r="M191" i="1"/>
  <c r="M192" i="1"/>
  <c r="M193" i="1"/>
  <c r="M194" i="1"/>
  <c r="M195" i="1"/>
  <c r="M196" i="1"/>
  <c r="M197" i="1"/>
  <c r="M198" i="1"/>
  <c r="M199" i="1"/>
  <c r="M200" i="1"/>
  <c r="M201" i="1"/>
  <c r="M202" i="1"/>
  <c r="M203" i="1"/>
  <c r="M204" i="1"/>
  <c r="M205" i="1"/>
  <c r="M206" i="1"/>
  <c r="M207" i="1"/>
  <c r="M208" i="1"/>
  <c r="M209" i="1"/>
  <c r="M210" i="1"/>
  <c r="M211" i="1"/>
  <c r="M212" i="1"/>
  <c r="M213" i="1"/>
  <c r="M214" i="1"/>
  <c r="M215" i="1"/>
  <c r="M216" i="1"/>
  <c r="M217" i="1"/>
  <c r="M218" i="1"/>
  <c r="M219" i="1"/>
  <c r="M220" i="1"/>
  <c r="M221" i="1"/>
  <c r="M222" i="1"/>
  <c r="M223" i="1"/>
  <c r="M224" i="1"/>
  <c r="M225" i="1"/>
  <c r="M226" i="1"/>
  <c r="M227" i="1"/>
  <c r="M228" i="1"/>
  <c r="M229" i="1"/>
  <c r="M230" i="1"/>
  <c r="M231" i="1"/>
  <c r="M232" i="1"/>
  <c r="M233" i="1"/>
  <c r="M234" i="1"/>
  <c r="M235" i="1"/>
  <c r="M236" i="1"/>
  <c r="M237" i="1"/>
  <c r="M238" i="1"/>
  <c r="M239" i="1"/>
  <c r="M240" i="1"/>
  <c r="M241" i="1"/>
  <c r="M242" i="1"/>
  <c r="M243" i="1"/>
  <c r="M244" i="1"/>
  <c r="M245" i="1"/>
  <c r="M246" i="1"/>
  <c r="M247" i="1"/>
  <c r="M248" i="1"/>
  <c r="M249" i="1"/>
  <c r="M250" i="1"/>
  <c r="M251" i="1"/>
  <c r="M252" i="1"/>
  <c r="M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151" i="1"/>
  <c r="J152" i="1"/>
  <c r="J153" i="1"/>
  <c r="J154" i="1"/>
  <c r="J155" i="1"/>
  <c r="J156" i="1"/>
  <c r="J157" i="1"/>
  <c r="J158" i="1"/>
  <c r="J159" i="1"/>
  <c r="J160" i="1"/>
  <c r="J161" i="1"/>
  <c r="J162" i="1"/>
  <c r="J163" i="1"/>
  <c r="J164" i="1"/>
  <c r="J165" i="1"/>
  <c r="J166" i="1"/>
  <c r="J167" i="1"/>
  <c r="J168" i="1"/>
  <c r="J169" i="1"/>
  <c r="J170" i="1"/>
  <c r="J171" i="1"/>
  <c r="J172" i="1"/>
  <c r="J173" i="1"/>
  <c r="J174" i="1"/>
  <c r="J175" i="1"/>
  <c r="J176" i="1"/>
  <c r="J177" i="1"/>
  <c r="J178" i="1"/>
  <c r="J179" i="1"/>
  <c r="J180" i="1"/>
  <c r="J181" i="1"/>
  <c r="J182" i="1"/>
  <c r="J183" i="1"/>
  <c r="J184" i="1"/>
  <c r="J185" i="1"/>
  <c r="J186" i="1"/>
  <c r="J187" i="1"/>
  <c r="J188" i="1"/>
  <c r="J189" i="1"/>
  <c r="J190" i="1"/>
  <c r="J191" i="1"/>
  <c r="J192" i="1"/>
  <c r="J193" i="1"/>
  <c r="J194" i="1"/>
  <c r="J195" i="1"/>
  <c r="J196" i="1"/>
  <c r="J197" i="1"/>
  <c r="J198" i="1"/>
  <c r="J199" i="1"/>
  <c r="J200" i="1"/>
  <c r="J201" i="1"/>
  <c r="J202" i="1"/>
  <c r="J203" i="1"/>
  <c r="J204" i="1"/>
  <c r="J205" i="1"/>
  <c r="J206" i="1"/>
  <c r="J207" i="1"/>
  <c r="J208" i="1"/>
  <c r="J209" i="1"/>
  <c r="J210" i="1"/>
  <c r="J211" i="1"/>
  <c r="J212" i="1"/>
  <c r="J213" i="1"/>
  <c r="J214" i="1"/>
  <c r="J215" i="1"/>
  <c r="J216" i="1"/>
  <c r="J217" i="1"/>
  <c r="J218" i="1"/>
  <c r="J219" i="1"/>
  <c r="J220" i="1"/>
  <c r="J221" i="1"/>
  <c r="J222" i="1"/>
  <c r="J223" i="1"/>
  <c r="J224" i="1"/>
  <c r="J225" i="1"/>
  <c r="J226" i="1"/>
  <c r="J227" i="1"/>
  <c r="J228" i="1"/>
  <c r="J229" i="1"/>
  <c r="J230" i="1"/>
  <c r="J231" i="1"/>
  <c r="J232" i="1"/>
  <c r="J233" i="1"/>
  <c r="J234" i="1"/>
  <c r="J235" i="1"/>
  <c r="J236" i="1"/>
  <c r="J237" i="1"/>
  <c r="J238" i="1"/>
  <c r="J239" i="1"/>
  <c r="J240" i="1"/>
  <c r="J241" i="1"/>
  <c r="J242" i="1"/>
  <c r="J243" i="1"/>
  <c r="J244" i="1"/>
  <c r="J245" i="1"/>
  <c r="J246" i="1"/>
  <c r="J247" i="1"/>
  <c r="J248" i="1"/>
  <c r="J249" i="1"/>
  <c r="J250" i="1"/>
  <c r="J251" i="1"/>
  <c r="J252" i="1"/>
  <c r="J9" i="1"/>
  <c r="A117" i="1"/>
  <c r="A215" i="1"/>
  <c r="A125" i="1"/>
  <c r="A162" i="1"/>
  <c r="A230" i="1"/>
  <c r="A14" i="1"/>
  <c r="A246" i="1"/>
  <c r="A95" i="1"/>
  <c r="A223" i="1"/>
  <c r="A112" i="1"/>
  <c r="A113" i="1"/>
  <c r="A188" i="1"/>
  <c r="A228" i="1"/>
  <c r="A12" i="1"/>
  <c r="L8" i="1"/>
  <c r="A133" i="1"/>
  <c r="A18" i="1"/>
  <c r="A22" i="1"/>
  <c r="A10" i="1"/>
  <c r="A103" i="1"/>
  <c r="A231" i="1"/>
  <c r="A13" i="1"/>
  <c r="A141" i="1"/>
  <c r="A35" i="1"/>
  <c r="A42" i="1"/>
  <c r="A30" i="1"/>
  <c r="A58" i="1"/>
  <c r="A111" i="1"/>
  <c r="A239" i="1"/>
  <c r="A209" i="1"/>
  <c r="A128" i="1"/>
  <c r="A233" i="1"/>
  <c r="A185" i="1"/>
  <c r="H7" i="1"/>
  <c r="A129" i="1"/>
  <c r="A74" i="1"/>
  <c r="A68" i="1"/>
  <c r="A196" i="1"/>
  <c r="A145" i="1"/>
  <c r="K7" i="1"/>
  <c r="A194" i="1"/>
  <c r="A24" i="1"/>
  <c r="A170" i="1"/>
  <c r="A25" i="1"/>
  <c r="A153" i="1"/>
  <c r="A92" i="1"/>
  <c r="A140" i="1"/>
  <c r="A21" i="1"/>
  <c r="A149" i="1"/>
  <c r="M8" i="1"/>
  <c r="A51" i="1"/>
  <c r="A66" i="1"/>
  <c r="A38" i="1"/>
  <c r="A98" i="1"/>
  <c r="A119" i="1"/>
  <c r="A247" i="1"/>
  <c r="A241" i="1"/>
  <c r="Q8" i="1"/>
  <c r="R8" i="1"/>
  <c r="A136" i="1"/>
  <c r="A225" i="1"/>
  <c r="A9" i="1"/>
  <c r="A137" i="1"/>
  <c r="A154" i="1"/>
  <c r="I8" i="1"/>
  <c r="A76" i="1"/>
  <c r="A204" i="1"/>
  <c r="A90" i="1"/>
  <c r="A46" i="1"/>
  <c r="A122" i="1"/>
  <c r="A193" i="1"/>
  <c r="A127" i="1"/>
  <c r="A82" i="1"/>
  <c r="A84" i="1"/>
  <c r="A152" i="1"/>
  <c r="S8" i="1"/>
  <c r="A203" i="1"/>
  <c r="A29" i="1"/>
  <c r="A157" i="1"/>
  <c r="A75" i="1"/>
  <c r="A16" i="1"/>
  <c r="A144" i="1"/>
  <c r="N7" i="1"/>
  <c r="A17" i="1"/>
  <c r="A212" i="1"/>
  <c r="A37" i="1"/>
  <c r="A165" i="1"/>
  <c r="A134" i="1"/>
  <c r="A107" i="1"/>
  <c r="A146" i="1"/>
  <c r="A54" i="1"/>
  <c r="A234" i="1"/>
  <c r="O8" i="1"/>
  <c r="A217" i="1"/>
  <c r="P8" i="1"/>
  <c r="A135" i="1"/>
  <c r="A50" i="1"/>
  <c r="A45" i="1"/>
  <c r="A173" i="1"/>
  <c r="A150" i="1"/>
  <c r="A131" i="1"/>
  <c r="A186" i="1"/>
  <c r="A62" i="1"/>
  <c r="A249" i="1"/>
  <c r="A15" i="1"/>
  <c r="A143" i="1"/>
  <c r="A114" i="1"/>
  <c r="A32" i="1"/>
  <c r="A160" i="1"/>
  <c r="A27" i="1"/>
  <c r="A218" i="1"/>
  <c r="A33" i="1"/>
  <c r="A161" i="1"/>
  <c r="A53" i="1"/>
  <c r="A181" i="1"/>
  <c r="A166" i="1"/>
  <c r="A155" i="1"/>
  <c r="A11" i="1"/>
  <c r="A70" i="1"/>
  <c r="A23" i="1"/>
  <c r="A151" i="1"/>
  <c r="A178" i="1"/>
  <c r="A202" i="1"/>
  <c r="A40" i="1"/>
  <c r="A168" i="1"/>
  <c r="A43" i="1"/>
  <c r="A242" i="1"/>
  <c r="A41" i="1"/>
  <c r="A169" i="1"/>
  <c r="A91" i="1"/>
  <c r="A108" i="1"/>
  <c r="A236" i="1"/>
  <c r="A116" i="1"/>
  <c r="A244" i="1"/>
  <c r="A182" i="1"/>
  <c r="A211" i="1"/>
  <c r="A86" i="1"/>
  <c r="A67" i="1"/>
  <c r="A130" i="1"/>
  <c r="A39" i="1"/>
  <c r="A167" i="1"/>
  <c r="A200" i="1"/>
  <c r="A83" i="1"/>
  <c r="A57" i="1"/>
  <c r="A124" i="1"/>
  <c r="A102" i="1"/>
  <c r="A219" i="1"/>
  <c r="A192" i="1"/>
  <c r="A226" i="1"/>
  <c r="A55" i="1"/>
  <c r="A183" i="1"/>
  <c r="A243" i="1"/>
  <c r="A147" i="1"/>
  <c r="A34" i="1"/>
  <c r="A61" i="1"/>
  <c r="A189" i="1"/>
  <c r="A174" i="1"/>
  <c r="A195" i="1"/>
  <c r="K8" i="1"/>
  <c r="A78" i="1"/>
  <c r="H8" i="1"/>
  <c r="A26" i="1"/>
  <c r="A31" i="1"/>
  <c r="A159" i="1"/>
  <c r="A48" i="1"/>
  <c r="A184" i="1"/>
  <c r="A59" i="1"/>
  <c r="A49" i="1"/>
  <c r="A177" i="1"/>
  <c r="A227" i="1"/>
  <c r="A224" i="1"/>
  <c r="A19" i="1"/>
  <c r="A56" i="1"/>
  <c r="A123" i="1"/>
  <c r="A222" i="1"/>
  <c r="A2" i="1"/>
  <c r="A69" i="1"/>
  <c r="A197" i="1"/>
  <c r="A132" i="1"/>
  <c r="A4" i="1"/>
  <c r="A77" i="1"/>
  <c r="A205" i="1"/>
  <c r="A198" i="1"/>
  <c r="A94" i="1"/>
  <c r="A139" i="1"/>
  <c r="A176" i="1"/>
  <c r="A210" i="1"/>
  <c r="A47" i="1"/>
  <c r="A175" i="1"/>
  <c r="A240" i="1"/>
  <c r="A99" i="1"/>
  <c r="A235" i="1"/>
  <c r="A64" i="1"/>
  <c r="A232" i="1"/>
  <c r="A115" i="1"/>
  <c r="A171" i="1"/>
  <c r="A65" i="1"/>
  <c r="A163" i="1"/>
  <c r="J8" i="1"/>
  <c r="A85" i="1"/>
  <c r="A213" i="1"/>
  <c r="A72" i="1"/>
  <c r="A73" i="1"/>
  <c r="A93" i="1"/>
  <c r="A221" i="1"/>
  <c r="A238" i="1"/>
  <c r="A142" i="1"/>
  <c r="A110" i="1"/>
  <c r="A208" i="1"/>
  <c r="A250" i="1"/>
  <c r="A63" i="1"/>
  <c r="A191" i="1"/>
  <c r="A80" i="1"/>
  <c r="A187" i="1"/>
  <c r="A81" i="1"/>
  <c r="A20" i="1"/>
  <c r="A148" i="1"/>
  <c r="A118" i="1"/>
  <c r="A216" i="1"/>
  <c r="A71" i="1"/>
  <c r="A199" i="1"/>
  <c r="A89" i="1"/>
  <c r="A156" i="1"/>
  <c r="A97" i="1"/>
  <c r="A164" i="1"/>
  <c r="A138" i="1"/>
  <c r="A214" i="1"/>
  <c r="A206" i="1"/>
  <c r="A87" i="1"/>
  <c r="A105" i="1"/>
  <c r="A172" i="1"/>
  <c r="A120" i="1"/>
  <c r="A101" i="1"/>
  <c r="A229" i="1"/>
  <c r="A158" i="1"/>
  <c r="A88" i="1"/>
  <c r="A179" i="1"/>
  <c r="A28" i="1"/>
  <c r="A44" i="1"/>
  <c r="A180" i="1"/>
  <c r="A201" i="1"/>
  <c r="A121" i="1"/>
  <c r="Q7" i="1"/>
  <c r="A60" i="1"/>
  <c r="A109" i="1"/>
  <c r="A237" i="1"/>
  <c r="A106" i="1"/>
  <c r="A190" i="1"/>
  <c r="A126" i="1"/>
  <c r="A248" i="1"/>
  <c r="A79" i="1"/>
  <c r="A207" i="1"/>
  <c r="A96" i="1"/>
  <c r="A36" i="1"/>
  <c r="A245" i="1"/>
  <c r="N8" i="1"/>
  <c r="A104" i="1"/>
  <c r="A52" i="1"/>
  <c r="A220" i="1"/>
  <c r="A100" i="1"/>
  <c r="A251" i="1"/>
  <c r="A252" i="1"/>
  <c r="A39" i="10"/>
  <c r="A167" i="10"/>
  <c r="A40" i="10"/>
  <c r="A168" i="10"/>
  <c r="A33" i="10"/>
  <c r="A161" i="10"/>
  <c r="N7" i="10"/>
  <c r="A130" i="10"/>
  <c r="A19" i="10"/>
  <c r="A147" i="10"/>
  <c r="A172" i="10"/>
  <c r="A109" i="10"/>
  <c r="A198" i="10"/>
  <c r="A110" i="10"/>
  <c r="A23" i="10"/>
  <c r="A142" i="10"/>
  <c r="A134" i="10"/>
  <c r="A47" i="10"/>
  <c r="A175" i="10"/>
  <c r="A48" i="10"/>
  <c r="A176" i="10"/>
  <c r="A41" i="10"/>
  <c r="A169" i="10"/>
  <c r="A10" i="10"/>
  <c r="A138" i="10"/>
  <c r="A27" i="10"/>
  <c r="A155" i="10"/>
  <c r="A190" i="10"/>
  <c r="A117" i="10"/>
  <c r="A26" i="10"/>
  <c r="A154" i="10"/>
  <c r="A43" i="10"/>
  <c r="A171" i="10"/>
  <c r="A133" i="10"/>
  <c r="A30" i="10"/>
  <c r="A137" i="10"/>
  <c r="A100" i="10"/>
  <c r="A55" i="10"/>
  <c r="A183" i="10"/>
  <c r="A56" i="10"/>
  <c r="A184" i="10"/>
  <c r="A49" i="10"/>
  <c r="A177" i="10"/>
  <c r="A18" i="10"/>
  <c r="A146" i="10"/>
  <c r="A35" i="10"/>
  <c r="A163" i="10"/>
  <c r="A125" i="10"/>
  <c r="A14" i="10"/>
  <c r="A201" i="10"/>
  <c r="A92" i="10"/>
  <c r="A31" i="10"/>
  <c r="A101" i="10"/>
  <c r="A63" i="10"/>
  <c r="A191" i="10"/>
  <c r="A64" i="10"/>
  <c r="A192" i="10"/>
  <c r="A57" i="10"/>
  <c r="A185" i="10"/>
  <c r="A114" i="10"/>
  <c r="A25" i="10"/>
  <c r="A71" i="10"/>
  <c r="A199" i="10"/>
  <c r="A72" i="10"/>
  <c r="A200" i="10"/>
  <c r="A65" i="10"/>
  <c r="A193" i="10"/>
  <c r="A34" i="10"/>
  <c r="A162" i="10"/>
  <c r="A51" i="10"/>
  <c r="A179" i="10"/>
  <c r="A13" i="10"/>
  <c r="A141" i="10"/>
  <c r="A62" i="10"/>
  <c r="A79" i="10"/>
  <c r="A12" i="10"/>
  <c r="A80" i="10"/>
  <c r="A68" i="10"/>
  <c r="A73" i="10"/>
  <c r="A4" i="10"/>
  <c r="A42" i="10"/>
  <c r="A170" i="10"/>
  <c r="A59" i="10"/>
  <c r="A187" i="10"/>
  <c r="A21" i="10"/>
  <c r="A149" i="10"/>
  <c r="A118" i="10"/>
  <c r="A50" i="10"/>
  <c r="A67" i="10"/>
  <c r="A195" i="10"/>
  <c r="A157" i="10"/>
  <c r="A150" i="10"/>
  <c r="A94" i="10"/>
  <c r="A145" i="10"/>
  <c r="A87" i="10"/>
  <c r="A78" i="10"/>
  <c r="A88" i="10"/>
  <c r="A22" i="10"/>
  <c r="A81" i="10"/>
  <c r="A28" i="10"/>
  <c r="A178" i="10"/>
  <c r="A29" i="10"/>
  <c r="A164" i="10"/>
  <c r="A17" i="10"/>
  <c r="A95" i="10"/>
  <c r="A96" i="10"/>
  <c r="A89" i="10"/>
  <c r="A174" i="10"/>
  <c r="A58" i="10"/>
  <c r="A186" i="10"/>
  <c r="A75" i="10"/>
  <c r="A36" i="10"/>
  <c r="A37" i="10"/>
  <c r="A165" i="10"/>
  <c r="A182" i="10"/>
  <c r="A123" i="10"/>
  <c r="A196" i="10"/>
  <c r="A160" i="10"/>
  <c r="A103" i="10"/>
  <c r="A76" i="10"/>
  <c r="A104" i="10"/>
  <c r="A52" i="10"/>
  <c r="A97" i="10"/>
  <c r="K7" i="10"/>
  <c r="A66" i="10"/>
  <c r="A194" i="10"/>
  <c r="A83" i="10"/>
  <c r="A126" i="10"/>
  <c r="A45" i="10"/>
  <c r="A173" i="10"/>
  <c r="A181" i="10"/>
  <c r="A86" i="10"/>
  <c r="A189" i="10"/>
  <c r="A106" i="10"/>
  <c r="A24" i="10"/>
  <c r="A111" i="10"/>
  <c r="A156" i="10"/>
  <c r="A112" i="10"/>
  <c r="A124" i="10"/>
  <c r="A105" i="10"/>
  <c r="A2" i="10"/>
  <c r="A74" i="10"/>
  <c r="A60" i="10"/>
  <c r="A91" i="10"/>
  <c r="A53" i="10"/>
  <c r="A9" i="10"/>
  <c r="A11" i="10"/>
  <c r="A119" i="10"/>
  <c r="A188" i="10"/>
  <c r="A120" i="10"/>
  <c r="A148" i="10"/>
  <c r="A113" i="10"/>
  <c r="A20" i="10"/>
  <c r="A82" i="10"/>
  <c r="A46" i="10"/>
  <c r="A99" i="10"/>
  <c r="A84" i="10"/>
  <c r="A61" i="10"/>
  <c r="A158" i="10"/>
  <c r="A15" i="10"/>
  <c r="A85" i="10"/>
  <c r="A93" i="10"/>
  <c r="A122" i="10"/>
  <c r="A127" i="10"/>
  <c r="A102" i="10"/>
  <c r="A128" i="10"/>
  <c r="A70" i="10"/>
  <c r="A121" i="10"/>
  <c r="A108" i="10"/>
  <c r="A90" i="10"/>
  <c r="Q7" i="10"/>
  <c r="A107" i="10"/>
  <c r="A180" i="10"/>
  <c r="A69" i="10"/>
  <c r="A197" i="10"/>
  <c r="A144" i="10"/>
  <c r="A54" i="10"/>
  <c r="A152" i="10"/>
  <c r="A159" i="10"/>
  <c r="A116" i="10"/>
  <c r="A135" i="10"/>
  <c r="A136" i="10"/>
  <c r="H7" i="10"/>
  <c r="A129" i="10"/>
  <c r="A140" i="10"/>
  <c r="A98" i="10"/>
  <c r="A44" i="10"/>
  <c r="A115" i="10"/>
  <c r="A77" i="10"/>
  <c r="A38" i="10"/>
  <c r="A132" i="10"/>
  <c r="A16" i="10"/>
  <c r="A151" i="10"/>
  <c r="A153" i="10"/>
  <c r="A143" i="10"/>
  <c r="A131" i="10"/>
  <c r="A166" i="10"/>
  <c r="A139" i="10"/>
  <c r="A32" i="10"/>
  <c r="E17" i="8"/>
  <c r="E145" i="8"/>
  <c r="E115" i="8"/>
  <c r="A180" i="8"/>
  <c r="E122" i="8"/>
  <c r="A35" i="8"/>
  <c r="A163" i="8"/>
  <c r="A108" i="8"/>
  <c r="A68" i="8"/>
  <c r="E100" i="8"/>
  <c r="A133" i="8"/>
  <c r="E133" i="8"/>
  <c r="A30" i="8"/>
  <c r="E86" i="8"/>
  <c r="E25" i="8"/>
  <c r="E153" i="8"/>
  <c r="E171" i="8"/>
  <c r="R7" i="8"/>
  <c r="E130" i="8"/>
  <c r="E33" i="8"/>
  <c r="E161" i="8"/>
  <c r="A124" i="8"/>
  <c r="E10" i="8"/>
  <c r="E138" i="8"/>
  <c r="A51" i="8"/>
  <c r="A179" i="8"/>
  <c r="A140" i="8"/>
  <c r="A84" i="8"/>
  <c r="E116" i="8"/>
  <c r="A21" i="8"/>
  <c r="A149" i="8"/>
  <c r="E21" i="8"/>
  <c r="E149" i="8"/>
  <c r="A110" i="8"/>
  <c r="E102" i="8"/>
  <c r="A168" i="8"/>
  <c r="E47" i="8"/>
  <c r="E175" i="8"/>
  <c r="A104" i="8"/>
  <c r="A41" i="8"/>
  <c r="E112" i="8"/>
  <c r="A136" i="8"/>
  <c r="E41" i="8"/>
  <c r="E169" i="8"/>
  <c r="O7" i="8"/>
  <c r="E18" i="8"/>
  <c r="E146" i="8"/>
  <c r="A59" i="8"/>
  <c r="E27" i="8"/>
  <c r="A156" i="8"/>
  <c r="A92" i="8"/>
  <c r="E124" i="8"/>
  <c r="A29" i="8"/>
  <c r="A157" i="8"/>
  <c r="E29" i="8"/>
  <c r="E157" i="8"/>
  <c r="A126" i="8"/>
  <c r="E110" i="8"/>
  <c r="E55" i="8"/>
  <c r="A64" i="8"/>
  <c r="A112" i="8"/>
  <c r="E104" i="8"/>
  <c r="A49" i="8"/>
  <c r="A177" i="8"/>
  <c r="E165" i="8"/>
  <c r="A166" i="8"/>
  <c r="E118" i="8"/>
  <c r="A15" i="8"/>
  <c r="A57" i="8"/>
  <c r="A116" i="8"/>
  <c r="E49" i="8"/>
  <c r="E177" i="8"/>
  <c r="A10" i="8"/>
  <c r="E26" i="8"/>
  <c r="E154" i="8"/>
  <c r="A67" i="8"/>
  <c r="E35" i="8"/>
  <c r="A164" i="8"/>
  <c r="E132" i="8"/>
  <c r="A37" i="8"/>
  <c r="A165" i="8"/>
  <c r="E37" i="8"/>
  <c r="E57" i="8"/>
  <c r="A74" i="8"/>
  <c r="A18" i="8"/>
  <c r="E34" i="8"/>
  <c r="E162" i="8"/>
  <c r="A75" i="8"/>
  <c r="E43" i="8"/>
  <c r="E12" i="8"/>
  <c r="E140" i="8"/>
  <c r="A45" i="8"/>
  <c r="A173" i="8"/>
  <c r="E45" i="8"/>
  <c r="E173" i="8"/>
  <c r="A151" i="8"/>
  <c r="E126" i="8"/>
  <c r="A65" i="8"/>
  <c r="E65" i="8"/>
  <c r="A82" i="8"/>
  <c r="A26" i="8"/>
  <c r="E42" i="8"/>
  <c r="E170" i="8"/>
  <c r="A83" i="8"/>
  <c r="E51" i="8"/>
  <c r="E11" i="8"/>
  <c r="E20" i="8"/>
  <c r="E148" i="8"/>
  <c r="A53" i="8"/>
  <c r="A4" i="8"/>
  <c r="E53" i="8"/>
  <c r="A2" i="8"/>
  <c r="E134" i="8"/>
  <c r="A31" i="8"/>
  <c r="E79" i="8"/>
  <c r="A176" i="8"/>
  <c r="A152" i="8"/>
  <c r="E128" i="8"/>
  <c r="A73" i="8"/>
  <c r="A148" i="8"/>
  <c r="A54" i="8"/>
  <c r="A62" i="8"/>
  <c r="E95" i="8"/>
  <c r="E16" i="8"/>
  <c r="A89" i="8"/>
  <c r="E77" i="8"/>
  <c r="E158" i="8"/>
  <c r="E24" i="8"/>
  <c r="E167" i="8"/>
  <c r="E73" i="8"/>
  <c r="A90" i="8"/>
  <c r="A34" i="8"/>
  <c r="E50" i="8"/>
  <c r="E178" i="8"/>
  <c r="A91" i="8"/>
  <c r="E59" i="8"/>
  <c r="E19" i="8"/>
  <c r="E28" i="8"/>
  <c r="E156" i="8"/>
  <c r="A61" i="8"/>
  <c r="A38" i="8"/>
  <c r="E61" i="8"/>
  <c r="A46" i="8"/>
  <c r="E14" i="8"/>
  <c r="E142" i="8"/>
  <c r="A39" i="8"/>
  <c r="E87" i="8"/>
  <c r="E136" i="8"/>
  <c r="A81" i="8"/>
  <c r="A172" i="8"/>
  <c r="E164" i="8"/>
  <c r="A69" i="8"/>
  <c r="E69" i="8"/>
  <c r="E22" i="8"/>
  <c r="E150" i="8"/>
  <c r="A47" i="8"/>
  <c r="A16" i="8"/>
  <c r="E144" i="8"/>
  <c r="E30" i="8"/>
  <c r="A55" i="8"/>
  <c r="E103" i="8"/>
  <c r="A24" i="8"/>
  <c r="E152" i="8"/>
  <c r="A97" i="8"/>
  <c r="E94" i="8"/>
  <c r="A96" i="8"/>
  <c r="A161" i="8"/>
  <c r="A182" i="8"/>
  <c r="E63" i="8"/>
  <c r="E71" i="8"/>
  <c r="E81" i="8"/>
  <c r="A98" i="8"/>
  <c r="A42" i="8"/>
  <c r="E58" i="8"/>
  <c r="E91" i="8"/>
  <c r="A99" i="8"/>
  <c r="E67" i="8"/>
  <c r="E36" i="8"/>
  <c r="E89" i="8"/>
  <c r="A106" i="8"/>
  <c r="A50" i="8"/>
  <c r="E66" i="8"/>
  <c r="E163" i="8"/>
  <c r="A107" i="8"/>
  <c r="E75" i="8"/>
  <c r="A12" i="8"/>
  <c r="E44" i="8"/>
  <c r="E172" i="8"/>
  <c r="A77" i="8"/>
  <c r="A70" i="8"/>
  <c r="A86" i="8"/>
  <c r="E39" i="8"/>
  <c r="E88" i="8"/>
  <c r="E96" i="8"/>
  <c r="A128" i="8"/>
  <c r="E97" i="8"/>
  <c r="A114" i="8"/>
  <c r="A58" i="8"/>
  <c r="E74" i="8"/>
  <c r="E179" i="8"/>
  <c r="A115" i="8"/>
  <c r="E99" i="8"/>
  <c r="A20" i="8"/>
  <c r="E52" i="8"/>
  <c r="E180" i="8"/>
  <c r="A85" i="8"/>
  <c r="A78" i="8"/>
  <c r="E85" i="8"/>
  <c r="A118" i="8"/>
  <c r="E38" i="8"/>
  <c r="E166" i="8"/>
  <c r="A63" i="8"/>
  <c r="E111" i="8"/>
  <c r="A32" i="8"/>
  <c r="E32" i="8"/>
  <c r="E160" i="8"/>
  <c r="A105" i="8"/>
  <c r="A93" i="8"/>
  <c r="A134" i="8"/>
  <c r="E93" i="8"/>
  <c r="A142" i="8"/>
  <c r="E46" i="8"/>
  <c r="E174" i="8"/>
  <c r="A71" i="8"/>
  <c r="E119" i="8"/>
  <c r="A40" i="8"/>
  <c r="E168" i="8"/>
  <c r="A113" i="8"/>
  <c r="A56" i="8"/>
  <c r="I7" i="8"/>
  <c r="A145" i="8"/>
  <c r="E159" i="8"/>
  <c r="E80" i="8"/>
  <c r="E181" i="8"/>
  <c r="A171" i="8"/>
  <c r="A132" i="8"/>
  <c r="A76" i="8"/>
  <c r="A141" i="8"/>
  <c r="E141" i="8"/>
  <c r="A159" i="8"/>
  <c r="E182" i="8"/>
  <c r="A120" i="8"/>
  <c r="A144" i="8"/>
  <c r="E105" i="8"/>
  <c r="A122" i="8"/>
  <c r="A66" i="8"/>
  <c r="E82" i="8"/>
  <c r="A100" i="8"/>
  <c r="A123" i="8"/>
  <c r="E123" i="8"/>
  <c r="A28" i="8"/>
  <c r="E60" i="8"/>
  <c r="A94" i="8"/>
  <c r="E40" i="8"/>
  <c r="E56" i="8"/>
  <c r="A129" i="8"/>
  <c r="A181" i="8"/>
  <c r="E31" i="8"/>
  <c r="A25" i="8"/>
  <c r="E113" i="8"/>
  <c r="A130" i="8"/>
  <c r="A146" i="8"/>
  <c r="E90" i="8"/>
  <c r="A131" i="8"/>
  <c r="E131" i="8"/>
  <c r="A36" i="8"/>
  <c r="E68" i="8"/>
  <c r="A150" i="8"/>
  <c r="A101" i="8"/>
  <c r="A158" i="8"/>
  <c r="E101" i="8"/>
  <c r="A119" i="8"/>
  <c r="E54" i="8"/>
  <c r="A87" i="8"/>
  <c r="A79" i="8"/>
  <c r="E127" i="8"/>
  <c r="A48" i="8"/>
  <c r="E48" i="8"/>
  <c r="E176" i="8"/>
  <c r="A121" i="8"/>
  <c r="A11" i="8"/>
  <c r="A139" i="8"/>
  <c r="E76" i="8"/>
  <c r="A174" i="8"/>
  <c r="E62" i="8"/>
  <c r="A95" i="8"/>
  <c r="E135" i="8"/>
  <c r="E121" i="8"/>
  <c r="A138" i="8"/>
  <c r="A170" i="8"/>
  <c r="E98" i="8"/>
  <c r="E139" i="8"/>
  <c r="A44" i="8"/>
  <c r="A109" i="8"/>
  <c r="A111" i="8"/>
  <c r="E109" i="8"/>
  <c r="A23" i="8"/>
  <c r="L7" i="8"/>
  <c r="E129" i="8"/>
  <c r="A154" i="8"/>
  <c r="A178" i="8"/>
  <c r="E106" i="8"/>
  <c r="A19" i="8"/>
  <c r="A147" i="8"/>
  <c r="E147" i="8"/>
  <c r="A52" i="8"/>
  <c r="E84" i="8"/>
  <c r="A103" i="8"/>
  <c r="A117" i="8"/>
  <c r="A167" i="8"/>
  <c r="E117" i="8"/>
  <c r="A14" i="8"/>
  <c r="E70" i="8"/>
  <c r="A127" i="8"/>
  <c r="E15" i="8"/>
  <c r="E143" i="8"/>
  <c r="A72" i="8"/>
  <c r="E64" i="8"/>
  <c r="A9" i="8"/>
  <c r="A137" i="8"/>
  <c r="A135" i="8"/>
  <c r="E23" i="8"/>
  <c r="A17" i="8"/>
  <c r="A143" i="8"/>
  <c r="A88" i="8"/>
  <c r="A153" i="8"/>
  <c r="A43" i="8"/>
  <c r="A13" i="8"/>
  <c r="E13" i="8"/>
  <c r="A102" i="8"/>
  <c r="A33" i="8"/>
  <c r="A169" i="8"/>
  <c r="E107" i="8"/>
  <c r="E9" i="8"/>
  <c r="E137" i="8"/>
  <c r="A162" i="8"/>
  <c r="E83" i="8"/>
  <c r="E114" i="8"/>
  <c r="A27" i="8"/>
  <c r="A155" i="8"/>
  <c r="E155" i="8"/>
  <c r="A60" i="8"/>
  <c r="E92" i="8"/>
  <c r="A175" i="8"/>
  <c r="A125" i="8"/>
  <c r="A160" i="8"/>
  <c r="E125" i="8"/>
  <c r="A22" i="8"/>
  <c r="E78" i="8"/>
  <c r="E151" i="8"/>
  <c r="A80" i="8"/>
  <c r="E72" i="8"/>
  <c r="E108" i="8"/>
  <c r="E120" i="8"/>
  <c r="A79" i="9"/>
  <c r="E110" i="9"/>
  <c r="A10" i="9"/>
  <c r="A69" i="9"/>
  <c r="E118" i="9"/>
  <c r="A119" i="9"/>
  <c r="E167" i="9"/>
  <c r="E122" i="9"/>
  <c r="A128" i="9"/>
  <c r="O7" i="9"/>
  <c r="E158" i="9"/>
  <c r="A31" i="9"/>
  <c r="E19" i="9"/>
  <c r="E154" i="9"/>
  <c r="E87" i="9"/>
  <c r="E50" i="9"/>
  <c r="A56" i="9"/>
  <c r="A97" i="9"/>
  <c r="E148" i="9"/>
  <c r="A168" i="9"/>
  <c r="E120" i="9"/>
  <c r="A90" i="9"/>
  <c r="A132" i="9"/>
  <c r="A129" i="9"/>
  <c r="A131" i="9"/>
  <c r="A23" i="9"/>
  <c r="A159" i="9"/>
  <c r="A116" i="9"/>
  <c r="A27" i="9"/>
  <c r="E34" i="9"/>
  <c r="E83" i="9"/>
  <c r="A57" i="9"/>
  <c r="E112" i="9"/>
  <c r="A45" i="9"/>
  <c r="E37" i="9"/>
  <c r="A166" i="9"/>
  <c r="A41" i="9"/>
  <c r="A150" i="9"/>
  <c r="A87" i="9"/>
  <c r="E99" i="9"/>
  <c r="A58" i="9"/>
  <c r="E113" i="9"/>
  <c r="A154" i="9"/>
  <c r="E151" i="9"/>
  <c r="E121" i="9"/>
  <c r="E49" i="9"/>
  <c r="A143" i="9"/>
  <c r="A101" i="9"/>
  <c r="E25" i="9"/>
  <c r="A122" i="9"/>
  <c r="A117" i="9"/>
  <c r="E97" i="9"/>
  <c r="E74" i="9"/>
  <c r="A136" i="9"/>
  <c r="E45" i="9"/>
  <c r="A111" i="9"/>
  <c r="A34" i="9"/>
  <c r="E79" i="9"/>
  <c r="A123" i="9"/>
  <c r="E16" i="9"/>
  <c r="R7" i="9"/>
  <c r="A151" i="9"/>
  <c r="E47" i="9"/>
  <c r="E40" i="9"/>
  <c r="A155" i="9"/>
  <c r="E162" i="9"/>
  <c r="A51" i="9"/>
  <c r="E57" i="9"/>
  <c r="A105" i="9"/>
  <c r="E13" i="9"/>
  <c r="E143" i="9"/>
  <c r="A66" i="9"/>
  <c r="A152" i="9"/>
  <c r="A32" i="9"/>
  <c r="E75" i="9"/>
  <c r="E51" i="9"/>
  <c r="E24" i="9"/>
  <c r="E159" i="9"/>
  <c r="A59" i="9"/>
  <c r="E93" i="9"/>
  <c r="E22" i="9"/>
  <c r="E66" i="9"/>
  <c r="A72" i="9"/>
  <c r="E123" i="9"/>
  <c r="E82" i="9"/>
  <c r="A121" i="9"/>
  <c r="E106" i="9"/>
  <c r="A112" i="9"/>
  <c r="E114" i="9"/>
  <c r="A164" i="9"/>
  <c r="E152" i="9"/>
  <c r="A60" i="9"/>
  <c r="E31" i="9"/>
  <c r="A24" i="9"/>
  <c r="E27" i="9"/>
  <c r="A35" i="9"/>
  <c r="E115" i="9"/>
  <c r="E72" i="9"/>
  <c r="E136" i="9"/>
  <c r="E141" i="9"/>
  <c r="A26" i="9"/>
  <c r="E132" i="9"/>
  <c r="A75" i="9"/>
  <c r="E139" i="9"/>
  <c r="E150" i="9"/>
  <c r="A92" i="9"/>
  <c r="A113" i="9"/>
  <c r="A108" i="9"/>
  <c r="A44" i="9"/>
  <c r="A167" i="9"/>
  <c r="E10" i="9"/>
  <c r="A16" i="9"/>
  <c r="E137" i="9"/>
  <c r="A91" i="9"/>
  <c r="E111" i="9"/>
  <c r="A149" i="9"/>
  <c r="E63" i="9"/>
  <c r="E86" i="9"/>
  <c r="E15" i="9"/>
  <c r="E59" i="9"/>
  <c r="E107" i="9"/>
  <c r="A73" i="9"/>
  <c r="A138" i="9"/>
  <c r="A67" i="9"/>
  <c r="E89" i="9"/>
  <c r="E163" i="9"/>
  <c r="A83" i="9"/>
  <c r="E98" i="9"/>
  <c r="A107" i="9"/>
  <c r="A98" i="9"/>
  <c r="A115" i="9"/>
  <c r="E84" i="9"/>
  <c r="E92" i="9"/>
  <c r="E138" i="9"/>
  <c r="A144" i="9"/>
  <c r="A153" i="9"/>
  <c r="E48" i="9"/>
  <c r="E116" i="9"/>
  <c r="E35" i="9"/>
  <c r="E12" i="9"/>
  <c r="A49" i="9"/>
  <c r="E56" i="9"/>
  <c r="E78" i="9"/>
  <c r="E129" i="9"/>
  <c r="E103" i="9"/>
  <c r="A78" i="9"/>
  <c r="E23" i="9"/>
  <c r="E54" i="9"/>
  <c r="A21" i="9"/>
  <c r="A103" i="9"/>
  <c r="A14" i="9"/>
  <c r="E133" i="9"/>
  <c r="E64" i="9"/>
  <c r="E161" i="9"/>
  <c r="A88" i="9"/>
  <c r="E58" i="9"/>
  <c r="E61" i="9"/>
  <c r="E142" i="9"/>
  <c r="A25" i="9"/>
  <c r="E70" i="9"/>
  <c r="E91" i="9"/>
  <c r="E145" i="9"/>
  <c r="E149" i="9"/>
  <c r="A50" i="9"/>
  <c r="A110" i="9"/>
  <c r="A43" i="9"/>
  <c r="E9" i="9"/>
  <c r="E96" i="9"/>
  <c r="E146" i="9"/>
  <c r="E131" i="9"/>
  <c r="E43" i="9"/>
  <c r="E147" i="9"/>
  <c r="E88" i="9"/>
  <c r="A82" i="9"/>
  <c r="A52" i="9"/>
  <c r="A68" i="9"/>
  <c r="A124" i="9"/>
  <c r="E128" i="9"/>
  <c r="A148" i="9"/>
  <c r="A141" i="9"/>
  <c r="A94" i="9"/>
  <c r="A11" i="9"/>
  <c r="A145" i="9"/>
  <c r="A160" i="9"/>
  <c r="A17" i="9"/>
  <c r="A13" i="9"/>
  <c r="A156" i="9"/>
  <c r="E140" i="9"/>
  <c r="A30" i="9"/>
  <c r="E119" i="9"/>
  <c r="A102" i="9"/>
  <c r="A37" i="9"/>
  <c r="E165" i="9"/>
  <c r="A71" i="9"/>
  <c r="E102" i="9"/>
  <c r="E81" i="9"/>
  <c r="E95" i="9"/>
  <c r="E73" i="9"/>
  <c r="A64" i="9"/>
  <c r="A120" i="9"/>
  <c r="E67" i="9"/>
  <c r="I7" i="9"/>
  <c r="E36" i="9"/>
  <c r="A99" i="9"/>
  <c r="A28" i="9"/>
  <c r="A36" i="9"/>
  <c r="A165" i="9"/>
  <c r="A15" i="9"/>
  <c r="A139" i="9"/>
  <c r="E32" i="9"/>
  <c r="A22" i="9"/>
  <c r="E117" i="9"/>
  <c r="A134" i="9"/>
  <c r="E124" i="9"/>
  <c r="E101" i="9"/>
  <c r="E126" i="9"/>
  <c r="E28" i="9"/>
  <c r="E168" i="9"/>
  <c r="E164" i="9"/>
  <c r="E44" i="9"/>
  <c r="A100" i="9"/>
  <c r="E68" i="9"/>
  <c r="E134" i="9"/>
  <c r="E76" i="9"/>
  <c r="E77" i="9"/>
  <c r="E11" i="9"/>
  <c r="A146" i="9"/>
  <c r="A47" i="9"/>
  <c r="E109" i="9"/>
  <c r="A48" i="9"/>
  <c r="E71" i="9"/>
  <c r="A142" i="9"/>
  <c r="A95" i="9"/>
  <c r="A38" i="9"/>
  <c r="A96" i="9"/>
  <c r="E65" i="9"/>
  <c r="A84" i="9"/>
  <c r="E166" i="9"/>
  <c r="A12" i="9"/>
  <c r="E38" i="9"/>
  <c r="A18" i="9"/>
  <c r="E156" i="9"/>
  <c r="A62" i="9"/>
  <c r="A77" i="9"/>
  <c r="A53" i="9"/>
  <c r="A20" i="9"/>
  <c r="A109" i="9"/>
  <c r="A162" i="9"/>
  <c r="A125" i="9"/>
  <c r="A4" i="9"/>
  <c r="A137" i="9"/>
  <c r="A76" i="9"/>
  <c r="E108" i="9"/>
  <c r="A106" i="9"/>
  <c r="A118" i="9"/>
  <c r="A54" i="9"/>
  <c r="E55" i="9"/>
  <c r="A61" i="9"/>
  <c r="E135" i="9"/>
  <c r="E29" i="9"/>
  <c r="E90" i="9"/>
  <c r="E60" i="9"/>
  <c r="A133" i="9"/>
  <c r="A127" i="9"/>
  <c r="A157" i="9"/>
  <c r="E14" i="9"/>
  <c r="A74" i="9"/>
  <c r="E100" i="9"/>
  <c r="E144" i="9"/>
  <c r="A40" i="9"/>
  <c r="E46" i="9"/>
  <c r="E42" i="9"/>
  <c r="E69" i="9"/>
  <c r="A163" i="9"/>
  <c r="E94" i="9"/>
  <c r="E125" i="9"/>
  <c r="A39" i="9"/>
  <c r="E160" i="9"/>
  <c r="A63" i="9"/>
  <c r="A126" i="9"/>
  <c r="A19" i="9"/>
  <c r="E21" i="9"/>
  <c r="E153" i="9"/>
  <c r="E157" i="9"/>
  <c r="E155" i="9"/>
  <c r="A85" i="9"/>
  <c r="E17" i="9"/>
  <c r="A29" i="9"/>
  <c r="E39" i="9"/>
  <c r="A89" i="9"/>
  <c r="A65" i="9"/>
  <c r="A80" i="9"/>
  <c r="A158" i="9"/>
  <c r="E18" i="9"/>
  <c r="E104" i="9"/>
  <c r="E53" i="9"/>
  <c r="A55" i="9"/>
  <c r="A93" i="9"/>
  <c r="A33" i="9"/>
  <c r="A9" i="9"/>
  <c r="E127" i="9"/>
  <c r="A70" i="9"/>
  <c r="A81" i="9"/>
  <c r="E52" i="9"/>
  <c r="A86" i="9"/>
  <c r="A130" i="9"/>
  <c r="E85" i="9"/>
  <c r="A114" i="9"/>
  <c r="E130" i="9"/>
  <c r="E30" i="9"/>
  <c r="A2" i="9"/>
  <c r="A147" i="9"/>
  <c r="E26" i="9"/>
  <c r="A161" i="9"/>
  <c r="E41" i="9"/>
  <c r="A42" i="9"/>
  <c r="E20" i="9"/>
  <c r="E105" i="9"/>
  <c r="A104" i="9"/>
  <c r="A140" i="9"/>
  <c r="A46" i="9"/>
  <c r="E62" i="9"/>
  <c r="A135" i="9"/>
  <c r="E80" i="9"/>
  <c r="L7" i="9"/>
  <c r="E33" i="9"/>
  <c r="B201" i="10" l="1"/>
  <c r="C201" i="10" s="1"/>
  <c r="B54" i="10"/>
  <c r="C54" i="10" s="1"/>
  <c r="B132" i="10"/>
  <c r="C132" i="10" s="1"/>
  <c r="B158" i="10"/>
  <c r="C158" i="10" s="1"/>
  <c r="B86" i="10"/>
  <c r="C86" i="10" s="1"/>
  <c r="B182" i="10"/>
  <c r="C182" i="10" s="1"/>
  <c r="B150" i="10"/>
  <c r="C150" i="10" s="1"/>
  <c r="B118" i="10"/>
  <c r="C118" i="10" s="1"/>
  <c r="B62" i="10"/>
  <c r="C62" i="10" s="1"/>
  <c r="B30" i="10"/>
  <c r="C30" i="10" s="1"/>
  <c r="B14" i="10"/>
  <c r="C14" i="10" s="1"/>
  <c r="B198" i="10"/>
  <c r="C198" i="10" s="1"/>
  <c r="B166" i="10"/>
  <c r="C166" i="10" s="1"/>
  <c r="B142" i="10"/>
  <c r="C142" i="10" s="1"/>
  <c r="B94" i="10"/>
  <c r="C94" i="10" s="1"/>
  <c r="B38" i="10"/>
  <c r="C38" i="10" s="1"/>
  <c r="B197" i="10"/>
  <c r="C197" i="10" s="1"/>
  <c r="B189" i="10"/>
  <c r="C189" i="10" s="1"/>
  <c r="B181" i="10"/>
  <c r="C181" i="10" s="1"/>
  <c r="B173" i="10"/>
  <c r="C173" i="10" s="1"/>
  <c r="B165" i="10"/>
  <c r="C165" i="10" s="1"/>
  <c r="B157" i="10"/>
  <c r="C157" i="10" s="1"/>
  <c r="B149" i="10"/>
  <c r="C149" i="10" s="1"/>
  <c r="B141" i="10"/>
  <c r="C141" i="10" s="1"/>
  <c r="B133" i="10"/>
  <c r="C133" i="10" s="1"/>
  <c r="B125" i="10"/>
  <c r="C125" i="10" s="1"/>
  <c r="B117" i="10"/>
  <c r="C117" i="10" s="1"/>
  <c r="B109" i="10"/>
  <c r="C109" i="10" s="1"/>
  <c r="B101" i="10"/>
  <c r="C101" i="10" s="1"/>
  <c r="B93" i="10"/>
  <c r="C93" i="10" s="1"/>
  <c r="B85" i="10"/>
  <c r="C85" i="10" s="1"/>
  <c r="B77" i="10"/>
  <c r="C77" i="10" s="1"/>
  <c r="B69" i="10"/>
  <c r="C69" i="10" s="1"/>
  <c r="B61" i="10"/>
  <c r="C61" i="10" s="1"/>
  <c r="B53" i="10"/>
  <c r="C53" i="10" s="1"/>
  <c r="B45" i="10"/>
  <c r="C45" i="10" s="1"/>
  <c r="B37" i="10"/>
  <c r="C37" i="10" s="1"/>
  <c r="B29" i="10"/>
  <c r="C29" i="10" s="1"/>
  <c r="B21" i="10"/>
  <c r="C21" i="10" s="1"/>
  <c r="B13" i="10"/>
  <c r="C13" i="10" s="1"/>
  <c r="B190" i="10"/>
  <c r="C190" i="10" s="1"/>
  <c r="B172" i="10"/>
  <c r="C172" i="10" s="1"/>
  <c r="B116" i="10"/>
  <c r="C116" i="10" s="1"/>
  <c r="B100" i="10"/>
  <c r="C100" i="10" s="1"/>
  <c r="B92" i="10"/>
  <c r="C92" i="10" s="1"/>
  <c r="B180" i="10"/>
  <c r="C180" i="10" s="1"/>
  <c r="B84" i="10"/>
  <c r="C84" i="10" s="1"/>
  <c r="B126" i="10"/>
  <c r="C126" i="10" s="1"/>
  <c r="B36" i="10"/>
  <c r="C36" i="10" s="1"/>
  <c r="B195" i="10"/>
  <c r="C195" i="10" s="1"/>
  <c r="B187" i="10"/>
  <c r="C187" i="10" s="1"/>
  <c r="B179" i="10"/>
  <c r="C179" i="10" s="1"/>
  <c r="B171" i="10"/>
  <c r="C171" i="10" s="1"/>
  <c r="B163" i="10"/>
  <c r="C163" i="10" s="1"/>
  <c r="B155" i="10"/>
  <c r="C155" i="10" s="1"/>
  <c r="B147" i="10"/>
  <c r="C147" i="10" s="1"/>
  <c r="B139" i="10"/>
  <c r="C139" i="10" s="1"/>
  <c r="B131" i="10"/>
  <c r="C131" i="10" s="1"/>
  <c r="B123" i="10"/>
  <c r="C123" i="10" s="1"/>
  <c r="B115" i="10"/>
  <c r="C115" i="10" s="1"/>
  <c r="B107" i="10"/>
  <c r="C107" i="10" s="1"/>
  <c r="B99" i="10"/>
  <c r="C99" i="10" s="1"/>
  <c r="B91" i="10"/>
  <c r="C91" i="10" s="1"/>
  <c r="B83" i="10"/>
  <c r="C83" i="10" s="1"/>
  <c r="B75" i="10"/>
  <c r="C75" i="10" s="1"/>
  <c r="B67" i="10"/>
  <c r="C67" i="10" s="1"/>
  <c r="B59" i="10"/>
  <c r="C59" i="10" s="1"/>
  <c r="B51" i="10"/>
  <c r="C51" i="10" s="1"/>
  <c r="B43" i="10"/>
  <c r="C43" i="10" s="1"/>
  <c r="B35" i="10"/>
  <c r="C35" i="10" s="1"/>
  <c r="B27" i="10"/>
  <c r="C27" i="10" s="1"/>
  <c r="B19" i="10"/>
  <c r="C19" i="10" s="1"/>
  <c r="B11" i="10"/>
  <c r="C11" i="10" s="1"/>
  <c r="B110" i="10"/>
  <c r="C110" i="10" s="1"/>
  <c r="B44" i="10"/>
  <c r="C44" i="10" s="1"/>
  <c r="B46" i="10"/>
  <c r="C46" i="10" s="1"/>
  <c r="B60" i="10"/>
  <c r="C60" i="10" s="1"/>
  <c r="B194" i="10"/>
  <c r="C194" i="10" s="1"/>
  <c r="B186" i="10"/>
  <c r="C186" i="10" s="1"/>
  <c r="B178" i="10"/>
  <c r="C178" i="10" s="1"/>
  <c r="B170" i="10"/>
  <c r="C170" i="10" s="1"/>
  <c r="B162" i="10"/>
  <c r="C162" i="10" s="1"/>
  <c r="B154" i="10"/>
  <c r="C154" i="10" s="1"/>
  <c r="B146" i="10"/>
  <c r="C146" i="10" s="1"/>
  <c r="B138" i="10"/>
  <c r="C138" i="10" s="1"/>
  <c r="B130" i="10"/>
  <c r="C130" i="10" s="1"/>
  <c r="B122" i="10"/>
  <c r="C122" i="10" s="1"/>
  <c r="B114" i="10"/>
  <c r="C114" i="10" s="1"/>
  <c r="B106" i="10"/>
  <c r="C106" i="10" s="1"/>
  <c r="B98" i="10"/>
  <c r="C98" i="10" s="1"/>
  <c r="B90" i="10"/>
  <c r="C90" i="10" s="1"/>
  <c r="B82" i="10"/>
  <c r="C82" i="10" s="1"/>
  <c r="B74" i="10"/>
  <c r="C74" i="10" s="1"/>
  <c r="B66" i="10"/>
  <c r="C66" i="10" s="1"/>
  <c r="B58" i="10"/>
  <c r="C58" i="10" s="1"/>
  <c r="B50" i="10"/>
  <c r="C50" i="10" s="1"/>
  <c r="B42" i="10"/>
  <c r="C42" i="10" s="1"/>
  <c r="B34" i="10"/>
  <c r="C34" i="10" s="1"/>
  <c r="B26" i="10"/>
  <c r="C26" i="10" s="1"/>
  <c r="B18" i="10"/>
  <c r="C18" i="10" s="1"/>
  <c r="B10" i="10"/>
  <c r="C10" i="10" s="1"/>
  <c r="B134" i="10"/>
  <c r="C134" i="10" s="1"/>
  <c r="B196" i="10"/>
  <c r="C196" i="10" s="1"/>
  <c r="B164" i="10"/>
  <c r="C164" i="10" s="1"/>
  <c r="B140" i="10"/>
  <c r="C140" i="10" s="1"/>
  <c r="B108" i="10"/>
  <c r="C108" i="10" s="1"/>
  <c r="B20" i="10"/>
  <c r="C20" i="10" s="1"/>
  <c r="B174" i="10"/>
  <c r="C174" i="10" s="1"/>
  <c r="B28" i="10"/>
  <c r="C28" i="10" s="1"/>
  <c r="B193" i="10"/>
  <c r="C193" i="10" s="1"/>
  <c r="B185" i="10"/>
  <c r="C185" i="10" s="1"/>
  <c r="B177" i="10"/>
  <c r="C177" i="10" s="1"/>
  <c r="B169" i="10"/>
  <c r="C169" i="10" s="1"/>
  <c r="B161" i="10"/>
  <c r="C161" i="10" s="1"/>
  <c r="B153" i="10"/>
  <c r="C153" i="10" s="1"/>
  <c r="B145" i="10"/>
  <c r="C145" i="10" s="1"/>
  <c r="B137" i="10"/>
  <c r="C137" i="10" s="1"/>
  <c r="B129" i="10"/>
  <c r="C129" i="10" s="1"/>
  <c r="B121" i="10"/>
  <c r="C121" i="10" s="1"/>
  <c r="B113" i="10"/>
  <c r="C113" i="10" s="1"/>
  <c r="B105" i="10"/>
  <c r="C105" i="10" s="1"/>
  <c r="B97" i="10"/>
  <c r="C97" i="10" s="1"/>
  <c r="B89" i="10"/>
  <c r="C89" i="10" s="1"/>
  <c r="B81" i="10"/>
  <c r="C81" i="10" s="1"/>
  <c r="B73" i="10"/>
  <c r="C73" i="10" s="1"/>
  <c r="B65" i="10"/>
  <c r="C65" i="10" s="1"/>
  <c r="B57" i="10"/>
  <c r="C57" i="10" s="1"/>
  <c r="B49" i="10"/>
  <c r="C49" i="10" s="1"/>
  <c r="B41" i="10"/>
  <c r="C41" i="10" s="1"/>
  <c r="B33" i="10"/>
  <c r="C33" i="10" s="1"/>
  <c r="B25" i="10"/>
  <c r="C25" i="10" s="1"/>
  <c r="B17" i="10"/>
  <c r="C17" i="10" s="1"/>
  <c r="B9" i="10"/>
  <c r="B70" i="10"/>
  <c r="C70" i="10" s="1"/>
  <c r="B148" i="10"/>
  <c r="C148" i="10" s="1"/>
  <c r="B124" i="10"/>
  <c r="C124" i="10" s="1"/>
  <c r="B52" i="10"/>
  <c r="C52" i="10" s="1"/>
  <c r="B22" i="10"/>
  <c r="C22" i="10" s="1"/>
  <c r="B68" i="10"/>
  <c r="C68" i="10" s="1"/>
  <c r="B200" i="10"/>
  <c r="C200" i="10" s="1"/>
  <c r="B192" i="10"/>
  <c r="C192" i="10" s="1"/>
  <c r="B184" i="10"/>
  <c r="C184" i="10" s="1"/>
  <c r="B176" i="10"/>
  <c r="C176" i="10" s="1"/>
  <c r="B168" i="10"/>
  <c r="C168" i="10" s="1"/>
  <c r="B160" i="10"/>
  <c r="C160" i="10" s="1"/>
  <c r="B152" i="10"/>
  <c r="C152" i="10" s="1"/>
  <c r="B144" i="10"/>
  <c r="C144" i="10" s="1"/>
  <c r="B136" i="10"/>
  <c r="C136" i="10" s="1"/>
  <c r="B128" i="10"/>
  <c r="C128" i="10" s="1"/>
  <c r="B120" i="10"/>
  <c r="C120" i="10" s="1"/>
  <c r="B112" i="10"/>
  <c r="C112" i="10" s="1"/>
  <c r="B104" i="10"/>
  <c r="C104" i="10" s="1"/>
  <c r="B96" i="10"/>
  <c r="C96" i="10" s="1"/>
  <c r="B88" i="10"/>
  <c r="C88" i="10" s="1"/>
  <c r="B80" i="10"/>
  <c r="C80" i="10" s="1"/>
  <c r="B72" i="10"/>
  <c r="C72" i="10" s="1"/>
  <c r="B64" i="10"/>
  <c r="C64" i="10" s="1"/>
  <c r="B56" i="10"/>
  <c r="C56" i="10" s="1"/>
  <c r="B48" i="10"/>
  <c r="C48" i="10" s="1"/>
  <c r="B40" i="10"/>
  <c r="C40" i="10" s="1"/>
  <c r="B32" i="10"/>
  <c r="C32" i="10" s="1"/>
  <c r="B24" i="10"/>
  <c r="C24" i="10" s="1"/>
  <c r="B16" i="10"/>
  <c r="C16" i="10" s="1"/>
  <c r="B102" i="10"/>
  <c r="C102" i="10" s="1"/>
  <c r="B188" i="10"/>
  <c r="C188" i="10" s="1"/>
  <c r="B156" i="10"/>
  <c r="C156" i="10" s="1"/>
  <c r="B76" i="10"/>
  <c r="C76" i="10" s="1"/>
  <c r="B78" i="10"/>
  <c r="C78" i="10" s="1"/>
  <c r="B12" i="10"/>
  <c r="C12" i="10" s="1"/>
  <c r="B199" i="10"/>
  <c r="C199" i="10" s="1"/>
  <c r="B191" i="10"/>
  <c r="C191" i="10" s="1"/>
  <c r="B183" i="10"/>
  <c r="C183" i="10" s="1"/>
  <c r="B175" i="10"/>
  <c r="C175" i="10" s="1"/>
  <c r="B167" i="10"/>
  <c r="C167" i="10" s="1"/>
  <c r="B159" i="10"/>
  <c r="C159" i="10" s="1"/>
  <c r="B151" i="10"/>
  <c r="C151" i="10" s="1"/>
  <c r="B143" i="10"/>
  <c r="C143" i="10" s="1"/>
  <c r="B135" i="10"/>
  <c r="C135" i="10" s="1"/>
  <c r="B127" i="10"/>
  <c r="C127" i="10" s="1"/>
  <c r="B119" i="10"/>
  <c r="C119" i="10" s="1"/>
  <c r="B111" i="10"/>
  <c r="C111" i="10" s="1"/>
  <c r="B103" i="10"/>
  <c r="C103" i="10" s="1"/>
  <c r="B95" i="10"/>
  <c r="C95" i="10" s="1"/>
  <c r="B87" i="10"/>
  <c r="C87" i="10" s="1"/>
  <c r="B79" i="10"/>
  <c r="C79" i="10" s="1"/>
  <c r="B71" i="10"/>
  <c r="C71" i="10" s="1"/>
  <c r="B63" i="10"/>
  <c r="C63" i="10" s="1"/>
  <c r="B55" i="10"/>
  <c r="C55" i="10" s="1"/>
  <c r="B47" i="10"/>
  <c r="C47" i="10" s="1"/>
  <c r="B39" i="10"/>
  <c r="C39" i="10" s="1"/>
  <c r="B31" i="10"/>
  <c r="C31" i="10" s="1"/>
  <c r="B23" i="10"/>
  <c r="C23" i="10" s="1"/>
  <c r="B15" i="10"/>
  <c r="C15" i="10" s="1"/>
  <c r="B182" i="8"/>
  <c r="C182" i="8" s="1"/>
  <c r="B181" i="8"/>
  <c r="C181" i="8" s="1"/>
  <c r="B172" i="8"/>
  <c r="C172" i="8" s="1"/>
  <c r="B148" i="8"/>
  <c r="C148" i="8" s="1"/>
  <c r="B116" i="8"/>
  <c r="C116" i="8" s="1"/>
  <c r="B177" i="8"/>
  <c r="C177" i="8" s="1"/>
  <c r="B169" i="8"/>
  <c r="C169" i="8" s="1"/>
  <c r="B161" i="8"/>
  <c r="C161" i="8" s="1"/>
  <c r="B153" i="8"/>
  <c r="C153" i="8" s="1"/>
  <c r="B145" i="8"/>
  <c r="C145" i="8" s="1"/>
  <c r="B137" i="8"/>
  <c r="C137" i="8" s="1"/>
  <c r="B129" i="8"/>
  <c r="C129" i="8" s="1"/>
  <c r="B121" i="8"/>
  <c r="C121" i="8" s="1"/>
  <c r="B113" i="8"/>
  <c r="C113" i="8" s="1"/>
  <c r="B105" i="8"/>
  <c r="C105" i="8" s="1"/>
  <c r="B97" i="8"/>
  <c r="C97" i="8" s="1"/>
  <c r="B89" i="8"/>
  <c r="C89" i="8" s="1"/>
  <c r="B81" i="8"/>
  <c r="C81" i="8" s="1"/>
  <c r="B73" i="8"/>
  <c r="C73" i="8" s="1"/>
  <c r="B65" i="8"/>
  <c r="C65" i="8" s="1"/>
  <c r="B57" i="8"/>
  <c r="C57" i="8" s="1"/>
  <c r="B49" i="8"/>
  <c r="C49" i="8" s="1"/>
  <c r="B41" i="8"/>
  <c r="C41" i="8" s="1"/>
  <c r="B33" i="8"/>
  <c r="C33" i="8" s="1"/>
  <c r="B25" i="8"/>
  <c r="C25" i="8" s="1"/>
  <c r="B17" i="8"/>
  <c r="C17" i="8" s="1"/>
  <c r="B9" i="8"/>
  <c r="B152" i="8"/>
  <c r="C152" i="8" s="1"/>
  <c r="B136" i="8"/>
  <c r="C136" i="8" s="1"/>
  <c r="B120" i="8"/>
  <c r="C120" i="8" s="1"/>
  <c r="B112" i="8"/>
  <c r="C112" i="8" s="1"/>
  <c r="B104" i="8"/>
  <c r="C104" i="8" s="1"/>
  <c r="B96" i="8"/>
  <c r="C96" i="8" s="1"/>
  <c r="B88" i="8"/>
  <c r="C88" i="8" s="1"/>
  <c r="B80" i="8"/>
  <c r="C80" i="8" s="1"/>
  <c r="B72" i="8"/>
  <c r="C72" i="8" s="1"/>
  <c r="B56" i="8"/>
  <c r="C56" i="8" s="1"/>
  <c r="B48" i="8"/>
  <c r="C48" i="8" s="1"/>
  <c r="B40" i="8"/>
  <c r="C40" i="8" s="1"/>
  <c r="B32" i="8"/>
  <c r="C32" i="8" s="1"/>
  <c r="B24" i="8"/>
  <c r="C24" i="8" s="1"/>
  <c r="B16" i="8"/>
  <c r="C16" i="8" s="1"/>
  <c r="B176" i="8"/>
  <c r="C176" i="8" s="1"/>
  <c r="B144" i="8"/>
  <c r="C144" i="8" s="1"/>
  <c r="B128" i="8"/>
  <c r="C128" i="8" s="1"/>
  <c r="B64" i="8"/>
  <c r="C64" i="8" s="1"/>
  <c r="B79" i="8"/>
  <c r="C79" i="8" s="1"/>
  <c r="B71" i="8"/>
  <c r="C71" i="8" s="1"/>
  <c r="B63" i="8"/>
  <c r="C63" i="8" s="1"/>
  <c r="B55" i="8"/>
  <c r="C55" i="8" s="1"/>
  <c r="B47" i="8"/>
  <c r="C47" i="8" s="1"/>
  <c r="B39" i="8"/>
  <c r="C39" i="8" s="1"/>
  <c r="B31" i="8"/>
  <c r="C31" i="8" s="1"/>
  <c r="B23" i="8"/>
  <c r="C23" i="8" s="1"/>
  <c r="B15" i="8"/>
  <c r="C15" i="8" s="1"/>
  <c r="B168" i="8"/>
  <c r="C168" i="8" s="1"/>
  <c r="B159" i="8"/>
  <c r="C159" i="8" s="1"/>
  <c r="B143" i="8"/>
  <c r="C143" i="8" s="1"/>
  <c r="B135" i="8"/>
  <c r="C135" i="8" s="1"/>
  <c r="B127" i="8"/>
  <c r="C127" i="8" s="1"/>
  <c r="B95" i="8"/>
  <c r="C95" i="8" s="1"/>
  <c r="B87" i="8"/>
  <c r="C87" i="8" s="1"/>
  <c r="B151" i="8"/>
  <c r="C151" i="8" s="1"/>
  <c r="B166" i="8"/>
  <c r="C166" i="8" s="1"/>
  <c r="B126" i="8"/>
  <c r="C126" i="8" s="1"/>
  <c r="B110" i="8"/>
  <c r="C110" i="8" s="1"/>
  <c r="B102" i="8"/>
  <c r="C102" i="8" s="1"/>
  <c r="B30" i="8"/>
  <c r="C30" i="8" s="1"/>
  <c r="B22" i="8"/>
  <c r="C22" i="8" s="1"/>
  <c r="B14" i="8"/>
  <c r="C14" i="8" s="1"/>
  <c r="B119" i="8"/>
  <c r="C119" i="8" s="1"/>
  <c r="B142" i="8"/>
  <c r="C142" i="8" s="1"/>
  <c r="B118" i="8"/>
  <c r="C118" i="8" s="1"/>
  <c r="B86" i="8"/>
  <c r="C86" i="8" s="1"/>
  <c r="B62" i="8"/>
  <c r="C62" i="8" s="1"/>
  <c r="B46" i="8"/>
  <c r="C46" i="8" s="1"/>
  <c r="B160" i="8"/>
  <c r="C160" i="8" s="1"/>
  <c r="B167" i="8"/>
  <c r="C167" i="8" s="1"/>
  <c r="B111" i="8"/>
  <c r="C111" i="8" s="1"/>
  <c r="B158" i="8"/>
  <c r="C158" i="8" s="1"/>
  <c r="B134" i="8"/>
  <c r="C134" i="8" s="1"/>
  <c r="B78" i="8"/>
  <c r="C78" i="8" s="1"/>
  <c r="B70" i="8"/>
  <c r="C70" i="8" s="1"/>
  <c r="B54" i="8"/>
  <c r="C54" i="8" s="1"/>
  <c r="B38" i="8"/>
  <c r="C38" i="8" s="1"/>
  <c r="B173" i="8"/>
  <c r="C173" i="8" s="1"/>
  <c r="B165" i="8"/>
  <c r="C165" i="8" s="1"/>
  <c r="B157" i="8"/>
  <c r="C157" i="8" s="1"/>
  <c r="B149" i="8"/>
  <c r="C149" i="8" s="1"/>
  <c r="B141" i="8"/>
  <c r="C141" i="8" s="1"/>
  <c r="B133" i="8"/>
  <c r="C133" i="8" s="1"/>
  <c r="B125" i="8"/>
  <c r="C125" i="8" s="1"/>
  <c r="B117" i="8"/>
  <c r="C117" i="8" s="1"/>
  <c r="B109" i="8"/>
  <c r="C109" i="8" s="1"/>
  <c r="B101" i="8"/>
  <c r="C101" i="8" s="1"/>
  <c r="B93" i="8"/>
  <c r="C93" i="8" s="1"/>
  <c r="B85" i="8"/>
  <c r="C85" i="8" s="1"/>
  <c r="B77" i="8"/>
  <c r="C77" i="8" s="1"/>
  <c r="B69" i="8"/>
  <c r="C69" i="8" s="1"/>
  <c r="B61" i="8"/>
  <c r="C61" i="8" s="1"/>
  <c r="B53" i="8"/>
  <c r="C53" i="8" s="1"/>
  <c r="B45" i="8"/>
  <c r="C45" i="8" s="1"/>
  <c r="B37" i="8"/>
  <c r="C37" i="8" s="1"/>
  <c r="B29" i="8"/>
  <c r="C29" i="8" s="1"/>
  <c r="B21" i="8"/>
  <c r="C21" i="8" s="1"/>
  <c r="B13" i="8"/>
  <c r="C13" i="8" s="1"/>
  <c r="B175" i="8"/>
  <c r="C175" i="8" s="1"/>
  <c r="B103" i="8"/>
  <c r="C103" i="8" s="1"/>
  <c r="B174" i="8"/>
  <c r="C174" i="8" s="1"/>
  <c r="B150" i="8"/>
  <c r="C150" i="8" s="1"/>
  <c r="B94" i="8"/>
  <c r="C94" i="8" s="1"/>
  <c r="B92" i="8"/>
  <c r="C92" i="8" s="1"/>
  <c r="B84" i="8"/>
  <c r="C84" i="8" s="1"/>
  <c r="B76" i="8"/>
  <c r="C76" i="8" s="1"/>
  <c r="B68" i="8"/>
  <c r="C68" i="8" s="1"/>
  <c r="B60" i="8"/>
  <c r="C60" i="8" s="1"/>
  <c r="B52" i="8"/>
  <c r="C52" i="8" s="1"/>
  <c r="B44" i="8"/>
  <c r="C44" i="8" s="1"/>
  <c r="B36" i="8"/>
  <c r="C36" i="8" s="1"/>
  <c r="B28" i="8"/>
  <c r="C28" i="8" s="1"/>
  <c r="B20" i="8"/>
  <c r="C20" i="8" s="1"/>
  <c r="B12" i="8"/>
  <c r="C12" i="8" s="1"/>
  <c r="B164" i="8"/>
  <c r="C164" i="8" s="1"/>
  <c r="B156" i="8"/>
  <c r="C156" i="8" s="1"/>
  <c r="B140" i="8"/>
  <c r="C140" i="8" s="1"/>
  <c r="B132" i="8"/>
  <c r="C132" i="8" s="1"/>
  <c r="B108" i="8"/>
  <c r="C108" i="8" s="1"/>
  <c r="B179" i="8"/>
  <c r="C179" i="8" s="1"/>
  <c r="B171" i="8"/>
  <c r="C171" i="8" s="1"/>
  <c r="B163" i="8"/>
  <c r="C163" i="8" s="1"/>
  <c r="B155" i="8"/>
  <c r="C155" i="8" s="1"/>
  <c r="B147" i="8"/>
  <c r="C147" i="8" s="1"/>
  <c r="B139" i="8"/>
  <c r="C139" i="8" s="1"/>
  <c r="B131" i="8"/>
  <c r="C131" i="8" s="1"/>
  <c r="B123" i="8"/>
  <c r="C123" i="8" s="1"/>
  <c r="B115" i="8"/>
  <c r="C115" i="8" s="1"/>
  <c r="B107" i="8"/>
  <c r="C107" i="8" s="1"/>
  <c r="B99" i="8"/>
  <c r="C99" i="8" s="1"/>
  <c r="B91" i="8"/>
  <c r="C91" i="8" s="1"/>
  <c r="B83" i="8"/>
  <c r="C83" i="8" s="1"/>
  <c r="B75" i="8"/>
  <c r="C75" i="8" s="1"/>
  <c r="B67" i="8"/>
  <c r="C67" i="8" s="1"/>
  <c r="B59" i="8"/>
  <c r="C59" i="8" s="1"/>
  <c r="B51" i="8"/>
  <c r="C51" i="8" s="1"/>
  <c r="B43" i="8"/>
  <c r="C43" i="8" s="1"/>
  <c r="B35" i="8"/>
  <c r="C35" i="8" s="1"/>
  <c r="B27" i="8"/>
  <c r="C27" i="8" s="1"/>
  <c r="B19" i="8"/>
  <c r="C19" i="8" s="1"/>
  <c r="B11" i="8"/>
  <c r="C11" i="8" s="1"/>
  <c r="B100" i="8"/>
  <c r="C100" i="8" s="1"/>
  <c r="B180" i="8"/>
  <c r="C180" i="8" s="1"/>
  <c r="B178" i="8"/>
  <c r="C178" i="8" s="1"/>
  <c r="B170" i="8"/>
  <c r="C170" i="8" s="1"/>
  <c r="B146" i="8"/>
  <c r="C146" i="8" s="1"/>
  <c r="B66" i="8"/>
  <c r="C66" i="8" s="1"/>
  <c r="B58" i="8"/>
  <c r="C58" i="8" s="1"/>
  <c r="B50" i="8"/>
  <c r="C50" i="8" s="1"/>
  <c r="B42" i="8"/>
  <c r="C42" i="8" s="1"/>
  <c r="B34" i="8"/>
  <c r="C34" i="8" s="1"/>
  <c r="B26" i="8"/>
  <c r="C26" i="8" s="1"/>
  <c r="B18" i="8"/>
  <c r="C18" i="8" s="1"/>
  <c r="B10" i="8"/>
  <c r="C10" i="8" s="1"/>
  <c r="B124" i="8"/>
  <c r="C124" i="8" s="1"/>
  <c r="B162" i="8"/>
  <c r="C162" i="8" s="1"/>
  <c r="B154" i="8"/>
  <c r="C154" i="8" s="1"/>
  <c r="B138" i="8"/>
  <c r="C138" i="8" s="1"/>
  <c r="B130" i="8"/>
  <c r="C130" i="8" s="1"/>
  <c r="B122" i="8"/>
  <c r="C122" i="8" s="1"/>
  <c r="B114" i="8"/>
  <c r="C114" i="8" s="1"/>
  <c r="B106" i="8"/>
  <c r="C106" i="8" s="1"/>
  <c r="B98" i="8"/>
  <c r="C98" i="8" s="1"/>
  <c r="B90" i="8"/>
  <c r="C90" i="8" s="1"/>
  <c r="B82" i="8"/>
  <c r="C82" i="8" s="1"/>
  <c r="B74" i="8"/>
  <c r="C74" i="8" s="1"/>
  <c r="B166" i="9"/>
  <c r="C166" i="9" s="1"/>
  <c r="B168" i="9"/>
  <c r="C168" i="9" s="1"/>
  <c r="B9" i="9"/>
  <c r="B167" i="9"/>
  <c r="C167" i="9" s="1"/>
  <c r="B49" i="9"/>
  <c r="C49" i="9" s="1"/>
  <c r="B41" i="9"/>
  <c r="C41" i="9" s="1"/>
  <c r="B33" i="9"/>
  <c r="C33" i="9" s="1"/>
  <c r="B25" i="9"/>
  <c r="C25" i="9" s="1"/>
  <c r="B17" i="9"/>
  <c r="C17" i="9" s="1"/>
  <c r="B146" i="9"/>
  <c r="C146" i="9" s="1"/>
  <c r="B74" i="9"/>
  <c r="C74" i="9" s="1"/>
  <c r="B98" i="9"/>
  <c r="C98" i="9" s="1"/>
  <c r="B10" i="9"/>
  <c r="C10" i="9" s="1"/>
  <c r="B161" i="9"/>
  <c r="C161" i="9" s="1"/>
  <c r="B153" i="9"/>
  <c r="C153" i="9" s="1"/>
  <c r="B145" i="9"/>
  <c r="C145" i="9" s="1"/>
  <c r="B137" i="9"/>
  <c r="C137" i="9" s="1"/>
  <c r="B129" i="9"/>
  <c r="C129" i="9" s="1"/>
  <c r="B121" i="9"/>
  <c r="C121" i="9" s="1"/>
  <c r="B113" i="9"/>
  <c r="C113" i="9" s="1"/>
  <c r="B105" i="9"/>
  <c r="C105" i="9" s="1"/>
  <c r="B97" i="9"/>
  <c r="C97" i="9" s="1"/>
  <c r="B89" i="9"/>
  <c r="C89" i="9" s="1"/>
  <c r="B81" i="9"/>
  <c r="C81" i="9" s="1"/>
  <c r="B73" i="9"/>
  <c r="C73" i="9" s="1"/>
  <c r="B65" i="9"/>
  <c r="C65" i="9" s="1"/>
  <c r="B57" i="9"/>
  <c r="C57" i="9" s="1"/>
  <c r="B160" i="9"/>
  <c r="C160" i="9" s="1"/>
  <c r="B152" i="9"/>
  <c r="C152" i="9" s="1"/>
  <c r="B144" i="9"/>
  <c r="C144" i="9" s="1"/>
  <c r="B136" i="9"/>
  <c r="C136" i="9" s="1"/>
  <c r="B128" i="9"/>
  <c r="C128" i="9" s="1"/>
  <c r="B120" i="9"/>
  <c r="C120" i="9" s="1"/>
  <c r="B112" i="9"/>
  <c r="C112" i="9" s="1"/>
  <c r="B104" i="9"/>
  <c r="C104" i="9" s="1"/>
  <c r="B96" i="9"/>
  <c r="C96" i="9" s="1"/>
  <c r="B88" i="9"/>
  <c r="C88" i="9" s="1"/>
  <c r="B80" i="9"/>
  <c r="C80" i="9" s="1"/>
  <c r="B72" i="9"/>
  <c r="C72" i="9" s="1"/>
  <c r="B64" i="9"/>
  <c r="C64" i="9" s="1"/>
  <c r="B56" i="9"/>
  <c r="C56" i="9" s="1"/>
  <c r="B48" i="9"/>
  <c r="C48" i="9" s="1"/>
  <c r="B40" i="9"/>
  <c r="C40" i="9" s="1"/>
  <c r="B32" i="9"/>
  <c r="C32" i="9" s="1"/>
  <c r="B24" i="9"/>
  <c r="C24" i="9" s="1"/>
  <c r="B16" i="9"/>
  <c r="C16" i="9" s="1"/>
  <c r="B114" i="9"/>
  <c r="C114" i="9" s="1"/>
  <c r="B50" i="9"/>
  <c r="C50" i="9" s="1"/>
  <c r="B34" i="9"/>
  <c r="C34" i="9" s="1"/>
  <c r="B18" i="9"/>
  <c r="C18" i="9" s="1"/>
  <c r="B122" i="9"/>
  <c r="C122" i="9" s="1"/>
  <c r="B58" i="9"/>
  <c r="C58" i="9" s="1"/>
  <c r="B42" i="9"/>
  <c r="C42" i="9" s="1"/>
  <c r="B26" i="9"/>
  <c r="C26" i="9" s="1"/>
  <c r="B159" i="9"/>
  <c r="C159" i="9" s="1"/>
  <c r="B151" i="9"/>
  <c r="C151" i="9" s="1"/>
  <c r="B143" i="9"/>
  <c r="C143" i="9" s="1"/>
  <c r="B135" i="9"/>
  <c r="C135" i="9" s="1"/>
  <c r="B127" i="9"/>
  <c r="C127" i="9" s="1"/>
  <c r="B119" i="9"/>
  <c r="C119" i="9" s="1"/>
  <c r="B111" i="9"/>
  <c r="C111" i="9" s="1"/>
  <c r="B103" i="9"/>
  <c r="C103" i="9" s="1"/>
  <c r="B95" i="9"/>
  <c r="C95" i="9" s="1"/>
  <c r="B87" i="9"/>
  <c r="C87" i="9" s="1"/>
  <c r="B79" i="9"/>
  <c r="C79" i="9" s="1"/>
  <c r="B71" i="9"/>
  <c r="C71" i="9" s="1"/>
  <c r="B63" i="9"/>
  <c r="C63" i="9" s="1"/>
  <c r="B55" i="9"/>
  <c r="C55" i="9" s="1"/>
  <c r="B47" i="9"/>
  <c r="C47" i="9" s="1"/>
  <c r="B39" i="9"/>
  <c r="C39" i="9" s="1"/>
  <c r="B31" i="9"/>
  <c r="C31" i="9" s="1"/>
  <c r="B23" i="9"/>
  <c r="C23" i="9" s="1"/>
  <c r="B15" i="9"/>
  <c r="C15" i="9" s="1"/>
  <c r="B162" i="9"/>
  <c r="C162" i="9" s="1"/>
  <c r="B130" i="9"/>
  <c r="C130" i="9" s="1"/>
  <c r="B138" i="9"/>
  <c r="C138" i="9" s="1"/>
  <c r="B86" i="9"/>
  <c r="C86" i="9" s="1"/>
  <c r="B78" i="9"/>
  <c r="C78" i="9" s="1"/>
  <c r="B70" i="9"/>
  <c r="C70" i="9" s="1"/>
  <c r="B62" i="9"/>
  <c r="C62" i="9" s="1"/>
  <c r="B54" i="9"/>
  <c r="C54" i="9" s="1"/>
  <c r="B46" i="9"/>
  <c r="C46" i="9" s="1"/>
  <c r="B38" i="9"/>
  <c r="C38" i="9" s="1"/>
  <c r="B30" i="9"/>
  <c r="C30" i="9" s="1"/>
  <c r="B22" i="9"/>
  <c r="C22" i="9" s="1"/>
  <c r="B14" i="9"/>
  <c r="C14" i="9" s="1"/>
  <c r="B154" i="9"/>
  <c r="C154" i="9" s="1"/>
  <c r="B66" i="9"/>
  <c r="C66" i="9" s="1"/>
  <c r="B158" i="9"/>
  <c r="C158" i="9" s="1"/>
  <c r="B150" i="9"/>
  <c r="C150" i="9" s="1"/>
  <c r="B126" i="9"/>
  <c r="C126" i="9" s="1"/>
  <c r="B102" i="9"/>
  <c r="C102" i="9" s="1"/>
  <c r="B90" i="9"/>
  <c r="C90" i="9" s="1"/>
  <c r="B142" i="9"/>
  <c r="C142" i="9" s="1"/>
  <c r="B134" i="9"/>
  <c r="C134" i="9" s="1"/>
  <c r="B118" i="9"/>
  <c r="C118" i="9" s="1"/>
  <c r="B110" i="9"/>
  <c r="C110" i="9" s="1"/>
  <c r="B94" i="9"/>
  <c r="C94" i="9" s="1"/>
  <c r="B165" i="9"/>
  <c r="C165" i="9" s="1"/>
  <c r="B157" i="9"/>
  <c r="C157" i="9" s="1"/>
  <c r="B133" i="9"/>
  <c r="C133" i="9" s="1"/>
  <c r="B117" i="9"/>
  <c r="C117" i="9" s="1"/>
  <c r="B101" i="9"/>
  <c r="C101" i="9" s="1"/>
  <c r="B93" i="9"/>
  <c r="C93" i="9" s="1"/>
  <c r="B77" i="9"/>
  <c r="C77" i="9" s="1"/>
  <c r="B61" i="9"/>
  <c r="C61" i="9" s="1"/>
  <c r="B45" i="9"/>
  <c r="C45" i="9" s="1"/>
  <c r="B37" i="9"/>
  <c r="C37" i="9" s="1"/>
  <c r="B29" i="9"/>
  <c r="C29" i="9" s="1"/>
  <c r="B21" i="9"/>
  <c r="C21" i="9" s="1"/>
  <c r="B13" i="9"/>
  <c r="C13" i="9" s="1"/>
  <c r="B106" i="9"/>
  <c r="C106" i="9" s="1"/>
  <c r="B149" i="9"/>
  <c r="C149" i="9" s="1"/>
  <c r="B141" i="9"/>
  <c r="C141" i="9" s="1"/>
  <c r="B125" i="9"/>
  <c r="C125" i="9" s="1"/>
  <c r="B109" i="9"/>
  <c r="C109" i="9" s="1"/>
  <c r="B85" i="9"/>
  <c r="C85" i="9" s="1"/>
  <c r="B69" i="9"/>
  <c r="C69" i="9" s="1"/>
  <c r="B53" i="9"/>
  <c r="C53" i="9" s="1"/>
  <c r="B156" i="9"/>
  <c r="C156" i="9" s="1"/>
  <c r="B140" i="9"/>
  <c r="C140" i="9" s="1"/>
  <c r="B116" i="9"/>
  <c r="C116" i="9" s="1"/>
  <c r="B76" i="9"/>
  <c r="C76" i="9" s="1"/>
  <c r="B60" i="9"/>
  <c r="C60" i="9" s="1"/>
  <c r="B44" i="9"/>
  <c r="C44" i="9" s="1"/>
  <c r="B36" i="9"/>
  <c r="C36" i="9" s="1"/>
  <c r="B28" i="9"/>
  <c r="C28" i="9" s="1"/>
  <c r="B20" i="9"/>
  <c r="C20" i="9" s="1"/>
  <c r="B12" i="9"/>
  <c r="C12" i="9" s="1"/>
  <c r="B82" i="9"/>
  <c r="C82" i="9" s="1"/>
  <c r="B164" i="9"/>
  <c r="C164" i="9" s="1"/>
  <c r="B148" i="9"/>
  <c r="C148" i="9" s="1"/>
  <c r="B124" i="9"/>
  <c r="C124" i="9" s="1"/>
  <c r="B100" i="9"/>
  <c r="C100" i="9" s="1"/>
  <c r="B84" i="9"/>
  <c r="C84" i="9" s="1"/>
  <c r="B52" i="9"/>
  <c r="C52" i="9" s="1"/>
  <c r="B155" i="9"/>
  <c r="C155" i="9" s="1"/>
  <c r="B147" i="9"/>
  <c r="C147" i="9" s="1"/>
  <c r="B139" i="9"/>
  <c r="C139" i="9" s="1"/>
  <c r="B131" i="9"/>
  <c r="C131" i="9" s="1"/>
  <c r="B123" i="9"/>
  <c r="C123" i="9" s="1"/>
  <c r="B115" i="9"/>
  <c r="C115" i="9" s="1"/>
  <c r="B107" i="9"/>
  <c r="C107" i="9" s="1"/>
  <c r="B99" i="9"/>
  <c r="C99" i="9" s="1"/>
  <c r="B91" i="9"/>
  <c r="C91" i="9" s="1"/>
  <c r="B83" i="9"/>
  <c r="C83" i="9" s="1"/>
  <c r="B75" i="9"/>
  <c r="C75" i="9" s="1"/>
  <c r="B67" i="9"/>
  <c r="C67" i="9" s="1"/>
  <c r="B59" i="9"/>
  <c r="C59" i="9" s="1"/>
  <c r="B51" i="9"/>
  <c r="C51" i="9" s="1"/>
  <c r="B43" i="9"/>
  <c r="C43" i="9" s="1"/>
  <c r="B35" i="9"/>
  <c r="C35" i="9" s="1"/>
  <c r="B27" i="9"/>
  <c r="C27" i="9" s="1"/>
  <c r="B19" i="9"/>
  <c r="C19" i="9" s="1"/>
  <c r="B11" i="9"/>
  <c r="C11" i="9" s="1"/>
  <c r="B132" i="9"/>
  <c r="C132" i="9" s="1"/>
  <c r="B108" i="9"/>
  <c r="C108" i="9" s="1"/>
  <c r="B92" i="9"/>
  <c r="C92" i="9" s="1"/>
  <c r="B68" i="9"/>
  <c r="C68" i="9" s="1"/>
  <c r="B163" i="9"/>
  <c r="C163" i="9" s="1"/>
  <c r="B252" i="1"/>
  <c r="C252" i="1" s="1"/>
  <c r="B251" i="1"/>
  <c r="C251" i="1" s="1"/>
  <c r="B100" i="1"/>
  <c r="C100" i="1" s="1"/>
  <c r="B220" i="1"/>
  <c r="C220" i="1" s="1"/>
  <c r="B52" i="1"/>
  <c r="C52" i="1" s="1"/>
  <c r="B104" i="1"/>
  <c r="C104" i="1" s="1"/>
  <c r="B245" i="1"/>
  <c r="C245" i="1" s="1"/>
  <c r="B36" i="1"/>
  <c r="C36" i="1" s="1"/>
  <c r="B96" i="1"/>
  <c r="C96" i="1" s="1"/>
  <c r="B207" i="1"/>
  <c r="C207" i="1" s="1"/>
  <c r="B79" i="1"/>
  <c r="C79" i="1" s="1"/>
  <c r="B248" i="1"/>
  <c r="C248" i="1" s="1"/>
  <c r="B126" i="1"/>
  <c r="C126" i="1" s="1"/>
  <c r="B190" i="1"/>
  <c r="C190" i="1" s="1"/>
  <c r="B106" i="1"/>
  <c r="C106" i="1" s="1"/>
  <c r="B237" i="1"/>
  <c r="C237" i="1" s="1"/>
  <c r="B109" i="1"/>
  <c r="C109" i="1" s="1"/>
  <c r="B60" i="1"/>
  <c r="C60" i="1" s="1"/>
  <c r="B121" i="1"/>
  <c r="C121" i="1" s="1"/>
  <c r="B201" i="1"/>
  <c r="C201" i="1" s="1"/>
  <c r="B180" i="1"/>
  <c r="C180" i="1" s="1"/>
  <c r="B44" i="1"/>
  <c r="C44" i="1" s="1"/>
  <c r="B28" i="1"/>
  <c r="C28" i="1" s="1"/>
  <c r="B179" i="1"/>
  <c r="C179" i="1" s="1"/>
  <c r="B88" i="1"/>
  <c r="C88" i="1" s="1"/>
  <c r="B158" i="1"/>
  <c r="C158" i="1" s="1"/>
  <c r="B229" i="1"/>
  <c r="C229" i="1" s="1"/>
  <c r="B101" i="1"/>
  <c r="C101" i="1" s="1"/>
  <c r="B120" i="1"/>
  <c r="C120" i="1" s="1"/>
  <c r="B172" i="1"/>
  <c r="C172" i="1" s="1"/>
  <c r="B105" i="1"/>
  <c r="C105" i="1" s="1"/>
  <c r="B87" i="1"/>
  <c r="C87" i="1" s="1"/>
  <c r="B206" i="1"/>
  <c r="C206" i="1" s="1"/>
  <c r="B214" i="1"/>
  <c r="C214" i="1" s="1"/>
  <c r="B138" i="1"/>
  <c r="C138" i="1" s="1"/>
  <c r="B164" i="1"/>
  <c r="C164" i="1" s="1"/>
  <c r="B97" i="1"/>
  <c r="C97" i="1" s="1"/>
  <c r="B156" i="1"/>
  <c r="C156" i="1" s="1"/>
  <c r="B89" i="1"/>
  <c r="C89" i="1" s="1"/>
  <c r="B199" i="1"/>
  <c r="C199" i="1" s="1"/>
  <c r="B71" i="1"/>
  <c r="C71" i="1" s="1"/>
  <c r="B216" i="1"/>
  <c r="C216" i="1" s="1"/>
  <c r="B118" i="1"/>
  <c r="C118" i="1" s="1"/>
  <c r="B148" i="1"/>
  <c r="C148" i="1" s="1"/>
  <c r="B20" i="1"/>
  <c r="C20" i="1" s="1"/>
  <c r="B81" i="1"/>
  <c r="C81" i="1" s="1"/>
  <c r="B187" i="1"/>
  <c r="C187" i="1" s="1"/>
  <c r="B80" i="1"/>
  <c r="C80" i="1" s="1"/>
  <c r="B191" i="1"/>
  <c r="C191" i="1" s="1"/>
  <c r="B63" i="1"/>
  <c r="C63" i="1" s="1"/>
  <c r="B250" i="1"/>
  <c r="C250" i="1" s="1"/>
  <c r="B208" i="1"/>
  <c r="C208" i="1" s="1"/>
  <c r="B110" i="1"/>
  <c r="C110" i="1" s="1"/>
  <c r="B142" i="1"/>
  <c r="C142" i="1" s="1"/>
  <c r="B238" i="1"/>
  <c r="C238" i="1" s="1"/>
  <c r="B221" i="1"/>
  <c r="C221" i="1" s="1"/>
  <c r="B93" i="1"/>
  <c r="C93" i="1" s="1"/>
  <c r="B73" i="1"/>
  <c r="C73" i="1" s="1"/>
  <c r="B72" i="1"/>
  <c r="C72" i="1" s="1"/>
  <c r="B213" i="1"/>
  <c r="C213" i="1" s="1"/>
  <c r="B85" i="1"/>
  <c r="C85" i="1" s="1"/>
  <c r="B163" i="1"/>
  <c r="C163" i="1" s="1"/>
  <c r="B65" i="1"/>
  <c r="C65" i="1" s="1"/>
  <c r="B171" i="1"/>
  <c r="C171" i="1" s="1"/>
  <c r="B115" i="1"/>
  <c r="C115" i="1" s="1"/>
  <c r="B232" i="1"/>
  <c r="C232" i="1" s="1"/>
  <c r="B64" i="1"/>
  <c r="C64" i="1" s="1"/>
  <c r="B235" i="1"/>
  <c r="C235" i="1" s="1"/>
  <c r="B99" i="1"/>
  <c r="C99" i="1" s="1"/>
  <c r="B240" i="1"/>
  <c r="C240" i="1" s="1"/>
  <c r="B175" i="1"/>
  <c r="C175" i="1" s="1"/>
  <c r="B47" i="1"/>
  <c r="C47" i="1" s="1"/>
  <c r="B210" i="1"/>
  <c r="C210" i="1" s="1"/>
  <c r="B176" i="1"/>
  <c r="C176" i="1" s="1"/>
  <c r="B139" i="1"/>
  <c r="C139" i="1" s="1"/>
  <c r="B94" i="1"/>
  <c r="C94" i="1" s="1"/>
  <c r="B198" i="1"/>
  <c r="C198" i="1" s="1"/>
  <c r="B205" i="1"/>
  <c r="C205" i="1" s="1"/>
  <c r="B77" i="1"/>
  <c r="C77" i="1" s="1"/>
  <c r="B132" i="1"/>
  <c r="C132" i="1" s="1"/>
  <c r="B197" i="1"/>
  <c r="C197" i="1" s="1"/>
  <c r="B69" i="1"/>
  <c r="C69" i="1" s="1"/>
  <c r="B222" i="1"/>
  <c r="C222" i="1" s="1"/>
  <c r="B123" i="1"/>
  <c r="C123" i="1" s="1"/>
  <c r="B56" i="1"/>
  <c r="C56" i="1" s="1"/>
  <c r="B19" i="1"/>
  <c r="C19" i="1" s="1"/>
  <c r="B224" i="1"/>
  <c r="C224" i="1" s="1"/>
  <c r="B227" i="1"/>
  <c r="C227" i="1" s="1"/>
  <c r="B177" i="1"/>
  <c r="C177" i="1" s="1"/>
  <c r="B49" i="1"/>
  <c r="C49" i="1" s="1"/>
  <c r="B59" i="1"/>
  <c r="C59" i="1" s="1"/>
  <c r="B184" i="1"/>
  <c r="C184" i="1" s="1"/>
  <c r="B48" i="1"/>
  <c r="C48" i="1" s="1"/>
  <c r="B159" i="1"/>
  <c r="C159" i="1" s="1"/>
  <c r="B31" i="1"/>
  <c r="C31" i="1" s="1"/>
  <c r="B26" i="1"/>
  <c r="C26" i="1" s="1"/>
  <c r="B78" i="1"/>
  <c r="C78" i="1" s="1"/>
  <c r="B195" i="1"/>
  <c r="C195" i="1" s="1"/>
  <c r="B174" i="1"/>
  <c r="C174" i="1" s="1"/>
  <c r="B189" i="1"/>
  <c r="C189" i="1" s="1"/>
  <c r="B61" i="1"/>
  <c r="C61" i="1" s="1"/>
  <c r="B34" i="1"/>
  <c r="C34" i="1" s="1"/>
  <c r="B147" i="1"/>
  <c r="C147" i="1" s="1"/>
  <c r="B243" i="1"/>
  <c r="C243" i="1" s="1"/>
  <c r="B183" i="1"/>
  <c r="C183" i="1" s="1"/>
  <c r="B55" i="1"/>
  <c r="C55" i="1" s="1"/>
  <c r="B226" i="1"/>
  <c r="C226" i="1" s="1"/>
  <c r="B192" i="1"/>
  <c r="C192" i="1" s="1"/>
  <c r="B219" i="1"/>
  <c r="C219" i="1" s="1"/>
  <c r="B102" i="1"/>
  <c r="C102" i="1" s="1"/>
  <c r="B124" i="1"/>
  <c r="C124" i="1" s="1"/>
  <c r="B57" i="1"/>
  <c r="C57" i="1" s="1"/>
  <c r="B83" i="1"/>
  <c r="C83" i="1" s="1"/>
  <c r="B200" i="1"/>
  <c r="C200" i="1" s="1"/>
  <c r="B167" i="1"/>
  <c r="C167" i="1" s="1"/>
  <c r="B39" i="1"/>
  <c r="C39" i="1" s="1"/>
  <c r="B130" i="1"/>
  <c r="C130" i="1" s="1"/>
  <c r="B67" i="1"/>
  <c r="C67" i="1" s="1"/>
  <c r="B86" i="1"/>
  <c r="C86" i="1" s="1"/>
  <c r="B211" i="1"/>
  <c r="C211" i="1" s="1"/>
  <c r="B182" i="1"/>
  <c r="C182" i="1" s="1"/>
  <c r="B244" i="1"/>
  <c r="C244" i="1" s="1"/>
  <c r="B116" i="1"/>
  <c r="C116" i="1" s="1"/>
  <c r="B236" i="1"/>
  <c r="C236" i="1" s="1"/>
  <c r="B108" i="1"/>
  <c r="C108" i="1" s="1"/>
  <c r="B91" i="1"/>
  <c r="C91" i="1" s="1"/>
  <c r="B169" i="1"/>
  <c r="C169" i="1" s="1"/>
  <c r="B41" i="1"/>
  <c r="C41" i="1" s="1"/>
  <c r="B242" i="1"/>
  <c r="C242" i="1" s="1"/>
  <c r="B43" i="1"/>
  <c r="C43" i="1" s="1"/>
  <c r="B168" i="1"/>
  <c r="C168" i="1" s="1"/>
  <c r="B40" i="1"/>
  <c r="C40" i="1" s="1"/>
  <c r="B202" i="1"/>
  <c r="C202" i="1" s="1"/>
  <c r="B178" i="1"/>
  <c r="C178" i="1" s="1"/>
  <c r="B151" i="1"/>
  <c r="C151" i="1" s="1"/>
  <c r="B23" i="1"/>
  <c r="C23" i="1" s="1"/>
  <c r="B70" i="1"/>
  <c r="C70" i="1" s="1"/>
  <c r="B11" i="1"/>
  <c r="C11" i="1" s="1"/>
  <c r="B155" i="1"/>
  <c r="C155" i="1" s="1"/>
  <c r="B166" i="1"/>
  <c r="C166" i="1" s="1"/>
  <c r="B181" i="1"/>
  <c r="C181" i="1" s="1"/>
  <c r="B53" i="1"/>
  <c r="C53" i="1" s="1"/>
  <c r="B161" i="1"/>
  <c r="C161" i="1" s="1"/>
  <c r="B33" i="1"/>
  <c r="C33" i="1" s="1"/>
  <c r="B218" i="1"/>
  <c r="C218" i="1" s="1"/>
  <c r="B27" i="1"/>
  <c r="C27" i="1" s="1"/>
  <c r="B160" i="1"/>
  <c r="C160" i="1" s="1"/>
  <c r="B32" i="1"/>
  <c r="C32" i="1" s="1"/>
  <c r="B114" i="1"/>
  <c r="C114" i="1" s="1"/>
  <c r="B143" i="1"/>
  <c r="C143" i="1" s="1"/>
  <c r="B15" i="1"/>
  <c r="C15" i="1" s="1"/>
  <c r="B249" i="1"/>
  <c r="C249" i="1" s="1"/>
  <c r="B62" i="1"/>
  <c r="C62" i="1" s="1"/>
  <c r="B186" i="1"/>
  <c r="C186" i="1" s="1"/>
  <c r="B131" i="1"/>
  <c r="C131" i="1" s="1"/>
  <c r="B150" i="1"/>
  <c r="C150" i="1" s="1"/>
  <c r="B173" i="1"/>
  <c r="C173" i="1" s="1"/>
  <c r="B45" i="1"/>
  <c r="C45" i="1" s="1"/>
  <c r="B50" i="1"/>
  <c r="C50" i="1" s="1"/>
  <c r="B135" i="1"/>
  <c r="C135" i="1" s="1"/>
  <c r="B217" i="1"/>
  <c r="C217" i="1" s="1"/>
  <c r="B234" i="1"/>
  <c r="C234" i="1" s="1"/>
  <c r="B54" i="1"/>
  <c r="C54" i="1" s="1"/>
  <c r="B146" i="1"/>
  <c r="C146" i="1" s="1"/>
  <c r="B107" i="1"/>
  <c r="C107" i="1" s="1"/>
  <c r="B134" i="1"/>
  <c r="C134" i="1" s="1"/>
  <c r="B165" i="1"/>
  <c r="C165" i="1" s="1"/>
  <c r="B37" i="1"/>
  <c r="C37" i="1" s="1"/>
  <c r="B212" i="1"/>
  <c r="C212" i="1" s="1"/>
  <c r="B17" i="1"/>
  <c r="C17" i="1" s="1"/>
  <c r="B144" i="1"/>
  <c r="C144" i="1" s="1"/>
  <c r="B16" i="1"/>
  <c r="C16" i="1" s="1"/>
  <c r="B75" i="1"/>
  <c r="C75" i="1" s="1"/>
  <c r="B157" i="1"/>
  <c r="C157" i="1" s="1"/>
  <c r="B29" i="1"/>
  <c r="C29" i="1" s="1"/>
  <c r="B203" i="1"/>
  <c r="C203" i="1" s="1"/>
  <c r="B152" i="1"/>
  <c r="C152" i="1" s="1"/>
  <c r="B84" i="1"/>
  <c r="C84" i="1" s="1"/>
  <c r="B82" i="1"/>
  <c r="C82" i="1" s="1"/>
  <c r="B127" i="1"/>
  <c r="C127" i="1" s="1"/>
  <c r="B193" i="1"/>
  <c r="C193" i="1" s="1"/>
  <c r="B122" i="1"/>
  <c r="C122" i="1" s="1"/>
  <c r="B46" i="1"/>
  <c r="C46" i="1" s="1"/>
  <c r="B90" i="1"/>
  <c r="C90" i="1" s="1"/>
  <c r="B204" i="1"/>
  <c r="C204" i="1" s="1"/>
  <c r="B76" i="1"/>
  <c r="C76" i="1" s="1"/>
  <c r="B154" i="1"/>
  <c r="C154" i="1" s="1"/>
  <c r="B137" i="1"/>
  <c r="C137" i="1" s="1"/>
  <c r="B9" i="1"/>
  <c r="B225" i="1"/>
  <c r="C225" i="1" s="1"/>
  <c r="B136" i="1"/>
  <c r="C136" i="1" s="1"/>
  <c r="B241" i="1"/>
  <c r="C241" i="1" s="1"/>
  <c r="B247" i="1"/>
  <c r="C247" i="1" s="1"/>
  <c r="B119" i="1"/>
  <c r="C119" i="1" s="1"/>
  <c r="B98" i="1"/>
  <c r="C98" i="1" s="1"/>
  <c r="B38" i="1"/>
  <c r="C38" i="1" s="1"/>
  <c r="B66" i="1"/>
  <c r="C66" i="1" s="1"/>
  <c r="B51" i="1"/>
  <c r="C51" i="1" s="1"/>
  <c r="B149" i="1"/>
  <c r="C149" i="1" s="1"/>
  <c r="B21" i="1"/>
  <c r="C21" i="1" s="1"/>
  <c r="B140" i="1"/>
  <c r="C140" i="1" s="1"/>
  <c r="B92" i="1"/>
  <c r="C92" i="1" s="1"/>
  <c r="B153" i="1"/>
  <c r="C153" i="1" s="1"/>
  <c r="B25" i="1"/>
  <c r="C25" i="1" s="1"/>
  <c r="B170" i="1"/>
  <c r="C170" i="1" s="1"/>
  <c r="B24" i="1"/>
  <c r="C24" i="1" s="1"/>
  <c r="B194" i="1"/>
  <c r="C194" i="1" s="1"/>
  <c r="B145" i="1"/>
  <c r="C145" i="1" s="1"/>
  <c r="B196" i="1"/>
  <c r="C196" i="1" s="1"/>
  <c r="B68" i="1"/>
  <c r="C68" i="1" s="1"/>
  <c r="B74" i="1"/>
  <c r="C74" i="1" s="1"/>
  <c r="B129" i="1"/>
  <c r="C129" i="1" s="1"/>
  <c r="B185" i="1"/>
  <c r="C185" i="1" s="1"/>
  <c r="B233" i="1"/>
  <c r="C233" i="1" s="1"/>
  <c r="B128" i="1"/>
  <c r="C128" i="1" s="1"/>
  <c r="B209" i="1"/>
  <c r="C209" i="1" s="1"/>
  <c r="B239" i="1"/>
  <c r="C239" i="1" s="1"/>
  <c r="B111" i="1"/>
  <c r="C111" i="1" s="1"/>
  <c r="B58" i="1"/>
  <c r="C58" i="1" s="1"/>
  <c r="B30" i="1"/>
  <c r="C30" i="1" s="1"/>
  <c r="B42" i="1"/>
  <c r="C42" i="1" s="1"/>
  <c r="B35" i="1"/>
  <c r="C35" i="1" s="1"/>
  <c r="B141" i="1"/>
  <c r="C141" i="1" s="1"/>
  <c r="B13" i="1"/>
  <c r="C13" i="1" s="1"/>
  <c r="B231" i="1"/>
  <c r="C231" i="1" s="1"/>
  <c r="B103" i="1"/>
  <c r="C103" i="1" s="1"/>
  <c r="B10" i="1"/>
  <c r="C10" i="1" s="1"/>
  <c r="B22" i="1"/>
  <c r="C22" i="1" s="1"/>
  <c r="B18" i="1"/>
  <c r="C18" i="1" s="1"/>
  <c r="B133" i="1"/>
  <c r="C133" i="1" s="1"/>
  <c r="B12" i="1"/>
  <c r="C12" i="1" s="1"/>
  <c r="B228" i="1"/>
  <c r="C228" i="1" s="1"/>
  <c r="B188" i="1"/>
  <c r="C188" i="1" s="1"/>
  <c r="B113" i="1"/>
  <c r="C113" i="1" s="1"/>
  <c r="B112" i="1"/>
  <c r="C112" i="1" s="1"/>
  <c r="B223" i="1"/>
  <c r="C223" i="1" s="1"/>
  <c r="B95" i="1"/>
  <c r="C95" i="1" s="1"/>
  <c r="B246" i="1"/>
  <c r="C246" i="1" s="1"/>
  <c r="B14" i="1"/>
  <c r="C14" i="1" s="1"/>
  <c r="B230" i="1"/>
  <c r="C230" i="1" s="1"/>
  <c r="B162" i="1"/>
  <c r="C162" i="1" s="1"/>
  <c r="B125" i="1"/>
  <c r="C125" i="1" s="1"/>
  <c r="B215" i="1"/>
  <c r="C215" i="1" s="1"/>
  <c r="B117" i="1"/>
  <c r="C117" i="1" s="1"/>
  <c r="B3" i="6"/>
  <c r="B4" i="6"/>
  <c r="B5" i="6"/>
  <c r="B6" i="6"/>
  <c r="B7" i="6"/>
  <c r="B8" i="6"/>
  <c r="B9" i="6"/>
  <c r="B10" i="6"/>
  <c r="B11" i="6"/>
  <c r="B12" i="6"/>
  <c r="B13" i="6"/>
  <c r="B14" i="6"/>
  <c r="B15" i="6"/>
  <c r="B16" i="6"/>
  <c r="B17" i="6"/>
  <c r="B18" i="6"/>
  <c r="B19" i="6"/>
  <c r="B20" i="6"/>
  <c r="B21" i="6"/>
  <c r="B22" i="6"/>
  <c r="B23" i="6"/>
  <c r="B24" i="6"/>
  <c r="B25" i="6"/>
  <c r="B26" i="6"/>
  <c r="B27" i="6"/>
  <c r="B28" i="6"/>
  <c r="B29" i="6"/>
  <c r="B30" i="6"/>
  <c r="B31" i="6"/>
  <c r="B32" i="6"/>
  <c r="B33" i="6"/>
  <c r="B34" i="6"/>
  <c r="B35" i="6"/>
  <c r="B36" i="6"/>
  <c r="B37" i="6"/>
  <c r="B38" i="6"/>
  <c r="B39" i="6"/>
  <c r="B40" i="6"/>
  <c r="B41" i="6"/>
  <c r="B42" i="6"/>
  <c r="B43" i="6"/>
  <c r="B44" i="6"/>
  <c r="B45" i="6"/>
  <c r="B46" i="6"/>
  <c r="B47" i="6"/>
  <c r="B48" i="6"/>
  <c r="B49" i="6"/>
  <c r="B50" i="6"/>
  <c r="B51" i="6"/>
  <c r="B52" i="6"/>
  <c r="B53" i="6"/>
  <c r="B54" i="6"/>
  <c r="B55" i="6"/>
  <c r="B56" i="6"/>
  <c r="B57" i="6"/>
  <c r="B58" i="6"/>
  <c r="B59" i="6"/>
  <c r="B60" i="6"/>
  <c r="B61" i="6"/>
  <c r="B62" i="6"/>
  <c r="B63" i="6"/>
  <c r="B64" i="6"/>
  <c r="B65" i="6"/>
  <c r="B66" i="6"/>
  <c r="B67" i="6"/>
  <c r="B68" i="6"/>
  <c r="B69" i="6"/>
  <c r="B70" i="6"/>
  <c r="B71" i="6"/>
  <c r="B72" i="6"/>
  <c r="B73" i="6"/>
  <c r="B74" i="6"/>
  <c r="B75" i="6"/>
  <c r="B76" i="6"/>
  <c r="B77" i="6"/>
  <c r="B78" i="6"/>
  <c r="B79" i="6"/>
  <c r="B80" i="6"/>
  <c r="B81" i="6"/>
  <c r="B82" i="6"/>
  <c r="B83" i="6"/>
  <c r="B84" i="6"/>
  <c r="B85" i="6"/>
  <c r="B86" i="6"/>
  <c r="B87" i="6"/>
  <c r="B88" i="6"/>
  <c r="B89" i="6"/>
  <c r="B90" i="6"/>
  <c r="B91" i="6"/>
  <c r="B92" i="6"/>
  <c r="B93" i="6"/>
  <c r="B94" i="6"/>
  <c r="B95" i="6"/>
  <c r="B96" i="6"/>
  <c r="B97" i="6"/>
  <c r="B98" i="6"/>
  <c r="B99" i="6"/>
  <c r="B100" i="6"/>
  <c r="B101" i="6"/>
  <c r="B102" i="6"/>
  <c r="B103" i="6"/>
  <c r="B104" i="6"/>
  <c r="B105" i="6"/>
  <c r="B106" i="6"/>
  <c r="B107" i="6"/>
  <c r="B108" i="6"/>
  <c r="B109" i="6"/>
  <c r="B110" i="6"/>
  <c r="B111" i="6"/>
  <c r="B112" i="6"/>
  <c r="B113" i="6"/>
  <c r="B114" i="6"/>
  <c r="B115" i="6"/>
  <c r="B116" i="6"/>
  <c r="B117" i="6"/>
  <c r="B118" i="6"/>
  <c r="B119" i="6"/>
  <c r="B120" i="6"/>
  <c r="B121" i="6"/>
  <c r="B122" i="6"/>
  <c r="B123" i="6"/>
  <c r="B124" i="6"/>
  <c r="B125" i="6"/>
  <c r="B126" i="6"/>
  <c r="B127" i="6"/>
  <c r="B128" i="6"/>
  <c r="B2" i="6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<sst xmlns="http://schemas.openxmlformats.org/spreadsheetml/2006/main" count="5316" uniqueCount="782">
  <si>
    <t>1001AD5501</t>
  </si>
  <si>
    <t>1001AD0502</t>
  </si>
  <si>
    <t>1001AD0503</t>
  </si>
  <si>
    <t>1001AD0504</t>
  </si>
  <si>
    <t>1001AD0505</t>
  </si>
  <si>
    <t>1001AD0506</t>
  </si>
  <si>
    <t>1001AD0507</t>
  </si>
  <si>
    <t>1001AD0508</t>
  </si>
  <si>
    <t>1001AD0509</t>
  </si>
  <si>
    <t>1001AD0510</t>
  </si>
  <si>
    <t>1001AD3011</t>
  </si>
  <si>
    <t>1001AD3503</t>
  </si>
  <si>
    <t>1001AD3504</t>
  </si>
  <si>
    <t>1001AD3505</t>
  </si>
  <si>
    <t>1001AD3508</t>
  </si>
  <si>
    <t>1001AD3515</t>
  </si>
  <si>
    <t>1001AD3521</t>
  </si>
  <si>
    <t>1001AD3522</t>
  </si>
  <si>
    <t>1001AD4020</t>
  </si>
  <si>
    <t>1001AD4500</t>
  </si>
  <si>
    <t>1001AD4505</t>
  </si>
  <si>
    <t>1001AD4506</t>
  </si>
  <si>
    <t>1001AD4507</t>
  </si>
  <si>
    <t>1001AD4511</t>
  </si>
  <si>
    <t>1001AD4513</t>
  </si>
  <si>
    <t>1001AD4514</t>
  </si>
  <si>
    <t>1001AD4517</t>
  </si>
  <si>
    <t>1001AD4518</t>
  </si>
  <si>
    <t>1001AD4519</t>
  </si>
  <si>
    <t>1001AD4520</t>
  </si>
  <si>
    <t>1001AD4521</t>
  </si>
  <si>
    <t>1001AD4523</t>
  </si>
  <si>
    <t>1001AD4524</t>
  </si>
  <si>
    <t>1001AD4525</t>
  </si>
  <si>
    <t>1001AD4526</t>
  </si>
  <si>
    <t>1001AD4530</t>
  </si>
  <si>
    <t>1001AD4533</t>
  </si>
  <si>
    <t>1001AD4534</t>
  </si>
  <si>
    <t>1001AD4541</t>
  </si>
  <si>
    <t>1001AD4542</t>
  </si>
  <si>
    <t>1001AD5007</t>
  </si>
  <si>
    <t>1001AD5500</t>
  </si>
  <si>
    <t>1001AD6000</t>
  </si>
  <si>
    <t>1002AD5500</t>
  </si>
  <si>
    <t>1002AD0503</t>
  </si>
  <si>
    <t>1002AD0504</t>
  </si>
  <si>
    <t>1002AD0505</t>
  </si>
  <si>
    <t>1002AD0506</t>
  </si>
  <si>
    <t>1002AD0507</t>
  </si>
  <si>
    <t>1002AD0508</t>
  </si>
  <si>
    <t>1002AD0509</t>
  </si>
  <si>
    <t>1002AD0510</t>
  </si>
  <si>
    <t>1002AD0511</t>
  </si>
  <si>
    <t>1002AD3502</t>
  </si>
  <si>
    <t>1002AD3503</t>
  </si>
  <si>
    <t>1002AD3520</t>
  </si>
  <si>
    <t>1002AD3521</t>
  </si>
  <si>
    <t>1002AD3522</t>
  </si>
  <si>
    <t>1002AD3523</t>
  </si>
  <si>
    <t>1002AD3524</t>
  </si>
  <si>
    <t>1002AD3526</t>
  </si>
  <si>
    <t>1002AD4020</t>
  </si>
  <si>
    <t>1002AD4502</t>
  </si>
  <si>
    <t>1002AD4503</t>
  </si>
  <si>
    <t>1002AD4505</t>
  </si>
  <si>
    <t>1002AD4506</t>
  </si>
  <si>
    <t>1002AD4507</t>
  </si>
  <si>
    <t>1002AD4508</t>
  </si>
  <si>
    <t>1002AD4509</t>
  </si>
  <si>
    <t>1002AD5005</t>
  </si>
  <si>
    <t>1002AD6000</t>
  </si>
  <si>
    <t>1003AD0503</t>
  </si>
  <si>
    <t>1003AD0504</t>
  </si>
  <si>
    <t>1003AD0505</t>
  </si>
  <si>
    <t>1003AD0506</t>
  </si>
  <si>
    <t>1003AD0507</t>
  </si>
  <si>
    <t>1003AD0508</t>
  </si>
  <si>
    <t>1003AD0509</t>
  </si>
  <si>
    <t>1003AD0511</t>
  </si>
  <si>
    <t>1003AD3502</t>
  </si>
  <si>
    <t>1003AD3503</t>
  </si>
  <si>
    <t>1003AD3507</t>
  </si>
  <si>
    <t>1003AD3509</t>
  </si>
  <si>
    <t>1003AD3510</t>
  </si>
  <si>
    <t>1003AD3520</t>
  </si>
  <si>
    <t>1003AD3521</t>
  </si>
  <si>
    <t>1003AD3522</t>
  </si>
  <si>
    <t>1003AD4005</t>
  </si>
  <si>
    <t>1003AD4020</t>
  </si>
  <si>
    <t>1003AD4505</t>
  </si>
  <si>
    <t>1003AD4506</t>
  </si>
  <si>
    <t>1003AD4507</t>
  </si>
  <si>
    <t>1003AD4509</t>
  </si>
  <si>
    <t>1003AD4510</t>
  </si>
  <si>
    <t>1003AD4511</t>
  </si>
  <si>
    <t>1003AD4512</t>
  </si>
  <si>
    <t>1003AD5500</t>
  </si>
  <si>
    <t>1003AD6000</t>
  </si>
  <si>
    <t>1005AD0504</t>
  </si>
  <si>
    <t>1005AD0505</t>
  </si>
  <si>
    <t>1005AD0506</t>
  </si>
  <si>
    <t>1005AD0507</t>
  </si>
  <si>
    <t>1005AD0508</t>
  </si>
  <si>
    <t>1005AD0509</t>
  </si>
  <si>
    <t>1005AD0510</t>
  </si>
  <si>
    <t>1005AD0511</t>
  </si>
  <si>
    <t>1005AD0512</t>
  </si>
  <si>
    <t>1005AD3503</t>
  </si>
  <si>
    <t>1005AD3504</t>
  </si>
  <si>
    <t>1005AD3507</t>
  </si>
  <si>
    <t>1005AD3520</t>
  </si>
  <si>
    <t>1005AD3521</t>
  </si>
  <si>
    <t>1005AD3522</t>
  </si>
  <si>
    <t>1005AD3525</t>
  </si>
  <si>
    <t>1005AD3527</t>
  </si>
  <si>
    <t>1005AD4020</t>
  </si>
  <si>
    <t>1005AD4501</t>
  </si>
  <si>
    <t>1005AD4504</t>
  </si>
  <si>
    <t>1005AD4506</t>
  </si>
  <si>
    <t>1005AD4507</t>
  </si>
  <si>
    <t>1005AD4508</t>
  </si>
  <si>
    <t>1005AD4509</t>
  </si>
  <si>
    <t>1005AD4510</t>
  </si>
  <si>
    <t>1005AD5004</t>
  </si>
  <si>
    <t>1005AD5501</t>
  </si>
  <si>
    <t>1005AD5502</t>
  </si>
  <si>
    <t>1005AD6001</t>
  </si>
  <si>
    <t>ID CECO</t>
  </si>
  <si>
    <t>ID REPORTE</t>
  </si>
  <si>
    <t>Resumen</t>
  </si>
  <si>
    <t>Nodo Compañías</t>
  </si>
  <si>
    <t>Clasificación del Gasto</t>
  </si>
  <si>
    <t>CECO</t>
  </si>
  <si>
    <t>Desc. CECO</t>
  </si>
  <si>
    <t>Desc. CECO (Original)</t>
  </si>
  <si>
    <t>Nodo 1</t>
  </si>
  <si>
    <t>Desc. Nodo 1</t>
  </si>
  <si>
    <t>Nodo 2</t>
  </si>
  <si>
    <t>Desc. Nodo 2 (VP)</t>
  </si>
  <si>
    <t>Nodo 3</t>
  </si>
  <si>
    <t>Desc. Nodo 3 (Gerencia)</t>
  </si>
  <si>
    <t>VP Abreviada</t>
  </si>
  <si>
    <t>¿Aplica?</t>
  </si>
  <si>
    <t>Tipo Costo</t>
  </si>
  <si>
    <t>N_CECO</t>
  </si>
  <si>
    <t>Act. Corp. + Distribuibles</t>
  </si>
  <si>
    <t>Corporativo</t>
  </si>
  <si>
    <t>Gastos Centro Corporativo</t>
  </si>
  <si>
    <t>1000AC0501</t>
  </si>
  <si>
    <t>VP Desarrollo</t>
  </si>
  <si>
    <t>N1000AC100</t>
  </si>
  <si>
    <t>AMSA Actividades Corporativas</t>
  </si>
  <si>
    <t>N1000AC050</t>
  </si>
  <si>
    <t>VPD</t>
  </si>
  <si>
    <t>C1</t>
  </si>
  <si>
    <t>1000AC0502</t>
  </si>
  <si>
    <t>Gerencia de Desarrollo</t>
  </si>
  <si>
    <t>1000AC0503</t>
  </si>
  <si>
    <t>Gerencia de Exploraciones</t>
  </si>
  <si>
    <t>No</t>
  </si>
  <si>
    <t>1000AC0509</t>
  </si>
  <si>
    <t>Evaluación de Negocios</t>
  </si>
  <si>
    <t>1000AC0512</t>
  </si>
  <si>
    <t>Evaluación de Recursos</t>
  </si>
  <si>
    <t>1000AC0513</t>
  </si>
  <si>
    <t>Servicios Técnicos</t>
  </si>
  <si>
    <t>1000AC0516</t>
  </si>
  <si>
    <t>Gestión Servicios y Control</t>
  </si>
  <si>
    <t>Gestión Operativa</t>
  </si>
  <si>
    <t>1000AC0518</t>
  </si>
  <si>
    <t>Geología Corporativa</t>
  </si>
  <si>
    <t>1000AC0519</t>
  </si>
  <si>
    <t>Inteligencia Minera</t>
  </si>
  <si>
    <t>Analítica Avanzada</t>
  </si>
  <si>
    <t>1000AC0521</t>
  </si>
  <si>
    <t>MIC Costa</t>
  </si>
  <si>
    <t>1000AC0504</t>
  </si>
  <si>
    <t>VP Planificación y Servicios Técnicos</t>
  </si>
  <si>
    <t>N1000AC051</t>
  </si>
  <si>
    <t>VPPST</t>
  </si>
  <si>
    <t>1000AC0505</t>
  </si>
  <si>
    <t>Gerencia Minería</t>
  </si>
  <si>
    <t>Gerencia Técnica de Minería</t>
  </si>
  <si>
    <t>1000AC0506</t>
  </si>
  <si>
    <t>Gerencia Procesos</t>
  </si>
  <si>
    <t>Gerencia Técnica de Procesos</t>
  </si>
  <si>
    <t>1000AC0507</t>
  </si>
  <si>
    <t>Gerencia de Optimización de Activos</t>
  </si>
  <si>
    <t>1000AC0522</t>
  </si>
  <si>
    <t>Gerencia Minería y Procesos</t>
  </si>
  <si>
    <t>Gerencia Técnica de Minería y Procesos</t>
  </si>
  <si>
    <t>1000AC0525</t>
  </si>
  <si>
    <t>Gerencia Relaves</t>
  </si>
  <si>
    <t>Gerencia Técnica de Tranques y Relaves</t>
  </si>
  <si>
    <t>1000AC0530</t>
  </si>
  <si>
    <t>Gerencia Mantenimiento y EO</t>
  </si>
  <si>
    <t>Gerencia Corp. de Mantenimiento</t>
  </si>
  <si>
    <t>1000AC0511</t>
  </si>
  <si>
    <t>VP Proyectos</t>
  </si>
  <si>
    <t>VP de Proyectos</t>
  </si>
  <si>
    <t>N1000AC054</t>
  </si>
  <si>
    <t>VPP</t>
  </si>
  <si>
    <t>1000AC0515</t>
  </si>
  <si>
    <t>Soporte AMSA TMM</t>
  </si>
  <si>
    <t>1000AC0508</t>
  </si>
  <si>
    <t>Presidencia Ejecutiva</t>
  </si>
  <si>
    <t>N1000AC055</t>
  </si>
  <si>
    <t>PE</t>
  </si>
  <si>
    <t>1000AC3002</t>
  </si>
  <si>
    <t>Gerencia de Auditoría</t>
  </si>
  <si>
    <t>N1000AC300</t>
  </si>
  <si>
    <t>Audit.</t>
  </si>
  <si>
    <t>Otros Gastos Centro Corporativo</t>
  </si>
  <si>
    <t>1000AC3001</t>
  </si>
  <si>
    <t>Directorio</t>
  </si>
  <si>
    <t>N1000AC301</t>
  </si>
  <si>
    <t>Dir.</t>
  </si>
  <si>
    <t>1000AC3010</t>
  </si>
  <si>
    <t>Actividades especiales Directorio</t>
  </si>
  <si>
    <t>1000AC3501</t>
  </si>
  <si>
    <t>VP Finanzas</t>
  </si>
  <si>
    <t>N1000AC350</t>
  </si>
  <si>
    <t>VPF</t>
  </si>
  <si>
    <t>1000AC3502</t>
  </si>
  <si>
    <t>Gerencia de Abastecimiento Corporativo</t>
  </si>
  <si>
    <t>1000AC3503</t>
  </si>
  <si>
    <t>Gerencia Contabilidad Corporativa</t>
  </si>
  <si>
    <t>1000AC3504</t>
  </si>
  <si>
    <t>Gcia de Planificación y Gestión</t>
  </si>
  <si>
    <t>Gcia de Planificación Y Gestión</t>
  </si>
  <si>
    <t>1000AC3506</t>
  </si>
  <si>
    <t>Gerencia de Inversiones &amp; Finanzas</t>
  </si>
  <si>
    <t>1000AC3509</t>
  </si>
  <si>
    <t>Gerencia de Impuestos</t>
  </si>
  <si>
    <t>1000AC3512</t>
  </si>
  <si>
    <t>Programa competitividad de costos</t>
  </si>
  <si>
    <t>1000AC3513</t>
  </si>
  <si>
    <t>Grcia. Riesgos, Compliance y Control Interno</t>
  </si>
  <si>
    <t>Grcia.Riesgos,Compliance y Ctrol Interno</t>
  </si>
  <si>
    <t>1000AC3515</t>
  </si>
  <si>
    <t>Gerencia Planificación Financiera</t>
  </si>
  <si>
    <t>1000AC3516</t>
  </si>
  <si>
    <t>Seguros Corporativos</t>
  </si>
  <si>
    <t>Seguros Corp</t>
  </si>
  <si>
    <t>1000AC3525</t>
  </si>
  <si>
    <t>Gestión Servicios de Terceros</t>
  </si>
  <si>
    <t>1000AC3508</t>
  </si>
  <si>
    <t>Dpto de Servicios Generales</t>
  </si>
  <si>
    <t>N1000AC400</t>
  </si>
  <si>
    <t>VP Personas y Organización</t>
  </si>
  <si>
    <t>VPPyO</t>
  </si>
  <si>
    <t>1000AC4001</t>
  </si>
  <si>
    <t>1000AC4002</t>
  </si>
  <si>
    <t>Efectividad Organizacional</t>
  </si>
  <si>
    <t>Administración de Personal</t>
  </si>
  <si>
    <t>1000AC4003</t>
  </si>
  <si>
    <t>Relaciones Laborales</t>
  </si>
  <si>
    <t>Gestión de Relaciones Laborales</t>
  </si>
  <si>
    <t>1000AC4004</t>
  </si>
  <si>
    <t>Desarrollo Organizacional</t>
  </si>
  <si>
    <t>Compensaciones</t>
  </si>
  <si>
    <t>1000AC4005</t>
  </si>
  <si>
    <t>1000AC4006</t>
  </si>
  <si>
    <t>Gerencia Rem y Gestión</t>
  </si>
  <si>
    <t>1000AC4007</t>
  </si>
  <si>
    <t>Sistemas RH</t>
  </si>
  <si>
    <t>1000AC4008</t>
  </si>
  <si>
    <t>Calidad de Vida</t>
  </si>
  <si>
    <t>1000AC4009</t>
  </si>
  <si>
    <t>Administración Club San Lorenzo</t>
  </si>
  <si>
    <t>1000AC4010</t>
  </si>
  <si>
    <t>Administración Programa Jóvenes Prof</t>
  </si>
  <si>
    <t>1000AC4011</t>
  </si>
  <si>
    <t>Subgerencia de Remuneraciones</t>
  </si>
  <si>
    <t>1000AC4012</t>
  </si>
  <si>
    <t>Diversidad e Inclusión</t>
  </si>
  <si>
    <t>Programa Diversidad e Inclusión</t>
  </si>
  <si>
    <t>1000AC4013</t>
  </si>
  <si>
    <t>1000AC4014</t>
  </si>
  <si>
    <t>Generalistas</t>
  </si>
  <si>
    <t>Generalistas AMSA</t>
  </si>
  <si>
    <t>1000AC4015</t>
  </si>
  <si>
    <t>Reclutamiento y Selección</t>
  </si>
  <si>
    <t>1000AC4016</t>
  </si>
  <si>
    <t>Academia Digital</t>
  </si>
  <si>
    <t>1000AC4017</t>
  </si>
  <si>
    <t>Gerencia Proy. nuevas formas de trabajar</t>
  </si>
  <si>
    <t>1000AC4018</t>
  </si>
  <si>
    <t>Aprendizaje RH</t>
  </si>
  <si>
    <t>1000AC4501</t>
  </si>
  <si>
    <t>VP Asuntos Corporativos</t>
  </si>
  <si>
    <t>N1000AC450</t>
  </si>
  <si>
    <t>VPAC</t>
  </si>
  <si>
    <t>1000AC4502</t>
  </si>
  <si>
    <t>Gerencia de Asuntos Públicos</t>
  </si>
  <si>
    <t>1000AC4503</t>
  </si>
  <si>
    <t>Gerencia de Comunicaciones</t>
  </si>
  <si>
    <t>1000AC4504</t>
  </si>
  <si>
    <t>Gerencia Reporting y Sustentabilidad</t>
  </si>
  <si>
    <t>N1000AC720</t>
  </si>
  <si>
    <t>VP Sustentabilidad</t>
  </si>
  <si>
    <t>VP Asuntos Corporativos y Sustentabilidad</t>
  </si>
  <si>
    <t>VPS</t>
  </si>
  <si>
    <t>1000AC4505</t>
  </si>
  <si>
    <t>Subgerencia Protección Industrial</t>
  </si>
  <si>
    <t>1000AC4506</t>
  </si>
  <si>
    <t>Gerencia de Medio Ambiente</t>
  </si>
  <si>
    <t>1000AC4507</t>
  </si>
  <si>
    <t>Asuntos Corporativos Zona Norte</t>
  </si>
  <si>
    <t>1000AC4508</t>
  </si>
  <si>
    <t>Asuntos Corporativos  MLP</t>
  </si>
  <si>
    <t>1000AC5001</t>
  </si>
  <si>
    <t>Gerencia de S&amp;SO</t>
  </si>
  <si>
    <t>1000AC5501</t>
  </si>
  <si>
    <t>Legal AMSA</t>
  </si>
  <si>
    <t>VP Legal</t>
  </si>
  <si>
    <t>N1000AC550</t>
  </si>
  <si>
    <t>VPL</t>
  </si>
  <si>
    <t>1000AC5502</t>
  </si>
  <si>
    <t>Propiedad Minera AMSA</t>
  </si>
  <si>
    <t>Propiedad Minera</t>
  </si>
  <si>
    <t>1000AC5503</t>
  </si>
  <si>
    <t>Mantención Propiedad Minera</t>
  </si>
  <si>
    <t>1000AC5504</t>
  </si>
  <si>
    <t>Constitución Propiedad Minera</t>
  </si>
  <si>
    <t>1000AC6001</t>
  </si>
  <si>
    <t>VP Comercialización</t>
  </si>
  <si>
    <t>N1000AC600</t>
  </si>
  <si>
    <t>Comercialización</t>
  </si>
  <si>
    <t>VPC</t>
  </si>
  <si>
    <t>1000AC6002</t>
  </si>
  <si>
    <t>Oficina China</t>
  </si>
  <si>
    <t>1000AC0520</t>
  </si>
  <si>
    <t>VP Relaciones Institucionales</t>
  </si>
  <si>
    <t>N1000AC650</t>
  </si>
  <si>
    <t>Relaciones Institucionales</t>
  </si>
  <si>
    <t>1000AC0510</t>
  </si>
  <si>
    <t>Energía</t>
  </si>
  <si>
    <t>N1000AC700</t>
  </si>
  <si>
    <t>VP Estrategia e Innovación</t>
  </si>
  <si>
    <t>VPEI</t>
  </si>
  <si>
    <t>1000AC0514</t>
  </si>
  <si>
    <t>Innovación</t>
  </si>
  <si>
    <t>1000AC0517</t>
  </si>
  <si>
    <t>Marco Estratégico</t>
  </si>
  <si>
    <t>1000AC3505</t>
  </si>
  <si>
    <t>TICA Corporativo</t>
  </si>
  <si>
    <t>Gerencia TICA</t>
  </si>
  <si>
    <t>1000AC7010</t>
  </si>
  <si>
    <t>1000AC7011</t>
  </si>
  <si>
    <t>GIO y Equipos Autónomos</t>
  </si>
  <si>
    <t>1000AC7012</t>
  </si>
  <si>
    <t>Data y Analítica Avanzada</t>
  </si>
  <si>
    <t>1000AC7013</t>
  </si>
  <si>
    <t>Gerencia Recursos Mineros</t>
  </si>
  <si>
    <t>Estrategia de Recursos Mineros</t>
  </si>
  <si>
    <t>1000AC7014</t>
  </si>
  <si>
    <t>Transformación Digital</t>
  </si>
  <si>
    <t>1000AC7015</t>
  </si>
  <si>
    <t>Gerencia Recursos Hídricos</t>
  </si>
  <si>
    <t>Recursos Hídricos</t>
  </si>
  <si>
    <t>1000EX2501</t>
  </si>
  <si>
    <t>Iniciativa Cuprochlor</t>
  </si>
  <si>
    <t>N1000AC800</t>
  </si>
  <si>
    <t>AMSA Iniciativas Innovación &amp; Energía</t>
  </si>
  <si>
    <t>N1000EX065</t>
  </si>
  <si>
    <t>Iniciativas Innovación y Energía</t>
  </si>
  <si>
    <t>1000EX2502</t>
  </si>
  <si>
    <t>Iniciativas Innovación</t>
  </si>
  <si>
    <t>1000EX2503</t>
  </si>
  <si>
    <t>Iniciativas Energía</t>
  </si>
  <si>
    <t>1000PA4503</t>
  </si>
  <si>
    <t>Panamericanos</t>
  </si>
  <si>
    <t>N1000PA100</t>
  </si>
  <si>
    <t>N1000PA450</t>
  </si>
  <si>
    <t>Panam.</t>
  </si>
  <si>
    <t>Londres</t>
  </si>
  <si>
    <t>1200AD0500</t>
  </si>
  <si>
    <t>OA - Office Admin</t>
  </si>
  <si>
    <t>Office Admin.</t>
  </si>
  <si>
    <t>N1200AD100</t>
  </si>
  <si>
    <t>Oficina Londres</t>
  </si>
  <si>
    <t>1200AD0501</t>
  </si>
  <si>
    <t>IR - Investor Relations</t>
  </si>
  <si>
    <t>Investor Relationship</t>
  </si>
  <si>
    <t>1200AD0502</t>
  </si>
  <si>
    <t>DE - Direct &amp; Execs</t>
  </si>
  <si>
    <t>Board - Exec.</t>
  </si>
  <si>
    <t>1200AD0503</t>
  </si>
  <si>
    <t>L - Legal / Corporative gov</t>
  </si>
  <si>
    <t>Legal  /Corp Gov.</t>
  </si>
  <si>
    <t>1200AD0504</t>
  </si>
  <si>
    <t>Finance, Tax, Treasury</t>
  </si>
  <si>
    <t>Finance,Tax &amp; Treasury</t>
  </si>
  <si>
    <t>1200AD0505</t>
  </si>
  <si>
    <t>AMSA Charges</t>
  </si>
  <si>
    <t>1200FE0505</t>
  </si>
  <si>
    <t>Fórmula E</t>
  </si>
  <si>
    <t>China</t>
  </si>
  <si>
    <t>0000CHINA</t>
  </si>
  <si>
    <t>Gastos Distribuibles</t>
  </si>
  <si>
    <t>N1005AD600</t>
  </si>
  <si>
    <t>N1005AD601</t>
  </si>
  <si>
    <t>N1005AD620</t>
  </si>
  <si>
    <t>N1003AD600</t>
  </si>
  <si>
    <t>N1001AD600</t>
  </si>
  <si>
    <t>N1001AD601</t>
  </si>
  <si>
    <t>N1001AD610</t>
  </si>
  <si>
    <t>N1002AD600</t>
  </si>
  <si>
    <t>N1002AD601</t>
  </si>
  <si>
    <t>N1002AD610</t>
  </si>
  <si>
    <t>No Operacional</t>
  </si>
  <si>
    <t>Asuntos Públicos</t>
  </si>
  <si>
    <t>Comunidades</t>
  </si>
  <si>
    <t>N100100500</t>
  </si>
  <si>
    <t>Los Pelambres No Operacional</t>
  </si>
  <si>
    <t>N100100501</t>
  </si>
  <si>
    <t>N100100551</t>
  </si>
  <si>
    <t>Comunidades C3 MLP</t>
  </si>
  <si>
    <t>C3</t>
  </si>
  <si>
    <t>Comunicaciones</t>
  </si>
  <si>
    <t>N100100552</t>
  </si>
  <si>
    <t>Acuerdo Camisas</t>
  </si>
  <si>
    <t>Acuerdo Llimpo</t>
  </si>
  <si>
    <t>N100100553</t>
  </si>
  <si>
    <t>Empleabilidad</t>
  </si>
  <si>
    <t>Fundación FMLP</t>
  </si>
  <si>
    <t>N100100554</t>
  </si>
  <si>
    <t>Comunicación Externa</t>
  </si>
  <si>
    <t>Administración Plan AAPP C3</t>
  </si>
  <si>
    <t>Admin y planf asuntos públicos C3</t>
  </si>
  <si>
    <t>AAPP MLP</t>
  </si>
  <si>
    <t>Asuntos Públicos y Comunidades</t>
  </si>
  <si>
    <t>N100300500</t>
  </si>
  <si>
    <t>Antucoya No Operacional</t>
  </si>
  <si>
    <t>Asunt Publ y Comunid</t>
  </si>
  <si>
    <t>AAPP Corporativo</t>
  </si>
  <si>
    <t>Comunicaciones Corporativo</t>
  </si>
  <si>
    <t>Comunicaciones Corpo</t>
  </si>
  <si>
    <t>AAPP y RRII</t>
  </si>
  <si>
    <t>N100200500</t>
  </si>
  <si>
    <t>Centinela No Operacional</t>
  </si>
  <si>
    <t>Asuntos Publicos y Comunidades</t>
  </si>
  <si>
    <t>Comunica Corporativo</t>
  </si>
  <si>
    <t>Gerencia Asuntos Externos</t>
  </si>
  <si>
    <t>N100500500</t>
  </si>
  <si>
    <t>Zaldivar No Operacional</t>
  </si>
  <si>
    <t>N1005AD452</t>
  </si>
  <si>
    <t>Michilla</t>
  </si>
  <si>
    <t>1057CP0010</t>
  </si>
  <si>
    <t>Corporativo Michilla</t>
  </si>
  <si>
    <t>N105700000</t>
  </si>
  <si>
    <t>Michilla Costa</t>
  </si>
  <si>
    <t>N105700100</t>
  </si>
  <si>
    <t>Michilla Operacional</t>
  </si>
  <si>
    <t>MCosta</t>
  </si>
  <si>
    <t>1057AD0501</t>
  </si>
  <si>
    <t>Administracion</t>
  </si>
  <si>
    <t>1057AD0502</t>
  </si>
  <si>
    <t>Planta Piloto</t>
  </si>
  <si>
    <t>1057PU0501</t>
  </si>
  <si>
    <t>Terminal Maritimo</t>
  </si>
  <si>
    <t>1057AD3501</t>
  </si>
  <si>
    <t>Movimiento Financiero</t>
  </si>
  <si>
    <t>N105700500</t>
  </si>
  <si>
    <t>Michilla no Operacional</t>
  </si>
  <si>
    <t>Operacional</t>
  </si>
  <si>
    <t>Medio Ambiente Corporativo</t>
  </si>
  <si>
    <t>N1001AD000</t>
  </si>
  <si>
    <t>Administración</t>
  </si>
  <si>
    <t>N1001AD470</t>
  </si>
  <si>
    <t>Medio Ambiente</t>
  </si>
  <si>
    <t>N1001AD050</t>
  </si>
  <si>
    <t>Desarrollo Corp</t>
  </si>
  <si>
    <t>Estrategia e Innovación Corp</t>
  </si>
  <si>
    <t>Estrateg e Inn Corp</t>
  </si>
  <si>
    <t>Operaciones Corp (Distribuibles)</t>
  </si>
  <si>
    <t>VP Operaciones</t>
  </si>
  <si>
    <t>Operaciones Corp</t>
  </si>
  <si>
    <t>N1001AD350</t>
  </si>
  <si>
    <t>N1001AD351</t>
  </si>
  <si>
    <t>Abastecimiento</t>
  </si>
  <si>
    <t>Finanzas</t>
  </si>
  <si>
    <t>Contabilidad</t>
  </si>
  <si>
    <t>Gestión de Seguros</t>
  </si>
  <si>
    <t>1001AD3513</t>
  </si>
  <si>
    <t>Gcia Planificación Financiera</t>
  </si>
  <si>
    <t>Planif Financ Corp</t>
  </si>
  <si>
    <t>Gestión de Impuestos</t>
  </si>
  <si>
    <t>TICA Distribuible</t>
  </si>
  <si>
    <t>TICA</t>
  </si>
  <si>
    <t>Grcia.Riesgos, Compliance y Ctrol Interno</t>
  </si>
  <si>
    <t>Gerencia de Riesgos</t>
  </si>
  <si>
    <t>Operación y Territorio</t>
  </si>
  <si>
    <t>N1001AD450</t>
  </si>
  <si>
    <t>Servicios Generales</t>
  </si>
  <si>
    <t>N1001AD400</t>
  </si>
  <si>
    <t>N1001AD401</t>
  </si>
  <si>
    <t>RRHH Corporativo</t>
  </si>
  <si>
    <t>RRHH  Corporativo</t>
  </si>
  <si>
    <t>SSO Corporativo</t>
  </si>
  <si>
    <t>N1001AD500</t>
  </si>
  <si>
    <t>Gcia de SSO</t>
  </si>
  <si>
    <t>Propiedad Minera MLP</t>
  </si>
  <si>
    <t>N1001AD550</t>
  </si>
  <si>
    <t>Legal MLP</t>
  </si>
  <si>
    <t>Gerencia Legal</t>
  </si>
  <si>
    <t>N1002AD000</t>
  </si>
  <si>
    <t>N1002AD050</t>
  </si>
  <si>
    <t>N1002AD350</t>
  </si>
  <si>
    <t>1002AD3517</t>
  </si>
  <si>
    <t>Comunicaciones Internas</t>
  </si>
  <si>
    <t>N1002AD450</t>
  </si>
  <si>
    <t>Com Internas</t>
  </si>
  <si>
    <t>Administración y Gastos Operacionales</t>
  </si>
  <si>
    <t>Adm y gastos operac</t>
  </si>
  <si>
    <t>N1002AD400</t>
  </si>
  <si>
    <t>N1002AD500</t>
  </si>
  <si>
    <t>Legal CEN</t>
  </si>
  <si>
    <t>N1002AD550</t>
  </si>
  <si>
    <t>N1003AD000</t>
  </si>
  <si>
    <t>N1003AD050</t>
  </si>
  <si>
    <t>N1003AD350</t>
  </si>
  <si>
    <t>1003AD3513</t>
  </si>
  <si>
    <t>N1003AD400</t>
  </si>
  <si>
    <t>RRCC y Comunicaciones</t>
  </si>
  <si>
    <t>RRCC y Comunicacione</t>
  </si>
  <si>
    <t>N1003AD450</t>
  </si>
  <si>
    <t>Legal ANT</t>
  </si>
  <si>
    <t>N1003AD550</t>
  </si>
  <si>
    <t>N1005AD000</t>
  </si>
  <si>
    <t>N1005AD050</t>
  </si>
  <si>
    <t>N1005AD350</t>
  </si>
  <si>
    <t>1005AD3518</t>
  </si>
  <si>
    <t>N1005AD400</t>
  </si>
  <si>
    <t>Asuntos Gubernamentales</t>
  </si>
  <si>
    <t>N1005AD450</t>
  </si>
  <si>
    <t>N1005AD500</t>
  </si>
  <si>
    <t>Legal CMZ</t>
  </si>
  <si>
    <t>N1005AD550</t>
  </si>
  <si>
    <t>Propiedad Minera CMZ</t>
  </si>
  <si>
    <t>1003AD4500</t>
  </si>
  <si>
    <t>Administración SOMA</t>
  </si>
  <si>
    <t>Administracion SOMA</t>
  </si>
  <si>
    <t>Auditoría (HH Corporativo)</t>
  </si>
  <si>
    <t>1005AD0501</t>
  </si>
  <si>
    <t>Admin. General</t>
  </si>
  <si>
    <t>NO APLICA</t>
  </si>
  <si>
    <t>1001AD2010</t>
  </si>
  <si>
    <t>Adm Proyectos</t>
  </si>
  <si>
    <t>Proyectos</t>
  </si>
  <si>
    <t>N1001SS701</t>
  </si>
  <si>
    <t>1001AD3502</t>
  </si>
  <si>
    <t>Control de Gestión</t>
  </si>
  <si>
    <t xml:space="preserve">Gcia de Planificación y Gestión </t>
  </si>
  <si>
    <t>N1001AD353</t>
  </si>
  <si>
    <t>1001SS7004</t>
  </si>
  <si>
    <t>Campaña de Sondaje</t>
  </si>
  <si>
    <t>Campaña de sondaje</t>
  </si>
  <si>
    <t>N100100504</t>
  </si>
  <si>
    <t>Campañas y Estudios</t>
  </si>
  <si>
    <t>1002AD3501</t>
  </si>
  <si>
    <t>1002AD3508</t>
  </si>
  <si>
    <t>Otros No Operacionales</t>
  </si>
  <si>
    <t>Otros no Operacionales</t>
  </si>
  <si>
    <t>1002AD3516</t>
  </si>
  <si>
    <t>Gerencia Proyecto C3</t>
  </si>
  <si>
    <t>1003AD2000</t>
  </si>
  <si>
    <t>Gerencia de Operaciones</t>
  </si>
  <si>
    <t>N1003AD200</t>
  </si>
  <si>
    <t>Operaciones</t>
  </si>
  <si>
    <t>1003AD3501</t>
  </si>
  <si>
    <t>1003AD3506</t>
  </si>
  <si>
    <t>Administración General</t>
  </si>
  <si>
    <t>1005AD3502</t>
  </si>
  <si>
    <t>Exploraciones</t>
  </si>
  <si>
    <t>1000EX0501</t>
  </si>
  <si>
    <t>Exploraciones Nacionales</t>
  </si>
  <si>
    <t>N1000EX050</t>
  </si>
  <si>
    <t>Expl.</t>
  </si>
  <si>
    <t>1000EX1001</t>
  </si>
  <si>
    <t>Exploraciones Norteamérica</t>
  </si>
  <si>
    <t>1000EX1002</t>
  </si>
  <si>
    <t>Exploraciones Perú</t>
  </si>
  <si>
    <t>1000EX2001</t>
  </si>
  <si>
    <t>1000EX2002</t>
  </si>
  <si>
    <t>Oficina Toronto</t>
  </si>
  <si>
    <t>1000EX2003</t>
  </si>
  <si>
    <t>Oficina Lima</t>
  </si>
  <si>
    <t>1000EX3000</t>
  </si>
  <si>
    <t>Risk Fund</t>
  </si>
  <si>
    <t>1001AD4540</t>
  </si>
  <si>
    <t>Pelambres No Operacional</t>
  </si>
  <si>
    <t>1000AC7016</t>
  </si>
  <si>
    <t>Gerencia de Descarbonización</t>
  </si>
  <si>
    <t>1000AC0540</t>
  </si>
  <si>
    <t>Chief Operating Officer</t>
  </si>
  <si>
    <t>1000EX1501</t>
  </si>
  <si>
    <t>Evaluación Recursos y Servicios</t>
  </si>
  <si>
    <t>1000AC3530</t>
  </si>
  <si>
    <t>Gerencia Competitividad</t>
  </si>
  <si>
    <t>1000AC3531</t>
  </si>
  <si>
    <t>Gerencia Energía y Servicios Estratégicos</t>
  </si>
  <si>
    <t>1000EX1003</t>
  </si>
  <si>
    <t>GES JV (Volcan)</t>
  </si>
  <si>
    <t>1000AC0531</t>
  </si>
  <si>
    <t>Gerencia Excelencia Operacional</t>
  </si>
  <si>
    <t>1000AC3003</t>
  </si>
  <si>
    <t>Estudios Pre-Inversionales</t>
  </si>
  <si>
    <t>N1000AC500</t>
  </si>
  <si>
    <t>AMSA Estudios y Exploraciones</t>
  </si>
  <si>
    <t>N1000AC302</t>
  </si>
  <si>
    <t>Capex</t>
  </si>
  <si>
    <t>1000AC3507</t>
  </si>
  <si>
    <t>N1000AC900</t>
  </si>
  <si>
    <t>AMSA Reclasificaciones</t>
  </si>
  <si>
    <t>Servicios Generales No Operacionales</t>
  </si>
  <si>
    <t>1000AC3510</t>
  </si>
  <si>
    <t>N1000AC750</t>
  </si>
  <si>
    <t>AMSA Administración General</t>
  </si>
  <si>
    <t>N1000AC351</t>
  </si>
  <si>
    <t>Otros - Arriendos</t>
  </si>
  <si>
    <t>1000AP0501</t>
  </si>
  <si>
    <t>Proyecto INCO</t>
  </si>
  <si>
    <t>Costos dueño proyecto INCO</t>
  </si>
  <si>
    <t>N1000AC200</t>
  </si>
  <si>
    <t>AMSA Adm. Proyectos</t>
  </si>
  <si>
    <t>N1000AP050</t>
  </si>
  <si>
    <t>1000AP0502</t>
  </si>
  <si>
    <t>Proyecto DMC</t>
  </si>
  <si>
    <t>Costos dueño proyecto DMC</t>
  </si>
  <si>
    <t>1000AP0503</t>
  </si>
  <si>
    <t>Proyecto PDP</t>
  </si>
  <si>
    <t>Costos dueño proyecto PDP</t>
  </si>
  <si>
    <t>1000AP0508</t>
  </si>
  <si>
    <t>Proyecto Polo Sur</t>
  </si>
  <si>
    <t>Costos dueño proyecto Polo Sur</t>
  </si>
  <si>
    <t>1000AP0513</t>
  </si>
  <si>
    <t>Proyestos Gerencia Estudios</t>
  </si>
  <si>
    <t>Costos dueño proyectos Gcia Estudios</t>
  </si>
  <si>
    <t>1000AP0514</t>
  </si>
  <si>
    <t>Proyectos Habilitadores CMZ</t>
  </si>
  <si>
    <t>Costos dueño proyecto habilitadores CMZ</t>
  </si>
  <si>
    <t>1000AP0517</t>
  </si>
  <si>
    <t>Proyecto MLP Largo Plazo</t>
  </si>
  <si>
    <t>Costo Dueño MLP Largo Plazo</t>
  </si>
  <si>
    <t>VPACS Corporativo (HH Corporativo)</t>
  </si>
  <si>
    <t>VPACS Corporativo</t>
  </si>
  <si>
    <t>Otros programas y Oper. AAPP</t>
  </si>
  <si>
    <t>Finanzas Corporativo (HH Corporativo)</t>
  </si>
  <si>
    <t>Finanzas Corporativo</t>
  </si>
  <si>
    <t>N100100100</t>
  </si>
  <si>
    <t>Los Pelambres Operacional</t>
  </si>
  <si>
    <t>Administración y Finanzas</t>
  </si>
  <si>
    <t>Legal Corporativo (HH Corporativo)</t>
  </si>
  <si>
    <t>Legal Corporativo</t>
  </si>
  <si>
    <t xml:space="preserve"> N1001AD550</t>
  </si>
  <si>
    <t>Proyectos Corporativo (HH Corporativo)</t>
  </si>
  <si>
    <t>Proyectos Corporativo</t>
  </si>
  <si>
    <t>N1001SS700</t>
  </si>
  <si>
    <t>Reporting VPACS Corporativo</t>
  </si>
  <si>
    <t>Asuntos Externos y Sustentabilidad</t>
  </si>
  <si>
    <t>N100200100</t>
  </si>
  <si>
    <t>Centinela Operacional</t>
  </si>
  <si>
    <t>Gerencia General</t>
  </si>
  <si>
    <t>N100300100</t>
  </si>
  <si>
    <t>Antucoya Operacional</t>
  </si>
  <si>
    <t>N100500100</t>
  </si>
  <si>
    <t>Zaldívar Operacional</t>
  </si>
  <si>
    <t>Zaldívar No Operacional</t>
  </si>
  <si>
    <t>N1005SS700</t>
  </si>
  <si>
    <t>1200AD0506</t>
  </si>
  <si>
    <t>Desarrollo de Negocios</t>
  </si>
  <si>
    <t>N1600SI000</t>
  </si>
  <si>
    <t>Sociedad de Inversiones</t>
  </si>
  <si>
    <t>N1200AD000</t>
  </si>
  <si>
    <t>Antofagasta PLC</t>
  </si>
  <si>
    <t>1000AC7201</t>
  </si>
  <si>
    <t>1001AD3506</t>
  </si>
  <si>
    <t>1002AD3505</t>
  </si>
  <si>
    <t>1003AD3505</t>
  </si>
  <si>
    <t>1005AD3508</t>
  </si>
  <si>
    <t>1000AC0523</t>
  </si>
  <si>
    <t>Gerencia de Sustentabilidad</t>
  </si>
  <si>
    <t>1001AD4527</t>
  </si>
  <si>
    <t>Acuerdo Caimanes Op</t>
  </si>
  <si>
    <t>1000AP0509</t>
  </si>
  <si>
    <t>Est Sum Agua Sulfu</t>
  </si>
  <si>
    <t>Costo Dueño Agua</t>
  </si>
  <si>
    <t>1000AP0518</t>
  </si>
  <si>
    <t>Costo Dueño pro hidr</t>
  </si>
  <si>
    <t>Costo Dueño Proyecto Hidro</t>
  </si>
  <si>
    <t>1000AP0519</t>
  </si>
  <si>
    <t>Costo Dueño pro Sul p</t>
  </si>
  <si>
    <t>1000AP0419</t>
  </si>
  <si>
    <t>Astillas</t>
  </si>
  <si>
    <t>1055AD0500</t>
  </si>
  <si>
    <t>Corporativo Astillas</t>
  </si>
  <si>
    <t>N105500000</t>
  </si>
  <si>
    <t>Ast</t>
  </si>
  <si>
    <t>ANDEAN</t>
  </si>
  <si>
    <t>1204AD0500</t>
  </si>
  <si>
    <t>Corporativo Andean</t>
  </si>
  <si>
    <t>N120400000</t>
  </si>
  <si>
    <t>Andean</t>
  </si>
  <si>
    <t>And</t>
  </si>
  <si>
    <t>1200AC3507</t>
  </si>
  <si>
    <t>Movimientos Financieros</t>
  </si>
  <si>
    <t>N1200AD3507</t>
  </si>
  <si>
    <t>1200AD3507</t>
  </si>
  <si>
    <t>GES Leonora</t>
  </si>
  <si>
    <t>1000EX1004</t>
  </si>
  <si>
    <t/>
  </si>
  <si>
    <t>CeCo Padre</t>
  </si>
  <si>
    <t>N100100551 - Obligaciones Legales</t>
  </si>
  <si>
    <t>N100100552 - Mitigación y Compens</t>
  </si>
  <si>
    <t>N100100553 - Inversión Social</t>
  </si>
  <si>
    <t>N100100554 - Otros programas y Op</t>
  </si>
  <si>
    <t>N1001AD050 - Gerencia General</t>
  </si>
  <si>
    <t>N1001AD300 - Gerencia Servicios</t>
  </si>
  <si>
    <t>N1001AD352 - Adm. Administración</t>
  </si>
  <si>
    <t>N1001AD354 - Finanzas</t>
  </si>
  <si>
    <t>N1001AD355 - TICA</t>
  </si>
  <si>
    <t>N1001AD356 - Control Interno y Ri</t>
  </si>
  <si>
    <t>N1001AD401 - Adm. de Recursos Hum</t>
  </si>
  <si>
    <t>N1001AD450 - Asuntos Externos y S</t>
  </si>
  <si>
    <t>N1001AD470 - Medio Ambiente</t>
  </si>
  <si>
    <t>N1001AD500 - Seguridad y Salud Oc</t>
  </si>
  <si>
    <t>N1001AD550 - Legal</t>
  </si>
  <si>
    <t>N1001AD610 - Gastos Cu</t>
  </si>
  <si>
    <t>N1001SS701 - Gerencia Proyectos</t>
  </si>
  <si>
    <t>N100300500 - Antucoya No Operacio</t>
  </si>
  <si>
    <t>N1003AD050 - Gerencia General</t>
  </si>
  <si>
    <t>N1003AD350 - Administración y Fin</t>
  </si>
  <si>
    <t>N1003AD400 - Recursos Humanos</t>
  </si>
  <si>
    <t>N1003AD450 - Gerencia. AAEE</t>
  </si>
  <si>
    <t>N1003AD550 - Legal</t>
  </si>
  <si>
    <t>N1003AD600 - Comercialización</t>
  </si>
  <si>
    <t>N100200500 - Centinela No Operaci</t>
  </si>
  <si>
    <t>N1002AD050 - Gerencia General</t>
  </si>
  <si>
    <t>N1002AD350 - Gerencia Administrac</t>
  </si>
  <si>
    <t>N1002AD400 - Gerencia de Recursos</t>
  </si>
  <si>
    <t>N1002AD450 - Gerencia Asuntos Ext</t>
  </si>
  <si>
    <t>N1002AD500 - Gerencia de Segurida</t>
  </si>
  <si>
    <t>N1002AD550 - Legal</t>
  </si>
  <si>
    <t>N1002AD610 - Gastos Cu</t>
  </si>
  <si>
    <t>N1005AD050 - Gerencia General</t>
  </si>
  <si>
    <t>N1005AD350 - Administración y Fin</t>
  </si>
  <si>
    <t>N1005AD400 - Recursos Humanos</t>
  </si>
  <si>
    <t>N1005AD450 - Gerencia. AAEE</t>
  </si>
  <si>
    <t>N1005AD452 - Comunidades</t>
  </si>
  <si>
    <t>N1005AD500 - SSO</t>
  </si>
  <si>
    <t>N1005AD550 - Legal</t>
  </si>
  <si>
    <t>N1005AD620 - Fletes Cu</t>
  </si>
  <si>
    <t>N1005SS700 - Proyecto no operacio</t>
  </si>
  <si>
    <t>Comunidades RCA</t>
  </si>
  <si>
    <t>Liquidación Interna</t>
  </si>
  <si>
    <t>Asesorías y Consulto</t>
  </si>
  <si>
    <t>Servicios</t>
  </si>
  <si>
    <t>Gastos de Viajes</t>
  </si>
  <si>
    <t>Impuestos / Patentes</t>
  </si>
  <si>
    <t>Otros Gastos</t>
  </si>
  <si>
    <t>Arriendos</t>
  </si>
  <si>
    <t>Informática y Comuni</t>
  </si>
  <si>
    <t>Servicios Corporativ</t>
  </si>
  <si>
    <t>Administración Perso</t>
  </si>
  <si>
    <t>Entrenamiento</t>
  </si>
  <si>
    <t>Seguros</t>
  </si>
  <si>
    <t>Materiales y repuest</t>
  </si>
  <si>
    <t>Subrepartos</t>
  </si>
  <si>
    <t>PCC Programa Competi</t>
  </si>
  <si>
    <t>Explosivos y Accesor</t>
  </si>
  <si>
    <t>Combustibles  / Lubr</t>
  </si>
  <si>
    <t>Servicios Mantenimie</t>
  </si>
  <si>
    <t>Agua</t>
  </si>
  <si>
    <t>Reactivos</t>
  </si>
  <si>
    <t>Comercial</t>
  </si>
  <si>
    <t>Remuneraciones Super</t>
  </si>
  <si>
    <t>Remuneraciones emple</t>
  </si>
  <si>
    <t>Item Relevante</t>
  </si>
  <si>
    <t>CECO Código</t>
  </si>
  <si>
    <t>VP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</si>
</sst>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4">
    <xf numFmtId="0" fontId="0" fillId="0" borderId="0" xfId="0"/>
    <xf numFmtId="3" fontId="0" fillId="0" borderId="0" xfId="0" applyNumberFormat="1"/>
    <xf numFmtId="0" fontId="0" fillId="0" borderId="0" xfId="0" applyAlignment="1">
      <alignment horizontal="left"/>
    </xf>
    <xf numFmtId="0" fontId="0" fillId="0" borderId="0" xfId="0" applyAlignment="1">
      <alignment vertical="top"/>
    </xf>
    <xf numFmtId="0" fontId="0" fillId="0" borderId="0" xfId="0" applyAlignment="1">
      <alignment horizontal="left" indent="2"/>
    </xf>
    <xf numFmtId="0" fontId="0" fillId="0" borderId="0" xfId="0" applyAlignment="1">
      <alignment horizontal="left" indent="1"/>
    </xf>
    <xf numFmtId="0" fontId="2" fillId="0" borderId="0" xfId="0" applyFont="1"/>
    <xf numFmtId="0" fontId="2" fillId="2" borderId="0" xfId="0" applyFont="1" applyFill="1"/>
    <xf numFmtId="0" fontId="2" fillId="0" borderId="0" xfId="0" applyFont="1" applyAlignment="1">
      <alignment horizontal="center"/>
    </xf>
    <xf numFmtId="0" fontId="2" fillId="3" borderId="0" xfId="0" applyFont="1" applyFill="1" applyAlignment="1">
      <alignment horizontal="center"/>
    </xf>
    <xf numFmtId="0" fontId="0" fillId="3" borderId="0" xfId="0" applyFill="1" applyAlignment="1">
      <alignment horizontal="center"/>
    </xf>
    <xf numFmtId="0" fontId="0" fillId="0" borderId="0" xfId="0" applyAlignment="1">
      <alignment horizontal="center"/>
    </xf>
    <xf numFmtId="0" fontId="0" fillId="3" borderId="0" xfId="0" applyFill="1"/>
    <xf numFmtId="0" fontId="0" fillId="4" borderId="0" xfId="0" applyFill="1"/>
    <xf numFmtId="0" fontId="0" fillId="4" borderId="0" xfId="0" applyFill="1" applyAlignment="1">
      <alignment horizontal="center"/>
    </xf>
    <xf numFmtId="0" fontId="0" fillId="3" borderId="0" xfId="0" applyFill="1" applyAlignment="1">
      <alignment vertical="top"/>
    </xf>
    <xf numFmtId="0" fontId="0" fillId="0" borderId="0" xfId="0" applyAlignment="1">
      <alignment wrapText="1"/>
    </xf>
    <xf numFmtId="0" fontId="0" fillId="4" borderId="0" xfId="0" applyFill="1" applyAlignment="1">
      <alignment vertical="top"/>
    </xf>
    <xf numFmtId="0" fontId="1" fillId="0" borderId="0" xfId="0" applyFont="1"/>
    <xf numFmtId="0" fontId="1" fillId="3" borderId="0" xfId="0" applyFont="1" applyFill="1" applyAlignment="1">
      <alignment horizontal="center"/>
    </xf>
    <xf numFmtId="0" fontId="1" fillId="0" borderId="0" xfId="0" applyFont="1" applyAlignment="1">
      <alignment horizontal="center"/>
    </xf>
    <xf numFmtId="0" fontId="1" fillId="0" borderId="0" xfId="0" applyFont="1" applyAlignment="1">
      <alignment vertical="top"/>
    </xf>
    <xf numFmtId="0" fontId="1" fillId="0" borderId="0" xfId="0" applyFont="1" applyAlignment="1">
      <alignment horizontal="left" vertical="top"/>
    </xf>
    <xf numFmtId="0" fontId="3" fillId="0" borderId="0" xfId="0" applyFont="1"/>
  </cellXfs>
  <cellStyles count="1">
    <cellStyle name="Normal" xfId="0" builtinId="0"/>
  </cellStyles>
  <dxfs count="11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activeX/_rels/activeX1.xml.rels><?xml version="1.0" encoding="UTF-8" standalone="yes"?>
<Relationships xmlns="http://schemas.openxmlformats.org/package/2006/relationships"><Relationship Id="rId1" Type="http://schemas.microsoft.com/office/2006/relationships/activeXControlBinary" Target="activeX1.bin"/></Relationships>
</file>

<file path=xl/activeX/_rels/activeX2.xml.rels><?xml version="1.0" encoding="UTF-8" standalone="yes"?>
<Relationships xmlns="http://schemas.openxmlformats.org/package/2006/relationships"><Relationship Id="rId1" Type="http://schemas.microsoft.com/office/2006/relationships/activeXControlBinary" Target="activeX2.bin"/></Relationships>
</file>

<file path=xl/activeX/_rels/activeX3.xml.rels><?xml version="1.0" encoding="UTF-8" standalone="yes"?>
<Relationships xmlns="http://schemas.openxmlformats.org/package/2006/relationships"><Relationship Id="rId1" Type="http://schemas.microsoft.com/office/2006/relationships/activeXControlBinary" Target="activeX3.bin"/></Relationships>
</file>

<file path=xl/activeX/_rels/activeX4.xml.rels><?xml version="1.0" encoding="UTF-8" standalone="yes"?>
<Relationships xmlns="http://schemas.openxmlformats.org/package/2006/relationships"><Relationship Id="rId1" Type="http://schemas.microsoft.com/office/2006/relationships/activeXControlBinary" Target="activeX4.bin"/></Relationships>
</file>

<file path=xl/activeX/_rels/activeX5.xml.rels><?xml version="1.0" encoding="UTF-8" standalone="yes"?>
<Relationships xmlns="http://schemas.openxmlformats.org/package/2006/relationships"><Relationship Id="rId1" Type="http://schemas.microsoft.com/office/2006/relationships/activeXControlBinary" Target="activeX5.bin"/></Relationships>
</file>

<file path=xl/activeX/_rels/activeX6.xml.rels><?xml version="1.0" encoding="UTF-8" standalone="yes"?>
<Relationships xmlns="http://schemas.openxmlformats.org/package/2006/relationships"><Relationship Id="rId1" Type="http://schemas.microsoft.com/office/2006/relationships/activeXControlBinary" Target="activeX6.bin"/></Relationships>
</file>

<file path=xl/activeX/_rels/activeX7.xml.rels><?xml version="1.0" encoding="UTF-8" standalone="yes"?>
<Relationships xmlns="http://schemas.openxmlformats.org/package/2006/relationships"><Relationship Id="rId1" Type="http://schemas.microsoft.com/office/2006/relationships/activeXControlBinary" Target="activeX7.bin"/></Relationships>
</file>

<file path=xl/activeX/_rels/activeX8.xml.rels><?xml version="1.0" encoding="UTF-8" standalone="yes"?>
<Relationships xmlns="http://schemas.openxmlformats.org/package/2006/relationships"><Relationship Id="rId1" Type="http://schemas.microsoft.com/office/2006/relationships/activeXControlBinary" Target="activeX8.bin"/></Relationships>
</file>

<file path=xl/activeX/_rels/activeX9.xml.rels><?xml version="1.0" encoding="UTF-8" standalone="yes"?>
<Relationships xmlns="http://schemas.openxmlformats.org/package/2006/relationships"><Relationship Id="rId1" Type="http://schemas.microsoft.com/office/2006/relationships/activeXControlBinary" Target="activeX9.bin"/></Relationships>
</file>

<file path=xl/activeX/_rels/activeX10.xml.rels><?xml version="1.0" encoding="UTF-8" standalone="yes"?>
<Relationships xmlns="http://schemas.openxmlformats.org/package/2006/relationships"><Relationship Id="rId1" Type="http://schemas.microsoft.com/office/2006/relationships/activeXControlBinary" Target="activeX10.bin"/></Relationships>
</file>

<file path=xl/activeX/_rels/activeX11.xml.rels><?xml version="1.0" encoding="UTF-8" standalone="yes"?>
<Relationships xmlns="http://schemas.openxmlformats.org/package/2006/relationships"><Relationship Id="rId1" Type="http://schemas.microsoft.com/office/2006/relationships/activeXControlBinary" Target="activeX11.bin"/></Relationships>
</file>

<file path=xl/activeX/_rels/activeX12.xml.rels><?xml version="1.0" encoding="UTF-8" standalone="yes"?>
<Relationships xmlns="http://schemas.openxmlformats.org/package/2006/relationships"><Relationship Id="rId1" Type="http://schemas.microsoft.com/office/2006/relationships/activeXControlBinary" Target="activeX12.bin"/></Relationships>
</file>

<file path=xl/activeX/_rels/activeX13.xml.rels><?xml version="1.0" encoding="UTF-8" standalone="yes"?>
<Relationships xmlns="http://schemas.openxmlformats.org/package/2006/relationships"><Relationship Id="rId1" Type="http://schemas.microsoft.com/office/2006/relationships/activeXControlBinary" Target="activeX13.bin"/></Relationships>
</file>

<file path=xl/activeX/_rels/activeX14.xml.rels><?xml version="1.0" encoding="UTF-8" standalone="yes"?>
<Relationships xmlns="http://schemas.openxmlformats.org/package/2006/relationships"><Relationship Id="rId1" Type="http://schemas.microsoft.com/office/2006/relationships/activeXControlBinary" Target="activeX14.bin"/></Relationships>
</file>

<file path=xl/activeX/_rels/activeX15.xml.rels><?xml version="1.0" encoding="UTF-8" standalone="yes"?>
<Relationships xmlns="http://schemas.openxmlformats.org/package/2006/relationships"><Relationship Id="rId1" Type="http://schemas.microsoft.com/office/2006/relationships/activeXControlBinary" Target="activeX15.bin"/></Relationships>
</file>

<file path=xl/activeX/_rels/activeX16.xml.rels><?xml version="1.0" encoding="UTF-8" standalone="yes"?>
<Relationships xmlns="http://schemas.openxmlformats.org/package/2006/relationships"><Relationship Id="rId1" Type="http://schemas.microsoft.com/office/2006/relationships/activeXControlBinary" Target="activeX16.bin"/></Relationships>
</file>

<file path=xl/activeX/activeX1.xml><?xml version="1.0" encoding="utf-8"?>
<ax:ocx xmlns:ax="http://schemas.microsoft.com/office/2006/activeX" xmlns:r="http://schemas.openxmlformats.org/officeDocument/2006/relationships" ax:classid="{8BD21D10-EC42-11CE-9E0D-00AA006002F3}" ax:persistence="persistStreamInit" r:id="rId1"/>
</file>

<file path=xl/activeX/activeX2.xml><?xml version="1.0" encoding="utf-8"?>
<ax:ocx xmlns:ax="http://schemas.microsoft.com/office/2006/activeX" xmlns:r="http://schemas.openxmlformats.org/officeDocument/2006/relationships" ax:classid="{8BD21D10-EC42-11CE-9E0D-00AA006002F3}" ax:persistence="persistStreamInit" r:id="rId1"/>
</file>

<file path=xl/activeX/activeX3.xml><?xml version="1.0" encoding="utf-8"?>
<ax:ocx xmlns:ax="http://schemas.microsoft.com/office/2006/activeX" xmlns:r="http://schemas.openxmlformats.org/officeDocument/2006/relationships" ax:classid="{8BD21D10-EC42-11CE-9E0D-00AA006002F3}" ax:persistence="persistStreamInit" r:id="rId1"/>
</file>

<file path=xl/activeX/activeX4.xml><?xml version="1.0" encoding="utf-8"?>
<ax:ocx xmlns:ax="http://schemas.microsoft.com/office/2006/activeX" xmlns:r="http://schemas.openxmlformats.org/officeDocument/2006/relationships" ax:classid="{8BD21D10-EC42-11CE-9E0D-00AA006002F3}" ax:persistence="persistStreamInit" r:id="rId1"/>
</file>

<file path=xl/activeX/activeX5.xml><?xml version="1.0" encoding="utf-8"?>
<ax:ocx xmlns:ax="http://schemas.microsoft.com/office/2006/activeX" xmlns:r="http://schemas.openxmlformats.org/officeDocument/2006/relationships" ax:classid="{8BD21D10-EC42-11CE-9E0D-00AA006002F3}" ax:persistence="persistStreamInit" r:id="rId1"/>
</file>

<file path=xl/activeX/activeX6.xml><?xml version="1.0" encoding="utf-8"?>
<ax:ocx xmlns:ax="http://schemas.microsoft.com/office/2006/activeX" xmlns:r="http://schemas.openxmlformats.org/officeDocument/2006/relationships" ax:classid="{8BD21D10-EC42-11CE-9E0D-00AA006002F3}" ax:persistence="persistStreamInit" r:id="rId1"/>
</file>

<file path=xl/activeX/activeX7.xml><?xml version="1.0" encoding="utf-8"?>
<ax:ocx xmlns:ax="http://schemas.microsoft.com/office/2006/activeX" xmlns:r="http://schemas.openxmlformats.org/officeDocument/2006/relationships" ax:classid="{8BD21D10-EC42-11CE-9E0D-00AA006002F3}" ax:persistence="persistStreamInit" r:id="rId1"/>
</file>

<file path=xl/activeX/activeX8.xml><?xml version="1.0" encoding="utf-8"?>
<ax:ocx xmlns:ax="http://schemas.microsoft.com/office/2006/activeX" xmlns:r="http://schemas.openxmlformats.org/officeDocument/2006/relationships" ax:classid="{8BD21D10-EC42-11CE-9E0D-00AA006002F3}" ax:persistence="persistStreamInit" r:id="rId1"/>
</file>

<file path=xl/activeX/activeX9.xml><?xml version="1.0" encoding="utf-8"?>
<ax:ocx xmlns:ax="http://schemas.microsoft.com/office/2006/activeX" xmlns:r="http://schemas.openxmlformats.org/officeDocument/2006/relationships" ax:classid="{8BD21D10-EC42-11CE-9E0D-00AA006002F3}" ax:persistence="persistStreamInit" r:id="rId1"/>
</file>

<file path=xl/activeX/activeX10.xml><?xml version="1.0" encoding="utf-8"?>
<ax:ocx xmlns:ax="http://schemas.microsoft.com/office/2006/activeX" xmlns:r="http://schemas.openxmlformats.org/officeDocument/2006/relationships" ax:classid="{8BD21D10-EC42-11CE-9E0D-00AA006002F3}" ax:persistence="persistStreamInit" r:id="rId1"/>
</file>

<file path=xl/activeX/activeX11.xml><?xml version="1.0" encoding="utf-8"?>
<ax:ocx xmlns:ax="http://schemas.microsoft.com/office/2006/activeX" xmlns:r="http://schemas.openxmlformats.org/officeDocument/2006/relationships" ax:classid="{8BD21D10-EC42-11CE-9E0D-00AA006002F3}" ax:persistence="persistStreamInit" r:id="rId1"/>
</file>

<file path=xl/activeX/activeX12.xml><?xml version="1.0" encoding="utf-8"?>
<ax:ocx xmlns:ax="http://schemas.microsoft.com/office/2006/activeX" xmlns:r="http://schemas.openxmlformats.org/officeDocument/2006/relationships" ax:classid="{8BD21D10-EC42-11CE-9E0D-00AA006002F3}" ax:persistence="persistStreamInit" r:id="rId1"/>
</file>

<file path=xl/activeX/activeX13.xml><?xml version="1.0" encoding="utf-8"?>
<ax:ocx xmlns:ax="http://schemas.microsoft.com/office/2006/activeX" xmlns:r="http://schemas.openxmlformats.org/officeDocument/2006/relationships" ax:classid="{8BD21D10-EC42-11CE-9E0D-00AA006002F3}" ax:persistence="persistStreamInit" r:id="rId1"/>
</file>

<file path=xl/activeX/activeX14.xml><?xml version="1.0" encoding="utf-8"?>
<ax:ocx xmlns:ax="http://schemas.microsoft.com/office/2006/activeX" xmlns:r="http://schemas.openxmlformats.org/officeDocument/2006/relationships" ax:classid="{8BD21D10-EC42-11CE-9E0D-00AA006002F3}" ax:persistence="persistStreamInit" r:id="rId1"/>
</file>

<file path=xl/activeX/activeX15.xml><?xml version="1.0" encoding="utf-8"?>
<ax:ocx xmlns:ax="http://schemas.microsoft.com/office/2006/activeX" xmlns:r="http://schemas.openxmlformats.org/officeDocument/2006/relationships" ax:classid="{8BD21D10-EC42-11CE-9E0D-00AA006002F3}" ax:persistence="persistStreamInit" r:id="rId1"/>
</file>

<file path=xl/activeX/activeX16.xml><?xml version="1.0" encoding="utf-8"?>
<ax:ocx xmlns:ax="http://schemas.microsoft.com/office/2006/activeX" xmlns:r="http://schemas.openxmlformats.org/officeDocument/2006/relationships" ax:classid="{8BD21D10-EC42-11CE-9E0D-00AA006002F3}" ax:persistence="persistStreamInit" r:id="rId1"/>
</file>

<file path=xl/drawings/_rels/vmlDrawing1.vml.rels><?xml version="1.0" encoding="UTF-8" standalone="yes"?>
<Relationships xmlns="http://schemas.openxmlformats.org/package/2006/relationships"><Relationship Id="rId3" Type="http://schemas.openxmlformats.org/officeDocument/2006/relationships/image" Target="../media/image2.emf"/><Relationship Id="rId2" Type="http://schemas.openxmlformats.org/officeDocument/2006/relationships/image" Target="../media/image3.emf"/><Relationship Id="rId1" Type="http://schemas.openxmlformats.org/officeDocument/2006/relationships/image" Target="../media/image4.emf"/><Relationship Id="rId4" Type="http://schemas.openxmlformats.org/officeDocument/2006/relationships/image" Target="../media/image1.emf"/></Relationships>
</file>

<file path=xl/drawings/_rels/vmlDrawing2.vml.rels><?xml version="1.0" encoding="UTF-8" standalone="yes"?>
<Relationships xmlns="http://schemas.openxmlformats.org/package/2006/relationships"><Relationship Id="rId3" Type="http://schemas.openxmlformats.org/officeDocument/2006/relationships/image" Target="../media/image6.emf"/><Relationship Id="rId2" Type="http://schemas.openxmlformats.org/officeDocument/2006/relationships/image" Target="../media/image7.emf"/><Relationship Id="rId1" Type="http://schemas.openxmlformats.org/officeDocument/2006/relationships/image" Target="../media/image8.emf"/><Relationship Id="rId4" Type="http://schemas.openxmlformats.org/officeDocument/2006/relationships/image" Target="../media/image5.emf"/></Relationships>
</file>

<file path=xl/drawings/_rels/vmlDrawing3.vml.rels><?xml version="1.0" encoding="UTF-8" standalone="yes"?>
<Relationships xmlns="http://schemas.openxmlformats.org/package/2006/relationships"><Relationship Id="rId3" Type="http://schemas.openxmlformats.org/officeDocument/2006/relationships/image" Target="../media/image10.emf"/><Relationship Id="rId2" Type="http://schemas.openxmlformats.org/officeDocument/2006/relationships/image" Target="../media/image11.emf"/><Relationship Id="rId1" Type="http://schemas.openxmlformats.org/officeDocument/2006/relationships/image" Target="../media/image12.emf"/><Relationship Id="rId4" Type="http://schemas.openxmlformats.org/officeDocument/2006/relationships/image" Target="../media/image9.emf"/></Relationships>
</file>

<file path=xl/drawings/_rels/vmlDrawing4.vml.rels><?xml version="1.0" encoding="UTF-8" standalone="yes"?>
<Relationships xmlns="http://schemas.openxmlformats.org/package/2006/relationships"><Relationship Id="rId3" Type="http://schemas.openxmlformats.org/officeDocument/2006/relationships/image" Target="../media/image14.emf"/><Relationship Id="rId2" Type="http://schemas.openxmlformats.org/officeDocument/2006/relationships/image" Target="../media/image15.emf"/><Relationship Id="rId1" Type="http://schemas.openxmlformats.org/officeDocument/2006/relationships/image" Target="../media/image16.emf"/><Relationship Id="rId4" Type="http://schemas.openxmlformats.org/officeDocument/2006/relationships/image" Target="../media/image13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0</xdr:colOff>
          <xdr:row>0</xdr:row>
          <xdr:rowOff>0</xdr:rowOff>
        </xdr:from>
        <xdr:to>
          <xdr:col>1</xdr:col>
          <xdr:colOff>205740</xdr:colOff>
          <xdr:row>0</xdr:row>
          <xdr:rowOff>0</xdr:rowOff>
        </xdr:to>
        <xdr:sp macro="" textlink="">
          <xdr:nvSpPr>
            <xdr:cNvPr id="1025" name="FPMExcelClientSheetOptionstb1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0</xdr:colOff>
          <xdr:row>0</xdr:row>
          <xdr:rowOff>0</xdr:rowOff>
        </xdr:from>
        <xdr:to>
          <xdr:col>1</xdr:col>
          <xdr:colOff>205740</xdr:colOff>
          <xdr:row>0</xdr:row>
          <xdr:rowOff>0</xdr:rowOff>
        </xdr:to>
        <xdr:sp macro="" textlink="">
          <xdr:nvSpPr>
            <xdr:cNvPr id="1026" name="ConnectionDescriptorsInfotb1" hidden="1">
              <a:extLst>
                <a:ext uri="{63B3BB69-23CF-44E3-9099-C40C66FF867C}">
                  <a14:compatExt spid="_x0000_s1026"/>
                </a:ext>
                <a:ext uri="{FF2B5EF4-FFF2-40B4-BE49-F238E27FC236}">
                  <a16:creationId xmlns:a16="http://schemas.microsoft.com/office/drawing/2014/main" id="{00000000-0008-0000-0000-00000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0</xdr:colOff>
          <xdr:row>0</xdr:row>
          <xdr:rowOff>0</xdr:rowOff>
        </xdr:from>
        <xdr:to>
          <xdr:col>1</xdr:col>
          <xdr:colOff>205740</xdr:colOff>
          <xdr:row>0</xdr:row>
          <xdr:rowOff>0</xdr:rowOff>
        </xdr:to>
        <xdr:sp macro="" textlink="">
          <xdr:nvSpPr>
            <xdr:cNvPr id="1027" name="MultipleReportManagerInfotb1" hidden="1">
              <a:extLst>
                <a:ext uri="{63B3BB69-23CF-44E3-9099-C40C66FF867C}">
                  <a14:compatExt spid="_x0000_s1027"/>
                </a:ext>
                <a:ext uri="{FF2B5EF4-FFF2-40B4-BE49-F238E27FC236}">
                  <a16:creationId xmlns:a16="http://schemas.microsoft.com/office/drawing/2014/main" id="{00000000-0008-0000-0000-00000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0</xdr:colOff>
          <xdr:row>0</xdr:row>
          <xdr:rowOff>0</xdr:rowOff>
        </xdr:from>
        <xdr:to>
          <xdr:col>1</xdr:col>
          <xdr:colOff>205740</xdr:colOff>
          <xdr:row>0</xdr:row>
          <xdr:rowOff>0</xdr:rowOff>
        </xdr:to>
        <xdr:sp macro="" textlink="">
          <xdr:nvSpPr>
            <xdr:cNvPr id="1028" name="AnalyzerDynReport000tb1" hidden="1">
              <a:extLst>
                <a:ext uri="{63B3BB69-23CF-44E3-9099-C40C66FF867C}">
                  <a14:compatExt spid="_x0000_s1028"/>
                </a:ext>
                <a:ext uri="{FF2B5EF4-FFF2-40B4-BE49-F238E27FC236}">
                  <a16:creationId xmlns:a16="http://schemas.microsoft.com/office/drawing/2014/main" id="{00000000-0008-0000-0000-00000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0</xdr:colOff>
          <xdr:row>0</xdr:row>
          <xdr:rowOff>0</xdr:rowOff>
        </xdr:from>
        <xdr:to>
          <xdr:col>1</xdr:col>
          <xdr:colOff>205740</xdr:colOff>
          <xdr:row>0</xdr:row>
          <xdr:rowOff>0</xdr:rowOff>
        </xdr:to>
        <xdr:sp macro="" textlink="">
          <xdr:nvSpPr>
            <xdr:cNvPr id="8193" name="FPMExcelClientSheetOptionstb1" hidden="1">
              <a:extLst>
                <a:ext uri="{63B3BB69-23CF-44E3-9099-C40C66FF867C}">
                  <a14:compatExt spid="_x0000_s8193"/>
                </a:ext>
                <a:ext uri="{FF2B5EF4-FFF2-40B4-BE49-F238E27FC236}">
                  <a16:creationId xmlns:a16="http://schemas.microsoft.com/office/drawing/2014/main" id="{00000000-0008-0000-0100-0000012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0</xdr:colOff>
          <xdr:row>0</xdr:row>
          <xdr:rowOff>0</xdr:rowOff>
        </xdr:from>
        <xdr:to>
          <xdr:col>1</xdr:col>
          <xdr:colOff>205740</xdr:colOff>
          <xdr:row>0</xdr:row>
          <xdr:rowOff>0</xdr:rowOff>
        </xdr:to>
        <xdr:sp macro="" textlink="">
          <xdr:nvSpPr>
            <xdr:cNvPr id="8194" name="ConnectionDescriptorsInfotb1" hidden="1">
              <a:extLst>
                <a:ext uri="{63B3BB69-23CF-44E3-9099-C40C66FF867C}">
                  <a14:compatExt spid="_x0000_s8194"/>
                </a:ext>
                <a:ext uri="{FF2B5EF4-FFF2-40B4-BE49-F238E27FC236}">
                  <a16:creationId xmlns:a16="http://schemas.microsoft.com/office/drawing/2014/main" id="{00000000-0008-0000-0100-0000022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0</xdr:colOff>
          <xdr:row>0</xdr:row>
          <xdr:rowOff>0</xdr:rowOff>
        </xdr:from>
        <xdr:to>
          <xdr:col>1</xdr:col>
          <xdr:colOff>205740</xdr:colOff>
          <xdr:row>0</xdr:row>
          <xdr:rowOff>0</xdr:rowOff>
        </xdr:to>
        <xdr:sp macro="" textlink="">
          <xdr:nvSpPr>
            <xdr:cNvPr id="8195" name="MultipleReportManagerInfotb1" hidden="1">
              <a:extLst>
                <a:ext uri="{63B3BB69-23CF-44E3-9099-C40C66FF867C}">
                  <a14:compatExt spid="_x0000_s8195"/>
                </a:ext>
                <a:ext uri="{FF2B5EF4-FFF2-40B4-BE49-F238E27FC236}">
                  <a16:creationId xmlns:a16="http://schemas.microsoft.com/office/drawing/2014/main" id="{00000000-0008-0000-0100-0000032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0</xdr:colOff>
          <xdr:row>0</xdr:row>
          <xdr:rowOff>0</xdr:rowOff>
        </xdr:from>
        <xdr:to>
          <xdr:col>1</xdr:col>
          <xdr:colOff>205740</xdr:colOff>
          <xdr:row>0</xdr:row>
          <xdr:rowOff>0</xdr:rowOff>
        </xdr:to>
        <xdr:sp macro="" textlink="">
          <xdr:nvSpPr>
            <xdr:cNvPr id="8196" name="AnalyzerDynReport000tb1" hidden="1">
              <a:extLst>
                <a:ext uri="{63B3BB69-23CF-44E3-9099-C40C66FF867C}">
                  <a14:compatExt spid="_x0000_s8196"/>
                </a:ext>
                <a:ext uri="{FF2B5EF4-FFF2-40B4-BE49-F238E27FC236}">
                  <a16:creationId xmlns:a16="http://schemas.microsoft.com/office/drawing/2014/main" id="{00000000-0008-0000-0100-0000042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drawings/drawing3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0</xdr:colOff>
          <xdr:row>0</xdr:row>
          <xdr:rowOff>0</xdr:rowOff>
        </xdr:from>
        <xdr:to>
          <xdr:col>1</xdr:col>
          <xdr:colOff>205740</xdr:colOff>
          <xdr:row>0</xdr:row>
          <xdr:rowOff>0</xdr:rowOff>
        </xdr:to>
        <xdr:sp macro="" textlink="">
          <xdr:nvSpPr>
            <xdr:cNvPr id="7169" name="FPMExcelClientSheetOptionstb1" hidden="1">
              <a:extLst>
                <a:ext uri="{63B3BB69-23CF-44E3-9099-C40C66FF867C}">
                  <a14:compatExt spid="_x0000_s7169"/>
                </a:ext>
                <a:ext uri="{FF2B5EF4-FFF2-40B4-BE49-F238E27FC236}">
                  <a16:creationId xmlns:a16="http://schemas.microsoft.com/office/drawing/2014/main" id="{00000000-0008-0000-0200-0000011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0</xdr:colOff>
          <xdr:row>0</xdr:row>
          <xdr:rowOff>0</xdr:rowOff>
        </xdr:from>
        <xdr:to>
          <xdr:col>1</xdr:col>
          <xdr:colOff>205740</xdr:colOff>
          <xdr:row>0</xdr:row>
          <xdr:rowOff>0</xdr:rowOff>
        </xdr:to>
        <xdr:sp macro="" textlink="">
          <xdr:nvSpPr>
            <xdr:cNvPr id="7170" name="ConnectionDescriptorsInfotb1" hidden="1">
              <a:extLst>
                <a:ext uri="{63B3BB69-23CF-44E3-9099-C40C66FF867C}">
                  <a14:compatExt spid="_x0000_s7170"/>
                </a:ext>
                <a:ext uri="{FF2B5EF4-FFF2-40B4-BE49-F238E27FC236}">
                  <a16:creationId xmlns:a16="http://schemas.microsoft.com/office/drawing/2014/main" id="{00000000-0008-0000-0200-0000021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0</xdr:colOff>
          <xdr:row>0</xdr:row>
          <xdr:rowOff>0</xdr:rowOff>
        </xdr:from>
        <xdr:to>
          <xdr:col>1</xdr:col>
          <xdr:colOff>205740</xdr:colOff>
          <xdr:row>0</xdr:row>
          <xdr:rowOff>0</xdr:rowOff>
        </xdr:to>
        <xdr:sp macro="" textlink="">
          <xdr:nvSpPr>
            <xdr:cNvPr id="7171" name="MultipleReportManagerInfotb1" hidden="1">
              <a:extLst>
                <a:ext uri="{63B3BB69-23CF-44E3-9099-C40C66FF867C}">
                  <a14:compatExt spid="_x0000_s7171"/>
                </a:ext>
                <a:ext uri="{FF2B5EF4-FFF2-40B4-BE49-F238E27FC236}">
                  <a16:creationId xmlns:a16="http://schemas.microsoft.com/office/drawing/2014/main" id="{00000000-0008-0000-0200-0000031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0</xdr:colOff>
          <xdr:row>0</xdr:row>
          <xdr:rowOff>0</xdr:rowOff>
        </xdr:from>
        <xdr:to>
          <xdr:col>1</xdr:col>
          <xdr:colOff>205740</xdr:colOff>
          <xdr:row>0</xdr:row>
          <xdr:rowOff>0</xdr:rowOff>
        </xdr:to>
        <xdr:sp macro="" textlink="">
          <xdr:nvSpPr>
            <xdr:cNvPr id="7172" name="AnalyzerDynReport000tb1" hidden="1">
              <a:extLst>
                <a:ext uri="{63B3BB69-23CF-44E3-9099-C40C66FF867C}">
                  <a14:compatExt spid="_x0000_s7172"/>
                </a:ext>
                <a:ext uri="{FF2B5EF4-FFF2-40B4-BE49-F238E27FC236}">
                  <a16:creationId xmlns:a16="http://schemas.microsoft.com/office/drawing/2014/main" id="{00000000-0008-0000-0200-0000041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drawings/drawing4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0</xdr:colOff>
          <xdr:row>0</xdr:row>
          <xdr:rowOff>0</xdr:rowOff>
        </xdr:from>
        <xdr:to>
          <xdr:col>1</xdr:col>
          <xdr:colOff>205740</xdr:colOff>
          <xdr:row>0</xdr:row>
          <xdr:rowOff>0</xdr:rowOff>
        </xdr:to>
        <xdr:sp macro="" textlink="">
          <xdr:nvSpPr>
            <xdr:cNvPr id="9217" name="FPMExcelClientSheetOptionstb1" hidden="1">
              <a:extLst>
                <a:ext uri="{63B3BB69-23CF-44E3-9099-C40C66FF867C}">
                  <a14:compatExt spid="_x0000_s9217"/>
                </a:ext>
                <a:ext uri="{FF2B5EF4-FFF2-40B4-BE49-F238E27FC236}">
                  <a16:creationId xmlns:a16="http://schemas.microsoft.com/office/drawing/2014/main" id="{00000000-0008-0000-0300-000001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0</xdr:colOff>
          <xdr:row>0</xdr:row>
          <xdr:rowOff>0</xdr:rowOff>
        </xdr:from>
        <xdr:to>
          <xdr:col>1</xdr:col>
          <xdr:colOff>205740</xdr:colOff>
          <xdr:row>0</xdr:row>
          <xdr:rowOff>0</xdr:rowOff>
        </xdr:to>
        <xdr:sp macro="" textlink="">
          <xdr:nvSpPr>
            <xdr:cNvPr id="9218" name="ConnectionDescriptorsInfotb1" hidden="1">
              <a:extLst>
                <a:ext uri="{63B3BB69-23CF-44E3-9099-C40C66FF867C}">
                  <a14:compatExt spid="_x0000_s9218"/>
                </a:ext>
                <a:ext uri="{FF2B5EF4-FFF2-40B4-BE49-F238E27FC236}">
                  <a16:creationId xmlns:a16="http://schemas.microsoft.com/office/drawing/2014/main" id="{00000000-0008-0000-0300-000002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0</xdr:colOff>
          <xdr:row>0</xdr:row>
          <xdr:rowOff>0</xdr:rowOff>
        </xdr:from>
        <xdr:to>
          <xdr:col>1</xdr:col>
          <xdr:colOff>205740</xdr:colOff>
          <xdr:row>0</xdr:row>
          <xdr:rowOff>0</xdr:rowOff>
        </xdr:to>
        <xdr:sp macro="" textlink="">
          <xdr:nvSpPr>
            <xdr:cNvPr id="9219" name="MultipleReportManagerInfotb1" hidden="1">
              <a:extLst>
                <a:ext uri="{63B3BB69-23CF-44E3-9099-C40C66FF867C}">
                  <a14:compatExt spid="_x0000_s9219"/>
                </a:ext>
                <a:ext uri="{FF2B5EF4-FFF2-40B4-BE49-F238E27FC236}">
                  <a16:creationId xmlns:a16="http://schemas.microsoft.com/office/drawing/2014/main" id="{00000000-0008-0000-0300-000003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0</xdr:colOff>
          <xdr:row>0</xdr:row>
          <xdr:rowOff>0</xdr:rowOff>
        </xdr:from>
        <xdr:to>
          <xdr:col>1</xdr:col>
          <xdr:colOff>205740</xdr:colOff>
          <xdr:row>0</xdr:row>
          <xdr:rowOff>0</xdr:rowOff>
        </xdr:to>
        <xdr:sp macro="" textlink="">
          <xdr:nvSpPr>
            <xdr:cNvPr id="9220" name="AnalyzerDynReport000tb1" hidden="1">
              <a:extLst>
                <a:ext uri="{63B3BB69-23CF-44E3-9099-C40C66FF867C}">
                  <a14:compatExt spid="_x0000_s9220"/>
                </a:ext>
                <a:ext uri="{FF2B5EF4-FFF2-40B4-BE49-F238E27FC236}">
                  <a16:creationId xmlns:a16="http://schemas.microsoft.com/office/drawing/2014/main" id="{00000000-0008-0000-0300-000004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438" row="4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66B71E70-58C9-4FC8-AABA-22C0AE39B530}">
  <we:reference id="wa200009404" version="1.0.0.8" store="es-ES" storeType="OMEX"/>
  <we:alternateReferences>
    <we:reference id="WA200009404" version="1.0.0.8" store="" storeType="OMEX"/>
  </we:alternateReferences>
  <we:properties>
    <we:property name="claude.fileId" value="&quot;3d6c48d2-6eec-45e3-816a-8707d53044ca&quot;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image" Target="../media/image1.emf"/><Relationship Id="rId13" Type="http://schemas.openxmlformats.org/officeDocument/2006/relationships/control" Target="../activeX/activeX4.xml"/><Relationship Id="rId3" Type="http://schemas.openxmlformats.org/officeDocument/2006/relationships/customProperty" Target="../customProperty2.bin"/><Relationship Id="rId7" Type="http://schemas.openxmlformats.org/officeDocument/2006/relationships/control" Target="../activeX/activeX1.xml"/><Relationship Id="rId12" Type="http://schemas.openxmlformats.org/officeDocument/2006/relationships/image" Target="../media/image3.emf"/><Relationship Id="rId2" Type="http://schemas.openxmlformats.org/officeDocument/2006/relationships/customProperty" Target="../customProperty1.bin"/><Relationship Id="rId1" Type="http://schemas.openxmlformats.org/officeDocument/2006/relationships/printerSettings" Target="../printerSettings/printerSettings1.bin"/><Relationship Id="rId6" Type="http://schemas.openxmlformats.org/officeDocument/2006/relationships/vmlDrawing" Target="../drawings/vmlDrawing1.vml"/><Relationship Id="rId11" Type="http://schemas.openxmlformats.org/officeDocument/2006/relationships/control" Target="../activeX/activeX3.xml"/><Relationship Id="rId5" Type="http://schemas.openxmlformats.org/officeDocument/2006/relationships/drawing" Target="../drawings/drawing1.xml"/><Relationship Id="rId10" Type="http://schemas.openxmlformats.org/officeDocument/2006/relationships/image" Target="../media/image2.emf"/><Relationship Id="rId4" Type="http://schemas.openxmlformats.org/officeDocument/2006/relationships/customProperty" Target="../customProperty3.bin"/><Relationship Id="rId9" Type="http://schemas.openxmlformats.org/officeDocument/2006/relationships/control" Target="../activeX/activeX2.xml"/><Relationship Id="rId14" Type="http://schemas.openxmlformats.org/officeDocument/2006/relationships/image" Target="../media/image4.emf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image" Target="../media/image6.emf"/><Relationship Id="rId3" Type="http://schemas.openxmlformats.org/officeDocument/2006/relationships/drawing" Target="../drawings/drawing2.xml"/><Relationship Id="rId7" Type="http://schemas.openxmlformats.org/officeDocument/2006/relationships/control" Target="../activeX/activeX6.xml"/><Relationship Id="rId12" Type="http://schemas.openxmlformats.org/officeDocument/2006/relationships/image" Target="../media/image8.emf"/><Relationship Id="rId2" Type="http://schemas.openxmlformats.org/officeDocument/2006/relationships/customProperty" Target="../customProperty5.bin"/><Relationship Id="rId1" Type="http://schemas.openxmlformats.org/officeDocument/2006/relationships/customProperty" Target="../customProperty4.bin"/><Relationship Id="rId6" Type="http://schemas.openxmlformats.org/officeDocument/2006/relationships/image" Target="../media/image5.emf"/><Relationship Id="rId11" Type="http://schemas.openxmlformats.org/officeDocument/2006/relationships/control" Target="../activeX/activeX8.xml"/><Relationship Id="rId5" Type="http://schemas.openxmlformats.org/officeDocument/2006/relationships/control" Target="../activeX/activeX5.xml"/><Relationship Id="rId10" Type="http://schemas.openxmlformats.org/officeDocument/2006/relationships/image" Target="../media/image7.emf"/><Relationship Id="rId4" Type="http://schemas.openxmlformats.org/officeDocument/2006/relationships/vmlDrawing" Target="../drawings/vmlDrawing2.vml"/><Relationship Id="rId9" Type="http://schemas.openxmlformats.org/officeDocument/2006/relationships/control" Target="../activeX/activeX7.xml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image" Target="../media/image10.emf"/><Relationship Id="rId3" Type="http://schemas.openxmlformats.org/officeDocument/2006/relationships/drawing" Target="../drawings/drawing3.xml"/><Relationship Id="rId7" Type="http://schemas.openxmlformats.org/officeDocument/2006/relationships/control" Target="../activeX/activeX10.xml"/><Relationship Id="rId12" Type="http://schemas.openxmlformats.org/officeDocument/2006/relationships/image" Target="../media/image12.emf"/><Relationship Id="rId2" Type="http://schemas.openxmlformats.org/officeDocument/2006/relationships/customProperty" Target="../customProperty7.bin"/><Relationship Id="rId1" Type="http://schemas.openxmlformats.org/officeDocument/2006/relationships/customProperty" Target="../customProperty6.bin"/><Relationship Id="rId6" Type="http://schemas.openxmlformats.org/officeDocument/2006/relationships/image" Target="../media/image9.emf"/><Relationship Id="rId11" Type="http://schemas.openxmlformats.org/officeDocument/2006/relationships/control" Target="../activeX/activeX12.xml"/><Relationship Id="rId5" Type="http://schemas.openxmlformats.org/officeDocument/2006/relationships/control" Target="../activeX/activeX9.xml"/><Relationship Id="rId10" Type="http://schemas.openxmlformats.org/officeDocument/2006/relationships/image" Target="../media/image11.emf"/><Relationship Id="rId4" Type="http://schemas.openxmlformats.org/officeDocument/2006/relationships/vmlDrawing" Target="../drawings/vmlDrawing3.vml"/><Relationship Id="rId9" Type="http://schemas.openxmlformats.org/officeDocument/2006/relationships/control" Target="../activeX/activeX11.xml"/></Relationships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image" Target="../media/image14.emf"/><Relationship Id="rId3" Type="http://schemas.openxmlformats.org/officeDocument/2006/relationships/drawing" Target="../drawings/drawing4.xml"/><Relationship Id="rId7" Type="http://schemas.openxmlformats.org/officeDocument/2006/relationships/control" Target="../activeX/activeX14.xml"/><Relationship Id="rId12" Type="http://schemas.openxmlformats.org/officeDocument/2006/relationships/image" Target="../media/image16.emf"/><Relationship Id="rId2" Type="http://schemas.openxmlformats.org/officeDocument/2006/relationships/customProperty" Target="../customProperty9.bin"/><Relationship Id="rId1" Type="http://schemas.openxmlformats.org/officeDocument/2006/relationships/customProperty" Target="../customProperty8.bin"/><Relationship Id="rId6" Type="http://schemas.openxmlformats.org/officeDocument/2006/relationships/image" Target="../media/image13.emf"/><Relationship Id="rId11" Type="http://schemas.openxmlformats.org/officeDocument/2006/relationships/control" Target="../activeX/activeX16.xml"/><Relationship Id="rId5" Type="http://schemas.openxmlformats.org/officeDocument/2006/relationships/control" Target="../activeX/activeX13.xml"/><Relationship Id="rId10" Type="http://schemas.openxmlformats.org/officeDocument/2006/relationships/image" Target="../media/image15.emf"/><Relationship Id="rId4" Type="http://schemas.openxmlformats.org/officeDocument/2006/relationships/vmlDrawing" Target="../drawings/vmlDrawing4.vml"/><Relationship Id="rId9" Type="http://schemas.openxmlformats.org/officeDocument/2006/relationships/control" Target="../activeX/activeX15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DDE960-8C5B-490F-A34F-DDC6B54A6BAA}">
  <sheetPr codeName="Hoja1"/>
  <dimension ref="A1:S252"/>
  <sheetViews>
    <sheetView tabSelected="1" topLeftCell="A7" zoomScale="70" zoomScaleNormal="70" workbookViewId="0">
      <selection activeCell="D19" sqref="D19"/>
    </sheetView>
  </sheetViews>
  <sheetFormatPr baseColWidth="10" defaultRowHeight="13.8" x14ac:dyDescent="0.3"/>
  <cols>
    <col min="1" max="1" width="40" bestFit="1" customWidth="1"/>
    <col min="2" max="2" width="22.6640625" customWidth="1"/>
    <col min="3" max="4" width="27.88671875" customWidth="1"/>
    <col min="5" max="5" width="45.44140625" bestFit="1" customWidth="1"/>
    <col min="6" max="6" width="34.33203125" customWidth="1"/>
    <col min="7" max="7" width="30.6640625" customWidth="1"/>
    <col min="8" max="8" width="12.5546875" bestFit="1" customWidth="1"/>
    <col min="9" max="9" width="10.5546875" bestFit="1" customWidth="1"/>
    <col min="10" max="11" width="12.109375" bestFit="1" customWidth="1"/>
    <col min="12" max="12" width="11.5546875" bestFit="1" customWidth="1"/>
    <col min="13" max="13" width="12.109375" bestFit="1" customWidth="1"/>
    <col min="14" max="14" width="12.5546875" bestFit="1" customWidth="1"/>
    <col min="15" max="16" width="12.109375" bestFit="1" customWidth="1"/>
    <col min="17" max="18" width="12.5546875" bestFit="1" customWidth="1"/>
    <col min="19" max="19" width="12.109375" bestFit="1" customWidth="1"/>
    <col min="20" max="21" width="10" bestFit="1" customWidth="1"/>
    <col min="22" max="22" width="9.6640625" bestFit="1" customWidth="1"/>
    <col min="23" max="23" width="9.44140625" bestFit="1" customWidth="1"/>
    <col min="24" max="25" width="10" bestFit="1" customWidth="1"/>
    <col min="26" max="26" width="9.44140625" bestFit="1" customWidth="1"/>
    <col min="27" max="28" width="10" bestFit="1" customWidth="1"/>
    <col min="29" max="29" width="9.44140625" bestFit="1" customWidth="1"/>
    <col min="30" max="31" width="10" bestFit="1" customWidth="1"/>
    <col min="32" max="32" width="9.44140625" bestFit="1" customWidth="1"/>
    <col min="33" max="34" width="10" bestFit="1" customWidth="1"/>
    <col min="35" max="35" width="9.44140625" bestFit="1" customWidth="1"/>
    <col min="36" max="37" width="10" bestFit="1" customWidth="1"/>
    <col min="38" max="38" width="9.44140625" bestFit="1" customWidth="1"/>
    <col min="39" max="40" width="10" bestFit="1" customWidth="1"/>
    <col min="41" max="41" width="9.44140625" bestFit="1" customWidth="1"/>
    <col min="42" max="43" width="10" bestFit="1" customWidth="1"/>
    <col min="44" max="44" width="10.44140625" bestFit="1" customWidth="1"/>
    <col min="45" max="45" width="11" bestFit="1" customWidth="1"/>
    <col min="46" max="46" width="11.44140625" bestFit="1" customWidth="1"/>
  </cols>
  <sheetData>
    <row r="1" spans="1:19" hidden="1" x14ac:dyDescent="0.3">
      <c r="A1" t="str" cm="1">
        <f t="array" ref="A1">_xll.EPMDimensionOverrideRange("000","CECO",CECOS!$B$2:$B$128)</f>
        <v>Expansión de CECO sobrescrita</v>
      </c>
    </row>
    <row r="2" spans="1:19" hidden="1" x14ac:dyDescent="0.3">
      <c r="A2" t="str">
        <f xml:space="preserve"> _xll.EPMOlapMemberO("[CEBE].[PARENTH1].[JE-]","","Gr Antofagasta Miner","","000")</f>
        <v>Gr Antofagasta Miner</v>
      </c>
    </row>
    <row r="3" spans="1:19" hidden="1" x14ac:dyDescent="0.3"/>
    <row r="4" spans="1:19" hidden="1" x14ac:dyDescent="0.3">
      <c r="A4" t="str">
        <f xml:space="preserve"> _xll.EPMOlapMemberO("[ENTITY].[PARENTH1].[1001]","","1001 - Minera Los Pelambres","","000")</f>
        <v>1001 - Minera Los Pelambres</v>
      </c>
    </row>
    <row r="5" spans="1:19" hidden="1" x14ac:dyDescent="0.3"/>
    <row r="6" spans="1:19" hidden="1" x14ac:dyDescent="0.3"/>
    <row r="7" spans="1:19" x14ac:dyDescent="0.3">
      <c r="G7" t="s">
        <v>712</v>
      </c>
      <c r="H7" t="str">
        <f xml:space="preserve"> _xll.EPMOlapMemberO("[TIME].[PARENTH1].[2022.TOTAL]","","2022.TOTAL","","000")</f>
        <v>2022.TOTAL</v>
      </c>
      <c r="K7" t="str">
        <f xml:space="preserve"> _xll.EPMOlapMemberO("[TIME].[PARENTH1].[2023.TOTAL]","","2023.TOTAL","","000")</f>
        <v>2023.TOTAL</v>
      </c>
      <c r="N7" t="str">
        <f xml:space="preserve"> _xll.EPMOlapMemberO("[TIME].[PARENTH1].[2024.TOTAL]","","2024.TOTAL","","000")</f>
        <v>2024.TOTAL</v>
      </c>
      <c r="Q7" t="str">
        <f xml:space="preserve"> _xll.EPMOlapMemberO("[TIME].[PARENTH1].[2025.TOTAL]","","2025.TOTAL","","000")</f>
        <v>2025.TOTAL</v>
      </c>
    </row>
    <row r="8" spans="1:19" s="23" customFormat="1" x14ac:dyDescent="0.3">
      <c r="B8" s="23" t="s">
        <v>780</v>
      </c>
      <c r="C8" s="23" t="s">
        <v>132</v>
      </c>
      <c r="D8" s="23" t="s">
        <v>781</v>
      </c>
      <c r="E8" s="23" t="s">
        <v>779</v>
      </c>
      <c r="F8" s="23" t="s">
        <v>139</v>
      </c>
      <c r="G8" s="23" t="s">
        <v>713</v>
      </c>
      <c r="H8" s="23" t="str">
        <f xml:space="preserve"> _xll.EPMOlapMemberO("[CATEGORY].[].[REAL]","","Real - Real","","000")</f>
        <v>Real - Real</v>
      </c>
      <c r="I8" s="23" t="str">
        <f xml:space="preserve"> _xll.EPMOlapMemberO("[CATEGORY].[].[PLAN]","","Plan - Plan","","000")</f>
        <v>Plan - Plan</v>
      </c>
      <c r="J8" s="23" t="str">
        <f xml:space="preserve"> _xll.FPMXLClient.TechnicalCategory.EPMLocalMember("Var","001","000")</f>
        <v>Var</v>
      </c>
      <c r="K8" s="23" t="str">
        <f xml:space="preserve"> _xll.EPMOlapMemberO("[CATEGORY].[].[REAL]","","Real - Real","","000")</f>
        <v>Real - Real</v>
      </c>
      <c r="L8" s="23" t="str">
        <f xml:space="preserve"> _xll.EPMOlapMemberO("[CATEGORY].[].[PLAN]","","Plan - Plan","","000")</f>
        <v>Plan - Plan</v>
      </c>
      <c r="M8" s="23" t="str">
        <f xml:space="preserve"> _xll.FPMXLClient.TechnicalCategory.EPMLocalMember("Var","001","000")</f>
        <v>Var</v>
      </c>
      <c r="N8" s="23" t="str">
        <f xml:space="preserve"> _xll.EPMOlapMemberO("[CATEGORY].[].[REAL]","","Real - Real","","000")</f>
        <v>Real - Real</v>
      </c>
      <c r="O8" s="23" t="str">
        <f xml:space="preserve"> _xll.EPMOlapMemberO("[CATEGORY].[].[PLAN]","","Plan - Plan","","000")</f>
        <v>Plan - Plan</v>
      </c>
      <c r="P8" s="23" t="str">
        <f xml:space="preserve"> _xll.FPMXLClient.TechnicalCategory.EPMLocalMember("Var","001","000")</f>
        <v>Var</v>
      </c>
      <c r="Q8" s="23" t="str">
        <f xml:space="preserve"> _xll.EPMOlapMemberO("[CATEGORY].[].[REAL]","","Real - Real","","000")</f>
        <v>Real - Real</v>
      </c>
      <c r="R8" s="23" t="str">
        <f xml:space="preserve"> _xll.EPMOlapMemberO("[CATEGORY].[].[PLAN]","","Plan - Plan","","000")</f>
        <v>Plan - Plan</v>
      </c>
      <c r="S8" s="23" t="str">
        <f xml:space="preserve"> _xll.FPMXLClient.TechnicalCategory.EPMLocalMember("Var","001","000")</f>
        <v>Var</v>
      </c>
    </row>
    <row r="9" spans="1:19" x14ac:dyDescent="0.3">
      <c r="A9" s="2" t="str">
        <f xml:space="preserve"> _xll.EPMOlapMemberO("[CECO].[PARENTH3].[AMSA1001AD4507]","","AMSA1001AD4507 - Comunidades RCA","","000")</f>
        <v>AMSA1001AD4507 - Comunidades RCA</v>
      </c>
      <c r="B9" s="2" t="str">
        <f>IFERROR(SUBSTITUTE(TRIM(LEFT(A9,FIND("-",A9)-1)),"AMSA",""),"")</f>
        <v>1001AD4507</v>
      </c>
      <c r="C9" s="2" t="str">
        <f>IFERROR(_xlfn.XLOOKUP(B9,'CECOS Corporativos'!$D:$D,'CECOS Corporativos'!$E:$E,""),"")</f>
        <v>Asuntos Públicos</v>
      </c>
      <c r="D9" s="2" t="str">
        <f>IFERROR(_xlfn.XLOOKUP(B9,'CECOS Corporativos'!$D:$D,'CECOS Corporativos'!$J:$J,""),"")</f>
        <v>VP Asuntos Corporativos</v>
      </c>
      <c r="E9" s="2" t="s">
        <v>755</v>
      </c>
      <c r="F9" s="2" t="str">
        <f>IFERROR(TRIM(LEFT(G9,FIND("-",G9)-1)),"")</f>
        <v>N100100551</v>
      </c>
      <c r="G9" s="1" t="s">
        <v>714</v>
      </c>
      <c r="J9">
        <f>I9-H9</f>
        <v>0</v>
      </c>
      <c r="M9">
        <f>L9-K9</f>
        <v>0</v>
      </c>
      <c r="P9">
        <f>O9-N9</f>
        <v>0</v>
      </c>
      <c r="Q9">
        <v>0</v>
      </c>
      <c r="S9">
        <f>R9-Q9</f>
        <v>0</v>
      </c>
    </row>
    <row r="10" spans="1:19" x14ac:dyDescent="0.3">
      <c r="A10" s="2" t="str">
        <f xml:space="preserve"> _xll.EPMOlapMemberO("[CECO].[PARENTH3].[AMSA1001AD4507]","","AMSA1001AD4507 - Comunidades RCA","","000")</f>
        <v>AMSA1001AD4507 - Comunidades RCA</v>
      </c>
      <c r="B10" s="2" t="str">
        <f t="shared" ref="B10:B73" si="0">IFERROR(SUBSTITUTE(TRIM(LEFT(A10,FIND("-",A10)-1)),"AMSA",""),"")</f>
        <v>1001AD4507</v>
      </c>
      <c r="C10" s="2" t="str">
        <f>IFERROR(_xlfn.XLOOKUP(B10,'CECOS Corporativos'!$D:$D,'CECOS Corporativos'!$E:$E,""),"")</f>
        <v>Asuntos Públicos</v>
      </c>
      <c r="D10" s="2" t="str">
        <f>IFERROR(_xlfn.XLOOKUP(B10,'CECOS Corporativos'!$D:$D,'CECOS Corporativos'!$J:$J,""),"")</f>
        <v>VP Asuntos Corporativos</v>
      </c>
      <c r="E10" s="2" t="s">
        <v>756</v>
      </c>
      <c r="F10" s="2" t="str">
        <f t="shared" ref="F10:F73" si="1">IFERROR(TRIM(LEFT(G10,FIND("-",G10)-1)),"")</f>
        <v>N100100551</v>
      </c>
      <c r="G10" s="1" t="s">
        <v>714</v>
      </c>
      <c r="H10">
        <v>-40845.339999999997</v>
      </c>
      <c r="J10">
        <f t="shared" ref="J10:J73" si="2">I10-H10</f>
        <v>40845.339999999997</v>
      </c>
      <c r="M10">
        <f t="shared" ref="M10:M73" si="3">L10-K10</f>
        <v>0</v>
      </c>
      <c r="P10">
        <f t="shared" ref="P10:P73" si="4">O10-N10</f>
        <v>0</v>
      </c>
      <c r="S10">
        <f t="shared" ref="S10:S73" si="5">R10-Q10</f>
        <v>0</v>
      </c>
    </row>
    <row r="11" spans="1:19" x14ac:dyDescent="0.3">
      <c r="A11" s="2" t="str">
        <f xml:space="preserve"> _xll.EPMOlapMemberO("[CECO].[PARENTH3].[AMSA1001AD4514]","","AMSA1001AD4514 - Acuerdo Caimanes","","000")</f>
        <v>AMSA1001AD4514 - Acuerdo Caimanes</v>
      </c>
      <c r="B11" s="2" t="str">
        <f t="shared" si="0"/>
        <v>1001AD4514</v>
      </c>
      <c r="C11" s="2" t="str">
        <f>IFERROR(_xlfn.XLOOKUP(B11,'CECOS Corporativos'!$D:$D,'CECOS Corporativos'!$E:$E,""),"")</f>
        <v>Asuntos Públicos</v>
      </c>
      <c r="D11" s="2" t="str">
        <f>IFERROR(_xlfn.XLOOKUP(B11,'CECOS Corporativos'!$D:$D,'CECOS Corporativos'!$J:$J,""),"")</f>
        <v>VP Asuntos Corporativos</v>
      </c>
      <c r="E11" s="2" t="s">
        <v>757</v>
      </c>
      <c r="F11" s="2" t="str">
        <f t="shared" si="1"/>
        <v>N100100551</v>
      </c>
      <c r="G11" s="1" t="s">
        <v>714</v>
      </c>
      <c r="J11">
        <f t="shared" si="2"/>
        <v>0</v>
      </c>
      <c r="M11">
        <f t="shared" si="3"/>
        <v>0</v>
      </c>
      <c r="N11">
        <v>12409.04</v>
      </c>
      <c r="P11">
        <f t="shared" si="4"/>
        <v>-12409.04</v>
      </c>
      <c r="S11">
        <f t="shared" si="5"/>
        <v>0</v>
      </c>
    </row>
    <row r="12" spans="1:19" x14ac:dyDescent="0.3">
      <c r="A12" s="2" t="str">
        <f xml:space="preserve"> _xll.EPMOlapMemberO("[CECO].[PARENTH3].[AMSA1001AD4514]","","AMSA1001AD4514 - Acuerdo Caimanes","","000")</f>
        <v>AMSA1001AD4514 - Acuerdo Caimanes</v>
      </c>
      <c r="B12" s="2" t="str">
        <f t="shared" si="0"/>
        <v>1001AD4514</v>
      </c>
      <c r="C12" s="2" t="str">
        <f>IFERROR(_xlfn.XLOOKUP(B12,'CECOS Corporativos'!$D:$D,'CECOS Corporativos'!$E:$E,""),"")</f>
        <v>Asuntos Públicos</v>
      </c>
      <c r="D12" s="2" t="str">
        <f>IFERROR(_xlfn.XLOOKUP(B12,'CECOS Corporativos'!$D:$D,'CECOS Corporativos'!$J:$J,""),"")</f>
        <v>VP Asuntos Corporativos</v>
      </c>
      <c r="E12" s="2" t="s">
        <v>758</v>
      </c>
      <c r="F12" s="2" t="str">
        <f t="shared" si="1"/>
        <v>N100100551</v>
      </c>
      <c r="G12" s="1" t="s">
        <v>714</v>
      </c>
      <c r="H12">
        <v>17201.810000000001</v>
      </c>
      <c r="J12">
        <f t="shared" si="2"/>
        <v>-17201.810000000001</v>
      </c>
      <c r="K12">
        <v>4445.57</v>
      </c>
      <c r="M12">
        <f t="shared" si="3"/>
        <v>-4445.57</v>
      </c>
      <c r="N12">
        <v>-13.38</v>
      </c>
      <c r="O12">
        <v>108247</v>
      </c>
      <c r="P12">
        <f t="shared" si="4"/>
        <v>108260.38</v>
      </c>
      <c r="Q12">
        <v>0</v>
      </c>
      <c r="R12">
        <v>140064.47</v>
      </c>
      <c r="S12">
        <f t="shared" si="5"/>
        <v>140064.47</v>
      </c>
    </row>
    <row r="13" spans="1:19" x14ac:dyDescent="0.3">
      <c r="A13" s="2" t="str">
        <f xml:space="preserve"> _xll.EPMOlapMemberO("[CECO].[PARENTH3].[AMSA1001AD4514]","","AMSA1001AD4514 - Acuerdo Caimanes","","000")</f>
        <v>AMSA1001AD4514 - Acuerdo Caimanes</v>
      </c>
      <c r="B13" s="2" t="str">
        <f t="shared" si="0"/>
        <v>1001AD4514</v>
      </c>
      <c r="C13" s="2" t="str">
        <f>IFERROR(_xlfn.XLOOKUP(B13,'CECOS Corporativos'!$D:$D,'CECOS Corporativos'!$E:$E,""),"")</f>
        <v>Asuntos Públicos</v>
      </c>
      <c r="D13" s="2" t="str">
        <f>IFERROR(_xlfn.XLOOKUP(B13,'CECOS Corporativos'!$D:$D,'CECOS Corporativos'!$J:$J,""),"")</f>
        <v>VP Asuntos Corporativos</v>
      </c>
      <c r="E13" s="2" t="s">
        <v>759</v>
      </c>
      <c r="F13" s="2" t="str">
        <f t="shared" si="1"/>
        <v>N100100551</v>
      </c>
      <c r="G13" s="1" t="s">
        <v>714</v>
      </c>
      <c r="H13">
        <v>0</v>
      </c>
      <c r="J13">
        <f t="shared" si="2"/>
        <v>0</v>
      </c>
      <c r="M13">
        <f t="shared" si="3"/>
        <v>0</v>
      </c>
      <c r="P13">
        <f t="shared" si="4"/>
        <v>0</v>
      </c>
      <c r="S13">
        <f t="shared" si="5"/>
        <v>0</v>
      </c>
    </row>
    <row r="14" spans="1:19" x14ac:dyDescent="0.3">
      <c r="A14" s="2" t="str">
        <f xml:space="preserve"> _xll.EPMOlapMemberO("[CECO].[PARENTH3].[AMSA1001AD4514]","","AMSA1001AD4514 - Acuerdo Caimanes","","000")</f>
        <v>AMSA1001AD4514 - Acuerdo Caimanes</v>
      </c>
      <c r="B14" s="2" t="str">
        <f t="shared" si="0"/>
        <v>1001AD4514</v>
      </c>
      <c r="C14" s="2" t="str">
        <f>IFERROR(_xlfn.XLOOKUP(B14,'CECOS Corporativos'!$D:$D,'CECOS Corporativos'!$E:$E,""),"")</f>
        <v>Asuntos Públicos</v>
      </c>
      <c r="D14" s="2" t="str">
        <f>IFERROR(_xlfn.XLOOKUP(B14,'CECOS Corporativos'!$D:$D,'CECOS Corporativos'!$J:$J,""),"")</f>
        <v>VP Asuntos Corporativos</v>
      </c>
      <c r="E14" s="2" t="s">
        <v>760</v>
      </c>
      <c r="F14" s="2" t="str">
        <f t="shared" si="1"/>
        <v>N100100551</v>
      </c>
      <c r="G14" s="1" t="s">
        <v>714</v>
      </c>
      <c r="H14">
        <v>11424.43</v>
      </c>
      <c r="J14">
        <f t="shared" si="2"/>
        <v>-11424.43</v>
      </c>
      <c r="M14">
        <f t="shared" si="3"/>
        <v>0</v>
      </c>
      <c r="P14">
        <f t="shared" si="4"/>
        <v>0</v>
      </c>
      <c r="S14">
        <f t="shared" si="5"/>
        <v>0</v>
      </c>
    </row>
    <row r="15" spans="1:19" x14ac:dyDescent="0.3">
      <c r="A15" s="2" t="str">
        <f xml:space="preserve"> _xll.EPMOlapMemberO("[CECO].[PARENTH3].[AMSA1001AD4514]","","AMSA1001AD4514 - Acuerdo Caimanes","","000")</f>
        <v>AMSA1001AD4514 - Acuerdo Caimanes</v>
      </c>
      <c r="B15" s="2" t="str">
        <f t="shared" si="0"/>
        <v>1001AD4514</v>
      </c>
      <c r="C15" s="2" t="str">
        <f>IFERROR(_xlfn.XLOOKUP(B15,'CECOS Corporativos'!$D:$D,'CECOS Corporativos'!$E:$E,""),"")</f>
        <v>Asuntos Públicos</v>
      </c>
      <c r="D15" s="2" t="str">
        <f>IFERROR(_xlfn.XLOOKUP(B15,'CECOS Corporativos'!$D:$D,'CECOS Corporativos'!$J:$J,""),"")</f>
        <v>VP Asuntos Corporativos</v>
      </c>
      <c r="E15" s="2" t="s">
        <v>761</v>
      </c>
      <c r="F15" s="2" t="str">
        <f t="shared" si="1"/>
        <v>N100100551</v>
      </c>
      <c r="G15" s="1" t="s">
        <v>714</v>
      </c>
      <c r="I15">
        <v>7706</v>
      </c>
      <c r="J15">
        <f t="shared" si="2"/>
        <v>7706</v>
      </c>
      <c r="L15">
        <v>1141</v>
      </c>
      <c r="M15">
        <f t="shared" si="3"/>
        <v>1141</v>
      </c>
      <c r="P15">
        <f t="shared" si="4"/>
        <v>0</v>
      </c>
      <c r="S15">
        <f t="shared" si="5"/>
        <v>0</v>
      </c>
    </row>
    <row r="16" spans="1:19" x14ac:dyDescent="0.3">
      <c r="A16" s="2" t="str">
        <f xml:space="preserve"> _xll.EPMOlapMemberO("[CECO].[PARENTH3].[AMSA1001AD4514]","","AMSA1001AD4514 - Acuerdo Caimanes","","000")</f>
        <v>AMSA1001AD4514 - Acuerdo Caimanes</v>
      </c>
      <c r="B16" s="2" t="str">
        <f t="shared" si="0"/>
        <v>1001AD4514</v>
      </c>
      <c r="C16" s="2" t="str">
        <f>IFERROR(_xlfn.XLOOKUP(B16,'CECOS Corporativos'!$D:$D,'CECOS Corporativos'!$E:$E,""),"")</f>
        <v>Asuntos Públicos</v>
      </c>
      <c r="D16" s="2" t="str">
        <f>IFERROR(_xlfn.XLOOKUP(B16,'CECOS Corporativos'!$D:$D,'CECOS Corporativos'!$J:$J,""),"")</f>
        <v>VP Asuntos Corporativos</v>
      </c>
      <c r="E16" s="2" t="s">
        <v>756</v>
      </c>
      <c r="F16" s="2" t="str">
        <f t="shared" si="1"/>
        <v>N100100551</v>
      </c>
      <c r="G16" s="1" t="s">
        <v>714</v>
      </c>
      <c r="H16">
        <v>8303.01</v>
      </c>
      <c r="J16">
        <f t="shared" si="2"/>
        <v>-8303.01</v>
      </c>
      <c r="K16">
        <v>135549.49</v>
      </c>
      <c r="M16">
        <f t="shared" si="3"/>
        <v>-135549.49</v>
      </c>
      <c r="N16">
        <v>95867.08</v>
      </c>
      <c r="P16">
        <f t="shared" si="4"/>
        <v>-95867.08</v>
      </c>
      <c r="Q16">
        <v>133068.93</v>
      </c>
      <c r="S16">
        <f t="shared" si="5"/>
        <v>-133068.93</v>
      </c>
    </row>
    <row r="17" spans="1:19" x14ac:dyDescent="0.3">
      <c r="A17" s="2" t="str">
        <f xml:space="preserve"> _xll.EPMOlapMemberO("[CECO].[PARENTH3].[AMSA1001AD4521]","","AMSA1001AD4521 - Comunic Externa RCA","","000")</f>
        <v>AMSA1001AD4521 - Comunic Externa RCA</v>
      </c>
      <c r="B17" s="2" t="str">
        <f t="shared" si="0"/>
        <v>1001AD4521</v>
      </c>
      <c r="C17" s="2" t="str">
        <f>IFERROR(_xlfn.XLOOKUP(B17,'CECOS Corporativos'!$D:$D,'CECOS Corporativos'!$E:$E,""),"")</f>
        <v>Comunicaciones</v>
      </c>
      <c r="D17" s="2" t="str">
        <f>IFERROR(_xlfn.XLOOKUP(B17,'CECOS Corporativos'!$D:$D,'CECOS Corporativos'!$J:$J,""),"")</f>
        <v>VP Asuntos Corporativos</v>
      </c>
      <c r="E17" s="2" t="s">
        <v>758</v>
      </c>
      <c r="F17" s="2" t="str">
        <f t="shared" si="1"/>
        <v>N100100551</v>
      </c>
      <c r="G17" s="1" t="s">
        <v>714</v>
      </c>
      <c r="H17">
        <v>1582.48</v>
      </c>
      <c r="I17">
        <v>768786</v>
      </c>
      <c r="J17">
        <f t="shared" si="2"/>
        <v>767203.52</v>
      </c>
      <c r="L17">
        <v>540202</v>
      </c>
      <c r="M17">
        <f t="shared" si="3"/>
        <v>540202</v>
      </c>
      <c r="O17">
        <v>605859</v>
      </c>
      <c r="P17">
        <f t="shared" si="4"/>
        <v>605859</v>
      </c>
      <c r="R17">
        <v>769603.31</v>
      </c>
      <c r="S17">
        <f t="shared" si="5"/>
        <v>769603.31</v>
      </c>
    </row>
    <row r="18" spans="1:19" x14ac:dyDescent="0.3">
      <c r="A18" s="2" t="str">
        <f xml:space="preserve"> _xll.EPMOlapMemberO("[CECO].[PARENTH3].[AMSA1001AD4521]","","AMSA1001AD4521 - Comunic Externa RCA","","000")</f>
        <v>AMSA1001AD4521 - Comunic Externa RCA</v>
      </c>
      <c r="B18" s="2" t="str">
        <f t="shared" si="0"/>
        <v>1001AD4521</v>
      </c>
      <c r="C18" s="2" t="str">
        <f>IFERROR(_xlfn.XLOOKUP(B18,'CECOS Corporativos'!$D:$D,'CECOS Corporativos'!$E:$E,""),"")</f>
        <v>Comunicaciones</v>
      </c>
      <c r="D18" s="2" t="str">
        <f>IFERROR(_xlfn.XLOOKUP(B18,'CECOS Corporativos'!$D:$D,'CECOS Corporativos'!$J:$J,""),"")</f>
        <v>VP Asuntos Corporativos</v>
      </c>
      <c r="E18" s="2" t="s">
        <v>756</v>
      </c>
      <c r="F18" s="2" t="str">
        <f t="shared" si="1"/>
        <v>N100100551</v>
      </c>
      <c r="G18" s="1" t="s">
        <v>714</v>
      </c>
      <c r="H18">
        <v>729013.91</v>
      </c>
      <c r="J18">
        <f t="shared" si="2"/>
        <v>-729013.91</v>
      </c>
      <c r="K18">
        <v>636123.14</v>
      </c>
      <c r="M18">
        <f t="shared" si="3"/>
        <v>-636123.14</v>
      </c>
      <c r="N18">
        <v>518147.73</v>
      </c>
      <c r="P18">
        <f t="shared" si="4"/>
        <v>-518147.73</v>
      </c>
      <c r="Q18">
        <v>653262.76</v>
      </c>
      <c r="S18">
        <f t="shared" si="5"/>
        <v>-653262.76</v>
      </c>
    </row>
    <row r="19" spans="1:19" x14ac:dyDescent="0.3">
      <c r="A19" s="2" t="str">
        <f xml:space="preserve"> _xll.EPMOlapMemberO("[CECO].[PARENTH3].[AMSA1001AD4500]","","AMSA1001AD4500 - Comun.Mitig. y Comp.","","000")</f>
        <v>AMSA1001AD4500 - Comun.Mitig. y Comp.</v>
      </c>
      <c r="B19" s="2" t="str">
        <f t="shared" si="0"/>
        <v>1001AD4500</v>
      </c>
      <c r="C19" s="2" t="str">
        <f>IFERROR(_xlfn.XLOOKUP(B19,'CECOS Corporativos'!$D:$D,'CECOS Corporativos'!$E:$E,""),"")</f>
        <v>Asuntos Públicos</v>
      </c>
      <c r="D19" s="2" t="str">
        <f>IFERROR(_xlfn.XLOOKUP(B19,'CECOS Corporativos'!$D:$D,'CECOS Corporativos'!$J:$J,""),"")</f>
        <v>VP Asuntos Corporativos</v>
      </c>
      <c r="E19" s="2" t="s">
        <v>757</v>
      </c>
      <c r="F19" s="2" t="str">
        <f t="shared" si="1"/>
        <v>N100100552</v>
      </c>
      <c r="G19" s="1" t="s">
        <v>715</v>
      </c>
      <c r="H19">
        <v>0</v>
      </c>
      <c r="J19">
        <f t="shared" si="2"/>
        <v>0</v>
      </c>
      <c r="K19">
        <v>3391.41</v>
      </c>
      <c r="M19">
        <f t="shared" si="3"/>
        <v>-3391.41</v>
      </c>
      <c r="N19">
        <v>46722.03</v>
      </c>
      <c r="P19">
        <f t="shared" si="4"/>
        <v>-46722.03</v>
      </c>
      <c r="Q19">
        <v>28623.16</v>
      </c>
      <c r="S19">
        <f t="shared" si="5"/>
        <v>-28623.16</v>
      </c>
    </row>
    <row r="20" spans="1:19" x14ac:dyDescent="0.3">
      <c r="A20" s="2" t="str">
        <f xml:space="preserve"> _xll.EPMOlapMemberO("[CECO].[PARENTH3].[AMSA1001AD4500]","","AMSA1001AD4500 - Comun.Mitig. y Comp.","","000")</f>
        <v>AMSA1001AD4500 - Comun.Mitig. y Comp.</v>
      </c>
      <c r="B20" s="2" t="str">
        <f t="shared" si="0"/>
        <v>1001AD4500</v>
      </c>
      <c r="C20" s="2" t="str">
        <f>IFERROR(_xlfn.XLOOKUP(B20,'CECOS Corporativos'!$D:$D,'CECOS Corporativos'!$E:$E,""),"")</f>
        <v>Asuntos Públicos</v>
      </c>
      <c r="D20" s="2" t="str">
        <f>IFERROR(_xlfn.XLOOKUP(B20,'CECOS Corporativos'!$D:$D,'CECOS Corporativos'!$J:$J,""),"")</f>
        <v>VP Asuntos Corporativos</v>
      </c>
      <c r="E20" s="2" t="s">
        <v>762</v>
      </c>
      <c r="F20" s="2" t="str">
        <f t="shared" si="1"/>
        <v>N100100552</v>
      </c>
      <c r="G20" s="1" t="s">
        <v>715</v>
      </c>
      <c r="H20">
        <v>0</v>
      </c>
      <c r="J20">
        <f t="shared" si="2"/>
        <v>0</v>
      </c>
      <c r="M20">
        <f t="shared" si="3"/>
        <v>0</v>
      </c>
      <c r="P20">
        <f t="shared" si="4"/>
        <v>0</v>
      </c>
      <c r="S20">
        <f t="shared" si="5"/>
        <v>0</v>
      </c>
    </row>
    <row r="21" spans="1:19" x14ac:dyDescent="0.3">
      <c r="A21" s="2" t="str">
        <f xml:space="preserve"> _xll.EPMOlapMemberO("[CECO].[PARENTH3].[AMSA1001AD4500]","","AMSA1001AD4500 - Comun.Mitig. y Comp.","","000")</f>
        <v>AMSA1001AD4500 - Comun.Mitig. y Comp.</v>
      </c>
      <c r="B21" s="2" t="str">
        <f t="shared" si="0"/>
        <v>1001AD4500</v>
      </c>
      <c r="C21" s="2" t="str">
        <f>IFERROR(_xlfn.XLOOKUP(B21,'CECOS Corporativos'!$D:$D,'CECOS Corporativos'!$E:$E,""),"")</f>
        <v>Asuntos Públicos</v>
      </c>
      <c r="D21" s="2" t="str">
        <f>IFERROR(_xlfn.XLOOKUP(B21,'CECOS Corporativos'!$D:$D,'CECOS Corporativos'!$J:$J,""),"")</f>
        <v>VP Asuntos Corporativos</v>
      </c>
      <c r="E21" s="2" t="s">
        <v>758</v>
      </c>
      <c r="F21" s="2" t="str">
        <f t="shared" si="1"/>
        <v>N100100552</v>
      </c>
      <c r="G21" s="1" t="s">
        <v>715</v>
      </c>
      <c r="H21">
        <v>676240.12</v>
      </c>
      <c r="J21">
        <f t="shared" si="2"/>
        <v>-676240.12</v>
      </c>
      <c r="K21">
        <v>350817.41</v>
      </c>
      <c r="M21">
        <f t="shared" si="3"/>
        <v>-350817.41</v>
      </c>
      <c r="N21">
        <v>113225.05</v>
      </c>
      <c r="P21">
        <f t="shared" si="4"/>
        <v>-113225.05</v>
      </c>
      <c r="Q21">
        <v>30566.79</v>
      </c>
      <c r="S21">
        <f t="shared" si="5"/>
        <v>-30566.79</v>
      </c>
    </row>
    <row r="22" spans="1:19" x14ac:dyDescent="0.3">
      <c r="A22" s="2" t="str">
        <f xml:space="preserve"> _xll.EPMOlapMemberO("[CECO].[PARENTH3].[AMSA1001AD4500]","","AMSA1001AD4500 - Comun.Mitig. y Comp.","","000")</f>
        <v>AMSA1001AD4500 - Comun.Mitig. y Comp.</v>
      </c>
      <c r="B22" s="2" t="str">
        <f t="shared" si="0"/>
        <v>1001AD4500</v>
      </c>
      <c r="C22" s="2" t="str">
        <f>IFERROR(_xlfn.XLOOKUP(B22,'CECOS Corporativos'!$D:$D,'CECOS Corporativos'!$E:$E,""),"")</f>
        <v>Asuntos Públicos</v>
      </c>
      <c r="D22" s="2" t="str">
        <f>IFERROR(_xlfn.XLOOKUP(B22,'CECOS Corporativos'!$D:$D,'CECOS Corporativos'!$J:$J,""),"")</f>
        <v>VP Asuntos Corporativos</v>
      </c>
      <c r="E22" s="2" t="s">
        <v>763</v>
      </c>
      <c r="F22" s="2" t="str">
        <f t="shared" si="1"/>
        <v>N100100552</v>
      </c>
      <c r="G22" s="1" t="s">
        <v>715</v>
      </c>
      <c r="H22">
        <v>1829.96</v>
      </c>
      <c r="I22">
        <v>1740</v>
      </c>
      <c r="J22">
        <f t="shared" si="2"/>
        <v>-89.960000000000036</v>
      </c>
      <c r="K22">
        <v>1625.45</v>
      </c>
      <c r="L22">
        <v>1996</v>
      </c>
      <c r="M22">
        <f t="shared" si="3"/>
        <v>370.54999999999995</v>
      </c>
      <c r="N22">
        <v>1896.59</v>
      </c>
      <c r="O22">
        <v>1956</v>
      </c>
      <c r="P22">
        <f t="shared" si="4"/>
        <v>59.410000000000082</v>
      </c>
      <c r="Q22">
        <v>2321.69</v>
      </c>
      <c r="R22">
        <v>2112</v>
      </c>
      <c r="S22">
        <f t="shared" si="5"/>
        <v>-209.69000000000005</v>
      </c>
    </row>
    <row r="23" spans="1:19" x14ac:dyDescent="0.3">
      <c r="A23" s="2" t="str">
        <f xml:space="preserve"> _xll.EPMOlapMemberO("[CECO].[PARENTH3].[AMSA1001AD4500]","","AMSA1001AD4500 - Comun.Mitig. y Comp.","","000")</f>
        <v>AMSA1001AD4500 - Comun.Mitig. y Comp.</v>
      </c>
      <c r="B23" s="2" t="str">
        <f t="shared" si="0"/>
        <v>1001AD4500</v>
      </c>
      <c r="C23" s="2" t="str">
        <f>IFERROR(_xlfn.XLOOKUP(B23,'CECOS Corporativos'!$D:$D,'CECOS Corporativos'!$E:$E,""),"")</f>
        <v>Asuntos Públicos</v>
      </c>
      <c r="D23" s="2" t="str">
        <f>IFERROR(_xlfn.XLOOKUP(B23,'CECOS Corporativos'!$D:$D,'CECOS Corporativos'!$J:$J,""),"")</f>
        <v>VP Asuntos Corporativos</v>
      </c>
      <c r="E23" s="2" t="s">
        <v>759</v>
      </c>
      <c r="F23" s="2" t="str">
        <f t="shared" si="1"/>
        <v>N100100552</v>
      </c>
      <c r="G23" s="1" t="s">
        <v>715</v>
      </c>
      <c r="J23">
        <f t="shared" si="2"/>
        <v>0</v>
      </c>
      <c r="M23">
        <f t="shared" si="3"/>
        <v>0</v>
      </c>
      <c r="N23">
        <v>0</v>
      </c>
      <c r="P23">
        <f t="shared" si="4"/>
        <v>0</v>
      </c>
      <c r="S23">
        <f t="shared" si="5"/>
        <v>0</v>
      </c>
    </row>
    <row r="24" spans="1:19" x14ac:dyDescent="0.3">
      <c r="A24" s="2" t="str">
        <f xml:space="preserve"> _xll.EPMOlapMemberO("[CECO].[PARENTH3].[AMSA1001AD4500]","","AMSA1001AD4500 - Comun.Mitig. y Comp.","","000")</f>
        <v>AMSA1001AD4500 - Comun.Mitig. y Comp.</v>
      </c>
      <c r="B24" s="2" t="str">
        <f t="shared" si="0"/>
        <v>1001AD4500</v>
      </c>
      <c r="C24" s="2" t="str">
        <f>IFERROR(_xlfn.XLOOKUP(B24,'CECOS Corporativos'!$D:$D,'CECOS Corporativos'!$E:$E,""),"")</f>
        <v>Asuntos Públicos</v>
      </c>
      <c r="D24" s="2" t="str">
        <f>IFERROR(_xlfn.XLOOKUP(B24,'CECOS Corporativos'!$D:$D,'CECOS Corporativos'!$J:$J,""),"")</f>
        <v>VP Asuntos Corporativos</v>
      </c>
      <c r="E24" s="2" t="s">
        <v>760</v>
      </c>
      <c r="F24" s="2" t="str">
        <f t="shared" si="1"/>
        <v>N100100552</v>
      </c>
      <c r="G24" s="1" t="s">
        <v>715</v>
      </c>
      <c r="I24">
        <v>16767</v>
      </c>
      <c r="J24">
        <f t="shared" si="2"/>
        <v>16767</v>
      </c>
      <c r="M24">
        <f t="shared" si="3"/>
        <v>0</v>
      </c>
      <c r="P24">
        <f t="shared" si="4"/>
        <v>0</v>
      </c>
      <c r="S24">
        <f t="shared" si="5"/>
        <v>0</v>
      </c>
    </row>
    <row r="25" spans="1:19" x14ac:dyDescent="0.3">
      <c r="A25" s="2" t="str">
        <f xml:space="preserve"> _xll.EPMOlapMemberO("[CECO].[PARENTH3].[AMSA1001AD4500]","","AMSA1001AD4500 - Comun.Mitig. y Comp.","","000")</f>
        <v>AMSA1001AD4500 - Comun.Mitig. y Comp.</v>
      </c>
      <c r="B25" s="2" t="str">
        <f t="shared" si="0"/>
        <v>1001AD4500</v>
      </c>
      <c r="C25" s="2" t="str">
        <f>IFERROR(_xlfn.XLOOKUP(B25,'CECOS Corporativos'!$D:$D,'CECOS Corporativos'!$E:$E,""),"")</f>
        <v>Asuntos Públicos</v>
      </c>
      <c r="D25" s="2" t="str">
        <f>IFERROR(_xlfn.XLOOKUP(B25,'CECOS Corporativos'!$D:$D,'CECOS Corporativos'!$J:$J,""),"")</f>
        <v>VP Asuntos Corporativos</v>
      </c>
      <c r="E25" s="2" t="s">
        <v>761</v>
      </c>
      <c r="F25" s="2" t="str">
        <f t="shared" si="1"/>
        <v>N100100552</v>
      </c>
      <c r="G25" s="1" t="s">
        <v>715</v>
      </c>
      <c r="H25">
        <v>-0.01</v>
      </c>
      <c r="J25">
        <f t="shared" si="2"/>
        <v>0.01</v>
      </c>
      <c r="K25">
        <v>0</v>
      </c>
      <c r="M25">
        <f t="shared" si="3"/>
        <v>0</v>
      </c>
      <c r="P25">
        <f t="shared" si="4"/>
        <v>0</v>
      </c>
      <c r="S25">
        <f t="shared" si="5"/>
        <v>0</v>
      </c>
    </row>
    <row r="26" spans="1:19" x14ac:dyDescent="0.3">
      <c r="A26" s="2" t="str">
        <f xml:space="preserve"> _xll.EPMOlapMemberO("[CECO].[PARENTH3].[AMSA1001AD4500]","","AMSA1001AD4500 - Comun.Mitig. y Comp.","","000")</f>
        <v>AMSA1001AD4500 - Comun.Mitig. y Comp.</v>
      </c>
      <c r="B26" s="2" t="str">
        <f t="shared" si="0"/>
        <v>1001AD4500</v>
      </c>
      <c r="C26" s="2" t="str">
        <f>IFERROR(_xlfn.XLOOKUP(B26,'CECOS Corporativos'!$D:$D,'CECOS Corporativos'!$E:$E,""),"")</f>
        <v>Asuntos Públicos</v>
      </c>
      <c r="D26" s="2" t="str">
        <f>IFERROR(_xlfn.XLOOKUP(B26,'CECOS Corporativos'!$D:$D,'CECOS Corporativos'!$J:$J,""),"")</f>
        <v>VP Asuntos Corporativos</v>
      </c>
      <c r="E26" s="2" t="s">
        <v>756</v>
      </c>
      <c r="F26" s="2" t="str">
        <f t="shared" si="1"/>
        <v>N100100552</v>
      </c>
      <c r="G26" s="1" t="s">
        <v>715</v>
      </c>
      <c r="H26">
        <v>327516.76</v>
      </c>
      <c r="J26">
        <f t="shared" si="2"/>
        <v>-327516.76</v>
      </c>
      <c r="K26">
        <v>4550.71</v>
      </c>
      <c r="M26">
        <f t="shared" si="3"/>
        <v>-4550.71</v>
      </c>
      <c r="N26">
        <v>21763.79</v>
      </c>
      <c r="P26">
        <f t="shared" si="4"/>
        <v>-21763.79</v>
      </c>
      <c r="Q26">
        <v>51834.239999999998</v>
      </c>
      <c r="S26">
        <f t="shared" si="5"/>
        <v>-51834.239999999998</v>
      </c>
    </row>
    <row r="27" spans="1:19" x14ac:dyDescent="0.3">
      <c r="A27" s="2" t="str">
        <f xml:space="preserve"> _xll.EPMOlapMemberO("[CECO].[PARENTH3].[AMSA1001AD4533]","","AMSA1001AD4533 - Acuerdo Camisas","","000")</f>
        <v>AMSA1001AD4533 - Acuerdo Camisas</v>
      </c>
      <c r="B27" s="2" t="str">
        <f t="shared" si="0"/>
        <v>1001AD4533</v>
      </c>
      <c r="C27" s="2" t="str">
        <f>IFERROR(_xlfn.XLOOKUP(B27,'CECOS Corporativos'!$D:$D,'CECOS Corporativos'!$E:$E,""),"")</f>
        <v>Asuntos Públicos</v>
      </c>
      <c r="D27" s="2" t="str">
        <f>IFERROR(_xlfn.XLOOKUP(B27,'CECOS Corporativos'!$D:$D,'CECOS Corporativos'!$J:$J,""),"")</f>
        <v>VP Asuntos Corporativos</v>
      </c>
      <c r="E27" s="2" t="s">
        <v>756</v>
      </c>
      <c r="F27" s="2" t="str">
        <f t="shared" si="1"/>
        <v>N100100552</v>
      </c>
      <c r="G27" s="1" t="s">
        <v>715</v>
      </c>
      <c r="J27">
        <f t="shared" si="2"/>
        <v>0</v>
      </c>
      <c r="K27">
        <v>9425.4</v>
      </c>
      <c r="M27">
        <f t="shared" si="3"/>
        <v>-9425.4</v>
      </c>
      <c r="P27">
        <f t="shared" si="4"/>
        <v>0</v>
      </c>
      <c r="S27">
        <f t="shared" si="5"/>
        <v>0</v>
      </c>
    </row>
    <row r="28" spans="1:19" x14ac:dyDescent="0.3">
      <c r="A28" s="2" t="str">
        <f xml:space="preserve"> _xll.EPMOlapMemberO("[CECO].[PARENTH3].[AMSA1001AD4534]","","AMSA1001AD4534 - Acuerdo Llimpo","","000")</f>
        <v>AMSA1001AD4534 - Acuerdo Llimpo</v>
      </c>
      <c r="B28" s="2" t="str">
        <f t="shared" si="0"/>
        <v>1001AD4534</v>
      </c>
      <c r="C28" s="2" t="str">
        <f>IFERROR(_xlfn.XLOOKUP(B28,'CECOS Corporativos'!$D:$D,'CECOS Corporativos'!$E:$E,""),"")</f>
        <v>Asuntos Públicos</v>
      </c>
      <c r="D28" s="2" t="str">
        <f>IFERROR(_xlfn.XLOOKUP(B28,'CECOS Corporativos'!$D:$D,'CECOS Corporativos'!$J:$J,""),"")</f>
        <v>VP Asuntos Corporativos</v>
      </c>
      <c r="E28" s="2" t="s">
        <v>758</v>
      </c>
      <c r="F28" s="2" t="str">
        <f t="shared" si="1"/>
        <v>N100100552</v>
      </c>
      <c r="G28" s="1" t="s">
        <v>715</v>
      </c>
      <c r="J28">
        <f t="shared" si="2"/>
        <v>0</v>
      </c>
      <c r="M28">
        <f t="shared" si="3"/>
        <v>0</v>
      </c>
      <c r="N28">
        <v>189.3</v>
      </c>
      <c r="P28">
        <f t="shared" si="4"/>
        <v>-189.3</v>
      </c>
      <c r="R28">
        <v>321711.11</v>
      </c>
      <c r="S28">
        <f t="shared" si="5"/>
        <v>321711.11</v>
      </c>
    </row>
    <row r="29" spans="1:19" x14ac:dyDescent="0.3">
      <c r="A29" s="2" t="str">
        <f xml:space="preserve"> _xll.EPMOlapMemberO("[CECO].[PARENTH3].[AMSA1001AD4534]","","AMSA1001AD4534 - Acuerdo Llimpo","","000")</f>
        <v>AMSA1001AD4534 - Acuerdo Llimpo</v>
      </c>
      <c r="B29" s="2" t="str">
        <f t="shared" si="0"/>
        <v>1001AD4534</v>
      </c>
      <c r="C29" s="2" t="str">
        <f>IFERROR(_xlfn.XLOOKUP(B29,'CECOS Corporativos'!$D:$D,'CECOS Corporativos'!$E:$E,""),"")</f>
        <v>Asuntos Públicos</v>
      </c>
      <c r="D29" s="2" t="str">
        <f>IFERROR(_xlfn.XLOOKUP(B29,'CECOS Corporativos'!$D:$D,'CECOS Corporativos'!$J:$J,""),"")</f>
        <v>VP Asuntos Corporativos</v>
      </c>
      <c r="E29" s="2" t="s">
        <v>756</v>
      </c>
      <c r="F29" s="2" t="str">
        <f t="shared" si="1"/>
        <v>N100100552</v>
      </c>
      <c r="G29" s="1" t="s">
        <v>715</v>
      </c>
      <c r="J29">
        <f t="shared" si="2"/>
        <v>0</v>
      </c>
      <c r="K29">
        <v>100508.48</v>
      </c>
      <c r="M29">
        <f t="shared" si="3"/>
        <v>-100508.48</v>
      </c>
      <c r="N29">
        <v>21912.53</v>
      </c>
      <c r="P29">
        <f t="shared" si="4"/>
        <v>-21912.53</v>
      </c>
      <c r="Q29">
        <v>2170.64</v>
      </c>
      <c r="S29">
        <f t="shared" si="5"/>
        <v>-2170.64</v>
      </c>
    </row>
    <row r="30" spans="1:19" x14ac:dyDescent="0.3">
      <c r="A30" s="2" t="str">
        <f xml:space="preserve"> _xll.EPMOlapMemberO("[CECO].[PARENTH3].[AMSA1001AD4511]","","AMSA1001AD4511 - Somos Choapa IS","","000")</f>
        <v>AMSA1001AD4511 - Somos Choapa IS</v>
      </c>
      <c r="B30" s="2" t="str">
        <f t="shared" si="0"/>
        <v>1001AD4511</v>
      </c>
      <c r="C30" s="2" t="str">
        <f>IFERROR(_xlfn.XLOOKUP(B30,'CECOS Corporativos'!$D:$D,'CECOS Corporativos'!$E:$E,""),"")</f>
        <v>Asuntos Públicos</v>
      </c>
      <c r="D30" s="2" t="str">
        <f>IFERROR(_xlfn.XLOOKUP(B30,'CECOS Corporativos'!$D:$D,'CECOS Corporativos'!$J:$J,""),"")</f>
        <v>VP Asuntos Corporativos</v>
      </c>
      <c r="E30" s="2" t="s">
        <v>758</v>
      </c>
      <c r="F30" s="2" t="str">
        <f t="shared" si="1"/>
        <v>N100100553</v>
      </c>
      <c r="G30" s="1" t="s">
        <v>716</v>
      </c>
      <c r="H30">
        <v>0</v>
      </c>
      <c r="I30">
        <v>63953</v>
      </c>
      <c r="J30">
        <f t="shared" si="2"/>
        <v>63953</v>
      </c>
      <c r="L30">
        <v>45145</v>
      </c>
      <c r="M30">
        <f t="shared" si="3"/>
        <v>45145</v>
      </c>
      <c r="N30">
        <v>0</v>
      </c>
      <c r="P30">
        <f t="shared" si="4"/>
        <v>0</v>
      </c>
      <c r="S30">
        <f t="shared" si="5"/>
        <v>0</v>
      </c>
    </row>
    <row r="31" spans="1:19" x14ac:dyDescent="0.3">
      <c r="A31" s="2" t="str">
        <f xml:space="preserve"> _xll.EPMOlapMemberO("[CECO].[PARENTH3].[AMSA1001AD4511]","","AMSA1001AD4511 - Somos Choapa IS","","000")</f>
        <v>AMSA1001AD4511 - Somos Choapa IS</v>
      </c>
      <c r="B31" s="2" t="str">
        <f t="shared" si="0"/>
        <v>1001AD4511</v>
      </c>
      <c r="C31" s="2" t="str">
        <f>IFERROR(_xlfn.XLOOKUP(B31,'CECOS Corporativos'!$D:$D,'CECOS Corporativos'!$E:$E,""),"")</f>
        <v>Asuntos Públicos</v>
      </c>
      <c r="D31" s="2" t="str">
        <f>IFERROR(_xlfn.XLOOKUP(B31,'CECOS Corporativos'!$D:$D,'CECOS Corporativos'!$J:$J,""),"")</f>
        <v>VP Asuntos Corporativos</v>
      </c>
      <c r="E31" s="2" t="s">
        <v>756</v>
      </c>
      <c r="F31" s="2" t="str">
        <f t="shared" si="1"/>
        <v>N100100553</v>
      </c>
      <c r="G31" s="1" t="s">
        <v>716</v>
      </c>
      <c r="H31">
        <v>20445.060000000001</v>
      </c>
      <c r="J31">
        <f t="shared" si="2"/>
        <v>-20445.060000000001</v>
      </c>
      <c r="K31">
        <v>-1149.46</v>
      </c>
      <c r="M31">
        <f t="shared" si="3"/>
        <v>1149.46</v>
      </c>
      <c r="N31">
        <v>0</v>
      </c>
      <c r="P31">
        <f t="shared" si="4"/>
        <v>0</v>
      </c>
      <c r="Q31">
        <v>17385.71</v>
      </c>
      <c r="S31">
        <f t="shared" si="5"/>
        <v>-17385.71</v>
      </c>
    </row>
    <row r="32" spans="1:19" x14ac:dyDescent="0.3">
      <c r="A32" s="2" t="str">
        <f xml:space="preserve"> _xll.EPMOlapMemberO("[CECO].[PARENTH3].[AMSA1001AD4518]","","AMSA1001AD4518 - Comunidades IS","","000")</f>
        <v>AMSA1001AD4518 - Comunidades IS</v>
      </c>
      <c r="B32" s="2" t="str">
        <f t="shared" si="0"/>
        <v>1001AD4518</v>
      </c>
      <c r="C32" s="2" t="str">
        <f>IFERROR(_xlfn.XLOOKUP(B32,'CECOS Corporativos'!$D:$D,'CECOS Corporativos'!$E:$E,""),"")</f>
        <v>Asuntos Públicos</v>
      </c>
      <c r="D32" s="2" t="str">
        <f>IFERROR(_xlfn.XLOOKUP(B32,'CECOS Corporativos'!$D:$D,'CECOS Corporativos'!$J:$J,""),"")</f>
        <v>VP Asuntos Corporativos</v>
      </c>
      <c r="E32" s="2" t="s">
        <v>758</v>
      </c>
      <c r="F32" s="2" t="str">
        <f t="shared" si="1"/>
        <v>N100100553</v>
      </c>
      <c r="G32" s="1" t="s">
        <v>716</v>
      </c>
      <c r="I32">
        <v>141065</v>
      </c>
      <c r="J32">
        <f t="shared" si="2"/>
        <v>141065</v>
      </c>
      <c r="L32">
        <v>136813</v>
      </c>
      <c r="M32">
        <f t="shared" si="3"/>
        <v>136813</v>
      </c>
      <c r="O32">
        <v>240392</v>
      </c>
      <c r="P32">
        <f t="shared" si="4"/>
        <v>240392</v>
      </c>
      <c r="S32">
        <f t="shared" si="5"/>
        <v>0</v>
      </c>
    </row>
    <row r="33" spans="1:19" x14ac:dyDescent="0.3">
      <c r="A33" s="2" t="str">
        <f xml:space="preserve"> _xll.EPMOlapMemberO("[CECO].[PARENTH3].[AMSA1001AD4518]","","AMSA1001AD4518 - Comunidades IS","","000")</f>
        <v>AMSA1001AD4518 - Comunidades IS</v>
      </c>
      <c r="B33" s="2" t="str">
        <f t="shared" si="0"/>
        <v>1001AD4518</v>
      </c>
      <c r="C33" s="2" t="str">
        <f>IFERROR(_xlfn.XLOOKUP(B33,'CECOS Corporativos'!$D:$D,'CECOS Corporativos'!$E:$E,""),"")</f>
        <v>Asuntos Públicos</v>
      </c>
      <c r="D33" s="2" t="str">
        <f>IFERROR(_xlfn.XLOOKUP(B33,'CECOS Corporativos'!$D:$D,'CECOS Corporativos'!$J:$J,""),"")</f>
        <v>VP Asuntos Corporativos</v>
      </c>
      <c r="E33" s="2" t="s">
        <v>756</v>
      </c>
      <c r="F33" s="2" t="str">
        <f t="shared" si="1"/>
        <v>N100100553</v>
      </c>
      <c r="G33" s="1" t="s">
        <v>716</v>
      </c>
      <c r="H33">
        <v>455677.99</v>
      </c>
      <c r="J33">
        <f t="shared" si="2"/>
        <v>-455677.99</v>
      </c>
      <c r="K33">
        <v>119045.82</v>
      </c>
      <c r="M33">
        <f t="shared" si="3"/>
        <v>-119045.82</v>
      </c>
      <c r="N33">
        <v>367358.45</v>
      </c>
      <c r="P33">
        <f t="shared" si="4"/>
        <v>-367358.45</v>
      </c>
      <c r="Q33">
        <v>256213.4</v>
      </c>
      <c r="S33">
        <f t="shared" si="5"/>
        <v>-256213.4</v>
      </c>
    </row>
    <row r="34" spans="1:19" x14ac:dyDescent="0.3">
      <c r="A34" s="2" t="str">
        <f xml:space="preserve"> _xll.EPMOlapMemberO("[CECO].[PARENTH3].[AMSA1001AD4519]","","AMSA1001AD4519 - Empleabilidad IS","","000")</f>
        <v>AMSA1001AD4519 - Empleabilidad IS</v>
      </c>
      <c r="B34" s="2" t="str">
        <f t="shared" si="0"/>
        <v>1001AD4519</v>
      </c>
      <c r="C34" s="2" t="str">
        <f>IFERROR(_xlfn.XLOOKUP(B34,'CECOS Corporativos'!$D:$D,'CECOS Corporativos'!$E:$E,""),"")</f>
        <v>Empleabilidad</v>
      </c>
      <c r="D34" s="2" t="str">
        <f>IFERROR(_xlfn.XLOOKUP(B34,'CECOS Corporativos'!$D:$D,'CECOS Corporativos'!$J:$J,""),"")</f>
        <v>VP Asuntos Corporativos</v>
      </c>
      <c r="E34" s="2" t="s">
        <v>758</v>
      </c>
      <c r="F34" s="2" t="str">
        <f t="shared" si="1"/>
        <v>N100100553</v>
      </c>
      <c r="G34" s="1" t="s">
        <v>716</v>
      </c>
      <c r="I34">
        <v>192641</v>
      </c>
      <c r="J34">
        <f t="shared" si="2"/>
        <v>192641</v>
      </c>
      <c r="L34">
        <v>174932</v>
      </c>
      <c r="M34">
        <f t="shared" si="3"/>
        <v>174932</v>
      </c>
      <c r="O34">
        <v>275985</v>
      </c>
      <c r="P34">
        <f t="shared" si="4"/>
        <v>275985</v>
      </c>
      <c r="R34">
        <v>268583.64</v>
      </c>
      <c r="S34">
        <f t="shared" si="5"/>
        <v>268583.64</v>
      </c>
    </row>
    <row r="35" spans="1:19" x14ac:dyDescent="0.3">
      <c r="A35" s="2" t="str">
        <f xml:space="preserve"> _xll.EPMOlapMemberO("[CECO].[PARENTH3].[AMSA1001AD4519]","","AMSA1001AD4519 - Empleabilidad IS","","000")</f>
        <v>AMSA1001AD4519 - Empleabilidad IS</v>
      </c>
      <c r="B35" s="2" t="str">
        <f t="shared" si="0"/>
        <v>1001AD4519</v>
      </c>
      <c r="C35" s="2" t="str">
        <f>IFERROR(_xlfn.XLOOKUP(B35,'CECOS Corporativos'!$D:$D,'CECOS Corporativos'!$E:$E,""),"")</f>
        <v>Empleabilidad</v>
      </c>
      <c r="D35" s="2" t="str">
        <f>IFERROR(_xlfn.XLOOKUP(B35,'CECOS Corporativos'!$D:$D,'CECOS Corporativos'!$J:$J,""),"")</f>
        <v>VP Asuntos Corporativos</v>
      </c>
      <c r="E35" s="2" t="s">
        <v>756</v>
      </c>
      <c r="F35" s="2" t="str">
        <f t="shared" si="1"/>
        <v>N100100553</v>
      </c>
      <c r="G35" s="1" t="s">
        <v>716</v>
      </c>
      <c r="J35">
        <f t="shared" si="2"/>
        <v>0</v>
      </c>
      <c r="K35">
        <v>118047.55</v>
      </c>
      <c r="M35">
        <f t="shared" si="3"/>
        <v>-118047.55</v>
      </c>
      <c r="N35">
        <v>99445.93</v>
      </c>
      <c r="P35">
        <f t="shared" si="4"/>
        <v>-99445.93</v>
      </c>
      <c r="Q35">
        <v>546127.43999999994</v>
      </c>
      <c r="S35">
        <f t="shared" si="5"/>
        <v>-546127.43999999994</v>
      </c>
    </row>
    <row r="36" spans="1:19" x14ac:dyDescent="0.3">
      <c r="A36" s="2" t="str">
        <f xml:space="preserve"> _xll.EPMOlapMemberO("[CECO].[PARENTH3].[AMSA1001AD0506]","","AMSA1001AD0506 - VPACS Corporativo","","000")</f>
        <v>AMSA1001AD0506 - VPACS Corporativo</v>
      </c>
      <c r="B36" s="2" t="str">
        <f t="shared" si="0"/>
        <v>1001AD0506</v>
      </c>
      <c r="C36" s="2" t="str">
        <f>IFERROR(_xlfn.XLOOKUP(B36,'CECOS Corporativos'!$D:$D,'CECOS Corporativos'!$E:$E,""),"")</f>
        <v>VPACS Corporativo (HH Corporativo)</v>
      </c>
      <c r="D36" s="2" t="str">
        <f>IFERROR(_xlfn.XLOOKUP(B36,'CECOS Corporativos'!$D:$D,'CECOS Corporativos'!$J:$J,""),"")</f>
        <v>VP Asuntos Corporativos</v>
      </c>
      <c r="E36" s="2" t="s">
        <v>764</v>
      </c>
      <c r="F36" s="2" t="str">
        <f t="shared" si="1"/>
        <v>N100100554</v>
      </c>
      <c r="G36" s="1" t="s">
        <v>717</v>
      </c>
      <c r="J36">
        <f t="shared" si="2"/>
        <v>0</v>
      </c>
      <c r="M36">
        <f t="shared" si="3"/>
        <v>0</v>
      </c>
      <c r="N36">
        <v>5119721</v>
      </c>
      <c r="O36">
        <v>5672806</v>
      </c>
      <c r="P36">
        <f t="shared" si="4"/>
        <v>553085</v>
      </c>
      <c r="Q36">
        <v>4238493</v>
      </c>
      <c r="R36">
        <v>4448965.5599999996</v>
      </c>
      <c r="S36">
        <f t="shared" si="5"/>
        <v>210472.55999999959</v>
      </c>
    </row>
    <row r="37" spans="1:19" x14ac:dyDescent="0.3">
      <c r="A37" s="2" t="str">
        <f xml:space="preserve"> _xll.EPMOlapMemberO("[CECO].[PARENTH3].[AMSA1001AD4513]","","AMSA1001AD4513 - Fundación","","000")</f>
        <v>AMSA1001AD4513 - Fundación</v>
      </c>
      <c r="B37" s="2" t="str">
        <f t="shared" si="0"/>
        <v>1001AD4513</v>
      </c>
      <c r="C37" s="2" t="str">
        <f>IFERROR(_xlfn.XLOOKUP(B37,'CECOS Corporativos'!$D:$D,'CECOS Corporativos'!$E:$E,""),"")</f>
        <v>Fundación FMLP</v>
      </c>
      <c r="D37" s="2" t="str">
        <f>IFERROR(_xlfn.XLOOKUP(B37,'CECOS Corporativos'!$D:$D,'CECOS Corporativos'!$J:$J,""),"")</f>
        <v>VP Asuntos Corporativos</v>
      </c>
      <c r="E37" s="2" t="s">
        <v>763</v>
      </c>
      <c r="F37" s="2" t="str">
        <f t="shared" si="1"/>
        <v>N100100554</v>
      </c>
      <c r="G37" s="1" t="s">
        <v>717</v>
      </c>
      <c r="H37">
        <v>2411.8000000000002</v>
      </c>
      <c r="J37">
        <f t="shared" si="2"/>
        <v>-2411.8000000000002</v>
      </c>
      <c r="K37">
        <v>3832.4</v>
      </c>
      <c r="M37">
        <f t="shared" si="3"/>
        <v>-3832.4</v>
      </c>
      <c r="N37">
        <v>7977.38</v>
      </c>
      <c r="P37">
        <f t="shared" si="4"/>
        <v>-7977.38</v>
      </c>
      <c r="Q37">
        <v>7281.45</v>
      </c>
      <c r="S37">
        <f t="shared" si="5"/>
        <v>-7281.45</v>
      </c>
    </row>
    <row r="38" spans="1:19" x14ac:dyDescent="0.3">
      <c r="A38" s="2" t="str">
        <f xml:space="preserve"> _xll.EPMOlapMemberO("[CECO].[PARENTH3].[AMSA1001AD4517]","","AMSA1001AD4517 - Comunicación Externa","","000")</f>
        <v>AMSA1001AD4517 - Comunicación Externa</v>
      </c>
      <c r="B38" s="2" t="str">
        <f t="shared" si="0"/>
        <v>1001AD4517</v>
      </c>
      <c r="C38" s="2" t="str">
        <f>IFERROR(_xlfn.XLOOKUP(B38,'CECOS Corporativos'!$D:$D,'CECOS Corporativos'!$E:$E,""),"")</f>
        <v>Comunicaciones</v>
      </c>
      <c r="D38" s="2" t="str">
        <f>IFERROR(_xlfn.XLOOKUP(B38,'CECOS Corporativos'!$D:$D,'CECOS Corporativos'!$J:$J,""),"")</f>
        <v>VP Asuntos Corporativos</v>
      </c>
      <c r="E38" s="2" t="s">
        <v>765</v>
      </c>
      <c r="F38" s="2" t="str">
        <f t="shared" si="1"/>
        <v>N100100554</v>
      </c>
      <c r="G38" s="1" t="s">
        <v>717</v>
      </c>
      <c r="H38">
        <v>0</v>
      </c>
      <c r="J38">
        <f t="shared" si="2"/>
        <v>0</v>
      </c>
      <c r="M38">
        <f t="shared" si="3"/>
        <v>0</v>
      </c>
      <c r="P38">
        <f t="shared" si="4"/>
        <v>0</v>
      </c>
      <c r="S38">
        <f t="shared" si="5"/>
        <v>0</v>
      </c>
    </row>
    <row r="39" spans="1:19" x14ac:dyDescent="0.3">
      <c r="A39" s="2" t="str">
        <f xml:space="preserve"> _xll.EPMOlapMemberO("[CECO].[PARENTH3].[AMSA1001AD4517]","","AMSA1001AD4517 - Comunicación Externa","","000")</f>
        <v>AMSA1001AD4517 - Comunicación Externa</v>
      </c>
      <c r="B39" s="2" t="str">
        <f t="shared" si="0"/>
        <v>1001AD4517</v>
      </c>
      <c r="C39" s="2" t="str">
        <f>IFERROR(_xlfn.XLOOKUP(B39,'CECOS Corporativos'!$D:$D,'CECOS Corporativos'!$E:$E,""),"")</f>
        <v>Comunicaciones</v>
      </c>
      <c r="D39" s="2" t="str">
        <f>IFERROR(_xlfn.XLOOKUP(B39,'CECOS Corporativos'!$D:$D,'CECOS Corporativos'!$J:$J,""),"")</f>
        <v>VP Asuntos Corporativos</v>
      </c>
      <c r="E39" s="2" t="s">
        <v>766</v>
      </c>
      <c r="F39" s="2" t="str">
        <f t="shared" si="1"/>
        <v>N100100554</v>
      </c>
      <c r="G39" s="1" t="s">
        <v>717</v>
      </c>
      <c r="J39">
        <f t="shared" si="2"/>
        <v>0</v>
      </c>
      <c r="K39">
        <v>-3510.93</v>
      </c>
      <c r="M39">
        <f t="shared" si="3"/>
        <v>3510.93</v>
      </c>
      <c r="P39">
        <f t="shared" si="4"/>
        <v>0</v>
      </c>
      <c r="S39">
        <f t="shared" si="5"/>
        <v>0</v>
      </c>
    </row>
    <row r="40" spans="1:19" x14ac:dyDescent="0.3">
      <c r="A40" s="2" t="str">
        <f xml:space="preserve"> _xll.EPMOlapMemberO("[CECO].[PARENTH3].[AMSA1001AD4517]","","AMSA1001AD4517 - Comunicación Externa","","000")</f>
        <v>AMSA1001AD4517 - Comunicación Externa</v>
      </c>
      <c r="B40" s="2" t="str">
        <f t="shared" si="0"/>
        <v>1001AD4517</v>
      </c>
      <c r="C40" s="2" t="str">
        <f>IFERROR(_xlfn.XLOOKUP(B40,'CECOS Corporativos'!$D:$D,'CECOS Corporativos'!$E:$E,""),"")</f>
        <v>Comunicaciones</v>
      </c>
      <c r="D40" s="2" t="str">
        <f>IFERROR(_xlfn.XLOOKUP(B40,'CECOS Corporativos'!$D:$D,'CECOS Corporativos'!$J:$J,""),"")</f>
        <v>VP Asuntos Corporativos</v>
      </c>
      <c r="E40" s="2" t="s">
        <v>757</v>
      </c>
      <c r="F40" s="2" t="str">
        <f t="shared" si="1"/>
        <v>N100100554</v>
      </c>
      <c r="G40" s="1" t="s">
        <v>717</v>
      </c>
      <c r="H40">
        <v>132591.18</v>
      </c>
      <c r="I40">
        <v>63667</v>
      </c>
      <c r="J40">
        <f t="shared" si="2"/>
        <v>-68924.179999999993</v>
      </c>
      <c r="K40">
        <v>172369.87</v>
      </c>
      <c r="L40">
        <v>23694</v>
      </c>
      <c r="M40">
        <f t="shared" si="3"/>
        <v>-148675.87</v>
      </c>
      <c r="N40">
        <v>0</v>
      </c>
      <c r="O40">
        <v>46937</v>
      </c>
      <c r="P40">
        <f t="shared" si="4"/>
        <v>46937</v>
      </c>
      <c r="S40">
        <f t="shared" si="5"/>
        <v>0</v>
      </c>
    </row>
    <row r="41" spans="1:19" x14ac:dyDescent="0.3">
      <c r="A41" s="2" t="str">
        <f xml:space="preserve"> _xll.EPMOlapMemberO("[CECO].[PARENTH3].[AMSA1001AD4517]","","AMSA1001AD4517 - Comunicación Externa","","000")</f>
        <v>AMSA1001AD4517 - Comunicación Externa</v>
      </c>
      <c r="B41" s="2" t="str">
        <f t="shared" si="0"/>
        <v>1001AD4517</v>
      </c>
      <c r="C41" s="2" t="str">
        <f>IFERROR(_xlfn.XLOOKUP(B41,'CECOS Corporativos'!$D:$D,'CECOS Corporativos'!$E:$E,""),"")</f>
        <v>Comunicaciones</v>
      </c>
      <c r="D41" s="2" t="str">
        <f>IFERROR(_xlfn.XLOOKUP(B41,'CECOS Corporativos'!$D:$D,'CECOS Corporativos'!$J:$J,""),"")</f>
        <v>VP Asuntos Corporativos</v>
      </c>
      <c r="E41" s="2" t="s">
        <v>758</v>
      </c>
      <c r="F41" s="2" t="str">
        <f t="shared" si="1"/>
        <v>N100100554</v>
      </c>
      <c r="G41" s="1" t="s">
        <v>717</v>
      </c>
      <c r="H41">
        <v>0</v>
      </c>
      <c r="I41">
        <v>19181</v>
      </c>
      <c r="J41">
        <f t="shared" si="2"/>
        <v>19181</v>
      </c>
      <c r="K41">
        <v>107399.96</v>
      </c>
      <c r="M41">
        <f t="shared" si="3"/>
        <v>-107399.96</v>
      </c>
      <c r="N41">
        <v>-117465.5</v>
      </c>
      <c r="P41">
        <f t="shared" si="4"/>
        <v>117465.5</v>
      </c>
      <c r="S41">
        <f t="shared" si="5"/>
        <v>0</v>
      </c>
    </row>
    <row r="42" spans="1:19" x14ac:dyDescent="0.3">
      <c r="A42" s="2" t="str">
        <f xml:space="preserve"> _xll.EPMOlapMemberO("[CECO].[PARENTH3].[AMSA1001AD4517]","","AMSA1001AD4517 - Comunicación Externa","","000")</f>
        <v>AMSA1001AD4517 - Comunicación Externa</v>
      </c>
      <c r="B42" s="2" t="str">
        <f t="shared" si="0"/>
        <v>1001AD4517</v>
      </c>
      <c r="C42" s="2" t="str">
        <f>IFERROR(_xlfn.XLOOKUP(B42,'CECOS Corporativos'!$D:$D,'CECOS Corporativos'!$E:$E,""),"")</f>
        <v>Comunicaciones</v>
      </c>
      <c r="D42" s="2" t="str">
        <f>IFERROR(_xlfn.XLOOKUP(B42,'CECOS Corporativos'!$D:$D,'CECOS Corporativos'!$J:$J,""),"")</f>
        <v>VP Asuntos Corporativos</v>
      </c>
      <c r="E42" s="2" t="s">
        <v>763</v>
      </c>
      <c r="F42" s="2" t="str">
        <f t="shared" si="1"/>
        <v>N100100554</v>
      </c>
      <c r="G42" s="1" t="s">
        <v>717</v>
      </c>
      <c r="H42">
        <v>57605.279999999999</v>
      </c>
      <c r="I42">
        <v>90100</v>
      </c>
      <c r="J42">
        <f t="shared" si="2"/>
        <v>32494.720000000001</v>
      </c>
      <c r="K42">
        <v>-10.25</v>
      </c>
      <c r="L42">
        <v>304314</v>
      </c>
      <c r="M42">
        <f t="shared" si="3"/>
        <v>304324.25</v>
      </c>
      <c r="O42">
        <v>655497</v>
      </c>
      <c r="P42">
        <f t="shared" si="4"/>
        <v>655497</v>
      </c>
      <c r="Q42">
        <v>14.79</v>
      </c>
      <c r="R42">
        <v>232088.88</v>
      </c>
      <c r="S42">
        <f t="shared" si="5"/>
        <v>232074.09</v>
      </c>
    </row>
    <row r="43" spans="1:19" x14ac:dyDescent="0.3">
      <c r="A43" s="2" t="str">
        <f xml:space="preserve"> _xll.EPMOlapMemberO("[CECO].[PARENTH3].[AMSA1001AD4517]","","AMSA1001AD4517 - Comunicación Externa","","000")</f>
        <v>AMSA1001AD4517 - Comunicación Externa</v>
      </c>
      <c r="B43" s="2" t="str">
        <f t="shared" si="0"/>
        <v>1001AD4517</v>
      </c>
      <c r="C43" s="2" t="str">
        <f>IFERROR(_xlfn.XLOOKUP(B43,'CECOS Corporativos'!$D:$D,'CECOS Corporativos'!$E:$E,""),"")</f>
        <v>Comunicaciones</v>
      </c>
      <c r="D43" s="2" t="str">
        <f>IFERROR(_xlfn.XLOOKUP(B43,'CECOS Corporativos'!$D:$D,'CECOS Corporativos'!$J:$J,""),"")</f>
        <v>VP Asuntos Corporativos</v>
      </c>
      <c r="E43" s="2" t="s">
        <v>759</v>
      </c>
      <c r="F43" s="2" t="str">
        <f t="shared" si="1"/>
        <v>N100100554</v>
      </c>
      <c r="G43" s="1" t="s">
        <v>717</v>
      </c>
      <c r="J43">
        <f t="shared" si="2"/>
        <v>0</v>
      </c>
      <c r="K43">
        <v>-11500.64</v>
      </c>
      <c r="M43">
        <f t="shared" si="3"/>
        <v>11500.64</v>
      </c>
      <c r="P43">
        <f t="shared" si="4"/>
        <v>0</v>
      </c>
      <c r="S43">
        <f t="shared" si="5"/>
        <v>0</v>
      </c>
    </row>
    <row r="44" spans="1:19" x14ac:dyDescent="0.3">
      <c r="A44" s="2" t="str">
        <f xml:space="preserve"> _xll.EPMOlapMemberO("[CECO].[PARENTH3].[AMSA1001AD4517]","","AMSA1001AD4517 - Comunicación Externa","","000")</f>
        <v>AMSA1001AD4517 - Comunicación Externa</v>
      </c>
      <c r="B44" s="2" t="str">
        <f t="shared" si="0"/>
        <v>1001AD4517</v>
      </c>
      <c r="C44" s="2" t="str">
        <f>IFERROR(_xlfn.XLOOKUP(B44,'CECOS Corporativos'!$D:$D,'CECOS Corporativos'!$E:$E,""),"")</f>
        <v>Comunicaciones</v>
      </c>
      <c r="D44" s="2" t="str">
        <f>IFERROR(_xlfn.XLOOKUP(B44,'CECOS Corporativos'!$D:$D,'CECOS Corporativos'!$J:$J,""),"")</f>
        <v>VP Asuntos Corporativos</v>
      </c>
      <c r="E44" s="2" t="s">
        <v>767</v>
      </c>
      <c r="F44" s="2" t="str">
        <f t="shared" si="1"/>
        <v>N100100554</v>
      </c>
      <c r="G44" s="1" t="s">
        <v>717</v>
      </c>
      <c r="J44">
        <f t="shared" si="2"/>
        <v>0</v>
      </c>
      <c r="M44">
        <f t="shared" si="3"/>
        <v>0</v>
      </c>
      <c r="N44">
        <v>0</v>
      </c>
      <c r="P44">
        <f t="shared" si="4"/>
        <v>0</v>
      </c>
      <c r="S44">
        <f t="shared" si="5"/>
        <v>0</v>
      </c>
    </row>
    <row r="45" spans="1:19" x14ac:dyDescent="0.3">
      <c r="A45" s="2" t="str">
        <f xml:space="preserve"> _xll.EPMOlapMemberO("[CECO].[PARENTH3].[AMSA1001AD4517]","","AMSA1001AD4517 - Comunicación Externa","","000")</f>
        <v>AMSA1001AD4517 - Comunicación Externa</v>
      </c>
      <c r="B45" s="2" t="str">
        <f t="shared" si="0"/>
        <v>1001AD4517</v>
      </c>
      <c r="C45" s="2" t="str">
        <f>IFERROR(_xlfn.XLOOKUP(B45,'CECOS Corporativos'!$D:$D,'CECOS Corporativos'!$E:$E,""),"")</f>
        <v>Comunicaciones</v>
      </c>
      <c r="D45" s="2" t="str">
        <f>IFERROR(_xlfn.XLOOKUP(B45,'CECOS Corporativos'!$D:$D,'CECOS Corporativos'!$J:$J,""),"")</f>
        <v>VP Asuntos Corporativos</v>
      </c>
      <c r="E45" s="2" t="s">
        <v>760</v>
      </c>
      <c r="F45" s="2" t="str">
        <f t="shared" si="1"/>
        <v>N100100554</v>
      </c>
      <c r="G45" s="1" t="s">
        <v>717</v>
      </c>
      <c r="J45">
        <f t="shared" si="2"/>
        <v>0</v>
      </c>
      <c r="K45">
        <v>-590.05999999999995</v>
      </c>
      <c r="M45">
        <f t="shared" si="3"/>
        <v>590.05999999999995</v>
      </c>
      <c r="P45">
        <f t="shared" si="4"/>
        <v>0</v>
      </c>
      <c r="S45">
        <f t="shared" si="5"/>
        <v>0</v>
      </c>
    </row>
    <row r="46" spans="1:19" x14ac:dyDescent="0.3">
      <c r="A46" s="2" t="str">
        <f xml:space="preserve"> _xll.EPMOlapMemberO("[CECO].[PARENTH3].[AMSA1001AD4517]","","AMSA1001AD4517 - Comunicación Externa","","000")</f>
        <v>AMSA1001AD4517 - Comunicación Externa</v>
      </c>
      <c r="B46" s="2" t="str">
        <f t="shared" si="0"/>
        <v>1001AD4517</v>
      </c>
      <c r="C46" s="2" t="str">
        <f>IFERROR(_xlfn.XLOOKUP(B46,'CECOS Corporativos'!$D:$D,'CECOS Corporativos'!$E:$E,""),"")</f>
        <v>Comunicaciones</v>
      </c>
      <c r="D46" s="2" t="str">
        <f>IFERROR(_xlfn.XLOOKUP(B46,'CECOS Corporativos'!$D:$D,'CECOS Corporativos'!$J:$J,""),"")</f>
        <v>VP Asuntos Corporativos</v>
      </c>
      <c r="E46" s="2" t="s">
        <v>761</v>
      </c>
      <c r="F46" s="2" t="str">
        <f t="shared" si="1"/>
        <v>N100100554</v>
      </c>
      <c r="G46" s="1" t="s">
        <v>717</v>
      </c>
      <c r="H46">
        <v>449118.92</v>
      </c>
      <c r="I46">
        <v>842403</v>
      </c>
      <c r="J46">
        <f t="shared" si="2"/>
        <v>393284.08</v>
      </c>
      <c r="K46">
        <v>102559.96</v>
      </c>
      <c r="L46">
        <v>838536</v>
      </c>
      <c r="M46">
        <f t="shared" si="3"/>
        <v>735976.04</v>
      </c>
      <c r="N46">
        <v>0</v>
      </c>
      <c r="O46">
        <v>777997</v>
      </c>
      <c r="P46">
        <f t="shared" si="4"/>
        <v>777997</v>
      </c>
      <c r="R46">
        <v>732144.68</v>
      </c>
      <c r="S46">
        <f t="shared" si="5"/>
        <v>732144.68</v>
      </c>
    </row>
    <row r="47" spans="1:19" x14ac:dyDescent="0.3">
      <c r="A47" s="2" t="str">
        <f xml:space="preserve"> _xll.EPMOlapMemberO("[CECO].[PARENTH3].[AMSA1001AD4517]","","AMSA1001AD4517 - Comunicación Externa","","000")</f>
        <v>AMSA1001AD4517 - Comunicación Externa</v>
      </c>
      <c r="B47" s="2" t="str">
        <f t="shared" si="0"/>
        <v>1001AD4517</v>
      </c>
      <c r="C47" s="2" t="str">
        <f>IFERROR(_xlfn.XLOOKUP(B47,'CECOS Corporativos'!$D:$D,'CECOS Corporativos'!$E:$E,""),"")</f>
        <v>Comunicaciones</v>
      </c>
      <c r="D47" s="2" t="str">
        <f>IFERROR(_xlfn.XLOOKUP(B47,'CECOS Corporativos'!$D:$D,'CECOS Corporativos'!$J:$J,""),"")</f>
        <v>VP Asuntos Corporativos</v>
      </c>
      <c r="E47" s="2" t="s">
        <v>756</v>
      </c>
      <c r="F47" s="2" t="str">
        <f t="shared" si="1"/>
        <v>N100100554</v>
      </c>
      <c r="G47" s="1" t="s">
        <v>717</v>
      </c>
      <c r="H47">
        <v>1365767.12</v>
      </c>
      <c r="J47">
        <f t="shared" si="2"/>
        <v>-1365767.12</v>
      </c>
      <c r="K47">
        <v>2161164.89</v>
      </c>
      <c r="M47">
        <f t="shared" si="3"/>
        <v>-2161164.89</v>
      </c>
      <c r="N47">
        <v>2156308.52</v>
      </c>
      <c r="P47">
        <f t="shared" si="4"/>
        <v>-2156308.52</v>
      </c>
      <c r="Q47">
        <v>1874796.41</v>
      </c>
      <c r="S47">
        <f t="shared" si="5"/>
        <v>-1874796.41</v>
      </c>
    </row>
    <row r="48" spans="1:19" x14ac:dyDescent="0.3">
      <c r="A48" s="2" t="str">
        <f xml:space="preserve"> _xll.EPMOlapMemberO("[CECO].[PARENTH3].[AMSA1001AD4520]","","AMSA1001AD4520 - Empleabilidad OP","","000")</f>
        <v>AMSA1001AD4520 - Empleabilidad OP</v>
      </c>
      <c r="B48" s="2" t="str">
        <f t="shared" si="0"/>
        <v>1001AD4520</v>
      </c>
      <c r="C48" s="2" t="str">
        <f>IFERROR(_xlfn.XLOOKUP(B48,'CECOS Corporativos'!$D:$D,'CECOS Corporativos'!$E:$E,""),"")</f>
        <v>Empleabilidad</v>
      </c>
      <c r="D48" s="2" t="str">
        <f>IFERROR(_xlfn.XLOOKUP(B48,'CECOS Corporativos'!$D:$D,'CECOS Corporativos'!$J:$J,""),"")</f>
        <v>VP Asuntos Corporativos</v>
      </c>
      <c r="E48" s="2" t="s">
        <v>768</v>
      </c>
      <c r="F48" s="2" t="str">
        <f t="shared" si="1"/>
        <v>N100100554</v>
      </c>
      <c r="G48" s="1" t="s">
        <v>717</v>
      </c>
      <c r="H48">
        <v>0</v>
      </c>
      <c r="J48">
        <f t="shared" si="2"/>
        <v>0</v>
      </c>
      <c r="M48">
        <f t="shared" si="3"/>
        <v>0</v>
      </c>
      <c r="P48">
        <f t="shared" si="4"/>
        <v>0</v>
      </c>
      <c r="S48">
        <f t="shared" si="5"/>
        <v>0</v>
      </c>
    </row>
    <row r="49" spans="1:19" x14ac:dyDescent="0.3">
      <c r="A49" s="2" t="str">
        <f xml:space="preserve"> _xll.EPMOlapMemberO("[CECO].[PARENTH3].[AMSA1001AD4520]","","AMSA1001AD4520 - Empleabilidad OP","","000")</f>
        <v>AMSA1001AD4520 - Empleabilidad OP</v>
      </c>
      <c r="B49" s="2" t="str">
        <f t="shared" si="0"/>
        <v>1001AD4520</v>
      </c>
      <c r="C49" s="2" t="str">
        <f>IFERROR(_xlfn.XLOOKUP(B49,'CECOS Corporativos'!$D:$D,'CECOS Corporativos'!$E:$E,""),"")</f>
        <v>Empleabilidad</v>
      </c>
      <c r="D49" s="2" t="str">
        <f>IFERROR(_xlfn.XLOOKUP(B49,'CECOS Corporativos'!$D:$D,'CECOS Corporativos'!$J:$J,""),"")</f>
        <v>VP Asuntos Corporativos</v>
      </c>
      <c r="E49" s="2" t="s">
        <v>757</v>
      </c>
      <c r="F49" s="2" t="str">
        <f t="shared" si="1"/>
        <v>N100100554</v>
      </c>
      <c r="G49" s="1" t="s">
        <v>717</v>
      </c>
      <c r="J49">
        <f t="shared" si="2"/>
        <v>0</v>
      </c>
      <c r="M49">
        <f t="shared" si="3"/>
        <v>0</v>
      </c>
      <c r="P49">
        <f t="shared" si="4"/>
        <v>0</v>
      </c>
      <c r="Q49">
        <v>7018.61</v>
      </c>
      <c r="R49">
        <v>99231.32</v>
      </c>
      <c r="S49">
        <f t="shared" si="5"/>
        <v>92212.71</v>
      </c>
    </row>
    <row r="50" spans="1:19" x14ac:dyDescent="0.3">
      <c r="A50" s="2" t="str">
        <f xml:space="preserve"> _xll.EPMOlapMemberO("[CECO].[PARENTH3].[AMSA1001AD4520]","","AMSA1001AD4520 - Empleabilidad OP","","000")</f>
        <v>AMSA1001AD4520 - Empleabilidad OP</v>
      </c>
      <c r="B50" s="2" t="str">
        <f t="shared" si="0"/>
        <v>1001AD4520</v>
      </c>
      <c r="C50" s="2" t="str">
        <f>IFERROR(_xlfn.XLOOKUP(B50,'CECOS Corporativos'!$D:$D,'CECOS Corporativos'!$E:$E,""),"")</f>
        <v>Empleabilidad</v>
      </c>
      <c r="D50" s="2" t="str">
        <f>IFERROR(_xlfn.XLOOKUP(B50,'CECOS Corporativos'!$D:$D,'CECOS Corporativos'!$J:$J,""),"")</f>
        <v>VP Asuntos Corporativos</v>
      </c>
      <c r="E50" s="2" t="s">
        <v>758</v>
      </c>
      <c r="F50" s="2" t="str">
        <f t="shared" si="1"/>
        <v>N100100554</v>
      </c>
      <c r="G50" s="1" t="s">
        <v>717</v>
      </c>
      <c r="H50">
        <v>121742.09</v>
      </c>
      <c r="I50">
        <v>292815</v>
      </c>
      <c r="J50">
        <f t="shared" si="2"/>
        <v>171072.91</v>
      </c>
      <c r="K50">
        <v>90916.74</v>
      </c>
      <c r="L50">
        <v>495939</v>
      </c>
      <c r="M50">
        <f t="shared" si="3"/>
        <v>405022.26</v>
      </c>
      <c r="N50">
        <v>41138.78</v>
      </c>
      <c r="O50">
        <v>356969</v>
      </c>
      <c r="P50">
        <f t="shared" si="4"/>
        <v>315830.21999999997</v>
      </c>
      <c r="Q50">
        <v>119630.24</v>
      </c>
      <c r="R50">
        <v>445793.85</v>
      </c>
      <c r="S50">
        <f t="shared" si="5"/>
        <v>326163.61</v>
      </c>
    </row>
    <row r="51" spans="1:19" x14ac:dyDescent="0.3">
      <c r="A51" s="2" t="str">
        <f xml:space="preserve"> _xll.EPMOlapMemberO("[CECO].[PARENTH3].[AMSA1001AD4520]","","AMSA1001AD4520 - Empleabilidad OP","","000")</f>
        <v>AMSA1001AD4520 - Empleabilidad OP</v>
      </c>
      <c r="B51" s="2" t="str">
        <f t="shared" si="0"/>
        <v>1001AD4520</v>
      </c>
      <c r="C51" s="2" t="str">
        <f>IFERROR(_xlfn.XLOOKUP(B51,'CECOS Corporativos'!$D:$D,'CECOS Corporativos'!$E:$E,""),"")</f>
        <v>Empleabilidad</v>
      </c>
      <c r="D51" s="2" t="str">
        <f>IFERROR(_xlfn.XLOOKUP(B51,'CECOS Corporativos'!$D:$D,'CECOS Corporativos'!$J:$J,""),"")</f>
        <v>VP Asuntos Corporativos</v>
      </c>
      <c r="E51" s="2" t="s">
        <v>763</v>
      </c>
      <c r="F51" s="2" t="str">
        <f t="shared" si="1"/>
        <v>N100100554</v>
      </c>
      <c r="G51" s="1" t="s">
        <v>717</v>
      </c>
      <c r="J51">
        <f t="shared" si="2"/>
        <v>0</v>
      </c>
      <c r="M51">
        <f t="shared" si="3"/>
        <v>0</v>
      </c>
      <c r="N51">
        <v>0</v>
      </c>
      <c r="P51">
        <f t="shared" si="4"/>
        <v>0</v>
      </c>
      <c r="Q51">
        <v>0</v>
      </c>
      <c r="S51">
        <f t="shared" si="5"/>
        <v>0</v>
      </c>
    </row>
    <row r="52" spans="1:19" x14ac:dyDescent="0.3">
      <c r="A52" s="2" t="str">
        <f xml:space="preserve"> _xll.EPMOlapMemberO("[CECO].[PARENTH3].[AMSA1001AD4520]","","AMSA1001AD4520 - Empleabilidad OP","","000")</f>
        <v>AMSA1001AD4520 - Empleabilidad OP</v>
      </c>
      <c r="B52" s="2" t="str">
        <f t="shared" si="0"/>
        <v>1001AD4520</v>
      </c>
      <c r="C52" s="2" t="str">
        <f>IFERROR(_xlfn.XLOOKUP(B52,'CECOS Corporativos'!$D:$D,'CECOS Corporativos'!$E:$E,""),"")</f>
        <v>Empleabilidad</v>
      </c>
      <c r="D52" s="2" t="str">
        <f>IFERROR(_xlfn.XLOOKUP(B52,'CECOS Corporativos'!$D:$D,'CECOS Corporativos'!$J:$J,""),"")</f>
        <v>VP Asuntos Corporativos</v>
      </c>
      <c r="E52" s="2" t="s">
        <v>759</v>
      </c>
      <c r="F52" s="2" t="str">
        <f t="shared" si="1"/>
        <v>N100100554</v>
      </c>
      <c r="G52" s="1" t="s">
        <v>717</v>
      </c>
      <c r="H52">
        <v>2363.16</v>
      </c>
      <c r="I52">
        <v>7706</v>
      </c>
      <c r="J52">
        <f t="shared" si="2"/>
        <v>5342.84</v>
      </c>
      <c r="K52">
        <v>47266.67</v>
      </c>
      <c r="M52">
        <f t="shared" si="3"/>
        <v>-47266.67</v>
      </c>
      <c r="N52">
        <v>38369.4</v>
      </c>
      <c r="O52">
        <v>43271</v>
      </c>
      <c r="P52">
        <f t="shared" si="4"/>
        <v>4901.5999999999985</v>
      </c>
      <c r="Q52">
        <v>43984.06</v>
      </c>
      <c r="R52">
        <v>43498.68</v>
      </c>
      <c r="S52">
        <f t="shared" si="5"/>
        <v>-485.37999999999738</v>
      </c>
    </row>
    <row r="53" spans="1:19" x14ac:dyDescent="0.3">
      <c r="A53" s="2" t="str">
        <f xml:space="preserve"> _xll.EPMOlapMemberO("[CECO].[PARENTH3].[AMSA1001AD4520]","","AMSA1001AD4520 - Empleabilidad OP","","000")</f>
        <v>AMSA1001AD4520 - Empleabilidad OP</v>
      </c>
      <c r="B53" s="2" t="str">
        <f t="shared" si="0"/>
        <v>1001AD4520</v>
      </c>
      <c r="C53" s="2" t="str">
        <f>IFERROR(_xlfn.XLOOKUP(B53,'CECOS Corporativos'!$D:$D,'CECOS Corporativos'!$E:$E,""),"")</f>
        <v>Empleabilidad</v>
      </c>
      <c r="D53" s="2" t="str">
        <f>IFERROR(_xlfn.XLOOKUP(B53,'CECOS Corporativos'!$D:$D,'CECOS Corporativos'!$J:$J,""),"")</f>
        <v>VP Asuntos Corporativos</v>
      </c>
      <c r="E53" s="2" t="s">
        <v>761</v>
      </c>
      <c r="F53" s="2" t="str">
        <f t="shared" si="1"/>
        <v>N100100554</v>
      </c>
      <c r="G53" s="1" t="s">
        <v>717</v>
      </c>
      <c r="H53">
        <v>0</v>
      </c>
      <c r="J53">
        <f t="shared" si="2"/>
        <v>0</v>
      </c>
      <c r="M53">
        <f t="shared" si="3"/>
        <v>0</v>
      </c>
      <c r="P53">
        <f t="shared" si="4"/>
        <v>0</v>
      </c>
      <c r="S53">
        <f t="shared" si="5"/>
        <v>0</v>
      </c>
    </row>
    <row r="54" spans="1:19" x14ac:dyDescent="0.3">
      <c r="A54" s="2" t="str">
        <f xml:space="preserve"> _xll.EPMOlapMemberO("[CECO].[PARENTH3].[AMSA1001AD4520]","","AMSA1001AD4520 - Empleabilidad OP","","000")</f>
        <v>AMSA1001AD4520 - Empleabilidad OP</v>
      </c>
      <c r="B54" s="2" t="str">
        <f t="shared" si="0"/>
        <v>1001AD4520</v>
      </c>
      <c r="C54" s="2" t="str">
        <f>IFERROR(_xlfn.XLOOKUP(B54,'CECOS Corporativos'!$D:$D,'CECOS Corporativos'!$E:$E,""),"")</f>
        <v>Empleabilidad</v>
      </c>
      <c r="D54" s="2" t="str">
        <f>IFERROR(_xlfn.XLOOKUP(B54,'CECOS Corporativos'!$D:$D,'CECOS Corporativos'!$J:$J,""),"")</f>
        <v>VP Asuntos Corporativos</v>
      </c>
      <c r="E54" s="2" t="s">
        <v>756</v>
      </c>
      <c r="F54" s="2" t="str">
        <f t="shared" si="1"/>
        <v>N100100554</v>
      </c>
      <c r="G54" s="1" t="s">
        <v>717</v>
      </c>
      <c r="H54">
        <v>138575.32</v>
      </c>
      <c r="J54">
        <f t="shared" si="2"/>
        <v>-138575.32</v>
      </c>
      <c r="K54">
        <v>199694.72</v>
      </c>
      <c r="M54">
        <f t="shared" si="3"/>
        <v>-199694.72</v>
      </c>
      <c r="N54">
        <v>362222.94</v>
      </c>
      <c r="P54">
        <f t="shared" si="4"/>
        <v>-362222.94</v>
      </c>
      <c r="Q54">
        <v>390146.56</v>
      </c>
      <c r="S54">
        <f t="shared" si="5"/>
        <v>-390146.56</v>
      </c>
    </row>
    <row r="55" spans="1:19" x14ac:dyDescent="0.3">
      <c r="A55" s="2" t="str">
        <f xml:space="preserve"> _xll.EPMOlapMemberO("[CECO].[PARENTH3].[AMSA1001AD4523]","","AMSA1001AD4523 - Adm Plan Asu Pub C3","","000")</f>
        <v>AMSA1001AD4523 - Adm Plan Asu Pub C3</v>
      </c>
      <c r="B55" s="2" t="str">
        <f t="shared" si="0"/>
        <v>1001AD4523</v>
      </c>
      <c r="C55" s="2" t="str">
        <f>IFERROR(_xlfn.XLOOKUP(B55,'CECOS Corporativos'!$D:$D,'CECOS Corporativos'!$E:$E,""),"")</f>
        <v>Administración Plan AAPP C3</v>
      </c>
      <c r="D55" s="2" t="str">
        <f>IFERROR(_xlfn.XLOOKUP(B55,'CECOS Corporativos'!$D:$D,'CECOS Corporativos'!$J:$J,""),"")</f>
        <v>VP Asuntos Corporativos</v>
      </c>
      <c r="E55" s="2" t="s">
        <v>757</v>
      </c>
      <c r="F55" s="2" t="str">
        <f t="shared" si="1"/>
        <v>N100100554</v>
      </c>
      <c r="G55" s="1" t="s">
        <v>717</v>
      </c>
      <c r="H55">
        <v>102633.95</v>
      </c>
      <c r="I55">
        <v>193707</v>
      </c>
      <c r="J55">
        <f t="shared" si="2"/>
        <v>91073.05</v>
      </c>
      <c r="L55">
        <v>131983</v>
      </c>
      <c r="M55">
        <f t="shared" si="3"/>
        <v>131983</v>
      </c>
      <c r="O55">
        <v>198663</v>
      </c>
      <c r="P55">
        <f t="shared" si="4"/>
        <v>198663</v>
      </c>
      <c r="S55">
        <f t="shared" si="5"/>
        <v>0</v>
      </c>
    </row>
    <row r="56" spans="1:19" x14ac:dyDescent="0.3">
      <c r="A56" s="2" t="str">
        <f xml:space="preserve"> _xll.EPMOlapMemberO("[CECO].[PARENTH3].[AMSA1001AD4523]","","AMSA1001AD4523 - Adm Plan Asu Pub C3","","000")</f>
        <v>AMSA1001AD4523 - Adm Plan Asu Pub C3</v>
      </c>
      <c r="B56" s="2" t="str">
        <f t="shared" si="0"/>
        <v>1001AD4523</v>
      </c>
      <c r="C56" s="2" t="str">
        <f>IFERROR(_xlfn.XLOOKUP(B56,'CECOS Corporativos'!$D:$D,'CECOS Corporativos'!$E:$E,""),"")</f>
        <v>Administración Plan AAPP C3</v>
      </c>
      <c r="D56" s="2" t="str">
        <f>IFERROR(_xlfn.XLOOKUP(B56,'CECOS Corporativos'!$D:$D,'CECOS Corporativos'!$J:$J,""),"")</f>
        <v>VP Asuntos Corporativos</v>
      </c>
      <c r="E56" t="s">
        <v>758</v>
      </c>
      <c r="F56" s="2" t="str">
        <f t="shared" si="1"/>
        <v>N100100554</v>
      </c>
      <c r="G56" s="1" t="s">
        <v>717</v>
      </c>
      <c r="J56">
        <f t="shared" si="2"/>
        <v>0</v>
      </c>
      <c r="L56">
        <v>98517</v>
      </c>
      <c r="M56">
        <f t="shared" si="3"/>
        <v>98517</v>
      </c>
      <c r="N56">
        <v>32.24</v>
      </c>
      <c r="O56">
        <v>72543</v>
      </c>
      <c r="P56">
        <f t="shared" si="4"/>
        <v>72510.759999999995</v>
      </c>
      <c r="S56">
        <f t="shared" si="5"/>
        <v>0</v>
      </c>
    </row>
    <row r="57" spans="1:19" x14ac:dyDescent="0.3">
      <c r="A57" s="2" t="str">
        <f xml:space="preserve"> _xll.EPMOlapMemberO("[CECO].[PARENTH3].[AMSA1001AD4523]","","AMSA1001AD4523 - Adm Plan Asu Pub C3","","000")</f>
        <v>AMSA1001AD4523 - Adm Plan Asu Pub C3</v>
      </c>
      <c r="B57" s="2" t="str">
        <f t="shared" si="0"/>
        <v>1001AD4523</v>
      </c>
      <c r="C57" s="2" t="str">
        <f>IFERROR(_xlfn.XLOOKUP(B57,'CECOS Corporativos'!$D:$D,'CECOS Corporativos'!$E:$E,""),"")</f>
        <v>Administración Plan AAPP C3</v>
      </c>
      <c r="D57" s="2" t="str">
        <f>IFERROR(_xlfn.XLOOKUP(B57,'CECOS Corporativos'!$D:$D,'CECOS Corporativos'!$J:$J,""),"")</f>
        <v>VP Asuntos Corporativos</v>
      </c>
      <c r="E57" t="s">
        <v>763</v>
      </c>
      <c r="F57" s="2" t="str">
        <f t="shared" si="1"/>
        <v>N100100554</v>
      </c>
      <c r="G57" s="1" t="s">
        <v>717</v>
      </c>
      <c r="J57">
        <f t="shared" si="2"/>
        <v>0</v>
      </c>
      <c r="L57">
        <v>6275</v>
      </c>
      <c r="M57">
        <f t="shared" si="3"/>
        <v>6275</v>
      </c>
      <c r="N57">
        <v>1640.39</v>
      </c>
      <c r="O57">
        <v>6818</v>
      </c>
      <c r="P57">
        <f t="shared" si="4"/>
        <v>5177.6099999999997</v>
      </c>
      <c r="S57">
        <f t="shared" si="5"/>
        <v>0</v>
      </c>
    </row>
    <row r="58" spans="1:19" x14ac:dyDescent="0.3">
      <c r="A58" s="2" t="str">
        <f xml:space="preserve"> _xll.EPMOlapMemberO("[CECO].[PARENTH3].[AMSA1001AD4523]","","AMSA1001AD4523 - Adm Plan Asu Pub C3","","000")</f>
        <v>AMSA1001AD4523 - Adm Plan Asu Pub C3</v>
      </c>
      <c r="B58" s="2" t="str">
        <f t="shared" si="0"/>
        <v>1001AD4523</v>
      </c>
      <c r="C58" s="2" t="str">
        <f>IFERROR(_xlfn.XLOOKUP(B58,'CECOS Corporativos'!$D:$D,'CECOS Corporativos'!$E:$E,""),"")</f>
        <v>Administración Plan AAPP C3</v>
      </c>
      <c r="D58" s="2" t="str">
        <f>IFERROR(_xlfn.XLOOKUP(B58,'CECOS Corporativos'!$D:$D,'CECOS Corporativos'!$J:$J,""),"")</f>
        <v>VP Asuntos Corporativos</v>
      </c>
      <c r="E58" t="s">
        <v>759</v>
      </c>
      <c r="F58" s="2" t="str">
        <f t="shared" si="1"/>
        <v>N100100554</v>
      </c>
      <c r="G58" s="1" t="s">
        <v>717</v>
      </c>
      <c r="J58">
        <f t="shared" si="2"/>
        <v>0</v>
      </c>
      <c r="M58">
        <f t="shared" si="3"/>
        <v>0</v>
      </c>
      <c r="N58">
        <v>833.02</v>
      </c>
      <c r="P58">
        <f t="shared" si="4"/>
        <v>-833.02</v>
      </c>
      <c r="S58">
        <f t="shared" si="5"/>
        <v>0</v>
      </c>
    </row>
    <row r="59" spans="1:19" x14ac:dyDescent="0.3">
      <c r="A59" s="2" t="str">
        <f xml:space="preserve"> _xll.EPMOlapMemberO("[CECO].[PARENTH3].[AMSA1001AD4523]","","AMSA1001AD4523 - Adm Plan Asu Pub C3","","000")</f>
        <v>AMSA1001AD4523 - Adm Plan Asu Pub C3</v>
      </c>
      <c r="B59" s="2" t="str">
        <f t="shared" si="0"/>
        <v>1001AD4523</v>
      </c>
      <c r="C59" s="2" t="str">
        <f>IFERROR(_xlfn.XLOOKUP(B59,'CECOS Corporativos'!$D:$D,'CECOS Corporativos'!$E:$E,""),"")</f>
        <v>Administración Plan AAPP C3</v>
      </c>
      <c r="D59" s="2" t="str">
        <f>IFERROR(_xlfn.XLOOKUP(B59,'CECOS Corporativos'!$D:$D,'CECOS Corporativos'!$J:$J,""),"")</f>
        <v>VP Asuntos Corporativos</v>
      </c>
      <c r="E59" t="s">
        <v>760</v>
      </c>
      <c r="F59" s="2" t="str">
        <f t="shared" si="1"/>
        <v>N100100554</v>
      </c>
      <c r="G59" s="1" t="s">
        <v>717</v>
      </c>
      <c r="J59">
        <f t="shared" si="2"/>
        <v>0</v>
      </c>
      <c r="M59">
        <f t="shared" si="3"/>
        <v>0</v>
      </c>
      <c r="N59">
        <v>5.85</v>
      </c>
      <c r="P59">
        <f t="shared" si="4"/>
        <v>-5.85</v>
      </c>
      <c r="S59">
        <f t="shared" si="5"/>
        <v>0</v>
      </c>
    </row>
    <row r="60" spans="1:19" x14ac:dyDescent="0.3">
      <c r="A60" s="2" t="str">
        <f xml:space="preserve"> _xll.EPMOlapMemberO("[CECO].[PARENTH3].[AMSA1001AD4523]","","AMSA1001AD4523 - Adm Plan Asu Pub C3","","000")</f>
        <v>AMSA1001AD4523 - Adm Plan Asu Pub C3</v>
      </c>
      <c r="B60" s="2" t="str">
        <f t="shared" si="0"/>
        <v>1001AD4523</v>
      </c>
      <c r="C60" s="2" t="str">
        <f>IFERROR(_xlfn.XLOOKUP(B60,'CECOS Corporativos'!$D:$D,'CECOS Corporativos'!$E:$E,""),"")</f>
        <v>Administración Plan AAPP C3</v>
      </c>
      <c r="D60" s="2" t="str">
        <f>IFERROR(_xlfn.XLOOKUP(B60,'CECOS Corporativos'!$D:$D,'CECOS Corporativos'!$J:$J,""),"")</f>
        <v>VP Asuntos Corporativos</v>
      </c>
      <c r="E60" t="s">
        <v>761</v>
      </c>
      <c r="F60" s="2" t="str">
        <f t="shared" si="1"/>
        <v>N100100554</v>
      </c>
      <c r="G60" s="1" t="s">
        <v>717</v>
      </c>
      <c r="H60">
        <v>116629.71</v>
      </c>
      <c r="I60">
        <v>102002</v>
      </c>
      <c r="J60">
        <f t="shared" si="2"/>
        <v>-14627.710000000006</v>
      </c>
      <c r="L60">
        <v>115689</v>
      </c>
      <c r="M60">
        <f t="shared" si="3"/>
        <v>115689</v>
      </c>
      <c r="O60">
        <v>131942</v>
      </c>
      <c r="P60">
        <f t="shared" si="4"/>
        <v>131942</v>
      </c>
      <c r="S60">
        <f t="shared" si="5"/>
        <v>0</v>
      </c>
    </row>
    <row r="61" spans="1:19" x14ac:dyDescent="0.3">
      <c r="A61" s="2" t="str">
        <f xml:space="preserve"> _xll.EPMOlapMemberO("[CECO].[PARENTH3].[AMSA1001AD4523]","","AMSA1001AD4523 - Adm Plan Asu Pub C3","","000")</f>
        <v>AMSA1001AD4523 - Adm Plan Asu Pub C3</v>
      </c>
      <c r="B61" s="2" t="str">
        <f t="shared" si="0"/>
        <v>1001AD4523</v>
      </c>
      <c r="C61" s="2" t="str">
        <f>IFERROR(_xlfn.XLOOKUP(B61,'CECOS Corporativos'!$D:$D,'CECOS Corporativos'!$E:$E,""),"")</f>
        <v>Administración Plan AAPP C3</v>
      </c>
      <c r="D61" s="2" t="str">
        <f>IFERROR(_xlfn.XLOOKUP(B61,'CECOS Corporativos'!$D:$D,'CECOS Corporativos'!$J:$J,""),"")</f>
        <v>VP Asuntos Corporativos</v>
      </c>
      <c r="E61" t="s">
        <v>769</v>
      </c>
      <c r="F61" s="2" t="str">
        <f t="shared" si="1"/>
        <v>N100100554</v>
      </c>
      <c r="G61" s="1" t="s">
        <v>717</v>
      </c>
      <c r="H61">
        <v>8544.9599999999991</v>
      </c>
      <c r="I61">
        <v>7758.75</v>
      </c>
      <c r="J61">
        <f t="shared" si="2"/>
        <v>-786.20999999999913</v>
      </c>
      <c r="K61">
        <v>11463.57</v>
      </c>
      <c r="L61">
        <v>8075.44</v>
      </c>
      <c r="M61">
        <f t="shared" si="3"/>
        <v>-3388.13</v>
      </c>
      <c r="N61">
        <v>8842.98</v>
      </c>
      <c r="O61">
        <v>7147.89</v>
      </c>
      <c r="P61">
        <f t="shared" si="4"/>
        <v>-1695.0899999999992</v>
      </c>
      <c r="Q61">
        <v>10616.85</v>
      </c>
      <c r="R61">
        <v>9635.4500000000007</v>
      </c>
      <c r="S61">
        <f t="shared" si="5"/>
        <v>-981.39999999999964</v>
      </c>
    </row>
    <row r="62" spans="1:19" x14ac:dyDescent="0.3">
      <c r="A62" s="2" t="str">
        <f xml:space="preserve"> _xll.EPMOlapMemberO("[CECO].[PARENTH3].[AMSA1001AD4523]","","AMSA1001AD4523 - Adm Plan Asu Pub C3","","000")</f>
        <v>AMSA1001AD4523 - Adm Plan Asu Pub C3</v>
      </c>
      <c r="B62" s="2" t="str">
        <f t="shared" si="0"/>
        <v>1001AD4523</v>
      </c>
      <c r="C62" s="2" t="str">
        <f>IFERROR(_xlfn.XLOOKUP(B62,'CECOS Corporativos'!$D:$D,'CECOS Corporativos'!$E:$E,""),"")</f>
        <v>Administración Plan AAPP C3</v>
      </c>
      <c r="D62" s="2" t="str">
        <f>IFERROR(_xlfn.XLOOKUP(B62,'CECOS Corporativos'!$D:$D,'CECOS Corporativos'!$J:$J,""),"")</f>
        <v>VP Asuntos Corporativos</v>
      </c>
      <c r="E62" t="s">
        <v>764</v>
      </c>
      <c r="F62" s="2" t="str">
        <f t="shared" si="1"/>
        <v>N100100554</v>
      </c>
      <c r="G62" s="1" t="s">
        <v>717</v>
      </c>
      <c r="H62">
        <v>4015206.77</v>
      </c>
      <c r="I62">
        <v>4139256</v>
      </c>
      <c r="J62">
        <f t="shared" si="2"/>
        <v>124049.22999999998</v>
      </c>
      <c r="K62">
        <v>4390348.78</v>
      </c>
      <c r="L62">
        <v>3985382</v>
      </c>
      <c r="M62">
        <f t="shared" si="3"/>
        <v>-404966.78000000026</v>
      </c>
      <c r="N62">
        <v>-21701.78</v>
      </c>
      <c r="O62">
        <v>4916780</v>
      </c>
      <c r="P62">
        <f t="shared" si="4"/>
        <v>4938481.78</v>
      </c>
      <c r="S62">
        <f t="shared" si="5"/>
        <v>0</v>
      </c>
    </row>
    <row r="63" spans="1:19" x14ac:dyDescent="0.3">
      <c r="A63" s="2" t="str">
        <f xml:space="preserve"> _xll.EPMOlapMemberO("[CECO].[PARENTH3].[AMSA1001AD4524]","","AMSA1001AD4524 - Somos Choapa Op","","000")</f>
        <v>AMSA1001AD4524 - Somos Choapa Op</v>
      </c>
      <c r="B63" s="2" t="str">
        <f t="shared" si="0"/>
        <v>1001AD4524</v>
      </c>
      <c r="C63" s="2" t="str">
        <f>IFERROR(_xlfn.XLOOKUP(B63,'CECOS Corporativos'!$D:$D,'CECOS Corporativos'!$E:$E,""),"")</f>
        <v>Asuntos Públicos</v>
      </c>
      <c r="D63" s="2" t="str">
        <f>IFERROR(_xlfn.XLOOKUP(B63,'CECOS Corporativos'!$D:$D,'CECOS Corporativos'!$J:$J,""),"")</f>
        <v>VP Asuntos Corporativos</v>
      </c>
      <c r="E63" t="s">
        <v>757</v>
      </c>
      <c r="F63" s="2" t="str">
        <f t="shared" si="1"/>
        <v>N100100554</v>
      </c>
      <c r="G63" s="1" t="s">
        <v>717</v>
      </c>
      <c r="I63">
        <v>1695204</v>
      </c>
      <c r="J63">
        <f t="shared" si="2"/>
        <v>1695204</v>
      </c>
      <c r="L63">
        <v>1240446</v>
      </c>
      <c r="M63">
        <f t="shared" si="3"/>
        <v>1240446</v>
      </c>
      <c r="O63">
        <v>995059</v>
      </c>
      <c r="P63">
        <f t="shared" si="4"/>
        <v>995059</v>
      </c>
      <c r="R63">
        <v>1309033.32</v>
      </c>
      <c r="S63">
        <f t="shared" si="5"/>
        <v>1309033.32</v>
      </c>
    </row>
    <row r="64" spans="1:19" x14ac:dyDescent="0.3">
      <c r="A64" s="2" t="str">
        <f xml:space="preserve"> _xll.EPMOlapMemberO("[CECO].[PARENTH3].[AMSA1001AD4524]","","AMSA1001AD4524 - Somos Choapa Op","","000")</f>
        <v>AMSA1001AD4524 - Somos Choapa Op</v>
      </c>
      <c r="B64" s="2" t="str">
        <f t="shared" si="0"/>
        <v>1001AD4524</v>
      </c>
      <c r="C64" s="2" t="str">
        <f>IFERROR(_xlfn.XLOOKUP(B64,'CECOS Corporativos'!$D:$D,'CECOS Corporativos'!$E:$E,""),"")</f>
        <v>Asuntos Públicos</v>
      </c>
      <c r="D64" s="2" t="str">
        <f>IFERROR(_xlfn.XLOOKUP(B64,'CECOS Corporativos'!$D:$D,'CECOS Corporativos'!$J:$J,""),"")</f>
        <v>VP Asuntos Corporativos</v>
      </c>
      <c r="E64" s="2" t="s">
        <v>758</v>
      </c>
      <c r="F64" s="2" t="str">
        <f t="shared" si="1"/>
        <v>N100100554</v>
      </c>
      <c r="G64" s="1" t="s">
        <v>717</v>
      </c>
      <c r="H64">
        <v>35736.379999999997</v>
      </c>
      <c r="I64">
        <v>33391</v>
      </c>
      <c r="J64">
        <f t="shared" si="2"/>
        <v>-2345.3799999999974</v>
      </c>
      <c r="K64">
        <v>137076.1</v>
      </c>
      <c r="L64">
        <v>5462</v>
      </c>
      <c r="M64">
        <f t="shared" si="3"/>
        <v>-131614.1</v>
      </c>
      <c r="N64">
        <v>169512.86</v>
      </c>
      <c r="O64">
        <v>126206</v>
      </c>
      <c r="P64">
        <f t="shared" si="4"/>
        <v>-43306.859999999986</v>
      </c>
      <c r="Q64">
        <v>250989.3</v>
      </c>
      <c r="R64">
        <v>205259.32</v>
      </c>
      <c r="S64">
        <f t="shared" si="5"/>
        <v>-45729.979999999981</v>
      </c>
    </row>
    <row r="65" spans="1:19" x14ac:dyDescent="0.3">
      <c r="A65" s="2" t="str">
        <f xml:space="preserve"> _xll.EPMOlapMemberO("[CECO].[PARENTH3].[AMSA1001AD4524]","","AMSA1001AD4524 - Somos Choapa Op","","000")</f>
        <v>AMSA1001AD4524 - Somos Choapa Op</v>
      </c>
      <c r="B65" s="2" t="str">
        <f t="shared" si="0"/>
        <v>1001AD4524</v>
      </c>
      <c r="C65" s="2" t="str">
        <f>IFERROR(_xlfn.XLOOKUP(B65,'CECOS Corporativos'!$D:$D,'CECOS Corporativos'!$E:$E,""),"")</f>
        <v>Asuntos Públicos</v>
      </c>
      <c r="D65" s="2" t="str">
        <f>IFERROR(_xlfn.XLOOKUP(B65,'CECOS Corporativos'!$D:$D,'CECOS Corporativos'!$J:$J,""),"")</f>
        <v>VP Asuntos Corporativos</v>
      </c>
      <c r="E65" s="2" t="s">
        <v>759</v>
      </c>
      <c r="F65" s="2" t="str">
        <f t="shared" si="1"/>
        <v>N100100554</v>
      </c>
      <c r="G65" s="1" t="s">
        <v>717</v>
      </c>
      <c r="H65">
        <v>13882.53</v>
      </c>
      <c r="J65">
        <f t="shared" si="2"/>
        <v>-13882.53</v>
      </c>
      <c r="K65">
        <v>58020.68</v>
      </c>
      <c r="L65">
        <v>8203</v>
      </c>
      <c r="M65">
        <f t="shared" si="3"/>
        <v>-49817.68</v>
      </c>
      <c r="N65">
        <v>71592.3</v>
      </c>
      <c r="O65">
        <v>18029</v>
      </c>
      <c r="P65">
        <f t="shared" si="4"/>
        <v>-53563.3</v>
      </c>
      <c r="Q65">
        <v>87820.83</v>
      </c>
      <c r="R65">
        <v>61170</v>
      </c>
      <c r="S65">
        <f t="shared" si="5"/>
        <v>-26650.83</v>
      </c>
    </row>
    <row r="66" spans="1:19" x14ac:dyDescent="0.3">
      <c r="A66" s="2" t="str">
        <f xml:space="preserve"> _xll.EPMOlapMemberO("[CECO].[PARENTH3].[AMSA1001AD4524]","","AMSA1001AD4524 - Somos Choapa Op","","000")</f>
        <v>AMSA1001AD4524 - Somos Choapa Op</v>
      </c>
      <c r="B66" s="2" t="str">
        <f t="shared" si="0"/>
        <v>1001AD4524</v>
      </c>
      <c r="C66" s="2" t="str">
        <f>IFERROR(_xlfn.XLOOKUP(B66,'CECOS Corporativos'!$D:$D,'CECOS Corporativos'!$E:$E,""),"")</f>
        <v>Asuntos Públicos</v>
      </c>
      <c r="D66" s="2" t="str">
        <f>IFERROR(_xlfn.XLOOKUP(B66,'CECOS Corporativos'!$D:$D,'CECOS Corporativos'!$J:$J,""),"")</f>
        <v>VP Asuntos Corporativos</v>
      </c>
      <c r="E66" s="2" t="s">
        <v>761</v>
      </c>
      <c r="F66" s="2" t="str">
        <f t="shared" si="1"/>
        <v>N100100554</v>
      </c>
      <c r="G66" s="1" t="s">
        <v>717</v>
      </c>
      <c r="H66">
        <v>0</v>
      </c>
      <c r="J66">
        <f t="shared" si="2"/>
        <v>0</v>
      </c>
      <c r="M66">
        <f t="shared" si="3"/>
        <v>0</v>
      </c>
      <c r="P66">
        <f t="shared" si="4"/>
        <v>0</v>
      </c>
      <c r="S66">
        <f t="shared" si="5"/>
        <v>0</v>
      </c>
    </row>
    <row r="67" spans="1:19" x14ac:dyDescent="0.3">
      <c r="A67" s="2" t="str">
        <f xml:space="preserve"> _xll.EPMOlapMemberO("[CECO].[PARENTH3].[AMSA1001AD4524]","","AMSA1001AD4524 - Somos Choapa Op","","000")</f>
        <v>AMSA1001AD4524 - Somos Choapa Op</v>
      </c>
      <c r="B67" s="2" t="str">
        <f t="shared" si="0"/>
        <v>1001AD4524</v>
      </c>
      <c r="C67" s="2" t="str">
        <f>IFERROR(_xlfn.XLOOKUP(B67,'CECOS Corporativos'!$D:$D,'CECOS Corporativos'!$E:$E,""),"")</f>
        <v>Asuntos Públicos</v>
      </c>
      <c r="D67" s="2" t="str">
        <f>IFERROR(_xlfn.XLOOKUP(B67,'CECOS Corporativos'!$D:$D,'CECOS Corporativos'!$J:$J,""),"")</f>
        <v>VP Asuntos Corporativos</v>
      </c>
      <c r="E67" s="2" t="s">
        <v>756</v>
      </c>
      <c r="F67" s="2" t="str">
        <f t="shared" si="1"/>
        <v>N100100554</v>
      </c>
      <c r="G67" s="1" t="s">
        <v>717</v>
      </c>
      <c r="H67">
        <v>2489940.3199999998</v>
      </c>
      <c r="J67">
        <f t="shared" si="2"/>
        <v>-2489940.3199999998</v>
      </c>
      <c r="K67">
        <v>1839973.2</v>
      </c>
      <c r="M67">
        <f t="shared" si="3"/>
        <v>-1839973.2</v>
      </c>
      <c r="N67">
        <v>1155148.77</v>
      </c>
      <c r="P67">
        <f t="shared" si="4"/>
        <v>-1155148.77</v>
      </c>
      <c r="Q67">
        <v>1949350.84</v>
      </c>
      <c r="S67">
        <f t="shared" si="5"/>
        <v>-1949350.84</v>
      </c>
    </row>
    <row r="68" spans="1:19" x14ac:dyDescent="0.3">
      <c r="A68" s="2" t="str">
        <f xml:space="preserve"> _xll.EPMOlapMemberO("[CECO].[PARENTH3].[AMSA1001AD4525]","","AMSA1001AD4525 - Comun Exter Op","","000")</f>
        <v>AMSA1001AD4525 - Comun Exter Op</v>
      </c>
      <c r="B68" s="2" t="str">
        <f t="shared" si="0"/>
        <v>1001AD4525</v>
      </c>
      <c r="C68" s="2" t="str">
        <f>IFERROR(_xlfn.XLOOKUP(B68,'CECOS Corporativos'!$D:$D,'CECOS Corporativos'!$E:$E,""),"")</f>
        <v>Comunicaciones</v>
      </c>
      <c r="D68" s="2" t="str">
        <f>IFERROR(_xlfn.XLOOKUP(B68,'CECOS Corporativos'!$D:$D,'CECOS Corporativos'!$J:$J,""),"")</f>
        <v>VP Asuntos Corporativos</v>
      </c>
      <c r="E68" s="2" t="s">
        <v>757</v>
      </c>
      <c r="F68" s="2" t="str">
        <f t="shared" si="1"/>
        <v>N100100554</v>
      </c>
      <c r="G68" s="1" t="s">
        <v>717</v>
      </c>
      <c r="H68">
        <v>0</v>
      </c>
      <c r="J68">
        <f t="shared" si="2"/>
        <v>0</v>
      </c>
      <c r="M68">
        <f t="shared" si="3"/>
        <v>0</v>
      </c>
      <c r="P68">
        <f t="shared" si="4"/>
        <v>0</v>
      </c>
      <c r="S68">
        <f t="shared" si="5"/>
        <v>0</v>
      </c>
    </row>
    <row r="69" spans="1:19" x14ac:dyDescent="0.3">
      <c r="A69" s="2" t="str">
        <f xml:space="preserve"> _xll.EPMOlapMemberO("[CECO].[PARENTH3].[AMSA1001AD4525]","","AMSA1001AD4525 - Comun Exter Op","","000")</f>
        <v>AMSA1001AD4525 - Comun Exter Op</v>
      </c>
      <c r="B69" s="2" t="str">
        <f t="shared" si="0"/>
        <v>1001AD4525</v>
      </c>
      <c r="C69" s="2" t="str">
        <f>IFERROR(_xlfn.XLOOKUP(B69,'CECOS Corporativos'!$D:$D,'CECOS Corporativos'!$E:$E,""),"")</f>
        <v>Comunicaciones</v>
      </c>
      <c r="D69" s="2" t="str">
        <f>IFERROR(_xlfn.XLOOKUP(B69,'CECOS Corporativos'!$D:$D,'CECOS Corporativos'!$J:$J,""),"")</f>
        <v>VP Asuntos Corporativos</v>
      </c>
      <c r="E69" s="2" t="s">
        <v>758</v>
      </c>
      <c r="F69" s="2" t="str">
        <f t="shared" si="1"/>
        <v>N100100554</v>
      </c>
      <c r="G69" s="1" t="s">
        <v>717</v>
      </c>
      <c r="I69">
        <v>439405</v>
      </c>
      <c r="J69">
        <f t="shared" si="2"/>
        <v>439405</v>
      </c>
      <c r="K69">
        <v>-0.2</v>
      </c>
      <c r="L69">
        <v>437806</v>
      </c>
      <c r="M69">
        <f t="shared" si="3"/>
        <v>437806.2</v>
      </c>
      <c r="O69">
        <v>498814</v>
      </c>
      <c r="P69">
        <f t="shared" si="4"/>
        <v>498814</v>
      </c>
      <c r="R69">
        <v>589804.79</v>
      </c>
      <c r="S69">
        <f t="shared" si="5"/>
        <v>589804.79</v>
      </c>
    </row>
    <row r="70" spans="1:19" x14ac:dyDescent="0.3">
      <c r="A70" s="2" t="str">
        <f xml:space="preserve"> _xll.EPMOlapMemberO("[CECO].[PARENTH3].[AMSA1001AD4525]","","AMSA1001AD4525 - Comun Exter Op","","000")</f>
        <v>AMSA1001AD4525 - Comun Exter Op</v>
      </c>
      <c r="B70" s="2" t="str">
        <f t="shared" si="0"/>
        <v>1001AD4525</v>
      </c>
      <c r="C70" s="2" t="str">
        <f>IFERROR(_xlfn.XLOOKUP(B70,'CECOS Corporativos'!$D:$D,'CECOS Corporativos'!$E:$E,""),"")</f>
        <v>Comunicaciones</v>
      </c>
      <c r="D70" s="2" t="str">
        <f>IFERROR(_xlfn.XLOOKUP(B70,'CECOS Corporativos'!$D:$D,'CECOS Corporativos'!$J:$J,""),"")</f>
        <v>VP Asuntos Corporativos</v>
      </c>
      <c r="E70" s="2" t="s">
        <v>763</v>
      </c>
      <c r="F70" s="2" t="str">
        <f t="shared" si="1"/>
        <v>N100100554</v>
      </c>
      <c r="G70" s="1" t="s">
        <v>717</v>
      </c>
      <c r="I70">
        <v>354458</v>
      </c>
      <c r="J70">
        <f t="shared" si="2"/>
        <v>354458</v>
      </c>
      <c r="K70">
        <v>68525.34</v>
      </c>
      <c r="L70">
        <v>177855</v>
      </c>
      <c r="M70">
        <f t="shared" si="3"/>
        <v>109329.66</v>
      </c>
      <c r="N70">
        <v>-217.25</v>
      </c>
      <c r="O70">
        <v>163467</v>
      </c>
      <c r="P70">
        <f t="shared" si="4"/>
        <v>163684.25</v>
      </c>
      <c r="R70">
        <v>90395.68</v>
      </c>
      <c r="S70">
        <f t="shared" si="5"/>
        <v>90395.68</v>
      </c>
    </row>
    <row r="71" spans="1:19" x14ac:dyDescent="0.3">
      <c r="A71" s="2" t="str">
        <f xml:space="preserve"> _xll.EPMOlapMemberO("[CECO].[PARENTH3].[AMSA1001AD4525]","","AMSA1001AD4525 - Comun Exter Op","","000")</f>
        <v>AMSA1001AD4525 - Comun Exter Op</v>
      </c>
      <c r="B71" s="2" t="str">
        <f t="shared" si="0"/>
        <v>1001AD4525</v>
      </c>
      <c r="C71" s="2" t="str">
        <f>IFERROR(_xlfn.XLOOKUP(B71,'CECOS Corporativos'!$D:$D,'CECOS Corporativos'!$E:$E,""),"")</f>
        <v>Comunicaciones</v>
      </c>
      <c r="D71" s="2" t="str">
        <f>IFERROR(_xlfn.XLOOKUP(B71,'CECOS Corporativos'!$D:$D,'CECOS Corporativos'!$J:$J,""),"")</f>
        <v>VP Asuntos Corporativos</v>
      </c>
      <c r="E71" s="2" t="s">
        <v>759</v>
      </c>
      <c r="F71" s="2" t="str">
        <f t="shared" si="1"/>
        <v>N100100554</v>
      </c>
      <c r="G71" s="1" t="s">
        <v>717</v>
      </c>
      <c r="H71">
        <v>256.38</v>
      </c>
      <c r="J71">
        <f t="shared" si="2"/>
        <v>-256.38</v>
      </c>
      <c r="M71">
        <f t="shared" si="3"/>
        <v>0</v>
      </c>
      <c r="P71">
        <f t="shared" si="4"/>
        <v>0</v>
      </c>
      <c r="S71">
        <f t="shared" si="5"/>
        <v>0</v>
      </c>
    </row>
    <row r="72" spans="1:19" x14ac:dyDescent="0.3">
      <c r="A72" s="2" t="str">
        <f xml:space="preserve"> _xll.EPMOlapMemberO("[CECO].[PARENTH3].[AMSA1001AD4525]","","AMSA1001AD4525 - Comun Exter Op","","000")</f>
        <v>AMSA1001AD4525 - Comun Exter Op</v>
      </c>
      <c r="B72" s="2" t="str">
        <f t="shared" si="0"/>
        <v>1001AD4525</v>
      </c>
      <c r="C72" s="2" t="str">
        <f>IFERROR(_xlfn.XLOOKUP(B72,'CECOS Corporativos'!$D:$D,'CECOS Corporativos'!$E:$E,""),"")</f>
        <v>Comunicaciones</v>
      </c>
      <c r="D72" s="2" t="str">
        <f>IFERROR(_xlfn.XLOOKUP(B72,'CECOS Corporativos'!$D:$D,'CECOS Corporativos'!$J:$J,""),"")</f>
        <v>VP Asuntos Corporativos</v>
      </c>
      <c r="E72" s="2" t="s">
        <v>756</v>
      </c>
      <c r="F72" s="2" t="str">
        <f t="shared" si="1"/>
        <v>N100100554</v>
      </c>
      <c r="G72" s="1" t="s">
        <v>717</v>
      </c>
      <c r="H72">
        <v>618942.79</v>
      </c>
      <c r="J72">
        <f t="shared" si="2"/>
        <v>-618942.79</v>
      </c>
      <c r="K72">
        <v>832436.94</v>
      </c>
      <c r="M72">
        <f t="shared" si="3"/>
        <v>-832436.94</v>
      </c>
      <c r="N72">
        <v>598236.41</v>
      </c>
      <c r="P72">
        <f t="shared" si="4"/>
        <v>-598236.41</v>
      </c>
      <c r="Q72">
        <v>647595.74</v>
      </c>
      <c r="S72">
        <f t="shared" si="5"/>
        <v>-647595.74</v>
      </c>
    </row>
    <row r="73" spans="1:19" x14ac:dyDescent="0.3">
      <c r="A73" s="2" t="str">
        <f xml:space="preserve"> _xll.EPMOlapMemberO("[CECO].[PARENTH3].[AMSA1001AD4526]","","AMSA1001AD4526 - Comunidades Op","","000")</f>
        <v>AMSA1001AD4526 - Comunidades Op</v>
      </c>
      <c r="B73" s="2" t="str">
        <f t="shared" si="0"/>
        <v>1001AD4526</v>
      </c>
      <c r="C73" s="2" t="str">
        <f>IFERROR(_xlfn.XLOOKUP(B73,'CECOS Corporativos'!$D:$D,'CECOS Corporativos'!$E:$E,""),"")</f>
        <v>Asuntos Públicos</v>
      </c>
      <c r="D73" s="2" t="str">
        <f>IFERROR(_xlfn.XLOOKUP(B73,'CECOS Corporativos'!$D:$D,'CECOS Corporativos'!$J:$J,""),"")</f>
        <v>VP Asuntos Corporativos</v>
      </c>
      <c r="E73" s="2" t="s">
        <v>768</v>
      </c>
      <c r="F73" s="2" t="str">
        <f t="shared" si="1"/>
        <v>N100100554</v>
      </c>
      <c r="G73" s="1" t="s">
        <v>717</v>
      </c>
      <c r="H73">
        <v>0</v>
      </c>
      <c r="J73">
        <f t="shared" si="2"/>
        <v>0</v>
      </c>
      <c r="M73">
        <f t="shared" si="3"/>
        <v>0</v>
      </c>
      <c r="P73">
        <f t="shared" si="4"/>
        <v>0</v>
      </c>
      <c r="S73">
        <f t="shared" si="5"/>
        <v>0</v>
      </c>
    </row>
    <row r="74" spans="1:19" x14ac:dyDescent="0.3">
      <c r="A74" s="2" t="str">
        <f xml:space="preserve"> _xll.EPMOlapMemberO("[CECO].[PARENTH3].[AMSA1001AD4526]","","AMSA1001AD4526 - Comunidades Op","","000")</f>
        <v>AMSA1001AD4526 - Comunidades Op</v>
      </c>
      <c r="B74" s="2" t="str">
        <f t="shared" ref="B74:B137" si="6">IFERROR(SUBSTITUTE(TRIM(LEFT(A74,FIND("-",A74)-1)),"AMSA",""),"")</f>
        <v>1001AD4526</v>
      </c>
      <c r="C74" s="2" t="str">
        <f>IFERROR(_xlfn.XLOOKUP(B74,'CECOS Corporativos'!$D:$D,'CECOS Corporativos'!$E:$E,""),"")</f>
        <v>Asuntos Públicos</v>
      </c>
      <c r="D74" s="2" t="str">
        <f>IFERROR(_xlfn.XLOOKUP(B74,'CECOS Corporativos'!$D:$D,'CECOS Corporativos'!$J:$J,""),"")</f>
        <v>VP Asuntos Corporativos</v>
      </c>
      <c r="E74" s="2" t="s">
        <v>762</v>
      </c>
      <c r="F74" s="2" t="str">
        <f t="shared" ref="F74:F137" si="7">IFERROR(TRIM(LEFT(G74,FIND("-",G74)-1)),"")</f>
        <v>N100100554</v>
      </c>
      <c r="G74" s="1" t="s">
        <v>717</v>
      </c>
      <c r="H74">
        <v>1141.04</v>
      </c>
      <c r="J74">
        <f t="shared" ref="J74:J137" si="8">I74-H74</f>
        <v>-1141.04</v>
      </c>
      <c r="K74">
        <v>382.95</v>
      </c>
      <c r="M74">
        <f t="shared" ref="M74:M137" si="9">L74-K74</f>
        <v>-382.95</v>
      </c>
      <c r="P74">
        <f t="shared" ref="P74:P137" si="10">O74-N74</f>
        <v>0</v>
      </c>
      <c r="Q74">
        <v>230.03</v>
      </c>
      <c r="S74">
        <f t="shared" ref="S74:S137" si="11">R74-Q74</f>
        <v>-230.03</v>
      </c>
    </row>
    <row r="75" spans="1:19" x14ac:dyDescent="0.3">
      <c r="A75" s="2" t="str">
        <f xml:space="preserve"> _xll.EPMOlapMemberO("[CECO].[PARENTH3].[AMSA1001AD4526]","","AMSA1001AD4526 - Comunidades Op","","000")</f>
        <v>AMSA1001AD4526 - Comunidades Op</v>
      </c>
      <c r="B75" s="2" t="str">
        <f t="shared" si="6"/>
        <v>1001AD4526</v>
      </c>
      <c r="C75" s="2" t="str">
        <f>IFERROR(_xlfn.XLOOKUP(B75,'CECOS Corporativos'!$D:$D,'CECOS Corporativos'!$E:$E,""),"")</f>
        <v>Asuntos Públicos</v>
      </c>
      <c r="D75" s="2" t="str">
        <f>IFERROR(_xlfn.XLOOKUP(B75,'CECOS Corporativos'!$D:$D,'CECOS Corporativos'!$J:$J,""),"")</f>
        <v>VP Asuntos Corporativos</v>
      </c>
      <c r="E75" s="2" t="s">
        <v>758</v>
      </c>
      <c r="F75" s="2" t="str">
        <f t="shared" si="7"/>
        <v>N100100554</v>
      </c>
      <c r="G75" s="1" t="s">
        <v>717</v>
      </c>
      <c r="H75">
        <v>1140192.01</v>
      </c>
      <c r="I75">
        <v>1046736</v>
      </c>
      <c r="J75">
        <f t="shared" si="8"/>
        <v>-93456.010000000009</v>
      </c>
      <c r="K75">
        <v>1446736.01</v>
      </c>
      <c r="L75">
        <v>877132</v>
      </c>
      <c r="M75">
        <f t="shared" si="9"/>
        <v>-569604.01</v>
      </c>
      <c r="N75">
        <v>2163463.34</v>
      </c>
      <c r="O75">
        <v>1542363</v>
      </c>
      <c r="P75">
        <f t="shared" si="10"/>
        <v>-621100.33999999985</v>
      </c>
      <c r="Q75">
        <v>2151188.31</v>
      </c>
      <c r="R75">
        <v>2347798.2400000002</v>
      </c>
      <c r="S75">
        <f t="shared" si="11"/>
        <v>196609.93000000017</v>
      </c>
    </row>
    <row r="76" spans="1:19" x14ac:dyDescent="0.3">
      <c r="A76" s="2" t="str">
        <f xml:space="preserve"> _xll.EPMOlapMemberO("[CECO].[PARENTH3].[AMSA1001AD4526]","","AMSA1001AD4526 - Comunidades Op","","000")</f>
        <v>AMSA1001AD4526 - Comunidades Op</v>
      </c>
      <c r="B76" s="2" t="str">
        <f t="shared" si="6"/>
        <v>1001AD4526</v>
      </c>
      <c r="C76" s="2" t="str">
        <f>IFERROR(_xlfn.XLOOKUP(B76,'CECOS Corporativos'!$D:$D,'CECOS Corporativos'!$E:$E,""),"")</f>
        <v>Asuntos Públicos</v>
      </c>
      <c r="D76" s="2" t="str">
        <f>IFERROR(_xlfn.XLOOKUP(B76,'CECOS Corporativos'!$D:$D,'CECOS Corporativos'!$J:$J,""),"")</f>
        <v>VP Asuntos Corporativos</v>
      </c>
      <c r="E76" s="2" t="s">
        <v>759</v>
      </c>
      <c r="F76" s="2" t="str">
        <f t="shared" si="7"/>
        <v>N100100554</v>
      </c>
      <c r="G76" s="1" t="s">
        <v>717</v>
      </c>
      <c r="H76">
        <v>5027.05</v>
      </c>
      <c r="J76">
        <f t="shared" si="8"/>
        <v>-5027.05</v>
      </c>
      <c r="K76">
        <v>35598.99</v>
      </c>
      <c r="L76">
        <v>5468</v>
      </c>
      <c r="M76">
        <f t="shared" si="9"/>
        <v>-30130.989999999998</v>
      </c>
      <c r="N76">
        <v>3093.95</v>
      </c>
      <c r="O76">
        <v>18029</v>
      </c>
      <c r="P76">
        <f t="shared" si="10"/>
        <v>14935.05</v>
      </c>
      <c r="Q76">
        <v>681.59</v>
      </c>
      <c r="S76">
        <f t="shared" si="11"/>
        <v>-681.59</v>
      </c>
    </row>
    <row r="77" spans="1:19" x14ac:dyDescent="0.3">
      <c r="A77" s="2" t="str">
        <f xml:space="preserve"> _xll.EPMOlapMemberO("[CECO].[PARENTH3].[AMSA1001AD4526]","","AMSA1001AD4526 - Comunidades Op","","000")</f>
        <v>AMSA1001AD4526 - Comunidades Op</v>
      </c>
      <c r="B77" s="2" t="str">
        <f t="shared" si="6"/>
        <v>1001AD4526</v>
      </c>
      <c r="C77" s="2" t="str">
        <f>IFERROR(_xlfn.XLOOKUP(B77,'CECOS Corporativos'!$D:$D,'CECOS Corporativos'!$E:$E,""),"")</f>
        <v>Asuntos Públicos</v>
      </c>
      <c r="D77" s="2" t="str">
        <f>IFERROR(_xlfn.XLOOKUP(B77,'CECOS Corporativos'!$D:$D,'CECOS Corporativos'!$J:$J,""),"")</f>
        <v>VP Asuntos Corporativos</v>
      </c>
      <c r="E77" s="2" t="s">
        <v>761</v>
      </c>
      <c r="F77" s="2" t="str">
        <f t="shared" si="7"/>
        <v>N100100554</v>
      </c>
      <c r="G77" s="1" t="s">
        <v>717</v>
      </c>
      <c r="H77">
        <v>0</v>
      </c>
      <c r="J77">
        <f t="shared" si="8"/>
        <v>0</v>
      </c>
      <c r="M77">
        <f t="shared" si="9"/>
        <v>0</v>
      </c>
      <c r="P77">
        <f t="shared" si="10"/>
        <v>0</v>
      </c>
      <c r="S77">
        <f t="shared" si="11"/>
        <v>0</v>
      </c>
    </row>
    <row r="78" spans="1:19" x14ac:dyDescent="0.3">
      <c r="A78" s="2" t="str">
        <f xml:space="preserve"> _xll.EPMOlapMemberO("[CECO].[PARENTH3].[AMSA1001AD4526]","","AMSA1001AD4526 - Comunidades Op","","000")</f>
        <v>AMSA1001AD4526 - Comunidades Op</v>
      </c>
      <c r="B78" s="2" t="str">
        <f t="shared" si="6"/>
        <v>1001AD4526</v>
      </c>
      <c r="C78" s="2" t="str">
        <f>IFERROR(_xlfn.XLOOKUP(B78,'CECOS Corporativos'!$D:$D,'CECOS Corporativos'!$E:$E,""),"")</f>
        <v>Asuntos Públicos</v>
      </c>
      <c r="D78" s="2" t="str">
        <f>IFERROR(_xlfn.XLOOKUP(B78,'CECOS Corporativos'!$D:$D,'CECOS Corporativos'!$J:$J,""),"")</f>
        <v>VP Asuntos Corporativos</v>
      </c>
      <c r="E78" s="2" t="s">
        <v>756</v>
      </c>
      <c r="F78" s="2" t="str">
        <f t="shared" si="7"/>
        <v>N100100554</v>
      </c>
      <c r="G78" s="1" t="s">
        <v>717</v>
      </c>
      <c r="H78">
        <v>47517.75</v>
      </c>
      <c r="J78">
        <f t="shared" si="8"/>
        <v>-47517.75</v>
      </c>
      <c r="K78">
        <v>1023.63</v>
      </c>
      <c r="M78">
        <f t="shared" si="9"/>
        <v>-1023.63</v>
      </c>
      <c r="N78">
        <v>455755.41</v>
      </c>
      <c r="P78">
        <f t="shared" si="10"/>
        <v>-455755.41</v>
      </c>
      <c r="Q78">
        <v>122995.09</v>
      </c>
      <c r="S78">
        <f t="shared" si="11"/>
        <v>-122995.09</v>
      </c>
    </row>
    <row r="79" spans="1:19" x14ac:dyDescent="0.3">
      <c r="A79" s="2" t="str">
        <f xml:space="preserve"> _xll.EPMOlapMemberO("[CECO].[PARENTH3].[AMSA1001AD4541]","","AMSA1001AD4541 - Comunicaciones Corp","","000")</f>
        <v>AMSA1001AD4541 - Comunicaciones Corp</v>
      </c>
      <c r="B79" s="2" t="str">
        <f t="shared" si="6"/>
        <v>1001AD4541</v>
      </c>
      <c r="C79" s="2" t="str">
        <f>IFERROR(_xlfn.XLOOKUP(B79,'CECOS Corporativos'!$D:$D,'CECOS Corporativos'!$E:$E,""),"")</f>
        <v>Comunicaciones Corporativo</v>
      </c>
      <c r="D79" s="2" t="str">
        <f>IFERROR(_xlfn.XLOOKUP(B79,'CECOS Corporativos'!$D:$D,'CECOS Corporativos'!$J:$J,""),"")</f>
        <v>VP Asuntos Corporativos</v>
      </c>
      <c r="E79" s="2" t="s">
        <v>766</v>
      </c>
      <c r="F79" s="2" t="str">
        <f t="shared" si="7"/>
        <v>N100100554</v>
      </c>
      <c r="G79" s="1" t="s">
        <v>717</v>
      </c>
      <c r="J79">
        <f t="shared" si="8"/>
        <v>0</v>
      </c>
      <c r="M79">
        <f t="shared" si="9"/>
        <v>0</v>
      </c>
      <c r="P79">
        <f t="shared" si="10"/>
        <v>0</v>
      </c>
      <c r="Q79">
        <v>108.48</v>
      </c>
      <c r="S79">
        <f t="shared" si="11"/>
        <v>-108.48</v>
      </c>
    </row>
    <row r="80" spans="1:19" x14ac:dyDescent="0.3">
      <c r="A80" s="2" t="str">
        <f xml:space="preserve"> _xll.EPMOlapMemberO("[CECO].[PARENTH3].[AMSA1001AD4541]","","AMSA1001AD4541 - Comunicaciones Corp","","000")</f>
        <v>AMSA1001AD4541 - Comunicaciones Corp</v>
      </c>
      <c r="B80" s="2" t="str">
        <f t="shared" si="6"/>
        <v>1001AD4541</v>
      </c>
      <c r="C80" s="2" t="str">
        <f>IFERROR(_xlfn.XLOOKUP(B80,'CECOS Corporativos'!$D:$D,'CECOS Corporativos'!$E:$E,""),"")</f>
        <v>Comunicaciones Corporativo</v>
      </c>
      <c r="D80" s="2" t="str">
        <f>IFERROR(_xlfn.XLOOKUP(B80,'CECOS Corporativos'!$D:$D,'CECOS Corporativos'!$J:$J,""),"")</f>
        <v>VP Asuntos Corporativos</v>
      </c>
      <c r="E80" s="2" t="s">
        <v>757</v>
      </c>
      <c r="F80" s="2" t="str">
        <f t="shared" si="7"/>
        <v>N100100554</v>
      </c>
      <c r="G80" s="1" t="s">
        <v>717</v>
      </c>
      <c r="J80">
        <f t="shared" si="8"/>
        <v>0</v>
      </c>
      <c r="M80">
        <f t="shared" si="9"/>
        <v>0</v>
      </c>
      <c r="N80">
        <v>92514.6</v>
      </c>
      <c r="O80">
        <v>43332</v>
      </c>
      <c r="P80">
        <f t="shared" si="10"/>
        <v>-49182.600000000006</v>
      </c>
      <c r="Q80">
        <v>210.34</v>
      </c>
      <c r="S80">
        <f t="shared" si="11"/>
        <v>-210.34</v>
      </c>
    </row>
    <row r="81" spans="1:19" x14ac:dyDescent="0.3">
      <c r="A81" s="2" t="str">
        <f xml:space="preserve"> _xll.EPMOlapMemberO("[CECO].[PARENTH3].[AMSA1001AD4541]","","AMSA1001AD4541 - Comunicaciones Corp","","000")</f>
        <v>AMSA1001AD4541 - Comunicaciones Corp</v>
      </c>
      <c r="B81" s="2" t="str">
        <f t="shared" si="6"/>
        <v>1001AD4541</v>
      </c>
      <c r="C81" s="2" t="str">
        <f>IFERROR(_xlfn.XLOOKUP(B81,'CECOS Corporativos'!$D:$D,'CECOS Corporativos'!$E:$E,""),"")</f>
        <v>Comunicaciones Corporativo</v>
      </c>
      <c r="D81" s="2" t="str">
        <f>IFERROR(_xlfn.XLOOKUP(B81,'CECOS Corporativos'!$D:$D,'CECOS Corporativos'!$J:$J,""),"")</f>
        <v>VP Asuntos Corporativos</v>
      </c>
      <c r="E81" s="2" t="s">
        <v>763</v>
      </c>
      <c r="F81" s="2" t="str">
        <f t="shared" si="7"/>
        <v>N100100554</v>
      </c>
      <c r="G81" s="1" t="s">
        <v>717</v>
      </c>
      <c r="J81">
        <f t="shared" si="8"/>
        <v>0</v>
      </c>
      <c r="M81">
        <f t="shared" si="9"/>
        <v>0</v>
      </c>
      <c r="O81">
        <v>44440</v>
      </c>
      <c r="P81">
        <f t="shared" si="10"/>
        <v>44440</v>
      </c>
      <c r="Q81">
        <v>10933.44</v>
      </c>
      <c r="R81">
        <v>98815.53</v>
      </c>
      <c r="S81">
        <f t="shared" si="11"/>
        <v>87882.09</v>
      </c>
    </row>
    <row r="82" spans="1:19" x14ac:dyDescent="0.3">
      <c r="A82" s="2" t="str">
        <f xml:space="preserve"> _xll.EPMOlapMemberO("[CECO].[PARENTH3].[AMSA1001AD4541]","","AMSA1001AD4541 - Comunicaciones Corp","","000")</f>
        <v>AMSA1001AD4541 - Comunicaciones Corp</v>
      </c>
      <c r="B82" s="2" t="str">
        <f t="shared" si="6"/>
        <v>1001AD4541</v>
      </c>
      <c r="C82" s="2" t="str">
        <f>IFERROR(_xlfn.XLOOKUP(B82,'CECOS Corporativos'!$D:$D,'CECOS Corporativos'!$E:$E,""),"")</f>
        <v>Comunicaciones Corporativo</v>
      </c>
      <c r="D82" s="2" t="str">
        <f>IFERROR(_xlfn.XLOOKUP(B82,'CECOS Corporativos'!$D:$D,'CECOS Corporativos'!$J:$J,""),"")</f>
        <v>VP Asuntos Corporativos</v>
      </c>
      <c r="E82" s="2" t="s">
        <v>759</v>
      </c>
      <c r="F82" s="2" t="str">
        <f t="shared" si="7"/>
        <v>N100100554</v>
      </c>
      <c r="G82" s="1" t="s">
        <v>717</v>
      </c>
      <c r="J82">
        <f t="shared" si="8"/>
        <v>0</v>
      </c>
      <c r="M82">
        <f t="shared" si="9"/>
        <v>0</v>
      </c>
      <c r="P82">
        <f t="shared" si="10"/>
        <v>0</v>
      </c>
      <c r="Q82">
        <v>67.260000000000005</v>
      </c>
      <c r="S82">
        <f t="shared" si="11"/>
        <v>-67.260000000000005</v>
      </c>
    </row>
    <row r="83" spans="1:19" x14ac:dyDescent="0.3">
      <c r="A83" s="2" t="str">
        <f xml:space="preserve"> _xll.EPMOlapMemberO("[CECO].[PARENTH3].[AMSA1001AD4541]","","AMSA1001AD4541 - Comunicaciones Corp","","000")</f>
        <v>AMSA1001AD4541 - Comunicaciones Corp</v>
      </c>
      <c r="B83" s="2" t="str">
        <f t="shared" si="6"/>
        <v>1001AD4541</v>
      </c>
      <c r="C83" s="2" t="str">
        <f>IFERROR(_xlfn.XLOOKUP(B83,'CECOS Corporativos'!$D:$D,'CECOS Corporativos'!$E:$E,""),"")</f>
        <v>Comunicaciones Corporativo</v>
      </c>
      <c r="D83" s="2" t="str">
        <f>IFERROR(_xlfn.XLOOKUP(B83,'CECOS Corporativos'!$D:$D,'CECOS Corporativos'!$J:$J,""),"")</f>
        <v>VP Asuntos Corporativos</v>
      </c>
      <c r="E83" s="2" t="s">
        <v>761</v>
      </c>
      <c r="F83" s="2" t="str">
        <f t="shared" si="7"/>
        <v>N100100554</v>
      </c>
      <c r="G83" s="1" t="s">
        <v>717</v>
      </c>
      <c r="J83">
        <f t="shared" si="8"/>
        <v>0</v>
      </c>
      <c r="M83">
        <f t="shared" si="9"/>
        <v>0</v>
      </c>
      <c r="N83">
        <v>193865.39</v>
      </c>
      <c r="O83">
        <v>235755</v>
      </c>
      <c r="P83">
        <f t="shared" si="10"/>
        <v>41889.609999999986</v>
      </c>
      <c r="Q83">
        <v>467654.84</v>
      </c>
      <c r="R83">
        <v>309461.71999999997</v>
      </c>
      <c r="S83">
        <f t="shared" si="11"/>
        <v>-158193.12000000005</v>
      </c>
    </row>
    <row r="84" spans="1:19" x14ac:dyDescent="0.3">
      <c r="A84" s="2" t="str">
        <f xml:space="preserve"> _xll.EPMOlapMemberO("[CECO].[PARENTH3].[AMSA1001AD4542]","","AMSA1001AD4542 - AAPP Corporativo","","000")</f>
        <v>AMSA1001AD4542 - AAPP Corporativo</v>
      </c>
      <c r="B84" s="2" t="str">
        <f t="shared" si="6"/>
        <v>1001AD4542</v>
      </c>
      <c r="C84" s="2" t="str">
        <f>IFERROR(_xlfn.XLOOKUP(B84,'CECOS Corporativos'!$D:$D,'CECOS Corporativos'!$E:$E,""),"")</f>
        <v>AAPP Corporativo</v>
      </c>
      <c r="D84" s="2" t="str">
        <f>IFERROR(_xlfn.XLOOKUP(B84,'CECOS Corporativos'!$D:$D,'CECOS Corporativos'!$J:$J,""),"")</f>
        <v>VP Asuntos Corporativos</v>
      </c>
      <c r="E84" s="2" t="s">
        <v>766</v>
      </c>
      <c r="F84" s="2" t="str">
        <f t="shared" si="7"/>
        <v>N100100554</v>
      </c>
      <c r="G84" s="1" t="s">
        <v>717</v>
      </c>
      <c r="J84">
        <f t="shared" si="8"/>
        <v>0</v>
      </c>
      <c r="M84">
        <f t="shared" si="9"/>
        <v>0</v>
      </c>
      <c r="N84">
        <v>0.34</v>
      </c>
      <c r="P84">
        <f t="shared" si="10"/>
        <v>-0.34</v>
      </c>
      <c r="S84">
        <f t="shared" si="11"/>
        <v>0</v>
      </c>
    </row>
    <row r="85" spans="1:19" x14ac:dyDescent="0.3">
      <c r="A85" s="2" t="str">
        <f xml:space="preserve"> _xll.EPMOlapMemberO("[CECO].[PARENTH3].[AMSA1001AD4542]","","AMSA1001AD4542 - AAPP Corporativo","","000")</f>
        <v>AMSA1001AD4542 - AAPP Corporativo</v>
      </c>
      <c r="B85" s="2" t="str">
        <f t="shared" si="6"/>
        <v>1001AD4542</v>
      </c>
      <c r="C85" s="2" t="str">
        <f>IFERROR(_xlfn.XLOOKUP(B85,'CECOS Corporativos'!$D:$D,'CECOS Corporativos'!$E:$E,""),"")</f>
        <v>AAPP Corporativo</v>
      </c>
      <c r="D85" s="2" t="str">
        <f>IFERROR(_xlfn.XLOOKUP(B85,'CECOS Corporativos'!$D:$D,'CECOS Corporativos'!$J:$J,""),"")</f>
        <v>VP Asuntos Corporativos</v>
      </c>
      <c r="E85" s="2" t="s">
        <v>757</v>
      </c>
      <c r="F85" s="2" t="str">
        <f t="shared" si="7"/>
        <v>N100100554</v>
      </c>
      <c r="G85" s="1" t="s">
        <v>717</v>
      </c>
      <c r="J85">
        <f t="shared" si="8"/>
        <v>0</v>
      </c>
      <c r="M85">
        <f t="shared" si="9"/>
        <v>0</v>
      </c>
      <c r="N85">
        <v>205174.12</v>
      </c>
      <c r="O85">
        <v>181952</v>
      </c>
      <c r="P85">
        <f t="shared" si="10"/>
        <v>-23222.119999999995</v>
      </c>
      <c r="Q85">
        <v>149889.07999999999</v>
      </c>
      <c r="R85">
        <v>176648.68</v>
      </c>
      <c r="S85">
        <f t="shared" si="11"/>
        <v>26759.600000000006</v>
      </c>
    </row>
    <row r="86" spans="1:19" x14ac:dyDescent="0.3">
      <c r="A86" s="2" t="str">
        <f xml:space="preserve"> _xll.EPMOlapMemberO("[CECO].[PARENTH3].[AMSA1001AD4542]","","AMSA1001AD4542 - AAPP Corporativo","","000")</f>
        <v>AMSA1001AD4542 - AAPP Corporativo</v>
      </c>
      <c r="B86" s="2" t="str">
        <f t="shared" si="6"/>
        <v>1001AD4542</v>
      </c>
      <c r="C86" s="2" t="str">
        <f>IFERROR(_xlfn.XLOOKUP(B86,'CECOS Corporativos'!$D:$D,'CECOS Corporativos'!$E:$E,""),"")</f>
        <v>AAPP Corporativo</v>
      </c>
      <c r="D86" s="2" t="str">
        <f>IFERROR(_xlfn.XLOOKUP(B86,'CECOS Corporativos'!$D:$D,'CECOS Corporativos'!$J:$J,""),"")</f>
        <v>VP Asuntos Corporativos</v>
      </c>
      <c r="E86" s="2" t="s">
        <v>758</v>
      </c>
      <c r="F86" s="2" t="str">
        <f t="shared" si="7"/>
        <v>N100100554</v>
      </c>
      <c r="G86" s="1" t="s">
        <v>717</v>
      </c>
      <c r="J86">
        <f t="shared" si="8"/>
        <v>0</v>
      </c>
      <c r="M86">
        <f t="shared" si="9"/>
        <v>0</v>
      </c>
      <c r="N86">
        <v>-6779.52</v>
      </c>
      <c r="P86">
        <f t="shared" si="10"/>
        <v>6779.52</v>
      </c>
      <c r="Q86">
        <v>50.94</v>
      </c>
      <c r="S86">
        <f t="shared" si="11"/>
        <v>-50.94</v>
      </c>
    </row>
    <row r="87" spans="1:19" x14ac:dyDescent="0.3">
      <c r="A87" s="2" t="str">
        <f xml:space="preserve"> _xll.EPMOlapMemberO("[CECO].[PARENTH3].[AMSA1001AD4542]","","AMSA1001AD4542 - AAPP Corporativo","","000")</f>
        <v>AMSA1001AD4542 - AAPP Corporativo</v>
      </c>
      <c r="B87" s="2" t="str">
        <f t="shared" si="6"/>
        <v>1001AD4542</v>
      </c>
      <c r="C87" s="2" t="str">
        <f>IFERROR(_xlfn.XLOOKUP(B87,'CECOS Corporativos'!$D:$D,'CECOS Corporativos'!$E:$E,""),"")</f>
        <v>AAPP Corporativo</v>
      </c>
      <c r="D87" s="2" t="str">
        <f>IFERROR(_xlfn.XLOOKUP(B87,'CECOS Corporativos'!$D:$D,'CECOS Corporativos'!$J:$J,""),"")</f>
        <v>VP Asuntos Corporativos</v>
      </c>
      <c r="E87" s="2" t="s">
        <v>759</v>
      </c>
      <c r="F87" s="2" t="str">
        <f t="shared" si="7"/>
        <v>N100100554</v>
      </c>
      <c r="G87" s="1" t="s">
        <v>717</v>
      </c>
      <c r="J87">
        <f t="shared" si="8"/>
        <v>0</v>
      </c>
      <c r="M87">
        <f t="shared" si="9"/>
        <v>0</v>
      </c>
      <c r="N87">
        <v>2754.08</v>
      </c>
      <c r="P87">
        <f t="shared" si="10"/>
        <v>-2754.08</v>
      </c>
      <c r="Q87">
        <v>10163.82</v>
      </c>
      <c r="S87">
        <f t="shared" si="11"/>
        <v>-10163.82</v>
      </c>
    </row>
    <row r="88" spans="1:19" x14ac:dyDescent="0.3">
      <c r="A88" s="2" t="str">
        <f xml:space="preserve"> _xll.EPMOlapMemberO("[CECO].[PARENTH3].[AMSA1001AD4542]","","AMSA1001AD4542 - AAPP Corporativo","","000")</f>
        <v>AMSA1001AD4542 - AAPP Corporativo</v>
      </c>
      <c r="B88" s="2" t="str">
        <f t="shared" si="6"/>
        <v>1001AD4542</v>
      </c>
      <c r="C88" s="2" t="str">
        <f>IFERROR(_xlfn.XLOOKUP(B88,'CECOS Corporativos'!$D:$D,'CECOS Corporativos'!$E:$E,""),"")</f>
        <v>AAPP Corporativo</v>
      </c>
      <c r="D88" s="2" t="str">
        <f>IFERROR(_xlfn.XLOOKUP(B88,'CECOS Corporativos'!$D:$D,'CECOS Corporativos'!$J:$J,""),"")</f>
        <v>VP Asuntos Corporativos</v>
      </c>
      <c r="E88" s="2" t="s">
        <v>760</v>
      </c>
      <c r="F88" s="2" t="str">
        <f t="shared" si="7"/>
        <v>N100100554</v>
      </c>
      <c r="G88" s="1" t="s">
        <v>717</v>
      </c>
      <c r="J88">
        <f t="shared" si="8"/>
        <v>0</v>
      </c>
      <c r="M88">
        <f t="shared" si="9"/>
        <v>0</v>
      </c>
      <c r="N88">
        <v>27.11</v>
      </c>
      <c r="P88">
        <f t="shared" si="10"/>
        <v>-27.11</v>
      </c>
      <c r="Q88">
        <v>222.54</v>
      </c>
      <c r="S88">
        <f t="shared" si="11"/>
        <v>-222.54</v>
      </c>
    </row>
    <row r="89" spans="1:19" x14ac:dyDescent="0.3">
      <c r="A89" s="2" t="str">
        <f xml:space="preserve"> _xll.EPMOlapMemberO("[CECO].[PARENTH3].[AMSA1001AD4542]","","AMSA1001AD4542 - AAPP Corporativo","","000")</f>
        <v>AMSA1001AD4542 - AAPP Corporativo</v>
      </c>
      <c r="B89" s="2" t="str">
        <f t="shared" si="6"/>
        <v>1001AD4542</v>
      </c>
      <c r="C89" s="2" t="str">
        <f>IFERROR(_xlfn.XLOOKUP(B89,'CECOS Corporativos'!$D:$D,'CECOS Corporativos'!$E:$E,""),"")</f>
        <v>AAPP Corporativo</v>
      </c>
      <c r="D89" s="2" t="str">
        <f>IFERROR(_xlfn.XLOOKUP(B89,'CECOS Corporativos'!$D:$D,'CECOS Corporativos'!$J:$J,""),"")</f>
        <v>VP Asuntos Corporativos</v>
      </c>
      <c r="E89" s="2" t="s">
        <v>761</v>
      </c>
      <c r="F89" s="2" t="str">
        <f t="shared" si="7"/>
        <v>N100100554</v>
      </c>
      <c r="G89" s="1" t="s">
        <v>717</v>
      </c>
      <c r="J89">
        <f t="shared" si="8"/>
        <v>0</v>
      </c>
      <c r="M89">
        <f t="shared" si="9"/>
        <v>0</v>
      </c>
      <c r="N89">
        <v>1067.57</v>
      </c>
      <c r="P89">
        <f t="shared" si="10"/>
        <v>-1067.57</v>
      </c>
      <c r="Q89">
        <v>26333.31</v>
      </c>
      <c r="R89">
        <v>43056.41</v>
      </c>
      <c r="S89">
        <f t="shared" si="11"/>
        <v>16723.100000000002</v>
      </c>
    </row>
    <row r="90" spans="1:19" x14ac:dyDescent="0.3">
      <c r="A90" s="2" t="str">
        <f xml:space="preserve"> _xll.EPMOlapMemberO("[CECO].[PARENTH3].[AMSA1001AD0502]","","AMSA1001AD0502 - Corporativo","","000")</f>
        <v>AMSA1001AD0502 - Corporativo</v>
      </c>
      <c r="B90" s="2" t="str">
        <f t="shared" si="6"/>
        <v>1001AD0502</v>
      </c>
      <c r="C90" s="2" t="str">
        <f>IFERROR(_xlfn.XLOOKUP(B90,'CECOS Corporativos'!$D:$D,'CECOS Corporativos'!$E:$E,""),"")</f>
        <v>Auditoría (HH Corporativo)</v>
      </c>
      <c r="D90" s="2" t="str">
        <f>IFERROR(_xlfn.XLOOKUP(B90,'CECOS Corporativos'!$D:$D,'CECOS Corporativos'!$J:$J,""),"")</f>
        <v>Auditoría (HH Corporativo)</v>
      </c>
      <c r="E90" s="2" t="s">
        <v>768</v>
      </c>
      <c r="F90" s="2" t="str">
        <f t="shared" si="7"/>
        <v>N1001AD050</v>
      </c>
      <c r="G90" s="1" t="s">
        <v>718</v>
      </c>
      <c r="J90">
        <f t="shared" si="8"/>
        <v>0</v>
      </c>
      <c r="M90">
        <f t="shared" si="9"/>
        <v>0</v>
      </c>
      <c r="N90">
        <v>25.91</v>
      </c>
      <c r="P90">
        <f t="shared" si="10"/>
        <v>-25.91</v>
      </c>
      <c r="S90">
        <f t="shared" si="11"/>
        <v>0</v>
      </c>
    </row>
    <row r="91" spans="1:19" x14ac:dyDescent="0.3">
      <c r="A91" s="2" t="str">
        <f xml:space="preserve"> _xll.EPMOlapMemberO("[CECO].[PARENTH3].[AMSA1001AD0502]","","AMSA1001AD0502 - Corporativo","","000")</f>
        <v>AMSA1001AD0502 - Corporativo</v>
      </c>
      <c r="B91" s="2" t="str">
        <f t="shared" si="6"/>
        <v>1001AD0502</v>
      </c>
      <c r="C91" s="2" t="str">
        <f>IFERROR(_xlfn.XLOOKUP(B91,'CECOS Corporativos'!$D:$D,'CECOS Corporativos'!$E:$E,""),"")</f>
        <v>Auditoría (HH Corporativo)</v>
      </c>
      <c r="D91" s="2" t="str">
        <f>IFERROR(_xlfn.XLOOKUP(B91,'CECOS Corporativos'!$D:$D,'CECOS Corporativos'!$J:$J,""),"")</f>
        <v>Auditoría (HH Corporativo)</v>
      </c>
      <c r="E91" s="2" t="s">
        <v>766</v>
      </c>
      <c r="F91" s="2" t="str">
        <f t="shared" si="7"/>
        <v>N1001AD050</v>
      </c>
      <c r="G91" s="1" t="s">
        <v>718</v>
      </c>
      <c r="H91">
        <v>1973.53</v>
      </c>
      <c r="J91">
        <f t="shared" si="8"/>
        <v>-1973.53</v>
      </c>
      <c r="K91">
        <v>0</v>
      </c>
      <c r="M91">
        <f t="shared" si="9"/>
        <v>0</v>
      </c>
      <c r="P91">
        <f t="shared" si="10"/>
        <v>0</v>
      </c>
      <c r="S91">
        <f t="shared" si="11"/>
        <v>0</v>
      </c>
    </row>
    <row r="92" spans="1:19" x14ac:dyDescent="0.3">
      <c r="A92" s="2" t="str">
        <f xml:space="preserve"> _xll.EPMOlapMemberO("[CECO].[PARENTH3].[AMSA1001AD0502]","","AMSA1001AD0502 - Corporativo","","000")</f>
        <v>AMSA1001AD0502 - Corporativo</v>
      </c>
      <c r="B92" s="2" t="str">
        <f t="shared" si="6"/>
        <v>1001AD0502</v>
      </c>
      <c r="C92" s="2" t="str">
        <f>IFERROR(_xlfn.XLOOKUP(B92,'CECOS Corporativos'!$D:$D,'CECOS Corporativos'!$E:$E,""),"")</f>
        <v>Auditoría (HH Corporativo)</v>
      </c>
      <c r="D92" s="2" t="str">
        <f>IFERROR(_xlfn.XLOOKUP(B92,'CECOS Corporativos'!$D:$D,'CECOS Corporativos'!$J:$J,""),"")</f>
        <v>Auditoría (HH Corporativo)</v>
      </c>
      <c r="E92" s="2" t="s">
        <v>757</v>
      </c>
      <c r="F92" s="2" t="str">
        <f t="shared" si="7"/>
        <v>N1001AD050</v>
      </c>
      <c r="G92" s="1" t="s">
        <v>718</v>
      </c>
      <c r="H92">
        <v>602598.18999999994</v>
      </c>
      <c r="J92">
        <f t="shared" si="8"/>
        <v>-602598.18999999994</v>
      </c>
      <c r="K92">
        <v>22342.65</v>
      </c>
      <c r="M92">
        <f t="shared" si="9"/>
        <v>-22342.65</v>
      </c>
      <c r="N92">
        <v>0</v>
      </c>
      <c r="P92">
        <f t="shared" si="10"/>
        <v>0</v>
      </c>
      <c r="S92">
        <f t="shared" si="11"/>
        <v>0</v>
      </c>
    </row>
    <row r="93" spans="1:19" x14ac:dyDescent="0.3">
      <c r="A93" s="2" t="str">
        <f xml:space="preserve"> _xll.EPMOlapMemberO("[CECO].[PARENTH3].[AMSA1001AD0502]","","AMSA1001AD0502 - Corporativo","","000")</f>
        <v>AMSA1001AD0502 - Corporativo</v>
      </c>
      <c r="B93" s="2" t="str">
        <f t="shared" si="6"/>
        <v>1001AD0502</v>
      </c>
      <c r="C93" s="2" t="str">
        <f>IFERROR(_xlfn.XLOOKUP(B93,'CECOS Corporativos'!$D:$D,'CECOS Corporativos'!$E:$E,""),"")</f>
        <v>Auditoría (HH Corporativo)</v>
      </c>
      <c r="D93" s="2" t="str">
        <f>IFERROR(_xlfn.XLOOKUP(B93,'CECOS Corporativos'!$D:$D,'CECOS Corporativos'!$J:$J,""),"")</f>
        <v>Auditoría (HH Corporativo)</v>
      </c>
      <c r="E93" s="2" t="s">
        <v>758</v>
      </c>
      <c r="F93" s="2" t="str">
        <f t="shared" si="7"/>
        <v>N1001AD050</v>
      </c>
      <c r="G93" s="1" t="s">
        <v>718</v>
      </c>
      <c r="H93">
        <v>568865.01</v>
      </c>
      <c r="J93">
        <f t="shared" si="8"/>
        <v>-568865.01</v>
      </c>
      <c r="K93">
        <v>-6365.58</v>
      </c>
      <c r="M93">
        <f t="shared" si="9"/>
        <v>6365.58</v>
      </c>
      <c r="N93">
        <v>-113.29</v>
      </c>
      <c r="O93">
        <v>0</v>
      </c>
      <c r="P93">
        <f t="shared" si="10"/>
        <v>113.29</v>
      </c>
      <c r="S93">
        <f t="shared" si="11"/>
        <v>0</v>
      </c>
    </row>
    <row r="94" spans="1:19" x14ac:dyDescent="0.3">
      <c r="A94" s="2" t="str">
        <f xml:space="preserve"> _xll.EPMOlapMemberO("[CECO].[PARENTH3].[AMSA1001AD0502]","","AMSA1001AD0502 - Corporativo","","000")</f>
        <v>AMSA1001AD0502 - Corporativo</v>
      </c>
      <c r="B94" s="2" t="str">
        <f t="shared" si="6"/>
        <v>1001AD0502</v>
      </c>
      <c r="C94" s="2" t="str">
        <f>IFERROR(_xlfn.XLOOKUP(B94,'CECOS Corporativos'!$D:$D,'CECOS Corporativos'!$E:$E,""),"")</f>
        <v>Auditoría (HH Corporativo)</v>
      </c>
      <c r="D94" s="2" t="str">
        <f>IFERROR(_xlfn.XLOOKUP(B94,'CECOS Corporativos'!$D:$D,'CECOS Corporativos'!$J:$J,""),"")</f>
        <v>Auditoría (HH Corporativo)</v>
      </c>
      <c r="E94" s="2" t="s">
        <v>763</v>
      </c>
      <c r="F94" s="2" t="str">
        <f t="shared" si="7"/>
        <v>N1001AD050</v>
      </c>
      <c r="G94" s="1" t="s">
        <v>718</v>
      </c>
      <c r="H94">
        <v>51350</v>
      </c>
      <c r="J94">
        <f t="shared" si="8"/>
        <v>-51350</v>
      </c>
      <c r="K94">
        <v>0</v>
      </c>
      <c r="M94">
        <f t="shared" si="9"/>
        <v>0</v>
      </c>
      <c r="P94">
        <f t="shared" si="10"/>
        <v>0</v>
      </c>
      <c r="S94">
        <f t="shared" si="11"/>
        <v>0</v>
      </c>
    </row>
    <row r="95" spans="1:19" x14ac:dyDescent="0.3">
      <c r="A95" s="2" t="str">
        <f xml:space="preserve"> _xll.EPMOlapMemberO("[CECO].[PARENTH3].[AMSA1001AD0502]","","AMSA1001AD0502 - Corporativo","","000")</f>
        <v>AMSA1001AD0502 - Corporativo</v>
      </c>
      <c r="B95" s="2" t="str">
        <f t="shared" si="6"/>
        <v>1001AD0502</v>
      </c>
      <c r="C95" s="2" t="str">
        <f>IFERROR(_xlfn.XLOOKUP(B95,'CECOS Corporativos'!$D:$D,'CECOS Corporativos'!$E:$E,""),"")</f>
        <v>Auditoría (HH Corporativo)</v>
      </c>
      <c r="D95" s="2" t="str">
        <f>IFERROR(_xlfn.XLOOKUP(B95,'CECOS Corporativos'!$D:$D,'CECOS Corporativos'!$J:$J,""),"")</f>
        <v>Auditoría (HH Corporativo)</v>
      </c>
      <c r="E95" s="2" t="s">
        <v>759</v>
      </c>
      <c r="F95" s="2" t="str">
        <f t="shared" si="7"/>
        <v>N1001AD050</v>
      </c>
      <c r="G95" s="1" t="s">
        <v>718</v>
      </c>
      <c r="H95">
        <v>171.75</v>
      </c>
      <c r="J95">
        <f t="shared" si="8"/>
        <v>-171.75</v>
      </c>
      <c r="K95">
        <v>0</v>
      </c>
      <c r="M95">
        <f t="shared" si="9"/>
        <v>0</v>
      </c>
      <c r="P95">
        <f t="shared" si="10"/>
        <v>0</v>
      </c>
      <c r="S95">
        <f t="shared" si="11"/>
        <v>0</v>
      </c>
    </row>
    <row r="96" spans="1:19" x14ac:dyDescent="0.3">
      <c r="A96" s="2" t="str">
        <f xml:space="preserve"> _xll.EPMOlapMemberO("[CECO].[PARENTH3].[AMSA1001AD0502]","","AMSA1001AD0502 - Corporativo","","000")</f>
        <v>AMSA1001AD0502 - Corporativo</v>
      </c>
      <c r="B96" s="2" t="str">
        <f t="shared" si="6"/>
        <v>1001AD0502</v>
      </c>
      <c r="C96" s="2" t="str">
        <f>IFERROR(_xlfn.XLOOKUP(B96,'CECOS Corporativos'!$D:$D,'CECOS Corporativos'!$E:$E,""),"")</f>
        <v>Auditoría (HH Corporativo)</v>
      </c>
      <c r="D96" s="2" t="str">
        <f>IFERROR(_xlfn.XLOOKUP(B96,'CECOS Corporativos'!$D:$D,'CECOS Corporativos'!$J:$J,""),"")</f>
        <v>Auditoría (HH Corporativo)</v>
      </c>
      <c r="E96" s="2" t="s">
        <v>770</v>
      </c>
      <c r="F96" s="2" t="str">
        <f t="shared" si="7"/>
        <v>N1001AD050</v>
      </c>
      <c r="G96" s="1" t="s">
        <v>718</v>
      </c>
      <c r="J96">
        <f t="shared" si="8"/>
        <v>0</v>
      </c>
      <c r="M96">
        <f t="shared" si="9"/>
        <v>0</v>
      </c>
      <c r="O96">
        <v>0</v>
      </c>
      <c r="P96">
        <f t="shared" si="10"/>
        <v>0</v>
      </c>
      <c r="S96">
        <f t="shared" si="11"/>
        <v>0</v>
      </c>
    </row>
    <row r="97" spans="1:19" x14ac:dyDescent="0.3">
      <c r="A97" s="2" t="str">
        <f xml:space="preserve"> _xll.EPMOlapMemberO("[CECO].[PARENTH3].[AMSA1001AD0502]","","AMSA1001AD0502 - Corporativo","","000")</f>
        <v>AMSA1001AD0502 - Corporativo</v>
      </c>
      <c r="B97" s="2" t="str">
        <f t="shared" si="6"/>
        <v>1001AD0502</v>
      </c>
      <c r="C97" s="2" t="str">
        <f>IFERROR(_xlfn.XLOOKUP(B97,'CECOS Corporativos'!$D:$D,'CECOS Corporativos'!$E:$E,""),"")</f>
        <v>Auditoría (HH Corporativo)</v>
      </c>
      <c r="D97" s="2" t="str">
        <f>IFERROR(_xlfn.XLOOKUP(B97,'CECOS Corporativos'!$D:$D,'CECOS Corporativos'!$J:$J,""),"")</f>
        <v>Auditoría (HH Corporativo)</v>
      </c>
      <c r="E97" s="2" t="s">
        <v>764</v>
      </c>
      <c r="F97" s="2" t="str">
        <f t="shared" si="7"/>
        <v>N1001AD050</v>
      </c>
      <c r="G97" s="1" t="s">
        <v>718</v>
      </c>
      <c r="H97">
        <v>1511076.49</v>
      </c>
      <c r="I97">
        <v>2041296</v>
      </c>
      <c r="J97">
        <f t="shared" si="8"/>
        <v>530219.51</v>
      </c>
      <c r="K97">
        <v>2216676.2599999998</v>
      </c>
      <c r="L97">
        <v>2017323</v>
      </c>
      <c r="M97">
        <f t="shared" si="9"/>
        <v>-199353.25999999978</v>
      </c>
      <c r="N97">
        <v>483656.74</v>
      </c>
      <c r="O97">
        <v>511858</v>
      </c>
      <c r="P97">
        <f t="shared" si="10"/>
        <v>28201.260000000009</v>
      </c>
      <c r="Q97">
        <v>517868</v>
      </c>
      <c r="R97">
        <v>543582.31999999995</v>
      </c>
      <c r="S97">
        <f t="shared" si="11"/>
        <v>25714.319999999949</v>
      </c>
    </row>
    <row r="98" spans="1:19" x14ac:dyDescent="0.3">
      <c r="A98" s="2" t="str">
        <f xml:space="preserve"> _xll.EPMOlapMemberO("[CECO].[PARENTH3].[AMSA1001AD0503]","","AMSA1001AD0503 - Desarrollo Corp","","000")</f>
        <v>AMSA1001AD0503 - Desarrollo Corp</v>
      </c>
      <c r="B98" s="2" t="str">
        <f t="shared" si="6"/>
        <v>1001AD0503</v>
      </c>
      <c r="C98" s="2" t="str">
        <f>IFERROR(_xlfn.XLOOKUP(B98,'CECOS Corporativos'!$D:$D,'CECOS Corporativos'!$E:$E,""),"")</f>
        <v>VP Desarrollo</v>
      </c>
      <c r="D98" s="2" t="str">
        <f>IFERROR(_xlfn.XLOOKUP(B98,'CECOS Corporativos'!$D:$D,'CECOS Corporativos'!$J:$J,""),"")</f>
        <v>VP Desarrollo</v>
      </c>
      <c r="E98" s="2" t="s">
        <v>765</v>
      </c>
      <c r="F98" s="2" t="str">
        <f t="shared" si="7"/>
        <v>N1001AD050</v>
      </c>
      <c r="G98" s="1" t="s">
        <v>718</v>
      </c>
      <c r="J98">
        <f t="shared" si="8"/>
        <v>0</v>
      </c>
      <c r="K98">
        <v>20643.63</v>
      </c>
      <c r="M98">
        <f t="shared" si="9"/>
        <v>-20643.63</v>
      </c>
      <c r="P98">
        <f t="shared" si="10"/>
        <v>0</v>
      </c>
      <c r="S98">
        <f t="shared" si="11"/>
        <v>0</v>
      </c>
    </row>
    <row r="99" spans="1:19" x14ac:dyDescent="0.3">
      <c r="A99" s="2" t="str">
        <f xml:space="preserve"> _xll.EPMOlapMemberO("[CECO].[PARENTH3].[AMSA1001AD0503]","","AMSA1001AD0503 - Desarrollo Corp","","000")</f>
        <v>AMSA1001AD0503 - Desarrollo Corp</v>
      </c>
      <c r="B99" s="2" t="str">
        <f t="shared" si="6"/>
        <v>1001AD0503</v>
      </c>
      <c r="C99" s="2" t="str">
        <f>IFERROR(_xlfn.XLOOKUP(B99,'CECOS Corporativos'!$D:$D,'CECOS Corporativos'!$E:$E,""),"")</f>
        <v>VP Desarrollo</v>
      </c>
      <c r="D99" s="2" t="str">
        <f>IFERROR(_xlfn.XLOOKUP(B99,'CECOS Corporativos'!$D:$D,'CECOS Corporativos'!$J:$J,""),"")</f>
        <v>VP Desarrollo</v>
      </c>
      <c r="E99" s="2" t="s">
        <v>757</v>
      </c>
      <c r="F99" s="2" t="str">
        <f t="shared" si="7"/>
        <v>N1001AD050</v>
      </c>
      <c r="G99" s="1" t="s">
        <v>718</v>
      </c>
      <c r="H99">
        <v>8485.81</v>
      </c>
      <c r="J99">
        <f t="shared" si="8"/>
        <v>-8485.81</v>
      </c>
      <c r="K99">
        <v>48251.8</v>
      </c>
      <c r="L99">
        <v>29888</v>
      </c>
      <c r="M99">
        <f t="shared" si="9"/>
        <v>-18363.800000000003</v>
      </c>
      <c r="N99">
        <v>1641.97</v>
      </c>
      <c r="P99">
        <f t="shared" si="10"/>
        <v>-1641.97</v>
      </c>
      <c r="S99">
        <f t="shared" si="11"/>
        <v>0</v>
      </c>
    </row>
    <row r="100" spans="1:19" x14ac:dyDescent="0.3">
      <c r="A100" s="2" t="str">
        <f xml:space="preserve"> _xll.EPMOlapMemberO("[CECO].[PARENTH3].[AMSA1001AD0503]","","AMSA1001AD0503 - Desarrollo Corp","","000")</f>
        <v>AMSA1001AD0503 - Desarrollo Corp</v>
      </c>
      <c r="B100" s="2" t="str">
        <f t="shared" si="6"/>
        <v>1001AD0503</v>
      </c>
      <c r="C100" s="2" t="str">
        <f>IFERROR(_xlfn.XLOOKUP(B100,'CECOS Corporativos'!$D:$D,'CECOS Corporativos'!$E:$E,""),"")</f>
        <v>VP Desarrollo</v>
      </c>
      <c r="D100" s="2" t="str">
        <f>IFERROR(_xlfn.XLOOKUP(B100,'CECOS Corporativos'!$D:$D,'CECOS Corporativos'!$J:$J,""),"")</f>
        <v>VP Desarrollo</v>
      </c>
      <c r="E100" s="2" t="s">
        <v>762</v>
      </c>
      <c r="F100" s="2" t="str">
        <f t="shared" si="7"/>
        <v>N1001AD050</v>
      </c>
      <c r="G100" s="1" t="s">
        <v>718</v>
      </c>
      <c r="H100">
        <v>313.95</v>
      </c>
      <c r="J100">
        <f t="shared" si="8"/>
        <v>-313.95</v>
      </c>
      <c r="K100">
        <v>147.87</v>
      </c>
      <c r="M100">
        <f t="shared" si="9"/>
        <v>-147.87</v>
      </c>
      <c r="P100">
        <f t="shared" si="10"/>
        <v>0</v>
      </c>
      <c r="S100">
        <f t="shared" si="11"/>
        <v>0</v>
      </c>
    </row>
    <row r="101" spans="1:19" x14ac:dyDescent="0.3">
      <c r="A101" s="2" t="str">
        <f xml:space="preserve"> _xll.EPMOlapMemberO("[CECO].[PARENTH3].[AMSA1001AD0503]","","AMSA1001AD0503 - Desarrollo Corp","","000")</f>
        <v>AMSA1001AD0503 - Desarrollo Corp</v>
      </c>
      <c r="B101" s="2" t="str">
        <f t="shared" si="6"/>
        <v>1001AD0503</v>
      </c>
      <c r="C101" s="2" t="str">
        <f>IFERROR(_xlfn.XLOOKUP(B101,'CECOS Corporativos'!$D:$D,'CECOS Corporativos'!$E:$E,""),"")</f>
        <v>VP Desarrollo</v>
      </c>
      <c r="D101" s="2" t="str">
        <f>IFERROR(_xlfn.XLOOKUP(B101,'CECOS Corporativos'!$D:$D,'CECOS Corporativos'!$J:$J,""),"")</f>
        <v>VP Desarrollo</v>
      </c>
      <c r="E101" s="2" t="s">
        <v>758</v>
      </c>
      <c r="F101" s="2" t="str">
        <f t="shared" si="7"/>
        <v>N1001AD050</v>
      </c>
      <c r="G101" s="1" t="s">
        <v>718</v>
      </c>
      <c r="H101">
        <v>19.3</v>
      </c>
      <c r="J101">
        <f t="shared" si="8"/>
        <v>-19.3</v>
      </c>
      <c r="K101">
        <v>3000</v>
      </c>
      <c r="M101">
        <f t="shared" si="9"/>
        <v>-3000</v>
      </c>
      <c r="N101">
        <v>-1.84</v>
      </c>
      <c r="P101">
        <f t="shared" si="10"/>
        <v>1.84</v>
      </c>
      <c r="Q101">
        <v>-1535.82</v>
      </c>
      <c r="S101">
        <f t="shared" si="11"/>
        <v>1535.82</v>
      </c>
    </row>
    <row r="102" spans="1:19" x14ac:dyDescent="0.3">
      <c r="A102" s="2" t="str">
        <f xml:space="preserve"> _xll.EPMOlapMemberO("[CECO].[PARENTH3].[AMSA1001AD0503]","","AMSA1001AD0503 - Desarrollo Corp","","000")</f>
        <v>AMSA1001AD0503 - Desarrollo Corp</v>
      </c>
      <c r="B102" s="2" t="str">
        <f t="shared" si="6"/>
        <v>1001AD0503</v>
      </c>
      <c r="C102" s="2" t="str">
        <f>IFERROR(_xlfn.XLOOKUP(B102,'CECOS Corporativos'!$D:$D,'CECOS Corporativos'!$E:$E,""),"")</f>
        <v>VP Desarrollo</v>
      </c>
      <c r="D102" s="2" t="str">
        <f>IFERROR(_xlfn.XLOOKUP(B102,'CECOS Corporativos'!$D:$D,'CECOS Corporativos'!$J:$J,""),"")</f>
        <v>VP Desarrollo</v>
      </c>
      <c r="E102" s="2" t="s">
        <v>763</v>
      </c>
      <c r="F102" s="2" t="str">
        <f t="shared" si="7"/>
        <v>N1001AD050</v>
      </c>
      <c r="G102" s="1" t="s">
        <v>718</v>
      </c>
      <c r="J102">
        <f t="shared" si="8"/>
        <v>0</v>
      </c>
      <c r="M102">
        <f t="shared" si="9"/>
        <v>0</v>
      </c>
      <c r="N102">
        <v>7733.47</v>
      </c>
      <c r="P102">
        <f t="shared" si="10"/>
        <v>-7733.47</v>
      </c>
      <c r="Q102">
        <v>13710.42</v>
      </c>
      <c r="R102">
        <v>12523.96</v>
      </c>
      <c r="S102">
        <f t="shared" si="11"/>
        <v>-1186.4600000000009</v>
      </c>
    </row>
    <row r="103" spans="1:19" x14ac:dyDescent="0.3">
      <c r="A103" s="2" t="str">
        <f xml:space="preserve"> _xll.EPMOlapMemberO("[CECO].[PARENTH3].[AMSA1001AD0503]","","AMSA1001AD0503 - Desarrollo Corp","","000")</f>
        <v>AMSA1001AD0503 - Desarrollo Corp</v>
      </c>
      <c r="B103" s="2" t="str">
        <f t="shared" si="6"/>
        <v>1001AD0503</v>
      </c>
      <c r="C103" s="2" t="str">
        <f>IFERROR(_xlfn.XLOOKUP(B103,'CECOS Corporativos'!$D:$D,'CECOS Corporativos'!$E:$E,""),"")</f>
        <v>VP Desarrollo</v>
      </c>
      <c r="D103" s="2" t="str">
        <f>IFERROR(_xlfn.XLOOKUP(B103,'CECOS Corporativos'!$D:$D,'CECOS Corporativos'!$J:$J,""),"")</f>
        <v>VP Desarrollo</v>
      </c>
      <c r="E103" s="2" t="s">
        <v>759</v>
      </c>
      <c r="F103" s="2" t="str">
        <f t="shared" si="7"/>
        <v>N1001AD050</v>
      </c>
      <c r="G103" s="1" t="s">
        <v>718</v>
      </c>
      <c r="H103">
        <v>893.44</v>
      </c>
      <c r="I103">
        <v>10617.2</v>
      </c>
      <c r="J103">
        <f t="shared" si="8"/>
        <v>9723.76</v>
      </c>
      <c r="K103">
        <v>0</v>
      </c>
      <c r="L103">
        <v>8460</v>
      </c>
      <c r="M103">
        <f t="shared" si="9"/>
        <v>8460</v>
      </c>
      <c r="O103">
        <v>8608</v>
      </c>
      <c r="P103">
        <f t="shared" si="10"/>
        <v>8608</v>
      </c>
      <c r="R103">
        <v>5406.54</v>
      </c>
      <c r="S103">
        <f t="shared" si="11"/>
        <v>5406.54</v>
      </c>
    </row>
    <row r="104" spans="1:19" x14ac:dyDescent="0.3">
      <c r="A104" s="2" t="str">
        <f xml:space="preserve"> _xll.EPMOlapMemberO("[CECO].[PARENTH3].[AMSA1001AD0503]","","AMSA1001AD0503 - Desarrollo Corp","","000")</f>
        <v>AMSA1001AD0503 - Desarrollo Corp</v>
      </c>
      <c r="B104" s="2" t="str">
        <f t="shared" si="6"/>
        <v>1001AD0503</v>
      </c>
      <c r="C104" s="2" t="str">
        <f>IFERROR(_xlfn.XLOOKUP(B104,'CECOS Corporativos'!$D:$D,'CECOS Corporativos'!$E:$E,""),"")</f>
        <v>VP Desarrollo</v>
      </c>
      <c r="D104" s="2" t="str">
        <f>IFERROR(_xlfn.XLOOKUP(B104,'CECOS Corporativos'!$D:$D,'CECOS Corporativos'!$J:$J,""),"")</f>
        <v>VP Desarrollo</v>
      </c>
      <c r="E104" s="2" t="s">
        <v>761</v>
      </c>
      <c r="F104" s="2" t="str">
        <f t="shared" si="7"/>
        <v>N1001AD050</v>
      </c>
      <c r="G104" s="1" t="s">
        <v>718</v>
      </c>
      <c r="H104">
        <v>0</v>
      </c>
      <c r="J104">
        <f t="shared" si="8"/>
        <v>0</v>
      </c>
      <c r="K104">
        <v>25946.51</v>
      </c>
      <c r="M104">
        <f t="shared" si="9"/>
        <v>-25946.51</v>
      </c>
      <c r="N104">
        <v>0.44</v>
      </c>
      <c r="P104">
        <f t="shared" si="10"/>
        <v>-0.44</v>
      </c>
      <c r="Q104">
        <v>0</v>
      </c>
      <c r="S104">
        <f t="shared" si="11"/>
        <v>0</v>
      </c>
    </row>
    <row r="105" spans="1:19" x14ac:dyDescent="0.3">
      <c r="A105" s="2" t="str">
        <f xml:space="preserve"> _xll.EPMOlapMemberO("[CECO].[PARENTH3].[AMSA1001AD0503]","","AMSA1001AD0503 - Desarrollo Corp","","000")</f>
        <v>AMSA1001AD0503 - Desarrollo Corp</v>
      </c>
      <c r="B105" s="2" t="str">
        <f t="shared" si="6"/>
        <v>1001AD0503</v>
      </c>
      <c r="C105" s="2" t="str">
        <f>IFERROR(_xlfn.XLOOKUP(B105,'CECOS Corporativos'!$D:$D,'CECOS Corporativos'!$E:$E,""),"")</f>
        <v>VP Desarrollo</v>
      </c>
      <c r="D105" s="2" t="str">
        <f>IFERROR(_xlfn.XLOOKUP(B105,'CECOS Corporativos'!$D:$D,'CECOS Corporativos'!$J:$J,""),"")</f>
        <v>VP Desarrollo</v>
      </c>
      <c r="E105" s="2" t="s">
        <v>764</v>
      </c>
      <c r="F105" s="2" t="str">
        <f t="shared" si="7"/>
        <v>N1001AD050</v>
      </c>
      <c r="G105" s="1" t="s">
        <v>718</v>
      </c>
      <c r="J105">
        <f t="shared" si="8"/>
        <v>0</v>
      </c>
      <c r="M105">
        <f t="shared" si="9"/>
        <v>0</v>
      </c>
      <c r="N105">
        <v>208564</v>
      </c>
      <c r="O105">
        <v>231096</v>
      </c>
      <c r="P105">
        <f t="shared" si="10"/>
        <v>22532</v>
      </c>
      <c r="Q105">
        <v>250697</v>
      </c>
      <c r="R105">
        <v>263144.18</v>
      </c>
      <c r="S105">
        <f t="shared" si="11"/>
        <v>12447.179999999993</v>
      </c>
    </row>
    <row r="106" spans="1:19" x14ac:dyDescent="0.3">
      <c r="A106" s="2" t="str">
        <f xml:space="preserve"> _xll.EPMOlapMemberO("[CECO].[PARENTH3].[AMSA1001AD0504]","","AMSA1001AD0504 - Estrateg e Inn Corp","","000")</f>
        <v>AMSA1001AD0504 - Estrateg e Inn Corp</v>
      </c>
      <c r="B106" s="2" t="str">
        <f t="shared" si="6"/>
        <v>1001AD0504</v>
      </c>
      <c r="C106" s="2" t="str">
        <f>IFERROR(_xlfn.XLOOKUP(B106,'CECOS Corporativos'!$D:$D,'CECOS Corporativos'!$E:$E,""),"")</f>
        <v>Estrategia e Innovación Corp</v>
      </c>
      <c r="D106" s="2" t="str">
        <f>IFERROR(_xlfn.XLOOKUP(B106,'CECOS Corporativos'!$D:$D,'CECOS Corporativos'!$J:$J,""),"")</f>
        <v>VP Estrategia e Innovación</v>
      </c>
      <c r="E106" s="2" t="s">
        <v>766</v>
      </c>
      <c r="F106" s="2" t="str">
        <f t="shared" si="7"/>
        <v>N1001AD050</v>
      </c>
      <c r="G106" s="1" t="s">
        <v>718</v>
      </c>
      <c r="J106">
        <f t="shared" si="8"/>
        <v>0</v>
      </c>
      <c r="K106">
        <v>0</v>
      </c>
      <c r="M106">
        <f t="shared" si="9"/>
        <v>0</v>
      </c>
      <c r="P106">
        <f t="shared" si="10"/>
        <v>0</v>
      </c>
      <c r="Q106">
        <v>14.73</v>
      </c>
      <c r="S106">
        <f t="shared" si="11"/>
        <v>-14.73</v>
      </c>
    </row>
    <row r="107" spans="1:19" x14ac:dyDescent="0.3">
      <c r="A107" s="2" t="str">
        <f xml:space="preserve"> _xll.EPMOlapMemberO("[CECO].[PARENTH3].[AMSA1001AD0504]","","AMSA1001AD0504 - Estrateg e Inn Corp","","000")</f>
        <v>AMSA1001AD0504 - Estrateg e Inn Corp</v>
      </c>
      <c r="B107" s="2" t="str">
        <f t="shared" si="6"/>
        <v>1001AD0504</v>
      </c>
      <c r="C107" s="2" t="str">
        <f>IFERROR(_xlfn.XLOOKUP(B107,'CECOS Corporativos'!$D:$D,'CECOS Corporativos'!$E:$E,""),"")</f>
        <v>Estrategia e Innovación Corp</v>
      </c>
      <c r="D107" s="2" t="str">
        <f>IFERROR(_xlfn.XLOOKUP(B107,'CECOS Corporativos'!$D:$D,'CECOS Corporativos'!$J:$J,""),"")</f>
        <v>VP Estrategia e Innovación</v>
      </c>
      <c r="E107" s="2" t="s">
        <v>757</v>
      </c>
      <c r="F107" s="2" t="str">
        <f t="shared" si="7"/>
        <v>N1001AD050</v>
      </c>
      <c r="G107" s="1" t="s">
        <v>718</v>
      </c>
      <c r="H107">
        <v>198920.94</v>
      </c>
      <c r="I107">
        <v>129883</v>
      </c>
      <c r="J107">
        <f t="shared" si="8"/>
        <v>-69037.94</v>
      </c>
      <c r="K107">
        <v>39544.43</v>
      </c>
      <c r="L107">
        <v>104314</v>
      </c>
      <c r="M107">
        <f t="shared" si="9"/>
        <v>64769.57</v>
      </c>
      <c r="N107">
        <v>143650.44</v>
      </c>
      <c r="O107">
        <v>221180</v>
      </c>
      <c r="P107">
        <f t="shared" si="10"/>
        <v>77529.56</v>
      </c>
      <c r="Q107">
        <v>21615.71</v>
      </c>
      <c r="S107">
        <f t="shared" si="11"/>
        <v>-21615.71</v>
      </c>
    </row>
    <row r="108" spans="1:19" x14ac:dyDescent="0.3">
      <c r="A108" s="2" t="str">
        <f xml:space="preserve"> _xll.EPMOlapMemberO("[CECO].[PARENTH3].[AMSA1001AD0504]","","AMSA1001AD0504 - Estrateg e Inn Corp","","000")</f>
        <v>AMSA1001AD0504 - Estrateg e Inn Corp</v>
      </c>
      <c r="B108" s="2" t="str">
        <f t="shared" si="6"/>
        <v>1001AD0504</v>
      </c>
      <c r="C108" s="2" t="str">
        <f>IFERROR(_xlfn.XLOOKUP(B108,'CECOS Corporativos'!$D:$D,'CECOS Corporativos'!$E:$E,""),"")</f>
        <v>Estrategia e Innovación Corp</v>
      </c>
      <c r="D108" s="2" t="str">
        <f>IFERROR(_xlfn.XLOOKUP(B108,'CECOS Corporativos'!$D:$D,'CECOS Corporativos'!$J:$J,""),"")</f>
        <v>VP Estrategia e Innovación</v>
      </c>
      <c r="E108" s="2" t="s">
        <v>758</v>
      </c>
      <c r="F108" s="2" t="str">
        <f t="shared" si="7"/>
        <v>N1001AD050</v>
      </c>
      <c r="G108" s="1" t="s">
        <v>718</v>
      </c>
      <c r="H108">
        <v>-83824.63</v>
      </c>
      <c r="J108">
        <f t="shared" si="8"/>
        <v>83824.63</v>
      </c>
      <c r="K108">
        <v>168051.57</v>
      </c>
      <c r="L108">
        <v>139913</v>
      </c>
      <c r="M108">
        <f t="shared" si="9"/>
        <v>-28138.570000000007</v>
      </c>
      <c r="N108">
        <v>129981.01</v>
      </c>
      <c r="O108">
        <v>79595</v>
      </c>
      <c r="P108">
        <f t="shared" si="10"/>
        <v>-50386.009999999995</v>
      </c>
      <c r="Q108">
        <v>227210</v>
      </c>
      <c r="R108">
        <v>224538.98</v>
      </c>
      <c r="S108">
        <f t="shared" si="11"/>
        <v>-2671.0199999999895</v>
      </c>
    </row>
    <row r="109" spans="1:19" x14ac:dyDescent="0.3">
      <c r="A109" s="2" t="str">
        <f xml:space="preserve"> _xll.EPMOlapMemberO("[CECO].[PARENTH3].[AMSA1001AD0504]","","AMSA1001AD0504 - Estrateg e Inn Corp","","000")</f>
        <v>AMSA1001AD0504 - Estrateg e Inn Corp</v>
      </c>
      <c r="B109" s="2" t="str">
        <f t="shared" si="6"/>
        <v>1001AD0504</v>
      </c>
      <c r="C109" s="2" t="str">
        <f>IFERROR(_xlfn.XLOOKUP(B109,'CECOS Corporativos'!$D:$D,'CECOS Corporativos'!$E:$E,""),"")</f>
        <v>Estrategia e Innovación Corp</v>
      </c>
      <c r="D109" s="2" t="str">
        <f>IFERROR(_xlfn.XLOOKUP(B109,'CECOS Corporativos'!$D:$D,'CECOS Corporativos'!$J:$J,""),"")</f>
        <v>VP Estrategia e Innovación</v>
      </c>
      <c r="E109" s="2" t="s">
        <v>763</v>
      </c>
      <c r="F109" s="2" t="str">
        <f t="shared" si="7"/>
        <v>N1001AD050</v>
      </c>
      <c r="G109" s="1" t="s">
        <v>718</v>
      </c>
      <c r="H109">
        <v>0</v>
      </c>
      <c r="J109">
        <f t="shared" si="8"/>
        <v>0</v>
      </c>
      <c r="K109">
        <v>801480.2</v>
      </c>
      <c r="L109">
        <v>920771</v>
      </c>
      <c r="M109">
        <f t="shared" si="9"/>
        <v>119290.80000000005</v>
      </c>
      <c r="N109">
        <v>954213.18</v>
      </c>
      <c r="O109">
        <v>1023641</v>
      </c>
      <c r="P109">
        <f t="shared" si="10"/>
        <v>69427.819999999949</v>
      </c>
      <c r="Q109">
        <v>1204375.5900000001</v>
      </c>
      <c r="R109">
        <v>1237353.48</v>
      </c>
      <c r="S109">
        <f t="shared" si="11"/>
        <v>32977.889999999898</v>
      </c>
    </row>
    <row r="110" spans="1:19" x14ac:dyDescent="0.3">
      <c r="A110" s="2" t="str">
        <f xml:space="preserve"> _xll.EPMOlapMemberO("[CECO].[PARENTH3].[AMSA1001AD0504]","","AMSA1001AD0504 - Estrateg e Inn Corp","","000")</f>
        <v>AMSA1001AD0504 - Estrateg e Inn Corp</v>
      </c>
      <c r="B110" s="2" t="str">
        <f t="shared" si="6"/>
        <v>1001AD0504</v>
      </c>
      <c r="C110" s="2" t="str">
        <f>IFERROR(_xlfn.XLOOKUP(B110,'CECOS Corporativos'!$D:$D,'CECOS Corporativos'!$E:$E,""),"")</f>
        <v>Estrategia e Innovación Corp</v>
      </c>
      <c r="D110" s="2" t="str">
        <f>IFERROR(_xlfn.XLOOKUP(B110,'CECOS Corporativos'!$D:$D,'CECOS Corporativos'!$J:$J,""),"")</f>
        <v>VP Estrategia e Innovación</v>
      </c>
      <c r="E110" s="2" t="s">
        <v>759</v>
      </c>
      <c r="F110" s="2" t="str">
        <f t="shared" si="7"/>
        <v>N1001AD050</v>
      </c>
      <c r="G110" s="1" t="s">
        <v>718</v>
      </c>
      <c r="J110">
        <f t="shared" si="8"/>
        <v>0</v>
      </c>
      <c r="K110">
        <v>309.43</v>
      </c>
      <c r="M110">
        <f t="shared" si="9"/>
        <v>-309.43</v>
      </c>
      <c r="P110">
        <f t="shared" si="10"/>
        <v>0</v>
      </c>
      <c r="S110">
        <f t="shared" si="11"/>
        <v>0</v>
      </c>
    </row>
    <row r="111" spans="1:19" x14ac:dyDescent="0.3">
      <c r="A111" s="2" t="str">
        <f xml:space="preserve"> _xll.EPMOlapMemberO("[CECO].[PARENTH3].[AMSA1001AD0504]","","AMSA1001AD0504 - Estrateg e Inn Corp","","000")</f>
        <v>AMSA1001AD0504 - Estrateg e Inn Corp</v>
      </c>
      <c r="B111" s="2" t="str">
        <f t="shared" si="6"/>
        <v>1001AD0504</v>
      </c>
      <c r="C111" s="2" t="str">
        <f>IFERROR(_xlfn.XLOOKUP(B111,'CECOS Corporativos'!$D:$D,'CECOS Corporativos'!$E:$E,""),"")</f>
        <v>Estrategia e Innovación Corp</v>
      </c>
      <c r="D111" s="2" t="str">
        <f>IFERROR(_xlfn.XLOOKUP(B111,'CECOS Corporativos'!$D:$D,'CECOS Corporativos'!$J:$J,""),"")</f>
        <v>VP Estrategia e Innovación</v>
      </c>
      <c r="E111" s="2" t="s">
        <v>761</v>
      </c>
      <c r="F111" s="2" t="str">
        <f t="shared" si="7"/>
        <v>N1001AD050</v>
      </c>
      <c r="G111" s="1" t="s">
        <v>718</v>
      </c>
      <c r="H111">
        <v>29615.88</v>
      </c>
      <c r="J111">
        <f t="shared" si="8"/>
        <v>-29615.88</v>
      </c>
      <c r="K111">
        <v>13888.29</v>
      </c>
      <c r="M111">
        <f t="shared" si="9"/>
        <v>-13888.29</v>
      </c>
      <c r="N111">
        <v>0</v>
      </c>
      <c r="P111">
        <f t="shared" si="10"/>
        <v>0</v>
      </c>
      <c r="S111">
        <f t="shared" si="11"/>
        <v>0</v>
      </c>
    </row>
    <row r="112" spans="1:19" x14ac:dyDescent="0.3">
      <c r="A112" s="2" t="str">
        <f xml:space="preserve"> _xll.EPMOlapMemberO("[CECO].[PARENTH3].[AMSA1001AD0504]","","AMSA1001AD0504 - Estrateg e Inn Corp","","000")</f>
        <v>AMSA1001AD0504 - Estrateg e Inn Corp</v>
      </c>
      <c r="B112" s="2" t="str">
        <f t="shared" si="6"/>
        <v>1001AD0504</v>
      </c>
      <c r="C112" s="2" t="str">
        <f>IFERROR(_xlfn.XLOOKUP(B112,'CECOS Corporativos'!$D:$D,'CECOS Corporativos'!$E:$E,""),"")</f>
        <v>Estrategia e Innovación Corp</v>
      </c>
      <c r="D112" s="2" t="str">
        <f>IFERROR(_xlfn.XLOOKUP(B112,'CECOS Corporativos'!$D:$D,'CECOS Corporativos'!$J:$J,""),"")</f>
        <v>VP Estrategia e Innovación</v>
      </c>
      <c r="E112" s="2" t="s">
        <v>764</v>
      </c>
      <c r="F112" s="2" t="str">
        <f t="shared" si="7"/>
        <v>N1001AD050</v>
      </c>
      <c r="G112" s="1" t="s">
        <v>718</v>
      </c>
      <c r="J112">
        <f t="shared" si="8"/>
        <v>0</v>
      </c>
      <c r="M112">
        <f t="shared" si="9"/>
        <v>0</v>
      </c>
      <c r="N112">
        <v>901614</v>
      </c>
      <c r="O112">
        <v>999016</v>
      </c>
      <c r="P112">
        <f t="shared" si="10"/>
        <v>97402</v>
      </c>
      <c r="Q112">
        <v>938123</v>
      </c>
      <c r="R112">
        <v>984704.28</v>
      </c>
      <c r="S112">
        <f t="shared" si="11"/>
        <v>46581.280000000028</v>
      </c>
    </row>
    <row r="113" spans="1:19" x14ac:dyDescent="0.3">
      <c r="A113" s="2" t="str">
        <f xml:space="preserve"> _xll.EPMOlapMemberO("[CECO].[PARENTH3].[AMSA1001AD0505]","","AMSA1001AD0505 - Operaciones Corp","","000")</f>
        <v>AMSA1001AD0505 - Operaciones Corp</v>
      </c>
      <c r="B113" s="2" t="str">
        <f t="shared" si="6"/>
        <v>1001AD0505</v>
      </c>
      <c r="C113" s="2" t="str">
        <f>IFERROR(_xlfn.XLOOKUP(B113,'CECOS Corporativos'!$D:$D,'CECOS Corporativos'!$E:$E,""),"")</f>
        <v>Operaciones Corp (Distribuibles)</v>
      </c>
      <c r="D113" s="2" t="str">
        <f>IFERROR(_xlfn.XLOOKUP(B113,'CECOS Corporativos'!$D:$D,'CECOS Corporativos'!$J:$J,""),"")</f>
        <v>VP Planificación y Servicios Técnicos</v>
      </c>
      <c r="E113" s="2" t="s">
        <v>766</v>
      </c>
      <c r="F113" s="2" t="str">
        <f t="shared" si="7"/>
        <v>N1001AD050</v>
      </c>
      <c r="G113" s="1" t="s">
        <v>718</v>
      </c>
      <c r="H113">
        <v>68074.570000000007</v>
      </c>
      <c r="J113">
        <f t="shared" si="8"/>
        <v>-68074.570000000007</v>
      </c>
      <c r="K113">
        <v>6902.84</v>
      </c>
      <c r="M113">
        <f t="shared" si="9"/>
        <v>-6902.84</v>
      </c>
      <c r="N113">
        <v>98114</v>
      </c>
      <c r="O113">
        <v>28125</v>
      </c>
      <c r="P113">
        <f t="shared" si="10"/>
        <v>-69989</v>
      </c>
      <c r="Q113">
        <v>130021.08</v>
      </c>
      <c r="S113">
        <f t="shared" si="11"/>
        <v>-130021.08</v>
      </c>
    </row>
    <row r="114" spans="1:19" x14ac:dyDescent="0.3">
      <c r="A114" s="2" t="str">
        <f xml:space="preserve"> _xll.EPMOlapMemberO("[CECO].[PARENTH3].[AMSA1001AD0505]","","AMSA1001AD0505 - Operaciones Corp","","000")</f>
        <v>AMSA1001AD0505 - Operaciones Corp</v>
      </c>
      <c r="B114" s="2" t="str">
        <f t="shared" si="6"/>
        <v>1001AD0505</v>
      </c>
      <c r="C114" s="2" t="str">
        <f>IFERROR(_xlfn.XLOOKUP(B114,'CECOS Corporativos'!$D:$D,'CECOS Corporativos'!$E:$E,""),"")</f>
        <v>Operaciones Corp (Distribuibles)</v>
      </c>
      <c r="D114" s="2" t="str">
        <f>IFERROR(_xlfn.XLOOKUP(B114,'CECOS Corporativos'!$D:$D,'CECOS Corporativos'!$J:$J,""),"")</f>
        <v>VP Planificación y Servicios Técnicos</v>
      </c>
      <c r="E114" s="2" t="s">
        <v>757</v>
      </c>
      <c r="F114" s="2" t="str">
        <f t="shared" si="7"/>
        <v>N1001AD050</v>
      </c>
      <c r="G114" s="1" t="s">
        <v>718</v>
      </c>
      <c r="H114">
        <v>268748.13</v>
      </c>
      <c r="I114">
        <v>968146</v>
      </c>
      <c r="J114">
        <f t="shared" si="8"/>
        <v>699397.87</v>
      </c>
      <c r="K114">
        <v>631259.24</v>
      </c>
      <c r="L114">
        <v>693504</v>
      </c>
      <c r="M114">
        <f t="shared" si="9"/>
        <v>62244.760000000009</v>
      </c>
      <c r="N114">
        <v>655802.32999999996</v>
      </c>
      <c r="O114">
        <v>1028100</v>
      </c>
      <c r="P114">
        <f t="shared" si="10"/>
        <v>372297.67000000004</v>
      </c>
      <c r="Q114">
        <v>602967.76</v>
      </c>
      <c r="R114">
        <v>1133024.42</v>
      </c>
      <c r="S114">
        <f t="shared" si="11"/>
        <v>530056.65999999992</v>
      </c>
    </row>
    <row r="115" spans="1:19" x14ac:dyDescent="0.3">
      <c r="A115" s="2" t="str">
        <f xml:space="preserve"> _xll.EPMOlapMemberO("[CECO].[PARENTH3].[AMSA1001AD0505]","","AMSA1001AD0505 - Operaciones Corp","","000")</f>
        <v>AMSA1001AD0505 - Operaciones Corp</v>
      </c>
      <c r="B115" s="2" t="str">
        <f t="shared" si="6"/>
        <v>1001AD0505</v>
      </c>
      <c r="C115" s="2" t="str">
        <f>IFERROR(_xlfn.XLOOKUP(B115,'CECOS Corporativos'!$D:$D,'CECOS Corporativos'!$E:$E,""),"")</f>
        <v>Operaciones Corp (Distribuibles)</v>
      </c>
      <c r="D115" s="2" t="str">
        <f>IFERROR(_xlfn.XLOOKUP(B115,'CECOS Corporativos'!$D:$D,'CECOS Corporativos'!$J:$J,""),"")</f>
        <v>VP Planificación y Servicios Técnicos</v>
      </c>
      <c r="E115" s="2" t="s">
        <v>758</v>
      </c>
      <c r="F115" s="2" t="str">
        <f t="shared" si="7"/>
        <v>N1001AD050</v>
      </c>
      <c r="G115" s="1" t="s">
        <v>718</v>
      </c>
      <c r="J115">
        <f t="shared" si="8"/>
        <v>0</v>
      </c>
      <c r="K115">
        <v>92.33</v>
      </c>
      <c r="M115">
        <f t="shared" si="9"/>
        <v>-92.33</v>
      </c>
      <c r="N115">
        <v>325841.49</v>
      </c>
      <c r="O115">
        <v>177062</v>
      </c>
      <c r="P115">
        <f t="shared" si="10"/>
        <v>-148779.49</v>
      </c>
      <c r="Q115">
        <v>1553205.16</v>
      </c>
      <c r="R115">
        <v>594202.14</v>
      </c>
      <c r="S115">
        <f t="shared" si="11"/>
        <v>-959003.0199999999</v>
      </c>
    </row>
    <row r="116" spans="1:19" x14ac:dyDescent="0.3">
      <c r="A116" s="2" t="str">
        <f xml:space="preserve"> _xll.EPMOlapMemberO("[CECO].[PARENTH3].[AMSA1001AD0505]","","AMSA1001AD0505 - Operaciones Corp","","000")</f>
        <v>AMSA1001AD0505 - Operaciones Corp</v>
      </c>
      <c r="B116" s="2" t="str">
        <f t="shared" si="6"/>
        <v>1001AD0505</v>
      </c>
      <c r="C116" s="2" t="str">
        <f>IFERROR(_xlfn.XLOOKUP(B116,'CECOS Corporativos'!$D:$D,'CECOS Corporativos'!$E:$E,""),"")</f>
        <v>Operaciones Corp (Distribuibles)</v>
      </c>
      <c r="D116" s="2" t="str">
        <f>IFERROR(_xlfn.XLOOKUP(B116,'CECOS Corporativos'!$D:$D,'CECOS Corporativos'!$J:$J,""),"")</f>
        <v>VP Planificación y Servicios Técnicos</v>
      </c>
      <c r="E116" s="2" t="s">
        <v>763</v>
      </c>
      <c r="F116" s="2" t="str">
        <f t="shared" si="7"/>
        <v>N1001AD050</v>
      </c>
      <c r="G116" s="1" t="s">
        <v>718</v>
      </c>
      <c r="I116">
        <v>77811</v>
      </c>
      <c r="J116">
        <f t="shared" si="8"/>
        <v>77811</v>
      </c>
      <c r="K116">
        <v>222431.23</v>
      </c>
      <c r="L116">
        <v>45768</v>
      </c>
      <c r="M116">
        <f t="shared" si="9"/>
        <v>-176663.23</v>
      </c>
      <c r="N116">
        <v>-31123.15</v>
      </c>
      <c r="O116">
        <v>52500</v>
      </c>
      <c r="P116">
        <f t="shared" si="10"/>
        <v>83623.149999999994</v>
      </c>
      <c r="Q116">
        <v>68263.48</v>
      </c>
      <c r="R116">
        <v>324989.26</v>
      </c>
      <c r="S116">
        <f t="shared" si="11"/>
        <v>256725.78000000003</v>
      </c>
    </row>
    <row r="117" spans="1:19" x14ac:dyDescent="0.3">
      <c r="A117" s="2" t="str">
        <f xml:space="preserve"> _xll.EPMOlapMemberO("[CECO].[PARENTH3].[AMSA1001AD0505]","","AMSA1001AD0505 - Operaciones Corp","","000")</f>
        <v>AMSA1001AD0505 - Operaciones Corp</v>
      </c>
      <c r="B117" s="2" t="str">
        <f t="shared" si="6"/>
        <v>1001AD0505</v>
      </c>
      <c r="C117" s="2" t="str">
        <f>IFERROR(_xlfn.XLOOKUP(B117,'CECOS Corporativos'!$D:$D,'CECOS Corporativos'!$E:$E,""),"")</f>
        <v>Operaciones Corp (Distribuibles)</v>
      </c>
      <c r="D117" s="2" t="str">
        <f>IFERROR(_xlfn.XLOOKUP(B117,'CECOS Corporativos'!$D:$D,'CECOS Corporativos'!$J:$J,""),"")</f>
        <v>VP Planificación y Servicios Técnicos</v>
      </c>
      <c r="E117" s="2" t="s">
        <v>759</v>
      </c>
      <c r="F117" s="2" t="str">
        <f t="shared" si="7"/>
        <v>N1001AD050</v>
      </c>
      <c r="G117" s="1" t="s">
        <v>718</v>
      </c>
      <c r="J117">
        <f t="shared" si="8"/>
        <v>0</v>
      </c>
      <c r="K117">
        <v>11240.41</v>
      </c>
      <c r="M117">
        <f t="shared" si="9"/>
        <v>-11240.41</v>
      </c>
      <c r="N117">
        <v>596.09</v>
      </c>
      <c r="P117">
        <f t="shared" si="10"/>
        <v>-596.09</v>
      </c>
      <c r="S117">
        <f t="shared" si="11"/>
        <v>0</v>
      </c>
    </row>
    <row r="118" spans="1:19" x14ac:dyDescent="0.3">
      <c r="A118" s="2" t="str">
        <f xml:space="preserve"> _xll.EPMOlapMemberO("[CECO].[PARENTH3].[AMSA1001AD0505]","","AMSA1001AD0505 - Operaciones Corp","","000")</f>
        <v>AMSA1001AD0505 - Operaciones Corp</v>
      </c>
      <c r="B118" s="2" t="str">
        <f t="shared" si="6"/>
        <v>1001AD0505</v>
      </c>
      <c r="C118" s="2" t="str">
        <f>IFERROR(_xlfn.XLOOKUP(B118,'CECOS Corporativos'!$D:$D,'CECOS Corporativos'!$E:$E,""),"")</f>
        <v>Operaciones Corp (Distribuibles)</v>
      </c>
      <c r="D118" s="2" t="str">
        <f>IFERROR(_xlfn.XLOOKUP(B118,'CECOS Corporativos'!$D:$D,'CECOS Corporativos'!$J:$J,""),"")</f>
        <v>VP Planificación y Servicios Técnicos</v>
      </c>
      <c r="E118" s="2" t="s">
        <v>761</v>
      </c>
      <c r="F118" s="2" t="str">
        <f t="shared" si="7"/>
        <v>N1001AD050</v>
      </c>
      <c r="G118" s="1" t="s">
        <v>718</v>
      </c>
      <c r="J118">
        <f t="shared" si="8"/>
        <v>0</v>
      </c>
      <c r="M118">
        <f t="shared" si="9"/>
        <v>0</v>
      </c>
      <c r="P118">
        <f t="shared" si="10"/>
        <v>0</v>
      </c>
      <c r="Q118">
        <v>9619.75</v>
      </c>
      <c r="S118">
        <f t="shared" si="11"/>
        <v>-9619.75</v>
      </c>
    </row>
    <row r="119" spans="1:19" x14ac:dyDescent="0.3">
      <c r="A119" s="2" t="str">
        <f xml:space="preserve"> _xll.EPMOlapMemberO("[CECO].[PARENTH3].[AMSA1001AD0505]","","AMSA1001AD0505 - Operaciones Corp","","000")</f>
        <v>AMSA1001AD0505 - Operaciones Corp</v>
      </c>
      <c r="B119" s="2" t="str">
        <f t="shared" si="6"/>
        <v>1001AD0505</v>
      </c>
      <c r="C119" s="2" t="str">
        <f>IFERROR(_xlfn.XLOOKUP(B119,'CECOS Corporativos'!$D:$D,'CECOS Corporativos'!$E:$E,""),"")</f>
        <v>Operaciones Corp (Distribuibles)</v>
      </c>
      <c r="D119" s="2" t="str">
        <f>IFERROR(_xlfn.XLOOKUP(B119,'CECOS Corporativos'!$D:$D,'CECOS Corporativos'!$J:$J,""),"")</f>
        <v>VP Planificación y Servicios Técnicos</v>
      </c>
      <c r="E119" s="2" t="s">
        <v>764</v>
      </c>
      <c r="F119" s="2" t="str">
        <f t="shared" si="7"/>
        <v>N1001AD050</v>
      </c>
      <c r="G119" s="1" t="s">
        <v>718</v>
      </c>
      <c r="J119">
        <f t="shared" si="8"/>
        <v>0</v>
      </c>
      <c r="M119">
        <f t="shared" si="9"/>
        <v>0</v>
      </c>
      <c r="N119">
        <v>1294047</v>
      </c>
      <c r="O119">
        <v>1433843</v>
      </c>
      <c r="P119">
        <f t="shared" si="10"/>
        <v>139796</v>
      </c>
      <c r="Q119">
        <v>1517507</v>
      </c>
      <c r="R119">
        <v>1592862.04</v>
      </c>
      <c r="S119">
        <f t="shared" si="11"/>
        <v>75355.040000000037</v>
      </c>
    </row>
    <row r="120" spans="1:19" x14ac:dyDescent="0.3">
      <c r="A120" s="4" t="str">
        <f xml:space="preserve"> _xll.EPMOlapMemberO("[CECO].[PARENTH3].[AMSA1001AD3011]","","AMSA1001AD3011 - Abaste. Corporativos","","000")</f>
        <v>AMSA1001AD3011 - Abaste. Corporativos</v>
      </c>
      <c r="B120" s="2" t="str">
        <f t="shared" si="6"/>
        <v>1001AD3011</v>
      </c>
      <c r="C120" s="2" t="str">
        <f>IFERROR(_xlfn.XLOOKUP(B120,'CECOS Corporativos'!$D:$D,'CECOS Corporativos'!$E:$E,""),"")</f>
        <v>Gerencia de Abastecimiento Corporativo</v>
      </c>
      <c r="D120" s="2" t="str">
        <f>IFERROR(_xlfn.XLOOKUP(B120,'CECOS Corporativos'!$D:$D,'CECOS Corporativos'!$J:$J,""),"")</f>
        <v>VP Finanzas</v>
      </c>
      <c r="E120" s="2" t="s">
        <v>771</v>
      </c>
      <c r="F120" s="2" t="str">
        <f t="shared" si="7"/>
        <v>N1001AD300</v>
      </c>
      <c r="G120" s="1" t="s">
        <v>719</v>
      </c>
      <c r="H120">
        <v>49239.75</v>
      </c>
      <c r="J120">
        <f t="shared" si="8"/>
        <v>-49239.75</v>
      </c>
      <c r="K120">
        <v>0</v>
      </c>
      <c r="M120">
        <f t="shared" si="9"/>
        <v>0</v>
      </c>
      <c r="N120">
        <v>0</v>
      </c>
      <c r="P120">
        <f t="shared" si="10"/>
        <v>0</v>
      </c>
      <c r="S120">
        <f t="shared" si="11"/>
        <v>0</v>
      </c>
    </row>
    <row r="121" spans="1:19" x14ac:dyDescent="0.3">
      <c r="A121" s="4" t="str">
        <f xml:space="preserve"> _xll.EPMOlapMemberO("[CECO].[PARENTH3].[AMSA1001AD3011]","","AMSA1001AD3011 - Abaste. Corporativos","","000")</f>
        <v>AMSA1001AD3011 - Abaste. Corporativos</v>
      </c>
      <c r="B121" s="2" t="str">
        <f t="shared" si="6"/>
        <v>1001AD3011</v>
      </c>
      <c r="C121" s="2" t="str">
        <f>IFERROR(_xlfn.XLOOKUP(B121,'CECOS Corporativos'!$D:$D,'CECOS Corporativos'!$E:$E,""),"")</f>
        <v>Gerencia de Abastecimiento Corporativo</v>
      </c>
      <c r="D121" s="2" t="str">
        <f>IFERROR(_xlfn.XLOOKUP(B121,'CECOS Corporativos'!$D:$D,'CECOS Corporativos'!$J:$J,""),"")</f>
        <v>VP Finanzas</v>
      </c>
      <c r="E121" s="2" t="s">
        <v>765</v>
      </c>
      <c r="F121" s="2" t="str">
        <f t="shared" si="7"/>
        <v>N1001AD300</v>
      </c>
      <c r="G121" s="1" t="s">
        <v>719</v>
      </c>
      <c r="J121">
        <f t="shared" si="8"/>
        <v>0</v>
      </c>
      <c r="K121">
        <v>63204.41</v>
      </c>
      <c r="M121">
        <f t="shared" si="9"/>
        <v>-63204.41</v>
      </c>
      <c r="N121">
        <v>0</v>
      </c>
      <c r="P121">
        <f t="shared" si="10"/>
        <v>0</v>
      </c>
      <c r="Q121">
        <v>19057.36</v>
      </c>
      <c r="S121">
        <f t="shared" si="11"/>
        <v>-19057.36</v>
      </c>
    </row>
    <row r="122" spans="1:19" x14ac:dyDescent="0.3">
      <c r="A122" s="4" t="str">
        <f xml:space="preserve"> _xll.EPMOlapMemberO("[CECO].[PARENTH3].[AMSA1001AD3011]","","AMSA1001AD3011 - Abaste. Corporativos","","000")</f>
        <v>AMSA1001AD3011 - Abaste. Corporativos</v>
      </c>
      <c r="B122" s="2" t="str">
        <f t="shared" si="6"/>
        <v>1001AD3011</v>
      </c>
      <c r="C122" s="2" t="str">
        <f>IFERROR(_xlfn.XLOOKUP(B122,'CECOS Corporativos'!$D:$D,'CECOS Corporativos'!$E:$E,""),"")</f>
        <v>Gerencia de Abastecimiento Corporativo</v>
      </c>
      <c r="D122" s="2" t="str">
        <f>IFERROR(_xlfn.XLOOKUP(B122,'CECOS Corporativos'!$D:$D,'CECOS Corporativos'!$J:$J,""),"")</f>
        <v>VP Finanzas</v>
      </c>
      <c r="E122" s="2" t="s">
        <v>766</v>
      </c>
      <c r="F122" s="2" t="str">
        <f t="shared" si="7"/>
        <v>N1001AD300</v>
      </c>
      <c r="G122" s="1" t="s">
        <v>719</v>
      </c>
      <c r="I122">
        <v>5982</v>
      </c>
      <c r="J122">
        <f t="shared" si="8"/>
        <v>5982</v>
      </c>
      <c r="K122">
        <v>1429</v>
      </c>
      <c r="L122">
        <v>40</v>
      </c>
      <c r="M122">
        <f t="shared" si="9"/>
        <v>-1389</v>
      </c>
      <c r="P122">
        <f t="shared" si="10"/>
        <v>0</v>
      </c>
      <c r="Q122">
        <v>-116972.93</v>
      </c>
      <c r="R122">
        <v>53179.34</v>
      </c>
      <c r="S122">
        <f t="shared" si="11"/>
        <v>170152.27</v>
      </c>
    </row>
    <row r="123" spans="1:19" x14ac:dyDescent="0.3">
      <c r="A123" s="4" t="str">
        <f xml:space="preserve"> _xll.EPMOlapMemberO("[CECO].[PARENTH3].[AMSA1001AD3011]","","AMSA1001AD3011 - Abaste. Corporativos","","000")</f>
        <v>AMSA1001AD3011 - Abaste. Corporativos</v>
      </c>
      <c r="B123" s="2" t="str">
        <f t="shared" si="6"/>
        <v>1001AD3011</v>
      </c>
      <c r="C123" s="2" t="str">
        <f>IFERROR(_xlfn.XLOOKUP(B123,'CECOS Corporativos'!$D:$D,'CECOS Corporativos'!$E:$E,""),"")</f>
        <v>Gerencia de Abastecimiento Corporativo</v>
      </c>
      <c r="D123" s="2" t="str">
        <f>IFERROR(_xlfn.XLOOKUP(B123,'CECOS Corporativos'!$D:$D,'CECOS Corporativos'!$J:$J,""),"")</f>
        <v>VP Finanzas</v>
      </c>
      <c r="E123" s="2" t="s">
        <v>757</v>
      </c>
      <c r="F123" s="2" t="str">
        <f t="shared" si="7"/>
        <v>N1001AD300</v>
      </c>
      <c r="G123" s="1" t="s">
        <v>719</v>
      </c>
      <c r="H123">
        <v>6027.34</v>
      </c>
      <c r="I123">
        <v>10284</v>
      </c>
      <c r="J123">
        <f t="shared" si="8"/>
        <v>4256.66</v>
      </c>
      <c r="K123">
        <v>8997</v>
      </c>
      <c r="L123">
        <v>53564</v>
      </c>
      <c r="M123">
        <f t="shared" si="9"/>
        <v>44567</v>
      </c>
      <c r="N123">
        <v>60848.39</v>
      </c>
      <c r="O123">
        <v>7020</v>
      </c>
      <c r="P123">
        <f t="shared" si="10"/>
        <v>-53828.39</v>
      </c>
      <c r="Q123">
        <v>13083.56</v>
      </c>
      <c r="S123">
        <f t="shared" si="11"/>
        <v>-13083.56</v>
      </c>
    </row>
    <row r="124" spans="1:19" x14ac:dyDescent="0.3">
      <c r="A124" s="4" t="str">
        <f xml:space="preserve"> _xll.EPMOlapMemberO("[CECO].[PARENTH3].[AMSA1001AD3011]","","AMSA1001AD3011 - Abaste. Corporativos","","000")</f>
        <v>AMSA1001AD3011 - Abaste. Corporativos</v>
      </c>
      <c r="B124" s="2" t="str">
        <f t="shared" si="6"/>
        <v>1001AD3011</v>
      </c>
      <c r="C124" s="2" t="str">
        <f>IFERROR(_xlfn.XLOOKUP(B124,'CECOS Corporativos'!$D:$D,'CECOS Corporativos'!$E:$E,""),"")</f>
        <v>Gerencia de Abastecimiento Corporativo</v>
      </c>
      <c r="D124" s="2" t="str">
        <f>IFERROR(_xlfn.XLOOKUP(B124,'CECOS Corporativos'!$D:$D,'CECOS Corporativos'!$J:$J,""),"")</f>
        <v>VP Finanzas</v>
      </c>
      <c r="E124" s="2" t="s">
        <v>758</v>
      </c>
      <c r="F124" s="2" t="str">
        <f t="shared" si="7"/>
        <v>N1001AD300</v>
      </c>
      <c r="G124" s="1" t="s">
        <v>719</v>
      </c>
      <c r="H124">
        <v>383023.48</v>
      </c>
      <c r="I124">
        <v>746129</v>
      </c>
      <c r="J124">
        <f t="shared" si="8"/>
        <v>363105.52</v>
      </c>
      <c r="K124">
        <v>971219.33</v>
      </c>
      <c r="L124">
        <v>480196</v>
      </c>
      <c r="M124">
        <f t="shared" si="9"/>
        <v>-491023.32999999996</v>
      </c>
      <c r="N124">
        <v>355931.79</v>
      </c>
      <c r="O124">
        <v>366120</v>
      </c>
      <c r="P124">
        <f t="shared" si="10"/>
        <v>10188.210000000021</v>
      </c>
      <c r="Q124">
        <v>397731.53</v>
      </c>
      <c r="R124">
        <v>369423.03</v>
      </c>
      <c r="S124">
        <f t="shared" si="11"/>
        <v>-28308.5</v>
      </c>
    </row>
    <row r="125" spans="1:19" x14ac:dyDescent="0.3">
      <c r="A125" s="4" t="str">
        <f xml:space="preserve"> _xll.EPMOlapMemberO("[CECO].[PARENTH3].[AMSA1001AD3011]","","AMSA1001AD3011 - Abaste. Corporativos","","000")</f>
        <v>AMSA1001AD3011 - Abaste. Corporativos</v>
      </c>
      <c r="B125" s="2" t="str">
        <f t="shared" si="6"/>
        <v>1001AD3011</v>
      </c>
      <c r="C125" s="2" t="str">
        <f>IFERROR(_xlfn.XLOOKUP(B125,'CECOS Corporativos'!$D:$D,'CECOS Corporativos'!$E:$E,""),"")</f>
        <v>Gerencia de Abastecimiento Corporativo</v>
      </c>
      <c r="D125" s="2" t="str">
        <f>IFERROR(_xlfn.XLOOKUP(B125,'CECOS Corporativos'!$D:$D,'CECOS Corporativos'!$J:$J,""),"")</f>
        <v>VP Finanzas</v>
      </c>
      <c r="E125" s="2" t="s">
        <v>763</v>
      </c>
      <c r="F125" s="2" t="str">
        <f t="shared" si="7"/>
        <v>N1001AD300</v>
      </c>
      <c r="G125" s="1" t="s">
        <v>719</v>
      </c>
      <c r="H125">
        <v>52328.46</v>
      </c>
      <c r="J125">
        <f t="shared" si="8"/>
        <v>-52328.46</v>
      </c>
      <c r="K125">
        <v>180140.7</v>
      </c>
      <c r="L125">
        <v>215107</v>
      </c>
      <c r="M125">
        <f t="shared" si="9"/>
        <v>34966.299999999988</v>
      </c>
      <c r="N125">
        <v>141659.10999999999</v>
      </c>
      <c r="O125">
        <v>184092</v>
      </c>
      <c r="P125">
        <f t="shared" si="10"/>
        <v>42432.890000000014</v>
      </c>
      <c r="Q125">
        <v>230296.44</v>
      </c>
      <c r="R125">
        <v>177733.49</v>
      </c>
      <c r="S125">
        <f t="shared" si="11"/>
        <v>-52562.950000000012</v>
      </c>
    </row>
    <row r="126" spans="1:19" x14ac:dyDescent="0.3">
      <c r="A126" s="4" t="str">
        <f xml:space="preserve"> _xll.EPMOlapMemberO("[CECO].[PARENTH3].[AMSA1001AD3011]","","AMSA1001AD3011 - Abaste. Corporativos","","000")</f>
        <v>AMSA1001AD3011 - Abaste. Corporativos</v>
      </c>
      <c r="B126" s="2" t="str">
        <f t="shared" si="6"/>
        <v>1001AD3011</v>
      </c>
      <c r="C126" s="2" t="str">
        <f>IFERROR(_xlfn.XLOOKUP(B126,'CECOS Corporativos'!$D:$D,'CECOS Corporativos'!$E:$E,""),"")</f>
        <v>Gerencia de Abastecimiento Corporativo</v>
      </c>
      <c r="D126" s="2" t="str">
        <f>IFERROR(_xlfn.XLOOKUP(B126,'CECOS Corporativos'!$D:$D,'CECOS Corporativos'!$J:$J,""),"")</f>
        <v>VP Finanzas</v>
      </c>
      <c r="E126" s="2" t="s">
        <v>759</v>
      </c>
      <c r="F126" s="2" t="str">
        <f t="shared" si="7"/>
        <v>N1001AD300</v>
      </c>
      <c r="G126" s="1" t="s">
        <v>719</v>
      </c>
      <c r="J126">
        <f t="shared" si="8"/>
        <v>0</v>
      </c>
      <c r="K126">
        <v>8750</v>
      </c>
      <c r="M126">
        <f t="shared" si="9"/>
        <v>-8750</v>
      </c>
      <c r="N126">
        <v>0</v>
      </c>
      <c r="P126">
        <f t="shared" si="10"/>
        <v>0</v>
      </c>
      <c r="S126">
        <f t="shared" si="11"/>
        <v>0</v>
      </c>
    </row>
    <row r="127" spans="1:19" x14ac:dyDescent="0.3">
      <c r="A127" s="4" t="str">
        <f xml:space="preserve"> _xll.EPMOlapMemberO("[CECO].[PARENTH3].[AMSA1001AD3011]","","AMSA1001AD3011 - Abaste. Corporativos","","000")</f>
        <v>AMSA1001AD3011 - Abaste. Corporativos</v>
      </c>
      <c r="B127" s="2" t="str">
        <f t="shared" si="6"/>
        <v>1001AD3011</v>
      </c>
      <c r="C127" s="2" t="str">
        <f>IFERROR(_xlfn.XLOOKUP(B127,'CECOS Corporativos'!$D:$D,'CECOS Corporativos'!$E:$E,""),"")</f>
        <v>Gerencia de Abastecimiento Corporativo</v>
      </c>
      <c r="D127" s="2" t="str">
        <f>IFERROR(_xlfn.XLOOKUP(B127,'CECOS Corporativos'!$D:$D,'CECOS Corporativos'!$J:$J,""),"")</f>
        <v>VP Finanzas</v>
      </c>
      <c r="E127" s="2" t="s">
        <v>761</v>
      </c>
      <c r="F127" s="2" t="str">
        <f t="shared" si="7"/>
        <v>N1001AD300</v>
      </c>
      <c r="G127" s="1" t="s">
        <v>719</v>
      </c>
      <c r="J127">
        <f t="shared" si="8"/>
        <v>0</v>
      </c>
      <c r="K127">
        <v>1790.21</v>
      </c>
      <c r="M127">
        <f t="shared" si="9"/>
        <v>-1790.21</v>
      </c>
      <c r="P127">
        <f t="shared" si="10"/>
        <v>0</v>
      </c>
      <c r="S127">
        <f t="shared" si="11"/>
        <v>0</v>
      </c>
    </row>
    <row r="128" spans="1:19" x14ac:dyDescent="0.3">
      <c r="A128" s="4" t="str">
        <f xml:space="preserve"> _xll.EPMOlapMemberO("[CECO].[PARENTH3].[AMSA1001AD3011]","","AMSA1001AD3011 - Abaste. Corporativos","","000")</f>
        <v>AMSA1001AD3011 - Abaste. Corporativos</v>
      </c>
      <c r="B128" s="2" t="str">
        <f t="shared" si="6"/>
        <v>1001AD3011</v>
      </c>
      <c r="C128" s="2" t="str">
        <f>IFERROR(_xlfn.XLOOKUP(B128,'CECOS Corporativos'!$D:$D,'CECOS Corporativos'!$E:$E,""),"")</f>
        <v>Gerencia de Abastecimiento Corporativo</v>
      </c>
      <c r="D128" s="2" t="str">
        <f>IFERROR(_xlfn.XLOOKUP(B128,'CECOS Corporativos'!$D:$D,'CECOS Corporativos'!$J:$J,""),"")</f>
        <v>VP Finanzas</v>
      </c>
      <c r="E128" s="2" t="s">
        <v>764</v>
      </c>
      <c r="F128" s="2" t="str">
        <f t="shared" si="7"/>
        <v>N1001AD300</v>
      </c>
      <c r="G128" s="1" t="s">
        <v>719</v>
      </c>
      <c r="H128">
        <v>1170615.25</v>
      </c>
      <c r="I128">
        <v>1206782</v>
      </c>
      <c r="J128">
        <f t="shared" si="8"/>
        <v>36166.75</v>
      </c>
      <c r="K128">
        <v>1249745.1399999999</v>
      </c>
      <c r="L128">
        <v>1134468</v>
      </c>
      <c r="M128">
        <f t="shared" si="9"/>
        <v>-115277.1399999999</v>
      </c>
      <c r="N128">
        <v>-0.14000000000000001</v>
      </c>
      <c r="O128">
        <v>0</v>
      </c>
      <c r="P128">
        <f t="shared" si="10"/>
        <v>0.14000000000000001</v>
      </c>
      <c r="S128">
        <f t="shared" si="11"/>
        <v>0</v>
      </c>
    </row>
    <row r="129" spans="1:19" x14ac:dyDescent="0.3">
      <c r="A129" s="4" t="str">
        <f xml:space="preserve"> _xll.EPMOlapMemberO("[CECO].[PARENTH3].[AMSA1001AD0507]","","AMSA1001AD0507 - Finanzas Corporativo","","000")</f>
        <v>AMSA1001AD0507 - Finanzas Corporativo</v>
      </c>
      <c r="B129" s="2" t="str">
        <f t="shared" si="6"/>
        <v>1001AD0507</v>
      </c>
      <c r="C129" s="2" t="str">
        <f>IFERROR(_xlfn.XLOOKUP(B129,'CECOS Corporativos'!$D:$D,'CECOS Corporativos'!$E:$E,""),"")</f>
        <v>Finanzas Corporativo (HH Corporativo)</v>
      </c>
      <c r="D129" s="2" t="str">
        <f>IFERROR(_xlfn.XLOOKUP(B129,'CECOS Corporativos'!$D:$D,'CECOS Corporativos'!$J:$J,""),"")</f>
        <v>VP Finanzas</v>
      </c>
      <c r="E129" s="2" t="s">
        <v>764</v>
      </c>
      <c r="F129" s="2" t="str">
        <f t="shared" si="7"/>
        <v>N1001AD352</v>
      </c>
      <c r="G129" s="1" t="s">
        <v>720</v>
      </c>
      <c r="J129">
        <f t="shared" si="8"/>
        <v>0</v>
      </c>
      <c r="M129">
        <f t="shared" si="9"/>
        <v>0</v>
      </c>
      <c r="N129">
        <v>3397548</v>
      </c>
      <c r="O129">
        <v>3764587</v>
      </c>
      <c r="P129">
        <f t="shared" si="10"/>
        <v>367039</v>
      </c>
      <c r="Q129">
        <v>3945431</v>
      </c>
      <c r="R129">
        <v>4141347.52</v>
      </c>
      <c r="S129">
        <f t="shared" si="11"/>
        <v>195916.52000000002</v>
      </c>
    </row>
    <row r="130" spans="1:19" x14ac:dyDescent="0.3">
      <c r="A130" s="4" t="str">
        <f xml:space="preserve"> _xll.EPMOlapMemberO("[CECO].[PARENTH3].[AMSA1001AD3503]","","AMSA1001AD3503 - Finanzas","","000")</f>
        <v>AMSA1001AD3503 - Finanzas</v>
      </c>
      <c r="B130" s="2" t="str">
        <f t="shared" si="6"/>
        <v>1001AD3503</v>
      </c>
      <c r="C130" s="2" t="str">
        <f>IFERROR(_xlfn.XLOOKUP(B130,'CECOS Corporativos'!$D:$D,'CECOS Corporativos'!$E:$E,""),"")</f>
        <v>Gerencia de Inversiones &amp; Finanzas</v>
      </c>
      <c r="D130" s="2" t="str">
        <f>IFERROR(_xlfn.XLOOKUP(B130,'CECOS Corporativos'!$D:$D,'CECOS Corporativos'!$J:$J,""),"")</f>
        <v>VP Finanzas</v>
      </c>
      <c r="E130" s="2" t="s">
        <v>766</v>
      </c>
      <c r="F130" s="2" t="str">
        <f t="shared" si="7"/>
        <v>N1001AD354</v>
      </c>
      <c r="G130" s="1" t="s">
        <v>721</v>
      </c>
      <c r="J130">
        <f t="shared" si="8"/>
        <v>0</v>
      </c>
      <c r="K130">
        <v>12420</v>
      </c>
      <c r="M130">
        <f t="shared" si="9"/>
        <v>-12420</v>
      </c>
      <c r="P130">
        <f t="shared" si="10"/>
        <v>0</v>
      </c>
      <c r="S130">
        <f t="shared" si="11"/>
        <v>0</v>
      </c>
    </row>
    <row r="131" spans="1:19" x14ac:dyDescent="0.3">
      <c r="A131" s="4" t="str">
        <f xml:space="preserve"> _xll.EPMOlapMemberO("[CECO].[PARENTH3].[AMSA1001AD3503]","","AMSA1001AD3503 - Finanzas","","000")</f>
        <v>AMSA1001AD3503 - Finanzas</v>
      </c>
      <c r="B131" s="2" t="str">
        <f t="shared" si="6"/>
        <v>1001AD3503</v>
      </c>
      <c r="C131" s="2" t="str">
        <f>IFERROR(_xlfn.XLOOKUP(B131,'CECOS Corporativos'!$D:$D,'CECOS Corporativos'!$E:$E,""),"")</f>
        <v>Gerencia de Inversiones &amp; Finanzas</v>
      </c>
      <c r="D131" s="2" t="str">
        <f>IFERROR(_xlfn.XLOOKUP(B131,'CECOS Corporativos'!$D:$D,'CECOS Corporativos'!$J:$J,""),"")</f>
        <v>VP Finanzas</v>
      </c>
      <c r="E131" s="2" t="s">
        <v>757</v>
      </c>
      <c r="F131" s="2" t="str">
        <f t="shared" si="7"/>
        <v>N1001AD354</v>
      </c>
      <c r="G131" s="1" t="s">
        <v>721</v>
      </c>
      <c r="H131">
        <v>44640.9</v>
      </c>
      <c r="I131">
        <v>124281</v>
      </c>
      <c r="J131">
        <f t="shared" si="8"/>
        <v>79640.100000000006</v>
      </c>
      <c r="K131">
        <v>-62419.34</v>
      </c>
      <c r="L131">
        <v>1112</v>
      </c>
      <c r="M131">
        <f t="shared" si="9"/>
        <v>63531.34</v>
      </c>
      <c r="N131">
        <v>1462.6</v>
      </c>
      <c r="O131">
        <v>1588</v>
      </c>
      <c r="P131">
        <f t="shared" si="10"/>
        <v>125.40000000000009</v>
      </c>
      <c r="Q131">
        <v>0</v>
      </c>
      <c r="R131">
        <v>1461.11</v>
      </c>
      <c r="S131">
        <f t="shared" si="11"/>
        <v>1461.11</v>
      </c>
    </row>
    <row r="132" spans="1:19" x14ac:dyDescent="0.3">
      <c r="A132" s="4" t="str">
        <f xml:space="preserve"> _xll.EPMOlapMemberO("[CECO].[PARENTH3].[AMSA1001AD3503]","","AMSA1001AD3503 - Finanzas","","000")</f>
        <v>AMSA1001AD3503 - Finanzas</v>
      </c>
      <c r="B132" s="2" t="str">
        <f t="shared" si="6"/>
        <v>1001AD3503</v>
      </c>
      <c r="C132" s="2" t="str">
        <f>IFERROR(_xlfn.XLOOKUP(B132,'CECOS Corporativos'!$D:$D,'CECOS Corporativos'!$E:$E,""),"")</f>
        <v>Gerencia de Inversiones &amp; Finanzas</v>
      </c>
      <c r="D132" s="2" t="str">
        <f>IFERROR(_xlfn.XLOOKUP(B132,'CECOS Corporativos'!$D:$D,'CECOS Corporativos'!$J:$J,""),"")</f>
        <v>VP Finanzas</v>
      </c>
      <c r="E132" s="2" t="s">
        <v>762</v>
      </c>
      <c r="F132" s="2" t="str">
        <f t="shared" si="7"/>
        <v>N1001AD354</v>
      </c>
      <c r="G132" s="1" t="s">
        <v>721</v>
      </c>
      <c r="H132">
        <v>-380.08</v>
      </c>
      <c r="J132">
        <f t="shared" si="8"/>
        <v>380.08</v>
      </c>
      <c r="M132">
        <f t="shared" si="9"/>
        <v>0</v>
      </c>
      <c r="N132">
        <v>0</v>
      </c>
      <c r="P132">
        <f t="shared" si="10"/>
        <v>0</v>
      </c>
      <c r="S132">
        <f t="shared" si="11"/>
        <v>0</v>
      </c>
    </row>
    <row r="133" spans="1:19" x14ac:dyDescent="0.3">
      <c r="A133" s="4" t="str">
        <f xml:space="preserve"> _xll.EPMOlapMemberO("[CECO].[PARENTH3].[AMSA1001AD3503]","","AMSA1001AD3503 - Finanzas","","000")</f>
        <v>AMSA1001AD3503 - Finanzas</v>
      </c>
      <c r="B133" s="2" t="str">
        <f t="shared" si="6"/>
        <v>1001AD3503</v>
      </c>
      <c r="C133" s="2" t="str">
        <f>IFERROR(_xlfn.XLOOKUP(B133,'CECOS Corporativos'!$D:$D,'CECOS Corporativos'!$E:$E,""),"")</f>
        <v>Gerencia de Inversiones &amp; Finanzas</v>
      </c>
      <c r="D133" s="2" t="str">
        <f>IFERROR(_xlfn.XLOOKUP(B133,'CECOS Corporativos'!$D:$D,'CECOS Corporativos'!$J:$J,""),"")</f>
        <v>VP Finanzas</v>
      </c>
      <c r="E133" s="2" t="s">
        <v>763</v>
      </c>
      <c r="F133" s="2" t="str">
        <f t="shared" si="7"/>
        <v>N1001AD354</v>
      </c>
      <c r="G133" s="1" t="s">
        <v>721</v>
      </c>
      <c r="H133">
        <v>950.11</v>
      </c>
      <c r="I133">
        <v>1544</v>
      </c>
      <c r="J133">
        <f t="shared" si="8"/>
        <v>593.89</v>
      </c>
      <c r="K133">
        <v>1103.97</v>
      </c>
      <c r="L133">
        <v>1559</v>
      </c>
      <c r="M133">
        <f t="shared" si="9"/>
        <v>455.03</v>
      </c>
      <c r="N133">
        <v>1433.31</v>
      </c>
      <c r="O133">
        <v>1500</v>
      </c>
      <c r="P133">
        <f t="shared" si="10"/>
        <v>66.690000000000055</v>
      </c>
      <c r="Q133">
        <v>29166</v>
      </c>
      <c r="R133">
        <v>1500</v>
      </c>
      <c r="S133">
        <f t="shared" si="11"/>
        <v>-27666</v>
      </c>
    </row>
    <row r="134" spans="1:19" x14ac:dyDescent="0.3">
      <c r="A134" s="4" t="str">
        <f xml:space="preserve"> _xll.EPMOlapMemberO("[CECO].[PARENTH3].[AMSA1001AD3503]","","AMSA1001AD3503 - Finanzas","","000")</f>
        <v>AMSA1001AD3503 - Finanzas</v>
      </c>
      <c r="B134" s="2" t="str">
        <f t="shared" si="6"/>
        <v>1001AD3503</v>
      </c>
      <c r="C134" s="2" t="str">
        <f>IFERROR(_xlfn.XLOOKUP(B134,'CECOS Corporativos'!$D:$D,'CECOS Corporativos'!$E:$E,""),"")</f>
        <v>Gerencia de Inversiones &amp; Finanzas</v>
      </c>
      <c r="D134" s="2" t="str">
        <f>IFERROR(_xlfn.XLOOKUP(B134,'CECOS Corporativos'!$D:$D,'CECOS Corporativos'!$J:$J,""),"")</f>
        <v>VP Finanzas</v>
      </c>
      <c r="E134" s="2" t="s">
        <v>761</v>
      </c>
      <c r="F134" s="2" t="str">
        <f t="shared" si="7"/>
        <v>N1001AD354</v>
      </c>
      <c r="G134" s="1" t="s">
        <v>721</v>
      </c>
      <c r="H134">
        <v>-34.71</v>
      </c>
      <c r="I134">
        <v>3082</v>
      </c>
      <c r="J134">
        <f t="shared" si="8"/>
        <v>3116.71</v>
      </c>
      <c r="K134">
        <v>0</v>
      </c>
      <c r="L134">
        <v>2731</v>
      </c>
      <c r="M134">
        <f t="shared" si="9"/>
        <v>2731</v>
      </c>
      <c r="N134">
        <v>0</v>
      </c>
      <c r="P134">
        <f t="shared" si="10"/>
        <v>0</v>
      </c>
      <c r="S134">
        <f t="shared" si="11"/>
        <v>0</v>
      </c>
    </row>
    <row r="135" spans="1:19" x14ac:dyDescent="0.3">
      <c r="A135" s="4" t="str">
        <f xml:space="preserve"> _xll.EPMOlapMemberO("[CECO].[PARENTH3].[AMSA1001AD3503]","","AMSA1001AD3503 - Finanzas","","000")</f>
        <v>AMSA1001AD3503 - Finanzas</v>
      </c>
      <c r="B135" s="2" t="str">
        <f t="shared" si="6"/>
        <v>1001AD3503</v>
      </c>
      <c r="C135" s="2" t="str">
        <f>IFERROR(_xlfn.XLOOKUP(B135,'CECOS Corporativos'!$D:$D,'CECOS Corporativos'!$E:$E,""),"")</f>
        <v>Gerencia de Inversiones &amp; Finanzas</v>
      </c>
      <c r="D135" s="2" t="str">
        <f>IFERROR(_xlfn.XLOOKUP(B135,'CECOS Corporativos'!$D:$D,'CECOS Corporativos'!$J:$J,""),"")</f>
        <v>VP Finanzas</v>
      </c>
      <c r="E135" s="2" t="s">
        <v>764</v>
      </c>
      <c r="F135" s="2" t="str">
        <f t="shared" si="7"/>
        <v>N1001AD354</v>
      </c>
      <c r="G135" s="1" t="s">
        <v>721</v>
      </c>
      <c r="H135">
        <v>401912.31</v>
      </c>
      <c r="I135">
        <v>414329</v>
      </c>
      <c r="J135">
        <f t="shared" si="8"/>
        <v>12416.690000000002</v>
      </c>
      <c r="K135">
        <v>388693.53</v>
      </c>
      <c r="L135">
        <v>352836</v>
      </c>
      <c r="M135">
        <f t="shared" si="9"/>
        <v>-35857.530000000028</v>
      </c>
      <c r="N135">
        <v>-0.53</v>
      </c>
      <c r="O135">
        <v>0</v>
      </c>
      <c r="P135">
        <f t="shared" si="10"/>
        <v>0.53</v>
      </c>
      <c r="S135">
        <f t="shared" si="11"/>
        <v>0</v>
      </c>
    </row>
    <row r="136" spans="1:19" x14ac:dyDescent="0.3">
      <c r="A136" s="4" t="str">
        <f xml:space="preserve"> _xll.EPMOlapMemberO("[CECO].[PARENTH3].[AMSA1001AD3504]","","AMSA1001AD3504 - Contabilidad","","000")</f>
        <v>AMSA1001AD3504 - Contabilidad</v>
      </c>
      <c r="B136" s="2" t="str">
        <f t="shared" si="6"/>
        <v>1001AD3504</v>
      </c>
      <c r="C136" s="2" t="str">
        <f>IFERROR(_xlfn.XLOOKUP(B136,'CECOS Corporativos'!$D:$D,'CECOS Corporativos'!$E:$E,""),"")</f>
        <v>Gerencia Contabilidad Corporativa</v>
      </c>
      <c r="D136" s="2" t="str">
        <f>IFERROR(_xlfn.XLOOKUP(B136,'CECOS Corporativos'!$D:$D,'CECOS Corporativos'!$J:$J,""),"")</f>
        <v>VP Finanzas</v>
      </c>
      <c r="E136" s="2" t="s">
        <v>768</v>
      </c>
      <c r="F136" s="2" t="str">
        <f t="shared" si="7"/>
        <v>N1001AD354</v>
      </c>
      <c r="G136" s="1" t="s">
        <v>721</v>
      </c>
      <c r="I136">
        <v>205</v>
      </c>
      <c r="J136">
        <f t="shared" si="8"/>
        <v>205</v>
      </c>
      <c r="L136">
        <v>245</v>
      </c>
      <c r="M136">
        <f t="shared" si="9"/>
        <v>245</v>
      </c>
      <c r="O136">
        <v>243</v>
      </c>
      <c r="P136">
        <f t="shared" si="10"/>
        <v>243</v>
      </c>
      <c r="R136">
        <v>242.3</v>
      </c>
      <c r="S136">
        <f t="shared" si="11"/>
        <v>242.3</v>
      </c>
    </row>
    <row r="137" spans="1:19" x14ac:dyDescent="0.3">
      <c r="A137" s="4" t="str">
        <f xml:space="preserve"> _xll.EPMOlapMemberO("[CECO].[PARENTH3].[AMSA1001AD3504]","","AMSA1001AD3504 - Contabilidad","","000")</f>
        <v>AMSA1001AD3504 - Contabilidad</v>
      </c>
      <c r="B137" s="2" t="str">
        <f t="shared" si="6"/>
        <v>1001AD3504</v>
      </c>
      <c r="C137" s="2" t="str">
        <f>IFERROR(_xlfn.XLOOKUP(B137,'CECOS Corporativos'!$D:$D,'CECOS Corporativos'!$E:$E,""),"")</f>
        <v>Gerencia Contabilidad Corporativa</v>
      </c>
      <c r="D137" s="2" t="str">
        <f>IFERROR(_xlfn.XLOOKUP(B137,'CECOS Corporativos'!$D:$D,'CECOS Corporativos'!$J:$J,""),"")</f>
        <v>VP Finanzas</v>
      </c>
      <c r="E137" s="2" t="s">
        <v>757</v>
      </c>
      <c r="F137" s="2" t="str">
        <f t="shared" si="7"/>
        <v>N1001AD354</v>
      </c>
      <c r="G137" s="1" t="s">
        <v>721</v>
      </c>
      <c r="H137">
        <v>174480.29</v>
      </c>
      <c r="I137">
        <v>267013</v>
      </c>
      <c r="J137">
        <f t="shared" si="8"/>
        <v>92532.709999999992</v>
      </c>
      <c r="K137">
        <v>198587.87</v>
      </c>
      <c r="L137">
        <v>163723</v>
      </c>
      <c r="M137">
        <f t="shared" si="9"/>
        <v>-34864.869999999995</v>
      </c>
      <c r="N137">
        <v>158157.31</v>
      </c>
      <c r="O137">
        <v>243704</v>
      </c>
      <c r="P137">
        <f t="shared" si="10"/>
        <v>85546.69</v>
      </c>
      <c r="Q137">
        <v>185828.3</v>
      </c>
      <c r="R137">
        <v>194941.44</v>
      </c>
      <c r="S137">
        <f t="shared" si="11"/>
        <v>9113.140000000014</v>
      </c>
    </row>
    <row r="138" spans="1:19" x14ac:dyDescent="0.3">
      <c r="A138" s="4" t="str">
        <f xml:space="preserve"> _xll.EPMOlapMemberO("[CECO].[PARENTH3].[AMSA1001AD3504]","","AMSA1001AD3504 - Contabilidad","","000")</f>
        <v>AMSA1001AD3504 - Contabilidad</v>
      </c>
      <c r="B138" s="2" t="str">
        <f t="shared" ref="B138:B201" si="12">IFERROR(SUBSTITUTE(TRIM(LEFT(A138,FIND("-",A138)-1)),"AMSA",""),"")</f>
        <v>1001AD3504</v>
      </c>
      <c r="C138" s="2" t="str">
        <f>IFERROR(_xlfn.XLOOKUP(B138,'CECOS Corporativos'!$D:$D,'CECOS Corporativos'!$E:$E,""),"")</f>
        <v>Gerencia Contabilidad Corporativa</v>
      </c>
      <c r="D138" s="2" t="str">
        <f>IFERROR(_xlfn.XLOOKUP(B138,'CECOS Corporativos'!$D:$D,'CECOS Corporativos'!$J:$J,""),"")</f>
        <v>VP Finanzas</v>
      </c>
      <c r="E138" s="2" t="s">
        <v>758</v>
      </c>
      <c r="F138" s="2" t="str">
        <f t="shared" ref="F138:F201" si="13">IFERROR(TRIM(LEFT(G138,FIND("-",G138)-1)),"")</f>
        <v>N1001AD354</v>
      </c>
      <c r="G138" s="1" t="s">
        <v>721</v>
      </c>
      <c r="H138">
        <v>758.99</v>
      </c>
      <c r="I138">
        <v>2492</v>
      </c>
      <c r="J138">
        <f t="shared" ref="J138:J201" si="14">I138-H138</f>
        <v>1733.01</v>
      </c>
      <c r="K138">
        <v>10.01</v>
      </c>
      <c r="L138">
        <v>1400</v>
      </c>
      <c r="M138">
        <f t="shared" ref="M138:M201" si="15">L138-K138</f>
        <v>1389.99</v>
      </c>
      <c r="N138">
        <v>3244.51</v>
      </c>
      <c r="O138">
        <v>1592</v>
      </c>
      <c r="P138">
        <f t="shared" ref="P138:P201" si="16">O138-N138</f>
        <v>-1652.5100000000002</v>
      </c>
      <c r="Q138">
        <v>371.42</v>
      </c>
      <c r="R138">
        <v>2313.08</v>
      </c>
      <c r="S138">
        <f t="shared" ref="S138:S201" si="17">R138-Q138</f>
        <v>1941.6599999999999</v>
      </c>
    </row>
    <row r="139" spans="1:19" x14ac:dyDescent="0.3">
      <c r="A139" s="4" t="str">
        <f xml:space="preserve"> _xll.EPMOlapMemberO("[CECO].[PARENTH3].[AMSA1001AD3504]","","AMSA1001AD3504 - Contabilidad","","000")</f>
        <v>AMSA1001AD3504 - Contabilidad</v>
      </c>
      <c r="B139" s="2" t="str">
        <f t="shared" si="12"/>
        <v>1001AD3504</v>
      </c>
      <c r="C139" s="2" t="str">
        <f>IFERROR(_xlfn.XLOOKUP(B139,'CECOS Corporativos'!$D:$D,'CECOS Corporativos'!$E:$E,""),"")</f>
        <v>Gerencia Contabilidad Corporativa</v>
      </c>
      <c r="D139" s="2" t="str">
        <f>IFERROR(_xlfn.XLOOKUP(B139,'CECOS Corporativos'!$D:$D,'CECOS Corporativos'!$J:$J,""),"")</f>
        <v>VP Finanzas</v>
      </c>
      <c r="E139" s="2" t="s">
        <v>763</v>
      </c>
      <c r="F139" s="2" t="str">
        <f t="shared" si="13"/>
        <v>N1001AD354</v>
      </c>
      <c r="G139" s="1" t="s">
        <v>721</v>
      </c>
      <c r="H139">
        <v>43421.91</v>
      </c>
      <c r="I139">
        <v>48680</v>
      </c>
      <c r="J139">
        <f t="shared" si="14"/>
        <v>5258.0899999999965</v>
      </c>
      <c r="K139">
        <v>51012.57</v>
      </c>
      <c r="L139">
        <v>53547</v>
      </c>
      <c r="M139">
        <f t="shared" si="15"/>
        <v>2534.4300000000003</v>
      </c>
      <c r="N139">
        <v>60455.15</v>
      </c>
      <c r="O139">
        <v>55716</v>
      </c>
      <c r="P139">
        <f t="shared" si="16"/>
        <v>-4739.1500000000015</v>
      </c>
      <c r="Q139">
        <v>62287.92</v>
      </c>
      <c r="R139">
        <v>75213.490000000005</v>
      </c>
      <c r="S139">
        <f t="shared" si="17"/>
        <v>12925.570000000007</v>
      </c>
    </row>
    <row r="140" spans="1:19" x14ac:dyDescent="0.3">
      <c r="A140" s="4" t="str">
        <f xml:space="preserve"> _xll.EPMOlapMemberO("[CECO].[PARENTH3].[AMSA1001AD3504]","","AMSA1001AD3504 - Contabilidad","","000")</f>
        <v>AMSA1001AD3504 - Contabilidad</v>
      </c>
      <c r="B140" s="2" t="str">
        <f t="shared" si="12"/>
        <v>1001AD3504</v>
      </c>
      <c r="C140" s="2" t="str">
        <f>IFERROR(_xlfn.XLOOKUP(B140,'CECOS Corporativos'!$D:$D,'CECOS Corporativos'!$E:$E,""),"")</f>
        <v>Gerencia Contabilidad Corporativa</v>
      </c>
      <c r="D140" s="2" t="str">
        <f>IFERROR(_xlfn.XLOOKUP(B140,'CECOS Corporativos'!$D:$D,'CECOS Corporativos'!$J:$J,""),"")</f>
        <v>VP Finanzas</v>
      </c>
      <c r="E140" s="2" t="s">
        <v>759</v>
      </c>
      <c r="F140" s="2" t="str">
        <f t="shared" si="13"/>
        <v>N1001AD354</v>
      </c>
      <c r="G140" s="1" t="s">
        <v>721</v>
      </c>
      <c r="H140">
        <v>73.09</v>
      </c>
      <c r="I140">
        <v>6444.42</v>
      </c>
      <c r="J140">
        <f t="shared" si="14"/>
        <v>6371.33</v>
      </c>
      <c r="K140">
        <v>0</v>
      </c>
      <c r="L140">
        <v>11736</v>
      </c>
      <c r="M140">
        <f t="shared" si="15"/>
        <v>11736</v>
      </c>
      <c r="N140">
        <v>291.64999999999998</v>
      </c>
      <c r="O140">
        <v>4451</v>
      </c>
      <c r="P140">
        <f t="shared" si="16"/>
        <v>4159.3500000000004</v>
      </c>
      <c r="Q140">
        <v>-25.43</v>
      </c>
      <c r="R140">
        <v>2869.4</v>
      </c>
      <c r="S140">
        <f t="shared" si="17"/>
        <v>2894.83</v>
      </c>
    </row>
    <row r="141" spans="1:19" x14ac:dyDescent="0.3">
      <c r="A141" s="4" t="str">
        <f xml:space="preserve"> _xll.EPMOlapMemberO("[CECO].[PARENTH3].[AMSA1001AD3504]","","AMSA1001AD3504 - Contabilidad","","000")</f>
        <v>AMSA1001AD3504 - Contabilidad</v>
      </c>
      <c r="B141" s="2" t="str">
        <f t="shared" si="12"/>
        <v>1001AD3504</v>
      </c>
      <c r="C141" s="2" t="str">
        <f>IFERROR(_xlfn.XLOOKUP(B141,'CECOS Corporativos'!$D:$D,'CECOS Corporativos'!$E:$E,""),"")</f>
        <v>Gerencia Contabilidad Corporativa</v>
      </c>
      <c r="D141" s="2" t="str">
        <f>IFERROR(_xlfn.XLOOKUP(B141,'CECOS Corporativos'!$D:$D,'CECOS Corporativos'!$J:$J,""),"")</f>
        <v>VP Finanzas</v>
      </c>
      <c r="E141" s="2" t="s">
        <v>761</v>
      </c>
      <c r="F141" s="2" t="str">
        <f t="shared" si="13"/>
        <v>N1001AD354</v>
      </c>
      <c r="G141" s="1" t="s">
        <v>721</v>
      </c>
      <c r="J141">
        <f t="shared" si="14"/>
        <v>0</v>
      </c>
      <c r="K141">
        <v>0</v>
      </c>
      <c r="M141">
        <f t="shared" si="15"/>
        <v>0</v>
      </c>
      <c r="P141">
        <f t="shared" si="16"/>
        <v>0</v>
      </c>
      <c r="S141">
        <f t="shared" si="17"/>
        <v>0</v>
      </c>
    </row>
    <row r="142" spans="1:19" x14ac:dyDescent="0.3">
      <c r="A142" s="4" t="str">
        <f xml:space="preserve"> _xll.EPMOlapMemberO("[CECO].[PARENTH3].[AMSA1001AD3504]","","AMSA1001AD3504 - Contabilidad","","000")</f>
        <v>AMSA1001AD3504 - Contabilidad</v>
      </c>
      <c r="B142" s="2" t="str">
        <f t="shared" si="12"/>
        <v>1001AD3504</v>
      </c>
      <c r="C142" s="2" t="str">
        <f>IFERROR(_xlfn.XLOOKUP(B142,'CECOS Corporativos'!$D:$D,'CECOS Corporativos'!$E:$E,""),"")</f>
        <v>Gerencia Contabilidad Corporativa</v>
      </c>
      <c r="D142" s="2" t="str">
        <f>IFERROR(_xlfn.XLOOKUP(B142,'CECOS Corporativos'!$D:$D,'CECOS Corporativos'!$J:$J,""),"")</f>
        <v>VP Finanzas</v>
      </c>
      <c r="E142" s="2" t="s">
        <v>764</v>
      </c>
      <c r="F142" s="2" t="str">
        <f t="shared" si="13"/>
        <v>N1001AD354</v>
      </c>
      <c r="G142" s="1" t="s">
        <v>721</v>
      </c>
      <c r="H142">
        <v>1178456.1499999999</v>
      </c>
      <c r="I142">
        <v>728431</v>
      </c>
      <c r="J142">
        <f t="shared" si="14"/>
        <v>-450025.14999999991</v>
      </c>
      <c r="K142">
        <v>856602.7</v>
      </c>
      <c r="L142">
        <v>772776</v>
      </c>
      <c r="M142">
        <f t="shared" si="15"/>
        <v>-83826.699999999953</v>
      </c>
      <c r="N142">
        <v>81520.08</v>
      </c>
      <c r="O142">
        <v>93555</v>
      </c>
      <c r="P142">
        <f t="shared" si="16"/>
        <v>12034.919999999998</v>
      </c>
      <c r="Q142">
        <v>76798.5</v>
      </c>
      <c r="R142">
        <v>92434.68</v>
      </c>
      <c r="S142">
        <f t="shared" si="17"/>
        <v>15636.179999999993</v>
      </c>
    </row>
    <row r="143" spans="1:19" x14ac:dyDescent="0.3">
      <c r="A143" s="4" t="str">
        <f xml:space="preserve"> _xll.EPMOlapMemberO("[CECO].[PARENTH3].[AMSA1001AD3505]","","AMSA1001AD3505 - Gestión de Seguros","","000")</f>
        <v>AMSA1001AD3505 - Gestión de Seguros</v>
      </c>
      <c r="B143" s="2" t="str">
        <f t="shared" si="12"/>
        <v>1001AD3505</v>
      </c>
      <c r="C143" s="2" t="str">
        <f>IFERROR(_xlfn.XLOOKUP(B143,'CECOS Corporativos'!$D:$D,'CECOS Corporativos'!$E:$E,""),"")</f>
        <v>Seguros Corporativos</v>
      </c>
      <c r="D143" s="2" t="str">
        <f>IFERROR(_xlfn.XLOOKUP(B143,'CECOS Corporativos'!$D:$D,'CECOS Corporativos'!$J:$J,""),"")</f>
        <v>VP Finanzas</v>
      </c>
      <c r="E143" s="2" t="s">
        <v>768</v>
      </c>
      <c r="F143" s="2" t="str">
        <f t="shared" si="13"/>
        <v>N1001AD354</v>
      </c>
      <c r="G143" s="1" t="s">
        <v>721</v>
      </c>
      <c r="J143">
        <f t="shared" si="14"/>
        <v>0</v>
      </c>
      <c r="M143">
        <f t="shared" si="15"/>
        <v>0</v>
      </c>
      <c r="P143">
        <f t="shared" si="16"/>
        <v>0</v>
      </c>
      <c r="Q143">
        <v>141.01</v>
      </c>
      <c r="S143">
        <f t="shared" si="17"/>
        <v>-141.01</v>
      </c>
    </row>
    <row r="144" spans="1:19" x14ac:dyDescent="0.3">
      <c r="A144" s="4" t="str">
        <f xml:space="preserve"> _xll.EPMOlapMemberO("[CECO].[PARENTH3].[AMSA1001AD3505]","","AMSA1001AD3505 - Gestión de Seguros","","000")</f>
        <v>AMSA1001AD3505 - Gestión de Seguros</v>
      </c>
      <c r="B144" s="2" t="str">
        <f t="shared" si="12"/>
        <v>1001AD3505</v>
      </c>
      <c r="C144" s="2" t="str">
        <f>IFERROR(_xlfn.XLOOKUP(B144,'CECOS Corporativos'!$D:$D,'CECOS Corporativos'!$E:$E,""),"")</f>
        <v>Seguros Corporativos</v>
      </c>
      <c r="D144" s="2" t="str">
        <f>IFERROR(_xlfn.XLOOKUP(B144,'CECOS Corporativos'!$D:$D,'CECOS Corporativos'!$J:$J,""),"")</f>
        <v>VP Finanzas</v>
      </c>
      <c r="E144" s="2" t="s">
        <v>758</v>
      </c>
      <c r="F144" s="2" t="str">
        <f t="shared" si="13"/>
        <v>N1001AD354</v>
      </c>
      <c r="G144" s="1" t="s">
        <v>721</v>
      </c>
      <c r="J144">
        <f t="shared" si="14"/>
        <v>0</v>
      </c>
      <c r="K144">
        <v>312.17</v>
      </c>
      <c r="M144">
        <f t="shared" si="15"/>
        <v>-312.17</v>
      </c>
      <c r="P144">
        <f t="shared" si="16"/>
        <v>0</v>
      </c>
      <c r="S144">
        <f t="shared" si="17"/>
        <v>0</v>
      </c>
    </row>
    <row r="145" spans="1:19" x14ac:dyDescent="0.3">
      <c r="A145" s="4" t="str">
        <f xml:space="preserve"> _xll.EPMOlapMemberO("[CECO].[PARENTH3].[AMSA1001AD3505]","","AMSA1001AD3505 - Gestión de Seguros","","000")</f>
        <v>AMSA1001AD3505 - Gestión de Seguros</v>
      </c>
      <c r="B145" s="2" t="str">
        <f t="shared" si="12"/>
        <v>1001AD3505</v>
      </c>
      <c r="C145" s="2" t="str">
        <f>IFERROR(_xlfn.XLOOKUP(B145,'CECOS Corporativos'!$D:$D,'CECOS Corporativos'!$E:$E,""),"")</f>
        <v>Seguros Corporativos</v>
      </c>
      <c r="D145" s="2" t="str">
        <f>IFERROR(_xlfn.XLOOKUP(B145,'CECOS Corporativos'!$D:$D,'CECOS Corporativos'!$J:$J,""),"")</f>
        <v>VP Finanzas</v>
      </c>
      <c r="E145" s="2" t="s">
        <v>763</v>
      </c>
      <c r="F145" s="2" t="str">
        <f t="shared" si="13"/>
        <v>N1001AD354</v>
      </c>
      <c r="G145" s="1" t="s">
        <v>721</v>
      </c>
      <c r="H145">
        <v>22.01</v>
      </c>
      <c r="J145">
        <f t="shared" si="14"/>
        <v>-22.01</v>
      </c>
      <c r="M145">
        <f t="shared" si="15"/>
        <v>0</v>
      </c>
      <c r="P145">
        <f t="shared" si="16"/>
        <v>0</v>
      </c>
      <c r="S145">
        <f t="shared" si="17"/>
        <v>0</v>
      </c>
    </row>
    <row r="146" spans="1:19" x14ac:dyDescent="0.3">
      <c r="A146" s="4" t="str">
        <f xml:space="preserve"> _xll.EPMOlapMemberO("[CECO].[PARENTH3].[AMSA1001AD3505]","","AMSA1001AD3505 - Gestión de Seguros","","000")</f>
        <v>AMSA1001AD3505 - Gestión de Seguros</v>
      </c>
      <c r="B146" s="2" t="str">
        <f t="shared" si="12"/>
        <v>1001AD3505</v>
      </c>
      <c r="C146" s="2" t="str">
        <f>IFERROR(_xlfn.XLOOKUP(B146,'CECOS Corporativos'!$D:$D,'CECOS Corporativos'!$E:$E,""),"")</f>
        <v>Seguros Corporativos</v>
      </c>
      <c r="D146" s="2" t="str">
        <f>IFERROR(_xlfn.XLOOKUP(B146,'CECOS Corporativos'!$D:$D,'CECOS Corporativos'!$J:$J,""),"")</f>
        <v>VP Finanzas</v>
      </c>
      <c r="E146" s="2" t="s">
        <v>759</v>
      </c>
      <c r="F146" s="2" t="str">
        <f t="shared" si="13"/>
        <v>N1001AD354</v>
      </c>
      <c r="G146" s="1" t="s">
        <v>721</v>
      </c>
      <c r="H146">
        <v>1200.0999999999999</v>
      </c>
      <c r="I146">
        <v>593.83000000000004</v>
      </c>
      <c r="J146">
        <f t="shared" si="14"/>
        <v>-606.26999999999987</v>
      </c>
      <c r="K146">
        <v>5471.68</v>
      </c>
      <c r="L146">
        <v>5687</v>
      </c>
      <c r="M146">
        <f t="shared" si="15"/>
        <v>215.31999999999971</v>
      </c>
      <c r="N146">
        <v>6255.72</v>
      </c>
      <c r="O146">
        <v>13341</v>
      </c>
      <c r="P146">
        <f t="shared" si="16"/>
        <v>7085.28</v>
      </c>
      <c r="Q146">
        <v>112.69</v>
      </c>
      <c r="R146">
        <v>923.3</v>
      </c>
      <c r="S146">
        <f t="shared" si="17"/>
        <v>810.6099999999999</v>
      </c>
    </row>
    <row r="147" spans="1:19" x14ac:dyDescent="0.3">
      <c r="A147" s="4" t="str">
        <f xml:space="preserve"> _xll.EPMOlapMemberO("[CECO].[PARENTH3].[AMSA1001AD3505]","","AMSA1001AD3505 - Gestión de Seguros","","000")</f>
        <v>AMSA1001AD3505 - Gestión de Seguros</v>
      </c>
      <c r="B147" s="2" t="str">
        <f t="shared" si="12"/>
        <v>1001AD3505</v>
      </c>
      <c r="C147" s="2" t="str">
        <f>IFERROR(_xlfn.XLOOKUP(B147,'CECOS Corporativos'!$D:$D,'CECOS Corporativos'!$E:$E,""),"")</f>
        <v>Seguros Corporativos</v>
      </c>
      <c r="D147" s="2" t="str">
        <f>IFERROR(_xlfn.XLOOKUP(B147,'CECOS Corporativos'!$D:$D,'CECOS Corporativos'!$J:$J,""),"")</f>
        <v>VP Finanzas</v>
      </c>
      <c r="E147" s="2" t="s">
        <v>767</v>
      </c>
      <c r="F147" s="2" t="str">
        <f t="shared" si="13"/>
        <v>N1001AD354</v>
      </c>
      <c r="G147" s="1" t="s">
        <v>721</v>
      </c>
      <c r="H147">
        <v>10511626.52</v>
      </c>
      <c r="I147">
        <v>11412561</v>
      </c>
      <c r="J147">
        <f t="shared" si="14"/>
        <v>900934.48000000045</v>
      </c>
      <c r="K147">
        <v>12821001.699999999</v>
      </c>
      <c r="L147">
        <v>12973959</v>
      </c>
      <c r="M147">
        <f t="shared" si="15"/>
        <v>152957.30000000075</v>
      </c>
      <c r="N147">
        <v>14822471.460000001</v>
      </c>
      <c r="O147">
        <v>15820261</v>
      </c>
      <c r="P147">
        <f t="shared" si="16"/>
        <v>997789.53999999911</v>
      </c>
      <c r="Q147">
        <v>14000142.08</v>
      </c>
      <c r="R147">
        <v>14416266.35</v>
      </c>
      <c r="S147">
        <f t="shared" si="17"/>
        <v>416124.26999999955</v>
      </c>
    </row>
    <row r="148" spans="1:19" x14ac:dyDescent="0.3">
      <c r="A148" s="4" t="str">
        <f xml:space="preserve"> _xll.EPMOlapMemberO("[CECO].[PARENTH3].[AMSA1001AD3505]","","AMSA1001AD3505 - Gestión de Seguros","","000")</f>
        <v>AMSA1001AD3505 - Gestión de Seguros</v>
      </c>
      <c r="B148" s="2" t="str">
        <f t="shared" si="12"/>
        <v>1001AD3505</v>
      </c>
      <c r="C148" s="2" t="str">
        <f>IFERROR(_xlfn.XLOOKUP(B148,'CECOS Corporativos'!$D:$D,'CECOS Corporativos'!$E:$E,""),"")</f>
        <v>Seguros Corporativos</v>
      </c>
      <c r="D148" s="2" t="str">
        <f>IFERROR(_xlfn.XLOOKUP(B148,'CECOS Corporativos'!$D:$D,'CECOS Corporativos'!$J:$J,""),"")</f>
        <v>VP Finanzas</v>
      </c>
      <c r="E148" s="2" t="s">
        <v>764</v>
      </c>
      <c r="F148" s="2" t="str">
        <f t="shared" si="13"/>
        <v>N1001AD354</v>
      </c>
      <c r="G148" s="1" t="s">
        <v>721</v>
      </c>
      <c r="H148">
        <v>49962</v>
      </c>
      <c r="I148">
        <v>51505</v>
      </c>
      <c r="J148">
        <f t="shared" si="14"/>
        <v>1543</v>
      </c>
      <c r="K148">
        <v>78463.08</v>
      </c>
      <c r="L148">
        <v>71218</v>
      </c>
      <c r="M148">
        <f t="shared" si="15"/>
        <v>-7245.0800000000017</v>
      </c>
      <c r="N148">
        <v>-0.08</v>
      </c>
      <c r="O148">
        <v>0</v>
      </c>
      <c r="P148">
        <f t="shared" si="16"/>
        <v>0.08</v>
      </c>
      <c r="S148">
        <f t="shared" si="17"/>
        <v>0</v>
      </c>
    </row>
    <row r="149" spans="1:19" x14ac:dyDescent="0.3">
      <c r="A149" s="4" t="str">
        <f xml:space="preserve"> _xll.EPMOlapMemberO("[CECO].[PARENTH3].[AMSA1001AD3521]","","AMSA1001AD3521 - Gestión de Impuestos","","000")</f>
        <v>AMSA1001AD3521 - Gestión de Impuestos</v>
      </c>
      <c r="B149" s="2" t="str">
        <f t="shared" si="12"/>
        <v>1001AD3521</v>
      </c>
      <c r="C149" s="2" t="str">
        <f>IFERROR(_xlfn.XLOOKUP(B149,'CECOS Corporativos'!$D:$D,'CECOS Corporativos'!$E:$E,""),"")</f>
        <v>Gerencia de Impuestos</v>
      </c>
      <c r="D149" s="2" t="str">
        <f>IFERROR(_xlfn.XLOOKUP(B149,'CECOS Corporativos'!$D:$D,'CECOS Corporativos'!$J:$J,""),"")</f>
        <v>VP Finanzas</v>
      </c>
      <c r="E149" s="2" t="s">
        <v>766</v>
      </c>
      <c r="F149" s="2" t="str">
        <f t="shared" si="13"/>
        <v>N1001AD354</v>
      </c>
      <c r="G149" s="1" t="s">
        <v>721</v>
      </c>
      <c r="H149">
        <v>-1063.29</v>
      </c>
      <c r="I149">
        <v>691</v>
      </c>
      <c r="J149">
        <f t="shared" si="14"/>
        <v>1754.29</v>
      </c>
      <c r="L149">
        <v>8</v>
      </c>
      <c r="M149">
        <f t="shared" si="15"/>
        <v>8</v>
      </c>
      <c r="O149">
        <v>1015</v>
      </c>
      <c r="P149">
        <f t="shared" si="16"/>
        <v>1015</v>
      </c>
      <c r="R149">
        <v>1000</v>
      </c>
      <c r="S149">
        <f t="shared" si="17"/>
        <v>1000</v>
      </c>
    </row>
    <row r="150" spans="1:19" x14ac:dyDescent="0.3">
      <c r="A150" s="4" t="str">
        <f xml:space="preserve"> _xll.EPMOlapMemberO("[CECO].[PARENTH3].[AMSA1001AD3521]","","AMSA1001AD3521 - Gestión de Impuestos","","000")</f>
        <v>AMSA1001AD3521 - Gestión de Impuestos</v>
      </c>
      <c r="B150" s="2" t="str">
        <f t="shared" si="12"/>
        <v>1001AD3521</v>
      </c>
      <c r="C150" s="2" t="str">
        <f>IFERROR(_xlfn.XLOOKUP(B150,'CECOS Corporativos'!$D:$D,'CECOS Corporativos'!$E:$E,""),"")</f>
        <v>Gerencia de Impuestos</v>
      </c>
      <c r="D150" s="2" t="str">
        <f>IFERROR(_xlfn.XLOOKUP(B150,'CECOS Corporativos'!$D:$D,'CECOS Corporativos'!$J:$J,""),"")</f>
        <v>VP Finanzas</v>
      </c>
      <c r="E150" s="2" t="s">
        <v>757</v>
      </c>
      <c r="F150" s="2" t="str">
        <f t="shared" si="13"/>
        <v>N1001AD354</v>
      </c>
      <c r="G150" s="1" t="s">
        <v>721</v>
      </c>
      <c r="H150">
        <v>52933.19</v>
      </c>
      <c r="I150">
        <v>99434</v>
      </c>
      <c r="J150">
        <f t="shared" si="14"/>
        <v>46500.81</v>
      </c>
      <c r="K150">
        <v>91364.24</v>
      </c>
      <c r="L150">
        <v>60935</v>
      </c>
      <c r="M150">
        <f t="shared" si="15"/>
        <v>-30429.240000000005</v>
      </c>
      <c r="N150">
        <v>217120.3</v>
      </c>
      <c r="O150">
        <v>55980</v>
      </c>
      <c r="P150">
        <f t="shared" si="16"/>
        <v>-161140.29999999999</v>
      </c>
      <c r="Q150">
        <v>192577.99</v>
      </c>
      <c r="R150">
        <v>48868.59</v>
      </c>
      <c r="S150">
        <f t="shared" si="17"/>
        <v>-143709.4</v>
      </c>
    </row>
    <row r="151" spans="1:19" x14ac:dyDescent="0.3">
      <c r="A151" s="4" t="str">
        <f xml:space="preserve"> _xll.EPMOlapMemberO("[CECO].[PARENTH3].[AMSA1001AD3521]","","AMSA1001AD3521 - Gestión de Impuestos","","000")</f>
        <v>AMSA1001AD3521 - Gestión de Impuestos</v>
      </c>
      <c r="B151" s="2" t="str">
        <f t="shared" si="12"/>
        <v>1001AD3521</v>
      </c>
      <c r="C151" s="2" t="str">
        <f>IFERROR(_xlfn.XLOOKUP(B151,'CECOS Corporativos'!$D:$D,'CECOS Corporativos'!$E:$E,""),"")</f>
        <v>Gerencia de Impuestos</v>
      </c>
      <c r="D151" s="2" t="str">
        <f>IFERROR(_xlfn.XLOOKUP(B151,'CECOS Corporativos'!$D:$D,'CECOS Corporativos'!$J:$J,""),"")</f>
        <v>VP Finanzas</v>
      </c>
      <c r="E151" s="2" t="s">
        <v>763</v>
      </c>
      <c r="F151" s="2" t="str">
        <f t="shared" si="13"/>
        <v>N1001AD354</v>
      </c>
      <c r="G151" s="1" t="s">
        <v>721</v>
      </c>
      <c r="H151">
        <v>814.58</v>
      </c>
      <c r="J151">
        <f t="shared" si="14"/>
        <v>-814.58</v>
      </c>
      <c r="M151">
        <f t="shared" si="15"/>
        <v>0</v>
      </c>
      <c r="P151">
        <f t="shared" si="16"/>
        <v>0</v>
      </c>
      <c r="S151">
        <f t="shared" si="17"/>
        <v>0</v>
      </c>
    </row>
    <row r="152" spans="1:19" x14ac:dyDescent="0.3">
      <c r="A152" s="4" t="str">
        <f xml:space="preserve"> _xll.EPMOlapMemberO("[CECO].[PARENTH3].[AMSA1001AD3521]","","AMSA1001AD3521 - Gestión de Impuestos","","000")</f>
        <v>AMSA1001AD3521 - Gestión de Impuestos</v>
      </c>
      <c r="B152" s="2" t="str">
        <f t="shared" si="12"/>
        <v>1001AD3521</v>
      </c>
      <c r="C152" s="2" t="str">
        <f>IFERROR(_xlfn.XLOOKUP(B152,'CECOS Corporativos'!$D:$D,'CECOS Corporativos'!$E:$E,""),"")</f>
        <v>Gerencia de Impuestos</v>
      </c>
      <c r="D152" s="2" t="str">
        <f>IFERROR(_xlfn.XLOOKUP(B152,'CECOS Corporativos'!$D:$D,'CECOS Corporativos'!$J:$J,""),"")</f>
        <v>VP Finanzas</v>
      </c>
      <c r="E152" s="2" t="s">
        <v>759</v>
      </c>
      <c r="F152" s="2" t="str">
        <f t="shared" si="13"/>
        <v>N1001AD354</v>
      </c>
      <c r="G152" s="1" t="s">
        <v>721</v>
      </c>
      <c r="I152">
        <v>1740.71</v>
      </c>
      <c r="J152">
        <f t="shared" si="14"/>
        <v>1740.71</v>
      </c>
      <c r="M152">
        <f t="shared" si="15"/>
        <v>0</v>
      </c>
      <c r="O152">
        <v>1296</v>
      </c>
      <c r="P152">
        <f t="shared" si="16"/>
        <v>1296</v>
      </c>
      <c r="R152">
        <v>1200</v>
      </c>
      <c r="S152">
        <f t="shared" si="17"/>
        <v>1200</v>
      </c>
    </row>
    <row r="153" spans="1:19" x14ac:dyDescent="0.3">
      <c r="A153" s="4" t="str">
        <f xml:space="preserve"> _xll.EPMOlapMemberO("[CECO].[PARENTH3].[AMSA1001AD3521]","","AMSA1001AD3521 - Gestión de Impuestos","","000")</f>
        <v>AMSA1001AD3521 - Gestión de Impuestos</v>
      </c>
      <c r="B153" s="2" t="str">
        <f t="shared" si="12"/>
        <v>1001AD3521</v>
      </c>
      <c r="C153" s="2" t="str">
        <f>IFERROR(_xlfn.XLOOKUP(B153,'CECOS Corporativos'!$D:$D,'CECOS Corporativos'!$E:$E,""),"")</f>
        <v>Gerencia de Impuestos</v>
      </c>
      <c r="D153" s="2" t="str">
        <f>IFERROR(_xlfn.XLOOKUP(B153,'CECOS Corporativos'!$D:$D,'CECOS Corporativos'!$J:$J,""),"")</f>
        <v>VP Finanzas</v>
      </c>
      <c r="E153" s="2" t="s">
        <v>760</v>
      </c>
      <c r="F153" s="2" t="str">
        <f t="shared" si="13"/>
        <v>N1001AD354</v>
      </c>
      <c r="G153" s="1" t="s">
        <v>721</v>
      </c>
      <c r="H153">
        <v>1143309.55</v>
      </c>
      <c r="I153">
        <v>1035060</v>
      </c>
      <c r="J153">
        <f t="shared" si="14"/>
        <v>-108249.55000000005</v>
      </c>
      <c r="K153">
        <v>1992415.42</v>
      </c>
      <c r="L153">
        <v>1202823</v>
      </c>
      <c r="M153">
        <f t="shared" si="15"/>
        <v>-789592.41999999993</v>
      </c>
      <c r="N153">
        <v>1944710.23</v>
      </c>
      <c r="O153">
        <v>1778733</v>
      </c>
      <c r="P153">
        <f t="shared" si="16"/>
        <v>-165977.22999999998</v>
      </c>
      <c r="Q153">
        <v>1718292.93</v>
      </c>
      <c r="R153">
        <v>1759969.93</v>
      </c>
      <c r="S153">
        <f t="shared" si="17"/>
        <v>41677</v>
      </c>
    </row>
    <row r="154" spans="1:19" x14ac:dyDescent="0.3">
      <c r="A154" s="4" t="str">
        <f xml:space="preserve"> _xll.EPMOlapMemberO("[CECO].[PARENTH3].[AMSA1001AD3521]","","AMSA1001AD3521 - Gestión de Impuestos","","000")</f>
        <v>AMSA1001AD3521 - Gestión de Impuestos</v>
      </c>
      <c r="B154" s="2" t="str">
        <f t="shared" si="12"/>
        <v>1001AD3521</v>
      </c>
      <c r="C154" s="2" t="str">
        <f>IFERROR(_xlfn.XLOOKUP(B154,'CECOS Corporativos'!$D:$D,'CECOS Corporativos'!$E:$E,""),"")</f>
        <v>Gerencia de Impuestos</v>
      </c>
      <c r="D154" s="2" t="str">
        <f>IFERROR(_xlfn.XLOOKUP(B154,'CECOS Corporativos'!$D:$D,'CECOS Corporativos'!$J:$J,""),"")</f>
        <v>VP Finanzas</v>
      </c>
      <c r="E154" s="2" t="s">
        <v>761</v>
      </c>
      <c r="F154" s="2" t="str">
        <f t="shared" si="13"/>
        <v>N1001AD354</v>
      </c>
      <c r="G154" s="1" t="s">
        <v>721</v>
      </c>
      <c r="H154">
        <v>0</v>
      </c>
      <c r="J154">
        <f t="shared" si="14"/>
        <v>0</v>
      </c>
      <c r="M154">
        <f t="shared" si="15"/>
        <v>0</v>
      </c>
      <c r="P154">
        <f t="shared" si="16"/>
        <v>0</v>
      </c>
      <c r="S154">
        <f t="shared" si="17"/>
        <v>0</v>
      </c>
    </row>
    <row r="155" spans="1:19" x14ac:dyDescent="0.3">
      <c r="A155" s="4" t="str">
        <f xml:space="preserve"> _xll.EPMOlapMemberO("[CECO].[PARENTH3].[AMSA1001AD3515]","","AMSA1001AD3515 - TICA Corporativo","","000")</f>
        <v>AMSA1001AD3515 - TICA Corporativo</v>
      </c>
      <c r="B155" s="2" t="str">
        <f t="shared" si="12"/>
        <v>1001AD3515</v>
      </c>
      <c r="C155" s="2" t="str">
        <f>IFERROR(_xlfn.XLOOKUP(B155,'CECOS Corporativos'!$D:$D,'CECOS Corporativos'!$E:$E,""),"")</f>
        <v>TICA Distribuible</v>
      </c>
      <c r="D155" s="2" t="str">
        <f>IFERROR(_xlfn.XLOOKUP(B155,'CECOS Corporativos'!$D:$D,'CECOS Corporativos'!$J:$J,""),"")</f>
        <v>VP Estrategia e Innovación</v>
      </c>
      <c r="E155" s="2" t="s">
        <v>768</v>
      </c>
      <c r="F155" s="2" t="str">
        <f t="shared" si="13"/>
        <v>N1001AD355</v>
      </c>
      <c r="G155" s="1" t="s">
        <v>722</v>
      </c>
      <c r="H155">
        <v>19358.5</v>
      </c>
      <c r="I155">
        <v>9432</v>
      </c>
      <c r="J155">
        <f t="shared" si="14"/>
        <v>-9926.5</v>
      </c>
      <c r="K155">
        <v>16695.05</v>
      </c>
      <c r="L155">
        <v>9571</v>
      </c>
      <c r="M155">
        <f t="shared" si="15"/>
        <v>-7124.0499999999993</v>
      </c>
      <c r="N155">
        <v>19660.189999999999</v>
      </c>
      <c r="O155">
        <v>10096</v>
      </c>
      <c r="P155">
        <f t="shared" si="16"/>
        <v>-9564.1899999999987</v>
      </c>
      <c r="Q155">
        <v>14640.65</v>
      </c>
      <c r="R155">
        <v>9515.32</v>
      </c>
      <c r="S155">
        <f t="shared" si="17"/>
        <v>-5125.33</v>
      </c>
    </row>
    <row r="156" spans="1:19" x14ac:dyDescent="0.3">
      <c r="A156" s="4" t="str">
        <f xml:space="preserve"> _xll.EPMOlapMemberO("[CECO].[PARENTH3].[AMSA1001AD3515]","","AMSA1001AD3515 - TICA Corporativo","","000")</f>
        <v>AMSA1001AD3515 - TICA Corporativo</v>
      </c>
      <c r="B156" s="2" t="str">
        <f t="shared" si="12"/>
        <v>1001AD3515</v>
      </c>
      <c r="C156" s="2" t="str">
        <f>IFERROR(_xlfn.XLOOKUP(B156,'CECOS Corporativos'!$D:$D,'CECOS Corporativos'!$E:$E,""),"")</f>
        <v>TICA Distribuible</v>
      </c>
      <c r="D156" s="2" t="str">
        <f>IFERROR(_xlfn.XLOOKUP(B156,'CECOS Corporativos'!$D:$D,'CECOS Corporativos'!$J:$J,""),"")</f>
        <v>VP Estrategia e Innovación</v>
      </c>
      <c r="E156" s="2" t="s">
        <v>772</v>
      </c>
      <c r="F156" s="2" t="str">
        <f t="shared" si="13"/>
        <v>N1001AD355</v>
      </c>
      <c r="G156" s="1" t="s">
        <v>722</v>
      </c>
      <c r="H156">
        <v>136.28</v>
      </c>
      <c r="J156">
        <f t="shared" si="14"/>
        <v>-136.28</v>
      </c>
      <c r="M156">
        <f t="shared" si="15"/>
        <v>0</v>
      </c>
      <c r="P156">
        <f t="shared" si="16"/>
        <v>0</v>
      </c>
      <c r="R156">
        <v>6074.76</v>
      </c>
      <c r="S156">
        <f t="shared" si="17"/>
        <v>6074.76</v>
      </c>
    </row>
    <row r="157" spans="1:19" x14ac:dyDescent="0.3">
      <c r="A157" s="4" t="str">
        <f xml:space="preserve"> _xll.EPMOlapMemberO("[CECO].[PARENTH3].[AMSA1001AD3515]","","AMSA1001AD3515 - TICA Corporativo","","000")</f>
        <v>AMSA1001AD3515 - TICA Corporativo</v>
      </c>
      <c r="B157" s="2" t="str">
        <f t="shared" si="12"/>
        <v>1001AD3515</v>
      </c>
      <c r="C157" s="2" t="str">
        <f>IFERROR(_xlfn.XLOOKUP(B157,'CECOS Corporativos'!$D:$D,'CECOS Corporativos'!$E:$E,""),"")</f>
        <v>TICA Distribuible</v>
      </c>
      <c r="D157" s="2" t="str">
        <f>IFERROR(_xlfn.XLOOKUP(B157,'CECOS Corporativos'!$D:$D,'CECOS Corporativos'!$J:$J,""),"")</f>
        <v>VP Estrategia e Innovación</v>
      </c>
      <c r="E157" s="2" t="s">
        <v>766</v>
      </c>
      <c r="F157" s="2" t="str">
        <f t="shared" si="13"/>
        <v>N1001AD355</v>
      </c>
      <c r="G157" s="1" t="s">
        <v>722</v>
      </c>
      <c r="H157">
        <v>30684.52</v>
      </c>
      <c r="J157">
        <f t="shared" si="14"/>
        <v>-30684.52</v>
      </c>
      <c r="M157">
        <f t="shared" si="15"/>
        <v>0</v>
      </c>
      <c r="N157">
        <v>2096.91</v>
      </c>
      <c r="P157">
        <f t="shared" si="16"/>
        <v>-2096.91</v>
      </c>
      <c r="S157">
        <f t="shared" si="17"/>
        <v>0</v>
      </c>
    </row>
    <row r="158" spans="1:19" x14ac:dyDescent="0.3">
      <c r="A158" s="4" t="str">
        <f xml:space="preserve"> _xll.EPMOlapMemberO("[CECO].[PARENTH3].[AMSA1001AD3515]","","AMSA1001AD3515 - TICA Corporativo","","000")</f>
        <v>AMSA1001AD3515 - TICA Corporativo</v>
      </c>
      <c r="B158" s="2" t="str">
        <f t="shared" si="12"/>
        <v>1001AD3515</v>
      </c>
      <c r="C158" s="2" t="str">
        <f>IFERROR(_xlfn.XLOOKUP(B158,'CECOS Corporativos'!$D:$D,'CECOS Corporativos'!$E:$E,""),"")</f>
        <v>TICA Distribuible</v>
      </c>
      <c r="D158" s="2" t="str">
        <f>IFERROR(_xlfn.XLOOKUP(B158,'CECOS Corporativos'!$D:$D,'CECOS Corporativos'!$J:$J,""),"")</f>
        <v>VP Estrategia e Innovación</v>
      </c>
      <c r="E158" s="2" t="s">
        <v>758</v>
      </c>
      <c r="F158" s="2" t="str">
        <f t="shared" si="13"/>
        <v>N1001AD355</v>
      </c>
      <c r="G158" s="1" t="s">
        <v>722</v>
      </c>
      <c r="H158">
        <v>20885.16</v>
      </c>
      <c r="I158">
        <v>29965</v>
      </c>
      <c r="J158">
        <f t="shared" si="14"/>
        <v>9079.84</v>
      </c>
      <c r="K158">
        <v>55.1</v>
      </c>
      <c r="L158">
        <v>26706</v>
      </c>
      <c r="M158">
        <f t="shared" si="15"/>
        <v>26650.9</v>
      </c>
      <c r="N158">
        <v>494.39</v>
      </c>
      <c r="P158">
        <f t="shared" si="16"/>
        <v>-494.39</v>
      </c>
      <c r="Q158">
        <v>-15592.2</v>
      </c>
      <c r="S158">
        <f t="shared" si="17"/>
        <v>15592.2</v>
      </c>
    </row>
    <row r="159" spans="1:19" x14ac:dyDescent="0.3">
      <c r="A159" s="4" t="str">
        <f xml:space="preserve"> _xll.EPMOlapMemberO("[CECO].[PARENTH3].[AMSA1001AD3515]","","AMSA1001AD3515 - TICA Corporativo","","000")</f>
        <v>AMSA1001AD3515 - TICA Corporativo</v>
      </c>
      <c r="B159" s="2" t="str">
        <f t="shared" si="12"/>
        <v>1001AD3515</v>
      </c>
      <c r="C159" s="2" t="str">
        <f>IFERROR(_xlfn.XLOOKUP(B159,'CECOS Corporativos'!$D:$D,'CECOS Corporativos'!$E:$E,""),"")</f>
        <v>TICA Distribuible</v>
      </c>
      <c r="D159" s="2" t="str">
        <f>IFERROR(_xlfn.XLOOKUP(B159,'CECOS Corporativos'!$D:$D,'CECOS Corporativos'!$J:$J,""),"")</f>
        <v>VP Estrategia e Innovación</v>
      </c>
      <c r="E159" s="2" t="s">
        <v>773</v>
      </c>
      <c r="F159" s="2" t="str">
        <f t="shared" si="13"/>
        <v>N1001AD355</v>
      </c>
      <c r="G159" s="1" t="s">
        <v>722</v>
      </c>
      <c r="H159">
        <v>1624969.7</v>
      </c>
      <c r="I159">
        <v>1768599</v>
      </c>
      <c r="J159">
        <f t="shared" si="14"/>
        <v>143629.30000000005</v>
      </c>
      <c r="K159">
        <v>2008899.98</v>
      </c>
      <c r="L159">
        <v>1849579</v>
      </c>
      <c r="M159">
        <f t="shared" si="15"/>
        <v>-159320.97999999998</v>
      </c>
      <c r="N159">
        <v>155311.57999999999</v>
      </c>
      <c r="O159">
        <v>55568</v>
      </c>
      <c r="P159">
        <f t="shared" si="16"/>
        <v>-99743.579999999987</v>
      </c>
      <c r="Q159">
        <v>48193.59</v>
      </c>
      <c r="R159">
        <v>55348.43</v>
      </c>
      <c r="S159">
        <f t="shared" si="17"/>
        <v>7154.8400000000038</v>
      </c>
    </row>
    <row r="160" spans="1:19" x14ac:dyDescent="0.3">
      <c r="A160" s="4" t="str">
        <f xml:space="preserve"> _xll.EPMOlapMemberO("[CECO].[PARENTH3].[AMSA1001AD3515]","","AMSA1001AD3515 - TICA Corporativo","","000")</f>
        <v>AMSA1001AD3515 - TICA Corporativo</v>
      </c>
      <c r="B160" s="2" t="str">
        <f t="shared" si="12"/>
        <v>1001AD3515</v>
      </c>
      <c r="C160" s="2" t="str">
        <f>IFERROR(_xlfn.XLOOKUP(B160,'CECOS Corporativos'!$D:$D,'CECOS Corporativos'!$E:$E,""),"")</f>
        <v>TICA Distribuible</v>
      </c>
      <c r="D160" s="2" t="str">
        <f>IFERROR(_xlfn.XLOOKUP(B160,'CECOS Corporativos'!$D:$D,'CECOS Corporativos'!$J:$J,""),"")</f>
        <v>VP Estrategia e Innovación</v>
      </c>
      <c r="E160" s="2" t="s">
        <v>763</v>
      </c>
      <c r="F160" s="2" t="str">
        <f t="shared" si="13"/>
        <v>N1001AD355</v>
      </c>
      <c r="G160" s="1" t="s">
        <v>722</v>
      </c>
      <c r="H160">
        <v>5420970.7000000002</v>
      </c>
      <c r="I160">
        <v>5785687</v>
      </c>
      <c r="J160">
        <f t="shared" si="14"/>
        <v>364716.29999999981</v>
      </c>
      <c r="K160">
        <v>7704965.5499999998</v>
      </c>
      <c r="L160">
        <v>7703359</v>
      </c>
      <c r="M160">
        <f t="shared" si="15"/>
        <v>-1606.5499999998137</v>
      </c>
      <c r="N160">
        <v>8327496.6399999997</v>
      </c>
      <c r="O160">
        <v>8868657</v>
      </c>
      <c r="P160">
        <f t="shared" si="16"/>
        <v>541160.36000000034</v>
      </c>
      <c r="Q160">
        <v>9233065.0600000005</v>
      </c>
      <c r="R160">
        <v>9488029.9299999997</v>
      </c>
      <c r="S160">
        <f t="shared" si="17"/>
        <v>254964.86999999918</v>
      </c>
    </row>
    <row r="161" spans="1:19" x14ac:dyDescent="0.3">
      <c r="A161" s="4" t="str">
        <f xml:space="preserve"> _xll.EPMOlapMemberO("[CECO].[PARENTH3].[AMSA1001AD3515]","","AMSA1001AD3515 - TICA Corporativo","","000")</f>
        <v>AMSA1001AD3515 - TICA Corporativo</v>
      </c>
      <c r="B161" s="2" t="str">
        <f t="shared" si="12"/>
        <v>1001AD3515</v>
      </c>
      <c r="C161" s="2" t="str">
        <f>IFERROR(_xlfn.XLOOKUP(B161,'CECOS Corporativos'!$D:$D,'CECOS Corporativos'!$E:$E,""),"")</f>
        <v>TICA Distribuible</v>
      </c>
      <c r="D161" s="2" t="str">
        <f>IFERROR(_xlfn.XLOOKUP(B161,'CECOS Corporativos'!$D:$D,'CECOS Corporativos'!$J:$J,""),"")</f>
        <v>VP Estrategia e Innovación</v>
      </c>
      <c r="E161" s="2" t="s">
        <v>759</v>
      </c>
      <c r="F161" s="2" t="str">
        <f t="shared" si="13"/>
        <v>N1001AD355</v>
      </c>
      <c r="G161" s="1" t="s">
        <v>722</v>
      </c>
      <c r="H161">
        <v>77741.06</v>
      </c>
      <c r="I161">
        <v>71981.460000000006</v>
      </c>
      <c r="J161">
        <f t="shared" si="14"/>
        <v>-5759.5999999999913</v>
      </c>
      <c r="K161">
        <v>64548.21</v>
      </c>
      <c r="L161">
        <v>82284</v>
      </c>
      <c r="M161">
        <f t="shared" si="15"/>
        <v>17735.79</v>
      </c>
      <c r="N161">
        <v>48992.57</v>
      </c>
      <c r="O161">
        <v>83660</v>
      </c>
      <c r="P161">
        <f t="shared" si="16"/>
        <v>34667.43</v>
      </c>
      <c r="Q161">
        <v>62061.2</v>
      </c>
      <c r="R161">
        <v>139377.03</v>
      </c>
      <c r="S161">
        <f t="shared" si="17"/>
        <v>77315.83</v>
      </c>
    </row>
    <row r="162" spans="1:19" x14ac:dyDescent="0.3">
      <c r="A162" s="4" t="str">
        <f xml:space="preserve"> _xll.EPMOlapMemberO("[CECO].[PARENTH3].[AMSA1001AD3515]","","AMSA1001AD3515 - TICA Corporativo","","000")</f>
        <v>AMSA1001AD3515 - TICA Corporativo</v>
      </c>
      <c r="B162" s="2" t="str">
        <f t="shared" si="12"/>
        <v>1001AD3515</v>
      </c>
      <c r="C162" s="2" t="str">
        <f>IFERROR(_xlfn.XLOOKUP(B162,'CECOS Corporativos'!$D:$D,'CECOS Corporativos'!$E:$E,""),"")</f>
        <v>TICA Distribuible</v>
      </c>
      <c r="D162" s="2" t="str">
        <f>IFERROR(_xlfn.XLOOKUP(B162,'CECOS Corporativos'!$D:$D,'CECOS Corporativos'!$J:$J,""),"")</f>
        <v>VP Estrategia e Innovación</v>
      </c>
      <c r="E162" s="2" t="s">
        <v>760</v>
      </c>
      <c r="F162" s="2" t="str">
        <f t="shared" si="13"/>
        <v>N1001AD355</v>
      </c>
      <c r="G162" s="1" t="s">
        <v>722</v>
      </c>
      <c r="H162">
        <v>112912.23</v>
      </c>
      <c r="I162">
        <v>125692</v>
      </c>
      <c r="J162">
        <f t="shared" si="14"/>
        <v>12779.770000000004</v>
      </c>
      <c r="K162">
        <v>8451.58</v>
      </c>
      <c r="L162">
        <v>129164</v>
      </c>
      <c r="M162">
        <f t="shared" si="15"/>
        <v>120712.42</v>
      </c>
      <c r="N162">
        <v>128553.18</v>
      </c>
      <c r="O162">
        <v>151817</v>
      </c>
      <c r="P162">
        <f t="shared" si="16"/>
        <v>23263.820000000007</v>
      </c>
      <c r="Q162">
        <v>148122.95000000001</v>
      </c>
      <c r="R162">
        <v>147654.53</v>
      </c>
      <c r="S162">
        <f t="shared" si="17"/>
        <v>-468.42000000001281</v>
      </c>
    </row>
    <row r="163" spans="1:19" x14ac:dyDescent="0.3">
      <c r="A163" s="4" t="str">
        <f xml:space="preserve"> _xll.EPMOlapMemberO("[CECO].[PARENTH3].[AMSA1001AD3515]","","AMSA1001AD3515 - TICA Corporativo","","000")</f>
        <v>AMSA1001AD3515 - TICA Corporativo</v>
      </c>
      <c r="B163" s="2" t="str">
        <f t="shared" si="12"/>
        <v>1001AD3515</v>
      </c>
      <c r="C163" s="2" t="str">
        <f>IFERROR(_xlfn.XLOOKUP(B163,'CECOS Corporativos'!$D:$D,'CECOS Corporativos'!$E:$E,""),"")</f>
        <v>TICA Distribuible</v>
      </c>
      <c r="D163" s="2" t="str">
        <f>IFERROR(_xlfn.XLOOKUP(B163,'CECOS Corporativos'!$D:$D,'CECOS Corporativos'!$J:$J,""),"")</f>
        <v>VP Estrategia e Innovación</v>
      </c>
      <c r="E163" s="2" t="s">
        <v>761</v>
      </c>
      <c r="F163" s="2" t="str">
        <f t="shared" si="13"/>
        <v>N1001AD355</v>
      </c>
      <c r="G163" s="1" t="s">
        <v>722</v>
      </c>
      <c r="H163">
        <v>5581.33</v>
      </c>
      <c r="I163">
        <v>9847</v>
      </c>
      <c r="J163">
        <f t="shared" si="14"/>
        <v>4265.67</v>
      </c>
      <c r="K163">
        <v>6392.25</v>
      </c>
      <c r="L163">
        <v>11418</v>
      </c>
      <c r="M163">
        <f t="shared" si="15"/>
        <v>5025.75</v>
      </c>
      <c r="N163">
        <v>87335.1</v>
      </c>
      <c r="O163">
        <v>183596</v>
      </c>
      <c r="P163">
        <f t="shared" si="16"/>
        <v>96260.9</v>
      </c>
      <c r="Q163">
        <v>198104.02</v>
      </c>
      <c r="R163">
        <v>1596</v>
      </c>
      <c r="S163">
        <f t="shared" si="17"/>
        <v>-196508.02</v>
      </c>
    </row>
    <row r="164" spans="1:19" x14ac:dyDescent="0.3">
      <c r="A164" s="4" t="str">
        <f xml:space="preserve"> _xll.EPMOlapMemberO("[CECO].[PARENTH3].[AMSA1001AD3515]","","AMSA1001AD3515 - TICA Corporativo","","000")</f>
        <v>AMSA1001AD3515 - TICA Corporativo</v>
      </c>
      <c r="B164" s="2" t="str">
        <f t="shared" si="12"/>
        <v>1001AD3515</v>
      </c>
      <c r="C164" s="2" t="str">
        <f>IFERROR(_xlfn.XLOOKUP(B164,'CECOS Corporativos'!$D:$D,'CECOS Corporativos'!$E:$E,""),"")</f>
        <v>TICA Distribuible</v>
      </c>
      <c r="D164" s="2" t="str">
        <f>IFERROR(_xlfn.XLOOKUP(B164,'CECOS Corporativos'!$D:$D,'CECOS Corporativos'!$J:$J,""),"")</f>
        <v>VP Estrategia e Innovación</v>
      </c>
      <c r="E164" s="2" t="s">
        <v>764</v>
      </c>
      <c r="F164" s="2" t="str">
        <f t="shared" si="13"/>
        <v>N1001AD355</v>
      </c>
      <c r="G164" s="1" t="s">
        <v>722</v>
      </c>
      <c r="H164">
        <v>1709935.39</v>
      </c>
      <c r="I164">
        <v>1732164</v>
      </c>
      <c r="J164">
        <f t="shared" si="14"/>
        <v>22228.610000000102</v>
      </c>
      <c r="K164">
        <v>1709935.56</v>
      </c>
      <c r="L164">
        <v>1738627</v>
      </c>
      <c r="M164">
        <f t="shared" si="15"/>
        <v>28691.439999999944</v>
      </c>
      <c r="N164">
        <v>1694783.56</v>
      </c>
      <c r="O164">
        <v>1709940</v>
      </c>
      <c r="P164">
        <f t="shared" si="16"/>
        <v>15156.439999999944</v>
      </c>
      <c r="Q164">
        <v>2075444.13</v>
      </c>
      <c r="R164">
        <v>2121236.7999999998</v>
      </c>
      <c r="S164">
        <f t="shared" si="17"/>
        <v>45792.669999999925</v>
      </c>
    </row>
    <row r="165" spans="1:19" x14ac:dyDescent="0.3">
      <c r="A165" s="4" t="str">
        <f xml:space="preserve"> _xll.EPMOlapMemberO("[CECO].[PARENTH3].[AMSA1001AD3508]","","AMSA1001AD3508 - Ctrol Inter y Riesgo","","000")</f>
        <v>AMSA1001AD3508 - Ctrol Inter y Riesgo</v>
      </c>
      <c r="B165" s="2" t="str">
        <f t="shared" si="12"/>
        <v>1001AD3508</v>
      </c>
      <c r="C165" s="2" t="str">
        <f>IFERROR(_xlfn.XLOOKUP(B165,'CECOS Corporativos'!$D:$D,'CECOS Corporativos'!$E:$E,""),"")</f>
        <v>Grcia. Riesgos, Compliance y Control Interno</v>
      </c>
      <c r="D165" s="2" t="str">
        <f>IFERROR(_xlfn.XLOOKUP(B165,'CECOS Corporativos'!$D:$D,'CECOS Corporativos'!$J:$J,""),"")</f>
        <v>VP Finanzas</v>
      </c>
      <c r="E165" t="s">
        <v>768</v>
      </c>
      <c r="F165" s="2" t="str">
        <f t="shared" si="13"/>
        <v>N1001AD356</v>
      </c>
      <c r="G165" s="1" t="s">
        <v>723</v>
      </c>
      <c r="H165">
        <v>636.36</v>
      </c>
      <c r="J165">
        <f t="shared" si="14"/>
        <v>-636.36</v>
      </c>
      <c r="K165">
        <v>0</v>
      </c>
      <c r="L165">
        <v>0</v>
      </c>
      <c r="M165">
        <f t="shared" si="15"/>
        <v>0</v>
      </c>
      <c r="P165">
        <f t="shared" si="16"/>
        <v>0</v>
      </c>
      <c r="S165">
        <f t="shared" si="17"/>
        <v>0</v>
      </c>
    </row>
    <row r="166" spans="1:19" x14ac:dyDescent="0.3">
      <c r="A166" s="4" t="str">
        <f xml:space="preserve"> _xll.EPMOlapMemberO("[CECO].[PARENTH3].[AMSA1001AD3508]","","AMSA1001AD3508 - Ctrol Inter y Riesgo","","000")</f>
        <v>AMSA1001AD3508 - Ctrol Inter y Riesgo</v>
      </c>
      <c r="B166" s="2" t="str">
        <f t="shared" si="12"/>
        <v>1001AD3508</v>
      </c>
      <c r="C166" s="2" t="str">
        <f>IFERROR(_xlfn.XLOOKUP(B166,'CECOS Corporativos'!$D:$D,'CECOS Corporativos'!$E:$E,""),"")</f>
        <v>Grcia. Riesgos, Compliance y Control Interno</v>
      </c>
      <c r="D166" s="2" t="str">
        <f>IFERROR(_xlfn.XLOOKUP(B166,'CECOS Corporativos'!$D:$D,'CECOS Corporativos'!$J:$J,""),"")</f>
        <v>VP Finanzas</v>
      </c>
      <c r="E166" t="s">
        <v>766</v>
      </c>
      <c r="F166" s="2" t="str">
        <f t="shared" si="13"/>
        <v>N1001AD356</v>
      </c>
      <c r="G166" s="1" t="s">
        <v>723</v>
      </c>
      <c r="H166">
        <v>1985.58</v>
      </c>
      <c r="I166">
        <v>6438</v>
      </c>
      <c r="J166">
        <f t="shared" si="14"/>
        <v>4452.42</v>
      </c>
      <c r="K166">
        <v>0</v>
      </c>
      <c r="L166">
        <v>19</v>
      </c>
      <c r="M166">
        <f t="shared" si="15"/>
        <v>19</v>
      </c>
      <c r="N166">
        <v>518.35</v>
      </c>
      <c r="O166">
        <v>4241</v>
      </c>
      <c r="P166">
        <f t="shared" si="16"/>
        <v>3722.65</v>
      </c>
      <c r="R166">
        <v>1076.55</v>
      </c>
      <c r="S166">
        <f t="shared" si="17"/>
        <v>1076.55</v>
      </c>
    </row>
    <row r="167" spans="1:19" x14ac:dyDescent="0.3">
      <c r="A167" s="4" t="str">
        <f xml:space="preserve"> _xll.EPMOlapMemberO("[CECO].[PARENTH3].[AMSA1001AD3508]","","AMSA1001AD3508 - Ctrol Inter y Riesgo","","000")</f>
        <v>AMSA1001AD3508 - Ctrol Inter y Riesgo</v>
      </c>
      <c r="B167" s="2" t="str">
        <f t="shared" si="12"/>
        <v>1001AD3508</v>
      </c>
      <c r="C167" s="2" t="str">
        <f>IFERROR(_xlfn.XLOOKUP(B167,'CECOS Corporativos'!$D:$D,'CECOS Corporativos'!$E:$E,""),"")</f>
        <v>Grcia. Riesgos, Compliance y Control Interno</v>
      </c>
      <c r="D167" s="2" t="str">
        <f>IFERROR(_xlfn.XLOOKUP(B167,'CECOS Corporativos'!$D:$D,'CECOS Corporativos'!$J:$J,""),"")</f>
        <v>VP Finanzas</v>
      </c>
      <c r="E167" t="s">
        <v>757</v>
      </c>
      <c r="F167" s="2" t="str">
        <f t="shared" si="13"/>
        <v>N1001AD356</v>
      </c>
      <c r="G167" s="1" t="s">
        <v>723</v>
      </c>
      <c r="H167">
        <v>22268.29</v>
      </c>
      <c r="I167">
        <v>5135</v>
      </c>
      <c r="J167">
        <f t="shared" si="14"/>
        <v>-17133.29</v>
      </c>
      <c r="K167">
        <v>31153.95</v>
      </c>
      <c r="L167">
        <v>18281</v>
      </c>
      <c r="M167">
        <f t="shared" si="15"/>
        <v>-12872.95</v>
      </c>
      <c r="N167">
        <v>1934.27</v>
      </c>
      <c r="O167">
        <v>13978</v>
      </c>
      <c r="P167">
        <f t="shared" si="16"/>
        <v>12043.73</v>
      </c>
      <c r="Q167">
        <v>17811.560000000001</v>
      </c>
      <c r="R167">
        <v>30312</v>
      </c>
      <c r="S167">
        <f t="shared" si="17"/>
        <v>12500.439999999999</v>
      </c>
    </row>
    <row r="168" spans="1:19" x14ac:dyDescent="0.3">
      <c r="A168" s="4" t="str">
        <f xml:space="preserve"> _xll.EPMOlapMemberO("[CECO].[PARENTH3].[AMSA1001AD3508]","","AMSA1001AD3508 - Ctrol Inter y Riesgo","","000")</f>
        <v>AMSA1001AD3508 - Ctrol Inter y Riesgo</v>
      </c>
      <c r="B168" s="2" t="str">
        <f t="shared" si="12"/>
        <v>1001AD3508</v>
      </c>
      <c r="C168" s="2" t="str">
        <f>IFERROR(_xlfn.XLOOKUP(B168,'CECOS Corporativos'!$D:$D,'CECOS Corporativos'!$E:$E,""),"")</f>
        <v>Grcia. Riesgos, Compliance y Control Interno</v>
      </c>
      <c r="D168" s="2" t="str">
        <f>IFERROR(_xlfn.XLOOKUP(B168,'CECOS Corporativos'!$D:$D,'CECOS Corporativos'!$J:$J,""),"")</f>
        <v>VP Finanzas</v>
      </c>
      <c r="E168" t="s">
        <v>758</v>
      </c>
      <c r="F168" s="2" t="str">
        <f t="shared" si="13"/>
        <v>N1001AD356</v>
      </c>
      <c r="G168" s="1" t="s">
        <v>723</v>
      </c>
      <c r="H168">
        <v>60613.51</v>
      </c>
      <c r="I168">
        <v>73769</v>
      </c>
      <c r="J168">
        <f t="shared" si="14"/>
        <v>13155.489999999998</v>
      </c>
      <c r="K168">
        <v>127768.77</v>
      </c>
      <c r="L168">
        <v>62344</v>
      </c>
      <c r="M168">
        <f t="shared" si="15"/>
        <v>-65424.770000000004</v>
      </c>
      <c r="N168">
        <v>98511.71</v>
      </c>
      <c r="O168">
        <v>109606</v>
      </c>
      <c r="P168">
        <f t="shared" si="16"/>
        <v>11094.289999999994</v>
      </c>
      <c r="Q168">
        <v>133489.04</v>
      </c>
      <c r="R168">
        <v>142260.01999999999</v>
      </c>
      <c r="S168">
        <f t="shared" si="17"/>
        <v>8770.9799999999814</v>
      </c>
    </row>
    <row r="169" spans="1:19" x14ac:dyDescent="0.3">
      <c r="A169" s="4" t="str">
        <f xml:space="preserve"> _xll.EPMOlapMemberO("[CECO].[PARENTH3].[AMSA1001AD3508]","","AMSA1001AD3508 - Ctrol Inter y Riesgo","","000")</f>
        <v>AMSA1001AD3508 - Ctrol Inter y Riesgo</v>
      </c>
      <c r="B169" s="2" t="str">
        <f t="shared" si="12"/>
        <v>1001AD3508</v>
      </c>
      <c r="C169" s="2" t="str">
        <f>IFERROR(_xlfn.XLOOKUP(B169,'CECOS Corporativos'!$D:$D,'CECOS Corporativos'!$E:$E,""),"")</f>
        <v>Grcia. Riesgos, Compliance y Control Interno</v>
      </c>
      <c r="D169" s="2" t="str">
        <f>IFERROR(_xlfn.XLOOKUP(B169,'CECOS Corporativos'!$D:$D,'CECOS Corporativos'!$J:$J,""),"")</f>
        <v>VP Finanzas</v>
      </c>
      <c r="E169" t="s">
        <v>763</v>
      </c>
      <c r="F169" s="2" t="str">
        <f t="shared" si="13"/>
        <v>N1001AD356</v>
      </c>
      <c r="G169" s="1" t="s">
        <v>723</v>
      </c>
      <c r="H169">
        <v>33594.949999999997</v>
      </c>
      <c r="I169">
        <v>45129</v>
      </c>
      <c r="J169">
        <f t="shared" si="14"/>
        <v>11534.050000000003</v>
      </c>
      <c r="K169">
        <v>37789.19</v>
      </c>
      <c r="L169">
        <v>54056</v>
      </c>
      <c r="M169">
        <f t="shared" si="15"/>
        <v>16266.809999999998</v>
      </c>
      <c r="N169">
        <v>87775.56</v>
      </c>
      <c r="O169">
        <v>59418</v>
      </c>
      <c r="P169">
        <f t="shared" si="16"/>
        <v>-28357.559999999998</v>
      </c>
      <c r="Q169">
        <v>117938.14</v>
      </c>
      <c r="R169">
        <v>112036.61</v>
      </c>
      <c r="S169">
        <f t="shared" si="17"/>
        <v>-5901.5299999999988</v>
      </c>
    </row>
    <row r="170" spans="1:19" x14ac:dyDescent="0.3">
      <c r="A170" s="4" t="str">
        <f xml:space="preserve"> _xll.EPMOlapMemberO("[CECO].[PARENTH3].[AMSA1001AD3508]","","AMSA1001AD3508 - Ctrol Inter y Riesgo","","000")</f>
        <v>AMSA1001AD3508 - Ctrol Inter y Riesgo</v>
      </c>
      <c r="B170" s="2" t="str">
        <f t="shared" si="12"/>
        <v>1001AD3508</v>
      </c>
      <c r="C170" s="2" t="str">
        <f>IFERROR(_xlfn.XLOOKUP(B170,'CECOS Corporativos'!$D:$D,'CECOS Corporativos'!$E:$E,""),"")</f>
        <v>Grcia. Riesgos, Compliance y Control Interno</v>
      </c>
      <c r="D170" s="2" t="str">
        <f>IFERROR(_xlfn.XLOOKUP(B170,'CECOS Corporativos'!$D:$D,'CECOS Corporativos'!$J:$J,""),"")</f>
        <v>VP Finanzas</v>
      </c>
      <c r="E170" t="s">
        <v>759</v>
      </c>
      <c r="F170" s="2" t="str">
        <f t="shared" si="13"/>
        <v>N1001AD356</v>
      </c>
      <c r="G170" s="1" t="s">
        <v>723</v>
      </c>
      <c r="H170">
        <v>470.07</v>
      </c>
      <c r="J170">
        <f t="shared" si="14"/>
        <v>-470.07</v>
      </c>
      <c r="K170">
        <v>49.98</v>
      </c>
      <c r="M170">
        <f t="shared" si="15"/>
        <v>-49.98</v>
      </c>
      <c r="P170">
        <f t="shared" si="16"/>
        <v>0</v>
      </c>
      <c r="Q170">
        <v>239.81</v>
      </c>
      <c r="S170">
        <f t="shared" si="17"/>
        <v>-239.81</v>
      </c>
    </row>
    <row r="171" spans="1:19" x14ac:dyDescent="0.3">
      <c r="A171" s="4" t="str">
        <f xml:space="preserve"> _xll.EPMOlapMemberO("[CECO].[PARENTH3].[AMSA1001AD3508]","","AMSA1001AD3508 - Ctrol Inter y Riesgo","","000")</f>
        <v>AMSA1001AD3508 - Ctrol Inter y Riesgo</v>
      </c>
      <c r="B171" s="2" t="str">
        <f t="shared" si="12"/>
        <v>1001AD3508</v>
      </c>
      <c r="C171" s="2" t="str">
        <f>IFERROR(_xlfn.XLOOKUP(B171,'CECOS Corporativos'!$D:$D,'CECOS Corporativos'!$E:$E,""),"")</f>
        <v>Grcia. Riesgos, Compliance y Control Interno</v>
      </c>
      <c r="D171" s="2" t="str">
        <f>IFERROR(_xlfn.XLOOKUP(B171,'CECOS Corporativos'!$D:$D,'CECOS Corporativos'!$J:$J,""),"")</f>
        <v>VP Finanzas</v>
      </c>
      <c r="E171" t="s">
        <v>760</v>
      </c>
      <c r="F171" s="2" t="str">
        <f t="shared" si="13"/>
        <v>N1001AD356</v>
      </c>
      <c r="G171" s="1" t="s">
        <v>723</v>
      </c>
      <c r="H171">
        <v>1577.24</v>
      </c>
      <c r="J171">
        <f t="shared" si="14"/>
        <v>-1577.24</v>
      </c>
      <c r="M171">
        <f t="shared" si="15"/>
        <v>0</v>
      </c>
      <c r="P171">
        <f t="shared" si="16"/>
        <v>0</v>
      </c>
      <c r="S171">
        <f t="shared" si="17"/>
        <v>0</v>
      </c>
    </row>
    <row r="172" spans="1:19" x14ac:dyDescent="0.3">
      <c r="A172" s="4" t="str">
        <f xml:space="preserve"> _xll.EPMOlapMemberO("[CECO].[PARENTH3].[AMSA1001AD3508]","","AMSA1001AD3508 - Ctrol Inter y Riesgo","","000")</f>
        <v>AMSA1001AD3508 - Ctrol Inter y Riesgo</v>
      </c>
      <c r="B172" s="2" t="str">
        <f t="shared" si="12"/>
        <v>1001AD3508</v>
      </c>
      <c r="C172" s="2" t="str">
        <f>IFERROR(_xlfn.XLOOKUP(B172,'CECOS Corporativos'!$D:$D,'CECOS Corporativos'!$E:$E,""),"")</f>
        <v>Grcia. Riesgos, Compliance y Control Interno</v>
      </c>
      <c r="D172" s="2" t="str">
        <f>IFERROR(_xlfn.XLOOKUP(B172,'CECOS Corporativos'!$D:$D,'CECOS Corporativos'!$J:$J,""),"")</f>
        <v>VP Finanzas</v>
      </c>
      <c r="E172" t="s">
        <v>761</v>
      </c>
      <c r="F172" s="2" t="str">
        <f t="shared" si="13"/>
        <v>N1001AD356</v>
      </c>
      <c r="G172" s="1" t="s">
        <v>723</v>
      </c>
      <c r="H172">
        <v>6466.91</v>
      </c>
      <c r="I172">
        <v>2990</v>
      </c>
      <c r="J172">
        <f t="shared" si="14"/>
        <v>-3476.91</v>
      </c>
      <c r="K172">
        <v>2581.87</v>
      </c>
      <c r="L172">
        <v>3379</v>
      </c>
      <c r="M172">
        <f t="shared" si="15"/>
        <v>797.13000000000011</v>
      </c>
      <c r="N172">
        <v>694.94</v>
      </c>
      <c r="O172">
        <v>3649</v>
      </c>
      <c r="P172">
        <f t="shared" si="16"/>
        <v>2954.06</v>
      </c>
      <c r="Q172">
        <v>3079.14</v>
      </c>
      <c r="R172">
        <v>2910.97</v>
      </c>
      <c r="S172">
        <f t="shared" si="17"/>
        <v>-168.17000000000007</v>
      </c>
    </row>
    <row r="173" spans="1:19" x14ac:dyDescent="0.3">
      <c r="A173" s="4" t="str">
        <f xml:space="preserve"> _xll.EPMOlapMemberO("[CECO].[PARENTH3].[AMSA1001AD3508]","","AMSA1001AD3508 - Ctrol Inter y Riesgo","","000")</f>
        <v>AMSA1001AD3508 - Ctrol Inter y Riesgo</v>
      </c>
      <c r="B173" s="2" t="str">
        <f t="shared" si="12"/>
        <v>1001AD3508</v>
      </c>
      <c r="C173" s="2" t="str">
        <f>IFERROR(_xlfn.XLOOKUP(B173,'CECOS Corporativos'!$D:$D,'CECOS Corporativos'!$E:$E,""),"")</f>
        <v>Grcia. Riesgos, Compliance y Control Interno</v>
      </c>
      <c r="D173" s="2" t="str">
        <f>IFERROR(_xlfn.XLOOKUP(B173,'CECOS Corporativos'!$D:$D,'CECOS Corporativos'!$J:$J,""),"")</f>
        <v>VP Finanzas</v>
      </c>
      <c r="E173" s="2" t="s">
        <v>764</v>
      </c>
      <c r="F173" s="2" t="str">
        <f t="shared" si="13"/>
        <v>N1001AD356</v>
      </c>
      <c r="G173" s="1" t="s">
        <v>723</v>
      </c>
      <c r="H173">
        <v>235708.41</v>
      </c>
      <c r="I173">
        <v>242447</v>
      </c>
      <c r="J173">
        <f t="shared" si="14"/>
        <v>6738.5899999999965</v>
      </c>
      <c r="K173">
        <v>415927.07</v>
      </c>
      <c r="L173">
        <v>377555</v>
      </c>
      <c r="M173">
        <f t="shared" si="15"/>
        <v>-38372.070000000007</v>
      </c>
      <c r="N173">
        <v>-7.0000000000000007E-2</v>
      </c>
      <c r="O173">
        <v>0</v>
      </c>
      <c r="P173">
        <f t="shared" si="16"/>
        <v>7.0000000000000007E-2</v>
      </c>
      <c r="S173">
        <f t="shared" si="17"/>
        <v>0</v>
      </c>
    </row>
    <row r="174" spans="1:19" x14ac:dyDescent="0.3">
      <c r="A174" s="5" t="str">
        <f xml:space="preserve"> _xll.EPMOlapMemberO("[CECO].[PARENTH3].[AMSA1001AD3522]","","AMSA1001AD3522 - Servicios Generales","","000")</f>
        <v>AMSA1001AD3522 - Servicios Generales</v>
      </c>
      <c r="B174" s="2" t="str">
        <f t="shared" si="12"/>
        <v>1001AD3522</v>
      </c>
      <c r="C174" s="2" t="str">
        <f>IFERROR(_xlfn.XLOOKUP(B174,'CECOS Corporativos'!$D:$D,'CECOS Corporativos'!$E:$E,""),"")</f>
        <v>Servicios Generales</v>
      </c>
      <c r="D174" s="2" t="str">
        <f>IFERROR(_xlfn.XLOOKUP(B174,'CECOS Corporativos'!$D:$D,'CECOS Corporativos'!$J:$J,""),"")</f>
        <v>VP Personas y Organización</v>
      </c>
      <c r="E174" s="2" t="s">
        <v>337</v>
      </c>
      <c r="F174" s="2" t="str">
        <f t="shared" si="13"/>
        <v>N1001AD401</v>
      </c>
      <c r="G174" s="1" t="s">
        <v>724</v>
      </c>
      <c r="H174">
        <v>11639.85</v>
      </c>
      <c r="I174">
        <v>14867</v>
      </c>
      <c r="J174">
        <f t="shared" si="14"/>
        <v>3227.1499999999996</v>
      </c>
      <c r="K174">
        <v>13698.18</v>
      </c>
      <c r="L174">
        <v>19776</v>
      </c>
      <c r="M174">
        <f t="shared" si="15"/>
        <v>6077.82</v>
      </c>
      <c r="N174">
        <v>14892.13</v>
      </c>
      <c r="O174">
        <v>21180</v>
      </c>
      <c r="P174">
        <f t="shared" si="16"/>
        <v>6287.8700000000008</v>
      </c>
      <c r="Q174">
        <v>10056.41</v>
      </c>
      <c r="R174">
        <v>12125.76</v>
      </c>
      <c r="S174">
        <f t="shared" si="17"/>
        <v>2069.3500000000004</v>
      </c>
    </row>
    <row r="175" spans="1:19" x14ac:dyDescent="0.3">
      <c r="A175" s="5" t="str">
        <f xml:space="preserve"> _xll.EPMOlapMemberO("[CECO].[PARENTH3].[AMSA1001AD3522]","","AMSA1001AD3522 - Servicios Generales","","000")</f>
        <v>AMSA1001AD3522 - Servicios Generales</v>
      </c>
      <c r="B175" s="2" t="str">
        <f t="shared" si="12"/>
        <v>1001AD3522</v>
      </c>
      <c r="C175" s="2" t="str">
        <f>IFERROR(_xlfn.XLOOKUP(B175,'CECOS Corporativos'!$D:$D,'CECOS Corporativos'!$E:$E,""),"")</f>
        <v>Servicios Generales</v>
      </c>
      <c r="D175" s="2" t="str">
        <f>IFERROR(_xlfn.XLOOKUP(B175,'CECOS Corporativos'!$D:$D,'CECOS Corporativos'!$J:$J,""),"")</f>
        <v>VP Personas y Organización</v>
      </c>
      <c r="E175" s="2" t="s">
        <v>774</v>
      </c>
      <c r="F175" s="2" t="str">
        <f t="shared" si="13"/>
        <v>N1001AD401</v>
      </c>
      <c r="G175" s="1" t="s">
        <v>724</v>
      </c>
      <c r="H175">
        <v>5625</v>
      </c>
      <c r="J175">
        <f t="shared" si="14"/>
        <v>-5625</v>
      </c>
      <c r="M175">
        <f t="shared" si="15"/>
        <v>0</v>
      </c>
      <c r="P175">
        <f t="shared" si="16"/>
        <v>0</v>
      </c>
      <c r="S175">
        <f t="shared" si="17"/>
        <v>0</v>
      </c>
    </row>
    <row r="176" spans="1:19" x14ac:dyDescent="0.3">
      <c r="A176" s="5" t="str">
        <f xml:space="preserve"> _xll.EPMOlapMemberO("[CECO].[PARENTH3].[AMSA1001AD3522]","","AMSA1001AD3522 - Servicios Generales","","000")</f>
        <v>AMSA1001AD3522 - Servicios Generales</v>
      </c>
      <c r="B176" s="2" t="str">
        <f t="shared" si="12"/>
        <v>1001AD3522</v>
      </c>
      <c r="C176" s="2" t="str">
        <f>IFERROR(_xlfn.XLOOKUP(B176,'CECOS Corporativos'!$D:$D,'CECOS Corporativos'!$E:$E,""),"")</f>
        <v>Servicios Generales</v>
      </c>
      <c r="D176" s="2" t="str">
        <f>IFERROR(_xlfn.XLOOKUP(B176,'CECOS Corporativos'!$D:$D,'CECOS Corporativos'!$J:$J,""),"")</f>
        <v>VP Personas y Organización</v>
      </c>
      <c r="E176" s="2" t="s">
        <v>762</v>
      </c>
      <c r="F176" s="2" t="str">
        <f t="shared" si="13"/>
        <v>N1001AD401</v>
      </c>
      <c r="G176" s="1" t="s">
        <v>724</v>
      </c>
      <c r="H176">
        <v>324711</v>
      </c>
      <c r="I176">
        <v>331386</v>
      </c>
      <c r="J176">
        <f t="shared" si="14"/>
        <v>6675</v>
      </c>
      <c r="K176">
        <v>362631.87</v>
      </c>
      <c r="L176">
        <v>321720</v>
      </c>
      <c r="M176">
        <f t="shared" si="15"/>
        <v>-40911.869999999995</v>
      </c>
      <c r="N176">
        <v>337019.53</v>
      </c>
      <c r="O176">
        <v>375689</v>
      </c>
      <c r="P176">
        <f t="shared" si="16"/>
        <v>38669.469999999972</v>
      </c>
      <c r="Q176">
        <v>353170.02</v>
      </c>
      <c r="R176">
        <v>367428.2</v>
      </c>
      <c r="S176">
        <f t="shared" si="17"/>
        <v>14258.179999999993</v>
      </c>
    </row>
    <row r="177" spans="1:19" x14ac:dyDescent="0.3">
      <c r="A177" s="5" t="str">
        <f xml:space="preserve"> _xll.EPMOlapMemberO("[CECO].[PARENTH3].[AMSA1001AD3522]","","AMSA1001AD3522 - Servicios Generales","","000")</f>
        <v>AMSA1001AD3522 - Servicios Generales</v>
      </c>
      <c r="B177" s="2" t="str">
        <f t="shared" si="12"/>
        <v>1001AD3522</v>
      </c>
      <c r="C177" s="2" t="str">
        <f>IFERROR(_xlfn.XLOOKUP(B177,'CECOS Corporativos'!$D:$D,'CECOS Corporativos'!$E:$E,""),"")</f>
        <v>Servicios Generales</v>
      </c>
      <c r="D177" s="2" t="str">
        <f>IFERROR(_xlfn.XLOOKUP(B177,'CECOS Corporativos'!$D:$D,'CECOS Corporativos'!$J:$J,""),"")</f>
        <v>VP Personas y Organización</v>
      </c>
      <c r="E177" s="2" t="s">
        <v>758</v>
      </c>
      <c r="F177" s="2" t="str">
        <f t="shared" si="13"/>
        <v>N1001AD401</v>
      </c>
      <c r="G177" s="1" t="s">
        <v>724</v>
      </c>
      <c r="H177">
        <v>889.61</v>
      </c>
      <c r="I177">
        <v>15158</v>
      </c>
      <c r="J177">
        <f t="shared" si="14"/>
        <v>14268.39</v>
      </c>
      <c r="M177">
        <f t="shared" si="15"/>
        <v>0</v>
      </c>
      <c r="P177">
        <f t="shared" si="16"/>
        <v>0</v>
      </c>
      <c r="S177">
        <f t="shared" si="17"/>
        <v>0</v>
      </c>
    </row>
    <row r="178" spans="1:19" x14ac:dyDescent="0.3">
      <c r="A178" s="5" t="str">
        <f xml:space="preserve"> _xll.EPMOlapMemberO("[CECO].[PARENTH3].[AMSA1001AD3522]","","AMSA1001AD3522 - Servicios Generales","","000")</f>
        <v>AMSA1001AD3522 - Servicios Generales</v>
      </c>
      <c r="B178" s="2" t="str">
        <f t="shared" si="12"/>
        <v>1001AD3522</v>
      </c>
      <c r="C178" s="2" t="str">
        <f>IFERROR(_xlfn.XLOOKUP(B178,'CECOS Corporativos'!$D:$D,'CECOS Corporativos'!$E:$E,""),"")</f>
        <v>Servicios Generales</v>
      </c>
      <c r="D178" s="2" t="str">
        <f>IFERROR(_xlfn.XLOOKUP(B178,'CECOS Corporativos'!$D:$D,'CECOS Corporativos'!$J:$J,""),"")</f>
        <v>VP Personas y Organización</v>
      </c>
      <c r="E178" s="2" t="s">
        <v>773</v>
      </c>
      <c r="F178" s="2" t="str">
        <f t="shared" si="13"/>
        <v>N1001AD401</v>
      </c>
      <c r="G178" s="1" t="s">
        <v>724</v>
      </c>
      <c r="H178">
        <v>54623.82</v>
      </c>
      <c r="I178">
        <v>61025</v>
      </c>
      <c r="J178">
        <f t="shared" si="14"/>
        <v>6401.18</v>
      </c>
      <c r="K178">
        <v>50853.77</v>
      </c>
      <c r="L178">
        <v>46428</v>
      </c>
      <c r="M178">
        <f t="shared" si="15"/>
        <v>-4425.7699999999968</v>
      </c>
      <c r="N178">
        <v>44981.45</v>
      </c>
      <c r="O178">
        <v>52920</v>
      </c>
      <c r="P178">
        <f t="shared" si="16"/>
        <v>7938.5500000000029</v>
      </c>
      <c r="Q178">
        <v>48203.839999999997</v>
      </c>
      <c r="R178">
        <v>59831.91</v>
      </c>
      <c r="S178">
        <f t="shared" si="17"/>
        <v>11628.070000000007</v>
      </c>
    </row>
    <row r="179" spans="1:19" x14ac:dyDescent="0.3">
      <c r="A179" s="5" t="str">
        <f xml:space="preserve"> _xll.EPMOlapMemberO("[CECO].[PARENTH3].[AMSA1001AD3522]","","AMSA1001AD3522 - Servicios Generales","","000")</f>
        <v>AMSA1001AD3522 - Servicios Generales</v>
      </c>
      <c r="B179" s="2" t="str">
        <f t="shared" si="12"/>
        <v>1001AD3522</v>
      </c>
      <c r="C179" s="2" t="str">
        <f>IFERROR(_xlfn.XLOOKUP(B179,'CECOS Corporativos'!$D:$D,'CECOS Corporativos'!$E:$E,""),"")</f>
        <v>Servicios Generales</v>
      </c>
      <c r="D179" s="2" t="str">
        <f>IFERROR(_xlfn.XLOOKUP(B179,'CECOS Corporativos'!$D:$D,'CECOS Corporativos'!$J:$J,""),"")</f>
        <v>VP Personas y Organización</v>
      </c>
      <c r="E179" s="2" t="s">
        <v>760</v>
      </c>
      <c r="F179" s="2" t="str">
        <f t="shared" si="13"/>
        <v>N1001AD401</v>
      </c>
      <c r="G179" s="1" t="s">
        <v>724</v>
      </c>
      <c r="J179">
        <f t="shared" si="14"/>
        <v>0</v>
      </c>
      <c r="K179">
        <v>-2554.1</v>
      </c>
      <c r="M179">
        <f t="shared" si="15"/>
        <v>2554.1</v>
      </c>
      <c r="N179">
        <v>-3720.17</v>
      </c>
      <c r="P179">
        <f t="shared" si="16"/>
        <v>3720.17</v>
      </c>
      <c r="S179">
        <f t="shared" si="17"/>
        <v>0</v>
      </c>
    </row>
    <row r="180" spans="1:19" x14ac:dyDescent="0.3">
      <c r="A180" s="5" t="str">
        <f xml:space="preserve"> _xll.EPMOlapMemberO("[CECO].[PARENTH3].[AMSA1001AD3522]","","AMSA1001AD3522 - Servicios Generales","","000")</f>
        <v>AMSA1001AD3522 - Servicios Generales</v>
      </c>
      <c r="B180" s="2" t="str">
        <f t="shared" si="12"/>
        <v>1001AD3522</v>
      </c>
      <c r="C180" s="2" t="str">
        <f>IFERROR(_xlfn.XLOOKUP(B180,'CECOS Corporativos'!$D:$D,'CECOS Corporativos'!$E:$E,""),"")</f>
        <v>Servicios Generales</v>
      </c>
      <c r="D180" s="2" t="str">
        <f>IFERROR(_xlfn.XLOOKUP(B180,'CECOS Corporativos'!$D:$D,'CECOS Corporativos'!$J:$J,""),"")</f>
        <v>VP Personas y Organización</v>
      </c>
      <c r="E180" s="2" t="s">
        <v>761</v>
      </c>
      <c r="F180" s="2" t="str">
        <f t="shared" si="13"/>
        <v>N1001AD401</v>
      </c>
      <c r="G180" s="1" t="s">
        <v>724</v>
      </c>
      <c r="H180">
        <v>46055.07</v>
      </c>
      <c r="I180">
        <v>53397</v>
      </c>
      <c r="J180">
        <f t="shared" si="14"/>
        <v>7341.93</v>
      </c>
      <c r="K180">
        <v>61687.23</v>
      </c>
      <c r="L180">
        <v>76056</v>
      </c>
      <c r="M180">
        <f t="shared" si="15"/>
        <v>14368.769999999997</v>
      </c>
      <c r="N180">
        <v>75341.27</v>
      </c>
      <c r="O180">
        <v>81348</v>
      </c>
      <c r="P180">
        <f t="shared" si="16"/>
        <v>6006.7299999999959</v>
      </c>
      <c r="Q180">
        <v>49775.91</v>
      </c>
      <c r="R180">
        <v>64934.46</v>
      </c>
      <c r="S180">
        <f t="shared" si="17"/>
        <v>15158.549999999996</v>
      </c>
    </row>
    <row r="181" spans="1:19" x14ac:dyDescent="0.3">
      <c r="A181" s="5" t="str">
        <f xml:space="preserve"> _xll.EPMOlapMemberO("[CECO].[PARENTH3].[AMSA1001AD4020]","","AMSA1001AD4020 - RRHH  Corporativo","","000")</f>
        <v>AMSA1001AD4020 - RRHH  Corporativo</v>
      </c>
      <c r="B181" s="2" t="str">
        <f t="shared" si="12"/>
        <v>1001AD4020</v>
      </c>
      <c r="C181" s="2" t="str">
        <f>IFERROR(_xlfn.XLOOKUP(B181,'CECOS Corporativos'!$D:$D,'CECOS Corporativos'!$E:$E,""),"")</f>
        <v>RRHH Corporativo</v>
      </c>
      <c r="D181" s="2" t="str">
        <f>IFERROR(_xlfn.XLOOKUP(B181,'CECOS Corporativos'!$D:$D,'CECOS Corporativos'!$J:$J,""),"")</f>
        <v>VP Personas y Organización</v>
      </c>
      <c r="E181" s="2" t="s">
        <v>768</v>
      </c>
      <c r="F181" s="2" t="str">
        <f t="shared" si="13"/>
        <v>N1001AD401</v>
      </c>
      <c r="G181" s="1" t="s">
        <v>724</v>
      </c>
      <c r="J181">
        <f t="shared" si="14"/>
        <v>0</v>
      </c>
      <c r="K181">
        <v>270.3</v>
      </c>
      <c r="M181">
        <f t="shared" si="15"/>
        <v>-270.3</v>
      </c>
      <c r="P181">
        <f t="shared" si="16"/>
        <v>0</v>
      </c>
      <c r="S181">
        <f t="shared" si="17"/>
        <v>0</v>
      </c>
    </row>
    <row r="182" spans="1:19" x14ac:dyDescent="0.3">
      <c r="A182" s="5" t="str">
        <f xml:space="preserve"> _xll.EPMOlapMemberO("[CECO].[PARENTH3].[AMSA1001AD4020]","","AMSA1001AD4020 - RRHH  Corporativo","","000")</f>
        <v>AMSA1001AD4020 - RRHH  Corporativo</v>
      </c>
      <c r="B182" s="2" t="str">
        <f t="shared" si="12"/>
        <v>1001AD4020</v>
      </c>
      <c r="C182" s="2" t="str">
        <f>IFERROR(_xlfn.XLOOKUP(B182,'CECOS Corporativos'!$D:$D,'CECOS Corporativos'!$E:$E,""),"")</f>
        <v>RRHH Corporativo</v>
      </c>
      <c r="D182" s="2" t="str">
        <f>IFERROR(_xlfn.XLOOKUP(B182,'CECOS Corporativos'!$D:$D,'CECOS Corporativos'!$J:$J,""),"")</f>
        <v>VP Personas y Organización</v>
      </c>
      <c r="E182" s="2" t="s">
        <v>765</v>
      </c>
      <c r="F182" s="2" t="str">
        <f t="shared" si="13"/>
        <v>N1001AD401</v>
      </c>
      <c r="G182" s="1" t="s">
        <v>724</v>
      </c>
      <c r="H182">
        <v>10652.02</v>
      </c>
      <c r="I182">
        <v>134255</v>
      </c>
      <c r="J182">
        <f t="shared" si="14"/>
        <v>123602.98</v>
      </c>
      <c r="K182">
        <v>337716.38</v>
      </c>
      <c r="L182">
        <v>385820</v>
      </c>
      <c r="M182">
        <f t="shared" si="15"/>
        <v>48103.619999999995</v>
      </c>
      <c r="N182">
        <v>351853.21</v>
      </c>
      <c r="O182">
        <v>454819</v>
      </c>
      <c r="P182">
        <f t="shared" si="16"/>
        <v>102965.78999999998</v>
      </c>
      <c r="Q182">
        <v>414318.88</v>
      </c>
      <c r="R182">
        <v>505825.01</v>
      </c>
      <c r="S182">
        <f t="shared" si="17"/>
        <v>91506.13</v>
      </c>
    </row>
    <row r="183" spans="1:19" x14ac:dyDescent="0.3">
      <c r="A183" s="5" t="str">
        <f xml:space="preserve"> _xll.EPMOlapMemberO("[CECO].[PARENTH3].[AMSA1001AD4020]","","AMSA1001AD4020 - RRHH  Corporativo","","000")</f>
        <v>AMSA1001AD4020 - RRHH  Corporativo</v>
      </c>
      <c r="B183" s="2" t="str">
        <f t="shared" si="12"/>
        <v>1001AD4020</v>
      </c>
      <c r="C183" s="2" t="str">
        <f>IFERROR(_xlfn.XLOOKUP(B183,'CECOS Corporativos'!$D:$D,'CECOS Corporativos'!$E:$E,""),"")</f>
        <v>RRHH Corporativo</v>
      </c>
      <c r="D183" s="2" t="str">
        <f>IFERROR(_xlfn.XLOOKUP(B183,'CECOS Corporativos'!$D:$D,'CECOS Corporativos'!$J:$J,""),"")</f>
        <v>VP Personas y Organización</v>
      </c>
      <c r="E183" s="2" t="s">
        <v>766</v>
      </c>
      <c r="F183" s="2" t="str">
        <f t="shared" si="13"/>
        <v>N1001AD401</v>
      </c>
      <c r="G183" s="1" t="s">
        <v>724</v>
      </c>
      <c r="H183">
        <v>210837.62</v>
      </c>
      <c r="I183">
        <v>240069</v>
      </c>
      <c r="J183">
        <f t="shared" si="14"/>
        <v>29231.380000000005</v>
      </c>
      <c r="K183">
        <v>347219.97</v>
      </c>
      <c r="L183">
        <v>225651</v>
      </c>
      <c r="M183">
        <f t="shared" si="15"/>
        <v>-121568.96999999997</v>
      </c>
      <c r="N183">
        <v>281791.25</v>
      </c>
      <c r="O183">
        <v>265973</v>
      </c>
      <c r="P183">
        <f t="shared" si="16"/>
        <v>-15818.25</v>
      </c>
      <c r="Q183">
        <v>146506.76999999999</v>
      </c>
      <c r="R183">
        <v>151131.56</v>
      </c>
      <c r="S183">
        <f t="shared" si="17"/>
        <v>4624.7900000000081</v>
      </c>
    </row>
    <row r="184" spans="1:19" x14ac:dyDescent="0.3">
      <c r="A184" s="5" t="str">
        <f xml:space="preserve"> _xll.EPMOlapMemberO("[CECO].[PARENTH3].[AMSA1001AD4020]","","AMSA1001AD4020 - RRHH  Corporativo","","000")</f>
        <v>AMSA1001AD4020 - RRHH  Corporativo</v>
      </c>
      <c r="B184" s="2" t="str">
        <f t="shared" si="12"/>
        <v>1001AD4020</v>
      </c>
      <c r="C184" s="2" t="str">
        <f>IFERROR(_xlfn.XLOOKUP(B184,'CECOS Corporativos'!$D:$D,'CECOS Corporativos'!$E:$E,""),"")</f>
        <v>RRHH Corporativo</v>
      </c>
      <c r="D184" s="2" t="str">
        <f>IFERROR(_xlfn.XLOOKUP(B184,'CECOS Corporativos'!$D:$D,'CECOS Corporativos'!$J:$J,""),"")</f>
        <v>VP Personas y Organización</v>
      </c>
      <c r="E184" s="2" t="s">
        <v>757</v>
      </c>
      <c r="F184" s="2" t="str">
        <f t="shared" si="13"/>
        <v>N1001AD401</v>
      </c>
      <c r="G184" s="1" t="s">
        <v>724</v>
      </c>
      <c r="H184">
        <v>245634.7</v>
      </c>
      <c r="I184">
        <v>332545</v>
      </c>
      <c r="J184">
        <f t="shared" si="14"/>
        <v>86910.299999999988</v>
      </c>
      <c r="K184">
        <v>171534.92</v>
      </c>
      <c r="L184">
        <v>193596</v>
      </c>
      <c r="M184">
        <f t="shared" si="15"/>
        <v>22061.079999999987</v>
      </c>
      <c r="N184">
        <v>186356.92</v>
      </c>
      <c r="O184">
        <v>136231</v>
      </c>
      <c r="P184">
        <f t="shared" si="16"/>
        <v>-50125.920000000013</v>
      </c>
      <c r="Q184">
        <v>158090.07</v>
      </c>
      <c r="R184">
        <v>104204.46</v>
      </c>
      <c r="S184">
        <f t="shared" si="17"/>
        <v>-53885.61</v>
      </c>
    </row>
    <row r="185" spans="1:19" x14ac:dyDescent="0.3">
      <c r="A185" s="5" t="str">
        <f xml:space="preserve"> _xll.EPMOlapMemberO("[CECO].[PARENTH3].[AMSA1001AD4020]","","AMSA1001AD4020 - RRHH  Corporativo","","000")</f>
        <v>AMSA1001AD4020 - RRHH  Corporativo</v>
      </c>
      <c r="B185" s="2" t="str">
        <f t="shared" si="12"/>
        <v>1001AD4020</v>
      </c>
      <c r="C185" s="2" t="str">
        <f>IFERROR(_xlfn.XLOOKUP(B185,'CECOS Corporativos'!$D:$D,'CECOS Corporativos'!$E:$E,""),"")</f>
        <v>RRHH Corporativo</v>
      </c>
      <c r="D185" s="2" t="str">
        <f>IFERROR(_xlfn.XLOOKUP(B185,'CECOS Corporativos'!$D:$D,'CECOS Corporativos'!$J:$J,""),"")</f>
        <v>VP Personas y Organización</v>
      </c>
      <c r="E185" s="2" t="s">
        <v>758</v>
      </c>
      <c r="F185" s="2" t="str">
        <f t="shared" si="13"/>
        <v>N1001AD401</v>
      </c>
      <c r="G185" s="1" t="s">
        <v>724</v>
      </c>
      <c r="H185">
        <v>83831.759999999995</v>
      </c>
      <c r="I185">
        <v>41887</v>
      </c>
      <c r="J185">
        <f t="shared" si="14"/>
        <v>-41944.759999999995</v>
      </c>
      <c r="K185">
        <v>6443.33</v>
      </c>
      <c r="M185">
        <f t="shared" si="15"/>
        <v>-6443.33</v>
      </c>
      <c r="N185">
        <v>12100</v>
      </c>
      <c r="P185">
        <f t="shared" si="16"/>
        <v>-12100</v>
      </c>
      <c r="Q185">
        <v>683.62</v>
      </c>
      <c r="S185">
        <f t="shared" si="17"/>
        <v>-683.62</v>
      </c>
    </row>
    <row r="186" spans="1:19" x14ac:dyDescent="0.3">
      <c r="A186" s="5" t="str">
        <f xml:space="preserve"> _xll.EPMOlapMemberO("[CECO].[PARENTH3].[AMSA1001AD4020]","","AMSA1001AD4020 - RRHH  Corporativo","","000")</f>
        <v>AMSA1001AD4020 - RRHH  Corporativo</v>
      </c>
      <c r="B186" s="2" t="str">
        <f t="shared" si="12"/>
        <v>1001AD4020</v>
      </c>
      <c r="C186" s="2" t="str">
        <f>IFERROR(_xlfn.XLOOKUP(B186,'CECOS Corporativos'!$D:$D,'CECOS Corporativos'!$E:$E,""),"")</f>
        <v>RRHH Corporativo</v>
      </c>
      <c r="D186" s="2" t="str">
        <f>IFERROR(_xlfn.XLOOKUP(B186,'CECOS Corporativos'!$D:$D,'CECOS Corporativos'!$J:$J,""),"")</f>
        <v>VP Personas y Organización</v>
      </c>
      <c r="E186" s="2" t="s">
        <v>763</v>
      </c>
      <c r="F186" s="2" t="str">
        <f t="shared" si="13"/>
        <v>N1001AD401</v>
      </c>
      <c r="G186" s="1" t="s">
        <v>724</v>
      </c>
      <c r="H186">
        <v>288270.76</v>
      </c>
      <c r="I186">
        <v>399205</v>
      </c>
      <c r="J186">
        <f t="shared" si="14"/>
        <v>110934.23999999999</v>
      </c>
      <c r="K186">
        <v>463691.28</v>
      </c>
      <c r="L186">
        <v>392230</v>
      </c>
      <c r="M186">
        <f t="shared" si="15"/>
        <v>-71461.280000000028</v>
      </c>
      <c r="N186">
        <v>482794.51</v>
      </c>
      <c r="O186">
        <v>479747</v>
      </c>
      <c r="P186">
        <f t="shared" si="16"/>
        <v>-3047.5100000000093</v>
      </c>
      <c r="Q186">
        <v>490152.48</v>
      </c>
      <c r="R186">
        <v>511140.71</v>
      </c>
      <c r="S186">
        <f t="shared" si="17"/>
        <v>20988.23000000004</v>
      </c>
    </row>
    <row r="187" spans="1:19" x14ac:dyDescent="0.3">
      <c r="A187" s="5" t="str">
        <f xml:space="preserve"> _xll.EPMOlapMemberO("[CECO].[PARENTH3].[AMSA1001AD4020]","","AMSA1001AD4020 - RRHH  Corporativo","","000")</f>
        <v>AMSA1001AD4020 - RRHH  Corporativo</v>
      </c>
      <c r="B187" s="2" t="str">
        <f t="shared" si="12"/>
        <v>1001AD4020</v>
      </c>
      <c r="C187" s="2" t="str">
        <f>IFERROR(_xlfn.XLOOKUP(B187,'CECOS Corporativos'!$D:$D,'CECOS Corporativos'!$E:$E,""),"")</f>
        <v>RRHH Corporativo</v>
      </c>
      <c r="D187" s="2" t="str">
        <f>IFERROR(_xlfn.XLOOKUP(B187,'CECOS Corporativos'!$D:$D,'CECOS Corporativos'!$J:$J,""),"")</f>
        <v>VP Personas y Organización</v>
      </c>
      <c r="E187" s="2" t="s">
        <v>759</v>
      </c>
      <c r="F187" s="2" t="str">
        <f t="shared" si="13"/>
        <v>N1001AD401</v>
      </c>
      <c r="G187" s="1" t="s">
        <v>724</v>
      </c>
      <c r="H187">
        <v>1507.93</v>
      </c>
      <c r="J187">
        <f t="shared" si="14"/>
        <v>-1507.93</v>
      </c>
      <c r="M187">
        <f t="shared" si="15"/>
        <v>0</v>
      </c>
      <c r="N187">
        <v>1077.74</v>
      </c>
      <c r="P187">
        <f t="shared" si="16"/>
        <v>-1077.74</v>
      </c>
      <c r="Q187">
        <v>663.23</v>
      </c>
      <c r="S187">
        <f t="shared" si="17"/>
        <v>-663.23</v>
      </c>
    </row>
    <row r="188" spans="1:19" x14ac:dyDescent="0.3">
      <c r="A188" s="5" t="str">
        <f xml:space="preserve"> _xll.EPMOlapMemberO("[CECO].[PARENTH3].[AMSA1001AD4020]","","AMSA1001AD4020 - RRHH  Corporativo","","000")</f>
        <v>AMSA1001AD4020 - RRHH  Corporativo</v>
      </c>
      <c r="B188" s="2" t="str">
        <f t="shared" si="12"/>
        <v>1001AD4020</v>
      </c>
      <c r="C188" s="2" t="str">
        <f>IFERROR(_xlfn.XLOOKUP(B188,'CECOS Corporativos'!$D:$D,'CECOS Corporativos'!$E:$E,""),"")</f>
        <v>RRHH Corporativo</v>
      </c>
      <c r="D188" s="2" t="str">
        <f>IFERROR(_xlfn.XLOOKUP(B188,'CECOS Corporativos'!$D:$D,'CECOS Corporativos'!$J:$J,""),"")</f>
        <v>VP Personas y Organización</v>
      </c>
      <c r="E188" s="2" t="s">
        <v>761</v>
      </c>
      <c r="F188" s="2" t="str">
        <f t="shared" si="13"/>
        <v>N1001AD401</v>
      </c>
      <c r="G188" s="1" t="s">
        <v>724</v>
      </c>
      <c r="H188">
        <v>15321.49</v>
      </c>
      <c r="I188">
        <v>13775</v>
      </c>
      <c r="J188">
        <f t="shared" si="14"/>
        <v>-1546.4899999999998</v>
      </c>
      <c r="K188">
        <v>25181.37</v>
      </c>
      <c r="L188">
        <v>9254</v>
      </c>
      <c r="M188">
        <f t="shared" si="15"/>
        <v>-15927.369999999999</v>
      </c>
      <c r="N188">
        <v>35180.089999999997</v>
      </c>
      <c r="O188">
        <v>38169</v>
      </c>
      <c r="P188">
        <f t="shared" si="16"/>
        <v>2988.9100000000035</v>
      </c>
      <c r="Q188">
        <v>52154.77</v>
      </c>
      <c r="R188">
        <v>37204.79</v>
      </c>
      <c r="S188">
        <f t="shared" si="17"/>
        <v>-14949.979999999996</v>
      </c>
    </row>
    <row r="189" spans="1:19" x14ac:dyDescent="0.3">
      <c r="A189" s="5" t="str">
        <f xml:space="preserve"> _xll.EPMOlapMemberO("[CECO].[PARENTH3].[AMSA1001AD4020]","","AMSA1001AD4020 - RRHH  Corporativo","","000")</f>
        <v>AMSA1001AD4020 - RRHH  Corporativo</v>
      </c>
      <c r="B189" s="2" t="str">
        <f t="shared" si="12"/>
        <v>1001AD4020</v>
      </c>
      <c r="C189" s="2" t="str">
        <f>IFERROR(_xlfn.XLOOKUP(B189,'CECOS Corporativos'!$D:$D,'CECOS Corporativos'!$E:$E,""),"")</f>
        <v>RRHH Corporativo</v>
      </c>
      <c r="D189" s="2" t="str">
        <f>IFERROR(_xlfn.XLOOKUP(B189,'CECOS Corporativos'!$D:$D,'CECOS Corporativos'!$J:$J,""),"")</f>
        <v>VP Personas y Organización</v>
      </c>
      <c r="E189" s="2" t="s">
        <v>764</v>
      </c>
      <c r="F189" s="2" t="str">
        <f t="shared" si="13"/>
        <v>N1001AD401</v>
      </c>
      <c r="G189" s="1" t="s">
        <v>724</v>
      </c>
      <c r="H189">
        <v>901836.83</v>
      </c>
      <c r="I189">
        <v>929697</v>
      </c>
      <c r="J189">
        <f t="shared" si="14"/>
        <v>27860.170000000042</v>
      </c>
      <c r="K189">
        <v>899677.95</v>
      </c>
      <c r="L189">
        <v>816689</v>
      </c>
      <c r="M189">
        <f t="shared" si="15"/>
        <v>-82988.949999999953</v>
      </c>
      <c r="N189">
        <v>863846.05</v>
      </c>
      <c r="O189">
        <v>957165</v>
      </c>
      <c r="P189">
        <f t="shared" si="16"/>
        <v>93318.949999999953</v>
      </c>
      <c r="Q189">
        <v>950472.81</v>
      </c>
      <c r="R189">
        <v>1015181.21</v>
      </c>
      <c r="S189">
        <f t="shared" si="17"/>
        <v>64708.399999999907</v>
      </c>
    </row>
    <row r="190" spans="1:19" x14ac:dyDescent="0.3">
      <c r="A190" s="2" t="str">
        <f xml:space="preserve"> _xll.EPMOlapMemberO("[CECO].[PARENTH3].[AMSA1001AD0510]","","AMSA1001AD0510 - Reporting VPACS Corp","","000")</f>
        <v>AMSA1001AD0510 - Reporting VPACS Corp</v>
      </c>
      <c r="B190" s="2" t="str">
        <f t="shared" si="12"/>
        <v>1001AD0510</v>
      </c>
      <c r="C190" s="2" t="str">
        <f>IFERROR(_xlfn.XLOOKUP(B190,'CECOS Corporativos'!$D:$D,'CECOS Corporativos'!$E:$E,""),"")</f>
        <v>Reporting VPACS Corporativo</v>
      </c>
      <c r="D190" s="2" t="str">
        <f>IFERROR(_xlfn.XLOOKUP(B190,'CECOS Corporativos'!$D:$D,'CECOS Corporativos'!$J:$J,""),"")</f>
        <v>VP Sustentabilidad</v>
      </c>
      <c r="E190" s="2" t="s">
        <v>757</v>
      </c>
      <c r="F190" s="2" t="str">
        <f t="shared" si="13"/>
        <v>N1001AD450</v>
      </c>
      <c r="G190" s="1" t="s">
        <v>725</v>
      </c>
      <c r="J190">
        <f t="shared" si="14"/>
        <v>0</v>
      </c>
      <c r="M190">
        <f t="shared" si="15"/>
        <v>0</v>
      </c>
      <c r="N190">
        <v>-79.900000000000006</v>
      </c>
      <c r="P190">
        <f t="shared" si="16"/>
        <v>79.900000000000006</v>
      </c>
      <c r="S190">
        <f t="shared" si="17"/>
        <v>0</v>
      </c>
    </row>
    <row r="191" spans="1:19" x14ac:dyDescent="0.3">
      <c r="A191" s="2" t="str">
        <f xml:space="preserve"> _xll.EPMOlapMemberO("[CECO].[PARENTH3].[AMSA1001AD0510]","","AMSA1001AD0510 - Reporting VPACS Corp","","000")</f>
        <v>AMSA1001AD0510 - Reporting VPACS Corp</v>
      </c>
      <c r="B191" s="2" t="str">
        <f t="shared" si="12"/>
        <v>1001AD0510</v>
      </c>
      <c r="C191" s="2" t="str">
        <f>IFERROR(_xlfn.XLOOKUP(B191,'CECOS Corporativos'!$D:$D,'CECOS Corporativos'!$E:$E,""),"")</f>
        <v>Reporting VPACS Corporativo</v>
      </c>
      <c r="D191" s="2" t="str">
        <f>IFERROR(_xlfn.XLOOKUP(B191,'CECOS Corporativos'!$D:$D,'CECOS Corporativos'!$J:$J,""),"")</f>
        <v>VP Sustentabilidad</v>
      </c>
      <c r="E191" s="2" t="s">
        <v>758</v>
      </c>
      <c r="F191" s="2" t="str">
        <f t="shared" si="13"/>
        <v>N1001AD450</v>
      </c>
      <c r="G191" s="1" t="s">
        <v>725</v>
      </c>
      <c r="J191">
        <f t="shared" si="14"/>
        <v>0</v>
      </c>
      <c r="M191">
        <f t="shared" si="15"/>
        <v>0</v>
      </c>
      <c r="N191">
        <v>85580.09</v>
      </c>
      <c r="O191">
        <v>72543</v>
      </c>
      <c r="P191">
        <f t="shared" si="16"/>
        <v>-13037.089999999997</v>
      </c>
      <c r="Q191">
        <v>203574.09</v>
      </c>
      <c r="R191">
        <v>74507.710000000006</v>
      </c>
      <c r="S191">
        <f t="shared" si="17"/>
        <v>-129066.37999999999</v>
      </c>
    </row>
    <row r="192" spans="1:19" x14ac:dyDescent="0.3">
      <c r="A192" s="2" t="str">
        <f xml:space="preserve"> _xll.EPMOlapMemberO("[CECO].[PARENTH3].[AMSA1001AD0510]","","AMSA1001AD0510 - Reporting VPACS Corp","","000")</f>
        <v>AMSA1001AD0510 - Reporting VPACS Corp</v>
      </c>
      <c r="B192" s="2" t="str">
        <f t="shared" si="12"/>
        <v>1001AD0510</v>
      </c>
      <c r="C192" s="2" t="str">
        <f>IFERROR(_xlfn.XLOOKUP(B192,'CECOS Corporativos'!$D:$D,'CECOS Corporativos'!$E:$E,""),"")</f>
        <v>Reporting VPACS Corporativo</v>
      </c>
      <c r="D192" s="2" t="str">
        <f>IFERROR(_xlfn.XLOOKUP(B192,'CECOS Corporativos'!$D:$D,'CECOS Corporativos'!$J:$J,""),"")</f>
        <v>VP Sustentabilidad</v>
      </c>
      <c r="E192" s="2" t="s">
        <v>763</v>
      </c>
      <c r="F192" s="2" t="str">
        <f t="shared" si="13"/>
        <v>N1001AD450</v>
      </c>
      <c r="G192" s="1" t="s">
        <v>725</v>
      </c>
      <c r="J192">
        <f t="shared" si="14"/>
        <v>0</v>
      </c>
      <c r="M192">
        <f t="shared" si="15"/>
        <v>0</v>
      </c>
      <c r="N192">
        <v>2244.36</v>
      </c>
      <c r="O192">
        <v>6818</v>
      </c>
      <c r="P192">
        <f t="shared" si="16"/>
        <v>4573.6399999999994</v>
      </c>
      <c r="R192">
        <v>0</v>
      </c>
      <c r="S192">
        <f t="shared" si="17"/>
        <v>0</v>
      </c>
    </row>
    <row r="193" spans="1:19" x14ac:dyDescent="0.3">
      <c r="A193" s="2" t="str">
        <f xml:space="preserve"> _xll.EPMOlapMemberO("[CECO].[PARENTH3].[AMSA1001AD0510]","","AMSA1001AD0510 - Reporting VPACS Corp","","000")</f>
        <v>AMSA1001AD0510 - Reporting VPACS Corp</v>
      </c>
      <c r="B193" s="2" t="str">
        <f t="shared" si="12"/>
        <v>1001AD0510</v>
      </c>
      <c r="C193" s="2" t="str">
        <f>IFERROR(_xlfn.XLOOKUP(B193,'CECOS Corporativos'!$D:$D,'CECOS Corporativos'!$E:$E,""),"")</f>
        <v>Reporting VPACS Corporativo</v>
      </c>
      <c r="D193" s="2" t="str">
        <f>IFERROR(_xlfn.XLOOKUP(B193,'CECOS Corporativos'!$D:$D,'CECOS Corporativos'!$J:$J,""),"")</f>
        <v>VP Sustentabilidad</v>
      </c>
      <c r="E193" s="2" t="s">
        <v>761</v>
      </c>
      <c r="F193" s="2" t="str">
        <f t="shared" si="13"/>
        <v>N1001AD450</v>
      </c>
      <c r="G193" s="1" t="s">
        <v>725</v>
      </c>
      <c r="J193">
        <f t="shared" si="14"/>
        <v>0</v>
      </c>
      <c r="M193">
        <f t="shared" si="15"/>
        <v>0</v>
      </c>
      <c r="N193">
        <v>117752.3</v>
      </c>
      <c r="O193">
        <v>131942</v>
      </c>
      <c r="P193">
        <f t="shared" si="16"/>
        <v>14189.699999999997</v>
      </c>
      <c r="Q193">
        <v>0</v>
      </c>
      <c r="R193">
        <v>138477.66</v>
      </c>
      <c r="S193">
        <f t="shared" si="17"/>
        <v>138477.66</v>
      </c>
    </row>
    <row r="194" spans="1:19" x14ac:dyDescent="0.3">
      <c r="A194" s="2" t="str">
        <f xml:space="preserve"> _xll.EPMOlapMemberO("[CECO].[PARENTH3].[AMSA1001AD4505]","","AMSA1001AD4505 - Op. y Territorio","","000")</f>
        <v>AMSA1001AD4505 - Op. y Territorio</v>
      </c>
      <c r="B194" s="2" t="str">
        <f t="shared" si="12"/>
        <v>1001AD4505</v>
      </c>
      <c r="C194" s="2" t="str">
        <f>IFERROR(_xlfn.XLOOKUP(B194,'CECOS Corporativos'!$D:$D,'CECOS Corporativos'!$E:$E,""),"")</f>
        <v>Operación y Territorio</v>
      </c>
      <c r="D194" s="2" t="str">
        <f>IFERROR(_xlfn.XLOOKUP(B194,'CECOS Corporativos'!$D:$D,'CECOS Corporativos'!$J:$J,""),"")</f>
        <v>VP Asuntos Corporativos</v>
      </c>
      <c r="E194" s="2" t="s">
        <v>768</v>
      </c>
      <c r="F194" s="2" t="str">
        <f t="shared" si="13"/>
        <v>N1001AD450</v>
      </c>
      <c r="G194" s="1" t="s">
        <v>725</v>
      </c>
      <c r="J194">
        <f t="shared" si="14"/>
        <v>0</v>
      </c>
      <c r="K194">
        <v>0</v>
      </c>
      <c r="M194">
        <f t="shared" si="15"/>
        <v>0</v>
      </c>
      <c r="P194">
        <f t="shared" si="16"/>
        <v>0</v>
      </c>
      <c r="S194">
        <f t="shared" si="17"/>
        <v>0</v>
      </c>
    </row>
    <row r="195" spans="1:19" x14ac:dyDescent="0.3">
      <c r="A195" s="2" t="str">
        <f xml:space="preserve"> _xll.EPMOlapMemberO("[CECO].[PARENTH3].[AMSA1001AD4505]","","AMSA1001AD4505 - Op. y Territorio","","000")</f>
        <v>AMSA1001AD4505 - Op. y Territorio</v>
      </c>
      <c r="B195" s="2" t="str">
        <f t="shared" si="12"/>
        <v>1001AD4505</v>
      </c>
      <c r="C195" s="2" t="str">
        <f>IFERROR(_xlfn.XLOOKUP(B195,'CECOS Corporativos'!$D:$D,'CECOS Corporativos'!$E:$E,""),"")</f>
        <v>Operación y Territorio</v>
      </c>
      <c r="D195" s="2" t="str">
        <f>IFERROR(_xlfn.XLOOKUP(B195,'CECOS Corporativos'!$D:$D,'CECOS Corporativos'!$J:$J,""),"")</f>
        <v>VP Asuntos Corporativos</v>
      </c>
      <c r="E195" s="2" t="s">
        <v>762</v>
      </c>
      <c r="F195" s="2" t="str">
        <f t="shared" si="13"/>
        <v>N1001AD450</v>
      </c>
      <c r="G195" s="1" t="s">
        <v>725</v>
      </c>
      <c r="J195">
        <f t="shared" si="14"/>
        <v>0</v>
      </c>
      <c r="K195">
        <v>0</v>
      </c>
      <c r="M195">
        <f t="shared" si="15"/>
        <v>0</v>
      </c>
      <c r="P195">
        <f t="shared" si="16"/>
        <v>0</v>
      </c>
      <c r="S195">
        <f t="shared" si="17"/>
        <v>0</v>
      </c>
    </row>
    <row r="196" spans="1:19" x14ac:dyDescent="0.3">
      <c r="A196" s="2" t="str">
        <f xml:space="preserve"> _xll.EPMOlapMemberO("[CECO].[PARENTH3].[AMSA1001AD4505]","","AMSA1001AD4505 - Op. y Territorio","","000")</f>
        <v>AMSA1001AD4505 - Op. y Territorio</v>
      </c>
      <c r="B196" s="2" t="str">
        <f t="shared" si="12"/>
        <v>1001AD4505</v>
      </c>
      <c r="C196" s="2" t="str">
        <f>IFERROR(_xlfn.XLOOKUP(B196,'CECOS Corporativos'!$D:$D,'CECOS Corporativos'!$E:$E,""),"")</f>
        <v>Operación y Territorio</v>
      </c>
      <c r="D196" s="2" t="str">
        <f>IFERROR(_xlfn.XLOOKUP(B196,'CECOS Corporativos'!$D:$D,'CECOS Corporativos'!$J:$J,""),"")</f>
        <v>VP Asuntos Corporativos</v>
      </c>
      <c r="E196" s="2" t="s">
        <v>758</v>
      </c>
      <c r="F196" s="2" t="str">
        <f t="shared" si="13"/>
        <v>N1001AD450</v>
      </c>
      <c r="G196" s="1" t="s">
        <v>725</v>
      </c>
      <c r="H196">
        <v>0</v>
      </c>
      <c r="I196">
        <v>1134330</v>
      </c>
      <c r="J196">
        <f t="shared" si="14"/>
        <v>1134330</v>
      </c>
      <c r="K196">
        <v>-2454.06</v>
      </c>
      <c r="L196">
        <v>1097617</v>
      </c>
      <c r="M196">
        <f t="shared" si="15"/>
        <v>1100071.06</v>
      </c>
      <c r="N196">
        <v>72773.960000000006</v>
      </c>
      <c r="O196">
        <v>1368453</v>
      </c>
      <c r="P196">
        <f t="shared" si="16"/>
        <v>1295679.04</v>
      </c>
      <c r="Q196">
        <v>60774.01</v>
      </c>
      <c r="R196">
        <v>1277577.6499999999</v>
      </c>
      <c r="S196">
        <f t="shared" si="17"/>
        <v>1216803.6399999999</v>
      </c>
    </row>
    <row r="197" spans="1:19" x14ac:dyDescent="0.3">
      <c r="A197" s="2" t="str">
        <f xml:space="preserve"> _xll.EPMOlapMemberO("[CECO].[PARENTH3].[AMSA1001AD4505]","","AMSA1001AD4505 - Op. y Territorio","","000")</f>
        <v>AMSA1001AD4505 - Op. y Territorio</v>
      </c>
      <c r="B197" s="2" t="str">
        <f t="shared" si="12"/>
        <v>1001AD4505</v>
      </c>
      <c r="C197" s="2" t="str">
        <f>IFERROR(_xlfn.XLOOKUP(B197,'CECOS Corporativos'!$D:$D,'CECOS Corporativos'!$E:$E,""),"")</f>
        <v>Operación y Territorio</v>
      </c>
      <c r="D197" s="2" t="str">
        <f>IFERROR(_xlfn.XLOOKUP(B197,'CECOS Corporativos'!$D:$D,'CECOS Corporativos'!$J:$J,""),"")</f>
        <v>VP Asuntos Corporativos</v>
      </c>
      <c r="E197" s="2" t="s">
        <v>763</v>
      </c>
      <c r="F197" s="2" t="str">
        <f t="shared" si="13"/>
        <v>N1001AD450</v>
      </c>
      <c r="G197" s="1" t="s">
        <v>725</v>
      </c>
      <c r="J197">
        <f t="shared" si="14"/>
        <v>0</v>
      </c>
      <c r="K197">
        <v>0.48</v>
      </c>
      <c r="M197">
        <f t="shared" si="15"/>
        <v>-0.48</v>
      </c>
      <c r="N197">
        <v>0</v>
      </c>
      <c r="P197">
        <f t="shared" si="16"/>
        <v>0</v>
      </c>
      <c r="S197">
        <f t="shared" si="17"/>
        <v>0</v>
      </c>
    </row>
    <row r="198" spans="1:19" x14ac:dyDescent="0.3">
      <c r="A198" s="2" t="str">
        <f xml:space="preserve"> _xll.EPMOlapMemberO("[CECO].[PARENTH3].[AMSA1001AD4505]","","AMSA1001AD4505 - Op. y Territorio","","000")</f>
        <v>AMSA1001AD4505 - Op. y Territorio</v>
      </c>
      <c r="B198" s="2" t="str">
        <f t="shared" si="12"/>
        <v>1001AD4505</v>
      </c>
      <c r="C198" s="2" t="str">
        <f>IFERROR(_xlfn.XLOOKUP(B198,'CECOS Corporativos'!$D:$D,'CECOS Corporativos'!$E:$E,""),"")</f>
        <v>Operación y Territorio</v>
      </c>
      <c r="D198" s="2" t="str">
        <f>IFERROR(_xlfn.XLOOKUP(B198,'CECOS Corporativos'!$D:$D,'CECOS Corporativos'!$J:$J,""),"")</f>
        <v>VP Asuntos Corporativos</v>
      </c>
      <c r="E198" s="2" t="s">
        <v>759</v>
      </c>
      <c r="F198" s="2" t="str">
        <f t="shared" si="13"/>
        <v>N1001AD450</v>
      </c>
      <c r="G198" s="1" t="s">
        <v>725</v>
      </c>
      <c r="H198">
        <v>0</v>
      </c>
      <c r="J198">
        <f t="shared" si="14"/>
        <v>0</v>
      </c>
      <c r="K198">
        <v>-0.01</v>
      </c>
      <c r="M198">
        <f t="shared" si="15"/>
        <v>0.01</v>
      </c>
      <c r="P198">
        <f t="shared" si="16"/>
        <v>0</v>
      </c>
      <c r="S198">
        <f t="shared" si="17"/>
        <v>0</v>
      </c>
    </row>
    <row r="199" spans="1:19" x14ac:dyDescent="0.3">
      <c r="A199" s="2" t="str">
        <f xml:space="preserve"> _xll.EPMOlapMemberO("[CECO].[PARENTH3].[AMSA1001AD4505]","","AMSA1001AD4505 - Op. y Territorio","","000")</f>
        <v>AMSA1001AD4505 - Op. y Territorio</v>
      </c>
      <c r="B199" s="2" t="str">
        <f t="shared" si="12"/>
        <v>1001AD4505</v>
      </c>
      <c r="C199" s="2" t="str">
        <f>IFERROR(_xlfn.XLOOKUP(B199,'CECOS Corporativos'!$D:$D,'CECOS Corporativos'!$E:$E,""),"")</f>
        <v>Operación y Territorio</v>
      </c>
      <c r="D199" s="2" t="str">
        <f>IFERROR(_xlfn.XLOOKUP(B199,'CECOS Corporativos'!$D:$D,'CECOS Corporativos'!$J:$J,""),"")</f>
        <v>VP Asuntos Corporativos</v>
      </c>
      <c r="E199" s="2" t="s">
        <v>756</v>
      </c>
      <c r="F199" s="2" t="str">
        <f t="shared" si="13"/>
        <v>N1001AD450</v>
      </c>
      <c r="G199" s="1" t="s">
        <v>725</v>
      </c>
      <c r="H199">
        <v>978831.18</v>
      </c>
      <c r="J199">
        <f t="shared" si="14"/>
        <v>-978831.18</v>
      </c>
      <c r="K199">
        <v>1155200.8700000001</v>
      </c>
      <c r="M199">
        <f t="shared" si="15"/>
        <v>-1155200.8700000001</v>
      </c>
      <c r="N199">
        <v>1006839.87</v>
      </c>
      <c r="P199">
        <f t="shared" si="16"/>
        <v>-1006839.87</v>
      </c>
      <c r="Q199">
        <v>990574.12</v>
      </c>
      <c r="S199">
        <f t="shared" si="17"/>
        <v>-990574.12</v>
      </c>
    </row>
    <row r="200" spans="1:19" x14ac:dyDescent="0.3">
      <c r="A200" s="2" t="str">
        <f xml:space="preserve"> _xll.EPMOlapMemberO("[CECO].[PARENTH3].[AMSA1001AD4506]","","AMSA1001AD4506 - Adm Plan. Asun Publi","","000")</f>
        <v>AMSA1001AD4506 - Adm Plan. Asun Publi</v>
      </c>
      <c r="B200" s="2" t="str">
        <f t="shared" si="12"/>
        <v>1001AD4506</v>
      </c>
      <c r="C200" s="2" t="str">
        <f>IFERROR(_xlfn.XLOOKUP(B200,'CECOS Corporativos'!$D:$D,'CECOS Corporativos'!$E:$E,""),"")</f>
        <v>Administración</v>
      </c>
      <c r="D200" s="2" t="str">
        <f>IFERROR(_xlfn.XLOOKUP(B200,'CECOS Corporativos'!$D:$D,'CECOS Corporativos'!$J:$J,""),"")</f>
        <v>VP Asuntos Corporativos</v>
      </c>
      <c r="E200" s="2" t="s">
        <v>768</v>
      </c>
      <c r="F200" s="2" t="str">
        <f t="shared" si="13"/>
        <v>N1001AD450</v>
      </c>
      <c r="G200" s="1" t="s">
        <v>725</v>
      </c>
      <c r="H200">
        <v>14203.13</v>
      </c>
      <c r="I200">
        <v>5129</v>
      </c>
      <c r="J200">
        <f t="shared" si="14"/>
        <v>-9074.1299999999992</v>
      </c>
      <c r="K200">
        <v>1716.49</v>
      </c>
      <c r="L200">
        <v>8203</v>
      </c>
      <c r="M200">
        <f t="shared" si="15"/>
        <v>6486.51</v>
      </c>
      <c r="N200">
        <v>6649.53</v>
      </c>
      <c r="O200">
        <v>5951</v>
      </c>
      <c r="P200">
        <f t="shared" si="16"/>
        <v>-698.52999999999975</v>
      </c>
      <c r="Q200">
        <v>8691.2900000000009</v>
      </c>
      <c r="R200">
        <v>5688.89</v>
      </c>
      <c r="S200">
        <f t="shared" si="17"/>
        <v>-3002.4000000000005</v>
      </c>
    </row>
    <row r="201" spans="1:19" x14ac:dyDescent="0.3">
      <c r="A201" s="2" t="str">
        <f xml:space="preserve"> _xll.EPMOlapMemberO("[CECO].[PARENTH3].[AMSA1001AD4506]","","AMSA1001AD4506 - Adm Plan. Asun Publi","","000")</f>
        <v>AMSA1001AD4506 - Adm Plan. Asun Publi</v>
      </c>
      <c r="B201" s="2" t="str">
        <f t="shared" si="12"/>
        <v>1001AD4506</v>
      </c>
      <c r="C201" s="2" t="str">
        <f>IFERROR(_xlfn.XLOOKUP(B201,'CECOS Corporativos'!$D:$D,'CECOS Corporativos'!$E:$E,""),"")</f>
        <v>Administración</v>
      </c>
      <c r="D201" s="2" t="str">
        <f>IFERROR(_xlfn.XLOOKUP(B201,'CECOS Corporativos'!$D:$D,'CECOS Corporativos'!$J:$J,""),"")</f>
        <v>VP Asuntos Corporativos</v>
      </c>
      <c r="E201" s="2" t="s">
        <v>772</v>
      </c>
      <c r="F201" s="2" t="str">
        <f t="shared" si="13"/>
        <v>N1001AD450</v>
      </c>
      <c r="G201" s="1" t="s">
        <v>725</v>
      </c>
      <c r="H201">
        <v>76165.97</v>
      </c>
      <c r="I201">
        <v>23118</v>
      </c>
      <c r="J201">
        <f t="shared" si="14"/>
        <v>-53047.97</v>
      </c>
      <c r="K201">
        <v>342.25</v>
      </c>
      <c r="L201">
        <v>12308</v>
      </c>
      <c r="M201">
        <f t="shared" si="15"/>
        <v>11965.75</v>
      </c>
      <c r="N201">
        <v>95.84</v>
      </c>
      <c r="O201">
        <v>14424</v>
      </c>
      <c r="P201">
        <f t="shared" si="16"/>
        <v>14328.16</v>
      </c>
      <c r="Q201">
        <v>244.98</v>
      </c>
      <c r="S201">
        <f t="shared" si="17"/>
        <v>-244.98</v>
      </c>
    </row>
    <row r="202" spans="1:19" x14ac:dyDescent="0.3">
      <c r="A202" s="2" t="str">
        <f xml:space="preserve"> _xll.EPMOlapMemberO("[CECO].[PARENTH3].[AMSA1001AD4506]","","AMSA1001AD4506 - Adm Plan. Asun Publi","","000")</f>
        <v>AMSA1001AD4506 - Adm Plan. Asun Publi</v>
      </c>
      <c r="B202" s="2" t="str">
        <f t="shared" ref="B202:B252" si="18">IFERROR(SUBSTITUTE(TRIM(LEFT(A202,FIND("-",A202)-1)),"AMSA",""),"")</f>
        <v>1001AD4506</v>
      </c>
      <c r="C202" s="2" t="str">
        <f>IFERROR(_xlfn.XLOOKUP(B202,'CECOS Corporativos'!$D:$D,'CECOS Corporativos'!$E:$E,""),"")</f>
        <v>Administración</v>
      </c>
      <c r="D202" s="2" t="str">
        <f>IFERROR(_xlfn.XLOOKUP(B202,'CECOS Corporativos'!$D:$D,'CECOS Corporativos'!$J:$J,""),"")</f>
        <v>VP Asuntos Corporativos</v>
      </c>
      <c r="E202" s="2" t="s">
        <v>775</v>
      </c>
      <c r="F202" s="2" t="str">
        <f t="shared" ref="F202:F252" si="19">IFERROR(TRIM(LEFT(G202,FIND("-",G202)-1)),"")</f>
        <v>N1001AD450</v>
      </c>
      <c r="G202" s="1" t="s">
        <v>725</v>
      </c>
      <c r="H202">
        <v>204.12</v>
      </c>
      <c r="J202">
        <f t="shared" ref="J202:J252" si="20">I202-H202</f>
        <v>-204.12</v>
      </c>
      <c r="K202">
        <v>-1.61</v>
      </c>
      <c r="M202">
        <f t="shared" ref="M202:M252" si="21">L202-K202</f>
        <v>1.61</v>
      </c>
      <c r="N202">
        <v>44.83</v>
      </c>
      <c r="P202">
        <f t="shared" ref="P202:P252" si="22">O202-N202</f>
        <v>-44.83</v>
      </c>
      <c r="Q202">
        <v>653.13</v>
      </c>
      <c r="S202">
        <f t="shared" ref="S202:S252" si="23">R202-Q202</f>
        <v>-653.13</v>
      </c>
    </row>
    <row r="203" spans="1:19" x14ac:dyDescent="0.3">
      <c r="A203" s="2" t="str">
        <f xml:space="preserve"> _xll.EPMOlapMemberO("[CECO].[PARENTH3].[AMSA1001AD4506]","","AMSA1001AD4506 - Adm Plan. Asun Publi","","000")</f>
        <v>AMSA1001AD4506 - Adm Plan. Asun Publi</v>
      </c>
      <c r="B203" s="2" t="str">
        <f t="shared" si="18"/>
        <v>1001AD4506</v>
      </c>
      <c r="C203" s="2" t="str">
        <f>IFERROR(_xlfn.XLOOKUP(B203,'CECOS Corporativos'!$D:$D,'CECOS Corporativos'!$E:$E,""),"")</f>
        <v>Administración</v>
      </c>
      <c r="D203" s="2" t="str">
        <f>IFERROR(_xlfn.XLOOKUP(B203,'CECOS Corporativos'!$D:$D,'CECOS Corporativos'!$J:$J,""),"")</f>
        <v>VP Asuntos Corporativos</v>
      </c>
      <c r="E203" s="2" t="s">
        <v>765</v>
      </c>
      <c r="F203" s="2" t="str">
        <f t="shared" si="19"/>
        <v>N1001AD450</v>
      </c>
      <c r="G203" s="1" t="s">
        <v>725</v>
      </c>
      <c r="H203">
        <v>0</v>
      </c>
      <c r="J203">
        <f t="shared" si="20"/>
        <v>0</v>
      </c>
      <c r="M203">
        <f t="shared" si="21"/>
        <v>0</v>
      </c>
      <c r="P203">
        <f t="shared" si="22"/>
        <v>0</v>
      </c>
      <c r="S203">
        <f t="shared" si="23"/>
        <v>0</v>
      </c>
    </row>
    <row r="204" spans="1:19" x14ac:dyDescent="0.3">
      <c r="A204" s="2" t="str">
        <f xml:space="preserve"> _xll.EPMOlapMemberO("[CECO].[PARENTH3].[AMSA1001AD4506]","","AMSA1001AD4506 - Adm Plan. Asun Publi","","000")</f>
        <v>AMSA1001AD4506 - Adm Plan. Asun Publi</v>
      </c>
      <c r="B204" s="2" t="str">
        <f t="shared" si="18"/>
        <v>1001AD4506</v>
      </c>
      <c r="C204" s="2" t="str">
        <f>IFERROR(_xlfn.XLOOKUP(B204,'CECOS Corporativos'!$D:$D,'CECOS Corporativos'!$E:$E,""),"")</f>
        <v>Administración</v>
      </c>
      <c r="D204" s="2" t="str">
        <f>IFERROR(_xlfn.XLOOKUP(B204,'CECOS Corporativos'!$D:$D,'CECOS Corporativos'!$J:$J,""),"")</f>
        <v>VP Asuntos Corporativos</v>
      </c>
      <c r="E204" s="2" t="s">
        <v>766</v>
      </c>
      <c r="F204" s="2" t="str">
        <f t="shared" si="19"/>
        <v>N1001AD450</v>
      </c>
      <c r="G204" s="1" t="s">
        <v>725</v>
      </c>
      <c r="H204">
        <v>113114.17</v>
      </c>
      <c r="I204">
        <v>7712</v>
      </c>
      <c r="J204">
        <f t="shared" si="20"/>
        <v>-105402.17</v>
      </c>
      <c r="K204">
        <v>-29790.560000000001</v>
      </c>
      <c r="L204">
        <v>17</v>
      </c>
      <c r="M204">
        <f t="shared" si="21"/>
        <v>29807.56</v>
      </c>
      <c r="N204">
        <v>12551.89</v>
      </c>
      <c r="O204">
        <v>5990</v>
      </c>
      <c r="P204">
        <f t="shared" si="22"/>
        <v>-6561.8899999999994</v>
      </c>
      <c r="Q204">
        <v>1158.72</v>
      </c>
      <c r="R204">
        <v>18191.13</v>
      </c>
      <c r="S204">
        <f t="shared" si="23"/>
        <v>17032.41</v>
      </c>
    </row>
    <row r="205" spans="1:19" x14ac:dyDescent="0.3">
      <c r="A205" s="2" t="str">
        <f xml:space="preserve"> _xll.EPMOlapMemberO("[CECO].[PARENTH3].[AMSA1001AD4506]","","AMSA1001AD4506 - Adm Plan. Asun Publi","","000")</f>
        <v>AMSA1001AD4506 - Adm Plan. Asun Publi</v>
      </c>
      <c r="B205" s="2" t="str">
        <f t="shared" si="18"/>
        <v>1001AD4506</v>
      </c>
      <c r="C205" s="2" t="str">
        <f>IFERROR(_xlfn.XLOOKUP(B205,'CECOS Corporativos'!$D:$D,'CECOS Corporativos'!$E:$E,""),"")</f>
        <v>Administración</v>
      </c>
      <c r="D205" s="2" t="str">
        <f>IFERROR(_xlfn.XLOOKUP(B205,'CECOS Corporativos'!$D:$D,'CECOS Corporativos'!$J:$J,""),"")</f>
        <v>VP Asuntos Corporativos</v>
      </c>
      <c r="E205" s="2" t="s">
        <v>757</v>
      </c>
      <c r="F205" s="2" t="str">
        <f t="shared" si="19"/>
        <v>N1001AD450</v>
      </c>
      <c r="G205" s="1" t="s">
        <v>725</v>
      </c>
      <c r="H205">
        <v>434230.53</v>
      </c>
      <c r="I205">
        <v>195503</v>
      </c>
      <c r="J205">
        <f t="shared" si="20"/>
        <v>-238727.53000000003</v>
      </c>
      <c r="K205">
        <v>870434.19</v>
      </c>
      <c r="L205">
        <v>116000</v>
      </c>
      <c r="M205">
        <f t="shared" si="21"/>
        <v>-754434.19</v>
      </c>
      <c r="N205">
        <v>449685.05</v>
      </c>
      <c r="O205">
        <v>228373</v>
      </c>
      <c r="P205">
        <f t="shared" si="22"/>
        <v>-221312.05</v>
      </c>
      <c r="Q205">
        <v>523184.22</v>
      </c>
      <c r="R205">
        <v>271866.68</v>
      </c>
      <c r="S205">
        <f t="shared" si="23"/>
        <v>-251317.53999999998</v>
      </c>
    </row>
    <row r="206" spans="1:19" x14ac:dyDescent="0.3">
      <c r="A206" s="2" t="str">
        <f xml:space="preserve"> _xll.EPMOlapMemberO("[CECO].[PARENTH3].[AMSA1001AD4506]","","AMSA1001AD4506 - Adm Plan. Asun Publi","","000")</f>
        <v>AMSA1001AD4506 - Adm Plan. Asun Publi</v>
      </c>
      <c r="B206" s="2" t="str">
        <f t="shared" si="18"/>
        <v>1001AD4506</v>
      </c>
      <c r="C206" s="2" t="str">
        <f>IFERROR(_xlfn.XLOOKUP(B206,'CECOS Corporativos'!$D:$D,'CECOS Corporativos'!$E:$E,""),"")</f>
        <v>Administración</v>
      </c>
      <c r="D206" s="2" t="str">
        <f>IFERROR(_xlfn.XLOOKUP(B206,'CECOS Corporativos'!$D:$D,'CECOS Corporativos'!$J:$J,""),"")</f>
        <v>VP Asuntos Corporativos</v>
      </c>
      <c r="E206" s="2" t="s">
        <v>762</v>
      </c>
      <c r="F206" s="2" t="str">
        <f t="shared" si="19"/>
        <v>N1001AD450</v>
      </c>
      <c r="G206" s="1" t="s">
        <v>725</v>
      </c>
      <c r="H206">
        <v>39768.639999999999</v>
      </c>
      <c r="I206">
        <v>46232</v>
      </c>
      <c r="J206">
        <f t="shared" si="20"/>
        <v>6463.3600000000006</v>
      </c>
      <c r="K206">
        <v>174852.07</v>
      </c>
      <c r="L206">
        <v>47879</v>
      </c>
      <c r="M206">
        <f t="shared" si="21"/>
        <v>-126973.07</v>
      </c>
      <c r="N206">
        <v>123975.83</v>
      </c>
      <c r="O206">
        <v>144235</v>
      </c>
      <c r="P206">
        <f t="shared" si="22"/>
        <v>20259.169999999998</v>
      </c>
      <c r="Q206">
        <v>106242.83</v>
      </c>
      <c r="R206">
        <v>149526.68</v>
      </c>
      <c r="S206">
        <f t="shared" si="23"/>
        <v>43283.849999999991</v>
      </c>
    </row>
    <row r="207" spans="1:19" x14ac:dyDescent="0.3">
      <c r="A207" s="2" t="str">
        <f xml:space="preserve"> _xll.EPMOlapMemberO("[CECO].[PARENTH3].[AMSA1001AD4506]","","AMSA1001AD4506 - Adm Plan. Asun Publi","","000")</f>
        <v>AMSA1001AD4506 - Adm Plan. Asun Publi</v>
      </c>
      <c r="B207" s="2" t="str">
        <f t="shared" si="18"/>
        <v>1001AD4506</v>
      </c>
      <c r="C207" s="2" t="str">
        <f>IFERROR(_xlfn.XLOOKUP(B207,'CECOS Corporativos'!$D:$D,'CECOS Corporativos'!$E:$E,""),"")</f>
        <v>Administración</v>
      </c>
      <c r="D207" s="2" t="str">
        <f>IFERROR(_xlfn.XLOOKUP(B207,'CECOS Corporativos'!$D:$D,'CECOS Corporativos'!$J:$J,""),"")</f>
        <v>VP Asuntos Corporativos</v>
      </c>
      <c r="E207" s="2" t="s">
        <v>758</v>
      </c>
      <c r="F207" s="2" t="str">
        <f t="shared" si="19"/>
        <v>N1001AD450</v>
      </c>
      <c r="G207" s="1" t="s">
        <v>725</v>
      </c>
      <c r="H207">
        <v>818987.67</v>
      </c>
      <c r="I207">
        <v>666647</v>
      </c>
      <c r="J207">
        <f t="shared" si="20"/>
        <v>-152340.67000000004</v>
      </c>
      <c r="K207">
        <v>1021205.1</v>
      </c>
      <c r="L207">
        <v>806243</v>
      </c>
      <c r="M207">
        <f t="shared" si="21"/>
        <v>-214962.09999999998</v>
      </c>
      <c r="N207">
        <v>1296718.74</v>
      </c>
      <c r="O207">
        <v>778870</v>
      </c>
      <c r="P207">
        <f t="shared" si="22"/>
        <v>-517848.74</v>
      </c>
      <c r="Q207">
        <v>1130748.98</v>
      </c>
      <c r="R207">
        <v>1080669.8899999999</v>
      </c>
      <c r="S207">
        <f t="shared" si="23"/>
        <v>-50079.090000000084</v>
      </c>
    </row>
    <row r="208" spans="1:19" x14ac:dyDescent="0.3">
      <c r="A208" s="2" t="str">
        <f xml:space="preserve"> _xll.EPMOlapMemberO("[CECO].[PARENTH3].[AMSA1001AD4506]","","AMSA1001AD4506 - Adm Plan. Asun Publi","","000")</f>
        <v>AMSA1001AD4506 - Adm Plan. Asun Publi</v>
      </c>
      <c r="B208" s="2" t="str">
        <f t="shared" si="18"/>
        <v>1001AD4506</v>
      </c>
      <c r="C208" s="2" t="str">
        <f>IFERROR(_xlfn.XLOOKUP(B208,'CECOS Corporativos'!$D:$D,'CECOS Corporativos'!$E:$E,""),"")</f>
        <v>Administración</v>
      </c>
      <c r="D208" s="2" t="str">
        <f>IFERROR(_xlfn.XLOOKUP(B208,'CECOS Corporativos'!$D:$D,'CECOS Corporativos'!$J:$J,""),"")</f>
        <v>VP Asuntos Corporativos</v>
      </c>
      <c r="E208" s="2" t="s">
        <v>763</v>
      </c>
      <c r="F208" s="2" t="str">
        <f t="shared" si="19"/>
        <v>N1001AD450</v>
      </c>
      <c r="G208" s="1" t="s">
        <v>725</v>
      </c>
      <c r="H208">
        <v>38301.42</v>
      </c>
      <c r="I208">
        <v>80180</v>
      </c>
      <c r="J208">
        <f t="shared" si="20"/>
        <v>41878.58</v>
      </c>
      <c r="K208">
        <v>175447.63</v>
      </c>
      <c r="L208">
        <v>54133</v>
      </c>
      <c r="M208">
        <f t="shared" si="21"/>
        <v>-121314.63</v>
      </c>
      <c r="N208">
        <v>34581.82</v>
      </c>
      <c r="O208">
        <v>40776</v>
      </c>
      <c r="P208">
        <f t="shared" si="22"/>
        <v>6194.18</v>
      </c>
      <c r="Q208">
        <v>38689.89</v>
      </c>
      <c r="R208">
        <v>23834</v>
      </c>
      <c r="S208">
        <f t="shared" si="23"/>
        <v>-14855.89</v>
      </c>
    </row>
    <row r="209" spans="1:19" x14ac:dyDescent="0.3">
      <c r="A209" s="2" t="str">
        <f xml:space="preserve"> _xll.EPMOlapMemberO("[CECO].[PARENTH3].[AMSA1001AD4506]","","AMSA1001AD4506 - Adm Plan. Asun Publi","","000")</f>
        <v>AMSA1001AD4506 - Adm Plan. Asun Publi</v>
      </c>
      <c r="B209" s="2" t="str">
        <f t="shared" si="18"/>
        <v>1001AD4506</v>
      </c>
      <c r="C209" s="2" t="str">
        <f>IFERROR(_xlfn.XLOOKUP(B209,'CECOS Corporativos'!$D:$D,'CECOS Corporativos'!$E:$E,""),"")</f>
        <v>Administración</v>
      </c>
      <c r="D209" s="2" t="str">
        <f>IFERROR(_xlfn.XLOOKUP(B209,'CECOS Corporativos'!$D:$D,'CECOS Corporativos'!$J:$J,""),"")</f>
        <v>VP Asuntos Corporativos</v>
      </c>
      <c r="E209" s="2" t="s">
        <v>759</v>
      </c>
      <c r="F209" s="2" t="str">
        <f t="shared" si="19"/>
        <v>N1001AD450</v>
      </c>
      <c r="G209" s="1" t="s">
        <v>725</v>
      </c>
      <c r="H209">
        <v>101522.92</v>
      </c>
      <c r="I209">
        <v>83091</v>
      </c>
      <c r="J209">
        <f t="shared" si="20"/>
        <v>-18431.919999999998</v>
      </c>
      <c r="K209">
        <v>-254753.61</v>
      </c>
      <c r="L209">
        <v>108871</v>
      </c>
      <c r="M209">
        <f t="shared" si="21"/>
        <v>363624.61</v>
      </c>
      <c r="N209">
        <v>53618.39</v>
      </c>
      <c r="O209">
        <v>140629</v>
      </c>
      <c r="P209">
        <f t="shared" si="22"/>
        <v>87010.61</v>
      </c>
      <c r="Q209">
        <v>87722.48</v>
      </c>
      <c r="R209">
        <v>51654.68</v>
      </c>
      <c r="S209">
        <f t="shared" si="23"/>
        <v>-36067.799999999996</v>
      </c>
    </row>
    <row r="210" spans="1:19" x14ac:dyDescent="0.3">
      <c r="A210" s="2" t="str">
        <f xml:space="preserve"> _xll.EPMOlapMemberO("[CECO].[PARENTH3].[AMSA1001AD4506]","","AMSA1001AD4506 - Adm Plan. Asun Publi","","000")</f>
        <v>AMSA1001AD4506 - Adm Plan. Asun Publi</v>
      </c>
      <c r="B210" s="2" t="str">
        <f t="shared" si="18"/>
        <v>1001AD4506</v>
      </c>
      <c r="C210" s="2" t="str">
        <f>IFERROR(_xlfn.XLOOKUP(B210,'CECOS Corporativos'!$D:$D,'CECOS Corporativos'!$E:$E,""),"")</f>
        <v>Administración</v>
      </c>
      <c r="D210" s="2" t="str">
        <f>IFERROR(_xlfn.XLOOKUP(B210,'CECOS Corporativos'!$D:$D,'CECOS Corporativos'!$J:$J,""),"")</f>
        <v>VP Asuntos Corporativos</v>
      </c>
      <c r="E210" s="2" t="s">
        <v>767</v>
      </c>
      <c r="F210" s="2" t="str">
        <f t="shared" si="19"/>
        <v>N1001AD450</v>
      </c>
      <c r="G210" s="1" t="s">
        <v>725</v>
      </c>
      <c r="J210">
        <f t="shared" si="20"/>
        <v>0</v>
      </c>
      <c r="M210">
        <f t="shared" si="21"/>
        <v>0</v>
      </c>
      <c r="P210">
        <f t="shared" si="22"/>
        <v>0</v>
      </c>
      <c r="Q210">
        <v>21886.82</v>
      </c>
      <c r="S210">
        <f t="shared" si="23"/>
        <v>-21886.82</v>
      </c>
    </row>
    <row r="211" spans="1:19" x14ac:dyDescent="0.3">
      <c r="A211" s="2" t="str">
        <f xml:space="preserve"> _xll.EPMOlapMemberO("[CECO].[PARENTH3].[AMSA1001AD4506]","","AMSA1001AD4506 - Adm Plan. Asun Publi","","000")</f>
        <v>AMSA1001AD4506 - Adm Plan. Asun Publi</v>
      </c>
      <c r="B211" s="2" t="str">
        <f t="shared" si="18"/>
        <v>1001AD4506</v>
      </c>
      <c r="C211" s="2" t="str">
        <f>IFERROR(_xlfn.XLOOKUP(B211,'CECOS Corporativos'!$D:$D,'CECOS Corporativos'!$E:$E,""),"")</f>
        <v>Administración</v>
      </c>
      <c r="D211" s="2" t="str">
        <f>IFERROR(_xlfn.XLOOKUP(B211,'CECOS Corporativos'!$D:$D,'CECOS Corporativos'!$J:$J,""),"")</f>
        <v>VP Asuntos Corporativos</v>
      </c>
      <c r="E211" s="2" t="s">
        <v>760</v>
      </c>
      <c r="F211" s="2" t="str">
        <f t="shared" si="19"/>
        <v>N1001AD450</v>
      </c>
      <c r="G211" s="1" t="s">
        <v>725</v>
      </c>
      <c r="J211">
        <f t="shared" si="20"/>
        <v>0</v>
      </c>
      <c r="M211">
        <f t="shared" si="21"/>
        <v>0</v>
      </c>
      <c r="N211">
        <v>1090.04</v>
      </c>
      <c r="P211">
        <f t="shared" si="22"/>
        <v>-1090.04</v>
      </c>
      <c r="Q211">
        <v>148.25</v>
      </c>
      <c r="S211">
        <f t="shared" si="23"/>
        <v>-148.25</v>
      </c>
    </row>
    <row r="212" spans="1:19" x14ac:dyDescent="0.3">
      <c r="A212" s="2" t="str">
        <f xml:space="preserve"> _xll.EPMOlapMemberO("[CECO].[PARENTH3].[AMSA1001AD4506]","","AMSA1001AD4506 - Adm Plan. Asun Publi","","000")</f>
        <v>AMSA1001AD4506 - Adm Plan. Asun Publi</v>
      </c>
      <c r="B212" s="2" t="str">
        <f t="shared" si="18"/>
        <v>1001AD4506</v>
      </c>
      <c r="C212" s="2" t="str">
        <f>IFERROR(_xlfn.XLOOKUP(B212,'CECOS Corporativos'!$D:$D,'CECOS Corporativos'!$E:$E,""),"")</f>
        <v>Administración</v>
      </c>
      <c r="D212" s="2" t="str">
        <f>IFERROR(_xlfn.XLOOKUP(B212,'CECOS Corporativos'!$D:$D,'CECOS Corporativos'!$J:$J,""),"")</f>
        <v>VP Asuntos Corporativos</v>
      </c>
      <c r="E212" s="2" t="s">
        <v>761</v>
      </c>
      <c r="F212" s="2" t="str">
        <f t="shared" si="19"/>
        <v>N1001AD450</v>
      </c>
      <c r="G212" s="1" t="s">
        <v>725</v>
      </c>
      <c r="H212">
        <v>27937.42</v>
      </c>
      <c r="I212">
        <v>37754</v>
      </c>
      <c r="J212">
        <f t="shared" si="20"/>
        <v>9816.5800000000017</v>
      </c>
      <c r="K212">
        <v>463716.79</v>
      </c>
      <c r="L212">
        <v>301367</v>
      </c>
      <c r="M212">
        <f t="shared" si="21"/>
        <v>-162349.78999999998</v>
      </c>
      <c r="N212">
        <v>77444.240000000005</v>
      </c>
      <c r="O212">
        <v>40474</v>
      </c>
      <c r="P212">
        <f t="shared" si="22"/>
        <v>-36970.240000000005</v>
      </c>
      <c r="Q212">
        <v>608923.39</v>
      </c>
      <c r="R212">
        <v>49658</v>
      </c>
      <c r="S212">
        <f t="shared" si="23"/>
        <v>-559265.39</v>
      </c>
    </row>
    <row r="213" spans="1:19" x14ac:dyDescent="0.3">
      <c r="A213" s="2" t="str">
        <f xml:space="preserve"> _xll.EPMOlapMemberO("[CECO].[PARENTH3].[AMSA1001AD4506]","","AMSA1001AD4506 - Adm Plan. Asun Publi","","000")</f>
        <v>AMSA1001AD4506 - Adm Plan. Asun Publi</v>
      </c>
      <c r="B213" s="2" t="str">
        <f t="shared" si="18"/>
        <v>1001AD4506</v>
      </c>
      <c r="C213" s="2" t="str">
        <f>IFERROR(_xlfn.XLOOKUP(B213,'CECOS Corporativos'!$D:$D,'CECOS Corporativos'!$E:$E,""),"")</f>
        <v>Administración</v>
      </c>
      <c r="D213" s="2" t="str">
        <f>IFERROR(_xlfn.XLOOKUP(B213,'CECOS Corporativos'!$D:$D,'CECOS Corporativos'!$J:$J,""),"")</f>
        <v>VP Asuntos Corporativos</v>
      </c>
      <c r="E213" s="2" t="s">
        <v>770</v>
      </c>
      <c r="F213" s="2" t="str">
        <f t="shared" si="19"/>
        <v>N1001AD450</v>
      </c>
      <c r="G213" s="1" t="s">
        <v>725</v>
      </c>
      <c r="J213">
        <f t="shared" si="20"/>
        <v>0</v>
      </c>
      <c r="L213">
        <v>-309391</v>
      </c>
      <c r="M213">
        <f t="shared" si="21"/>
        <v>-309391</v>
      </c>
      <c r="O213">
        <v>-113458.53</v>
      </c>
      <c r="P213">
        <f t="shared" si="22"/>
        <v>-113458.53</v>
      </c>
      <c r="S213">
        <f t="shared" si="23"/>
        <v>0</v>
      </c>
    </row>
    <row r="214" spans="1:19" x14ac:dyDescent="0.3">
      <c r="A214" s="2" t="str">
        <f xml:space="preserve"> _xll.EPMOlapMemberO("[CECO].[PARENTH3].[AMSA1001AD4506]","","AMSA1001AD4506 - Adm Plan. Asun Publi","","000")</f>
        <v>AMSA1001AD4506 - Adm Plan. Asun Publi</v>
      </c>
      <c r="B214" s="2" t="str">
        <f t="shared" si="18"/>
        <v>1001AD4506</v>
      </c>
      <c r="C214" s="2" t="str">
        <f>IFERROR(_xlfn.XLOOKUP(B214,'CECOS Corporativos'!$D:$D,'CECOS Corporativos'!$E:$E,""),"")</f>
        <v>Administración</v>
      </c>
      <c r="D214" s="2" t="str">
        <f>IFERROR(_xlfn.XLOOKUP(B214,'CECOS Corporativos'!$D:$D,'CECOS Corporativos'!$J:$J,""),"")</f>
        <v>VP Asuntos Corporativos</v>
      </c>
      <c r="E214" s="2" t="s">
        <v>769</v>
      </c>
      <c r="F214" s="2" t="str">
        <f t="shared" si="19"/>
        <v>N1001AD450</v>
      </c>
      <c r="G214" s="1" t="s">
        <v>725</v>
      </c>
      <c r="H214">
        <v>255485.05</v>
      </c>
      <c r="I214">
        <v>247800.86</v>
      </c>
      <c r="J214">
        <f t="shared" si="20"/>
        <v>-7684.1900000000023</v>
      </c>
      <c r="K214">
        <v>205939.65</v>
      </c>
      <c r="L214">
        <v>235954.88</v>
      </c>
      <c r="M214">
        <f t="shared" si="21"/>
        <v>30015.23000000001</v>
      </c>
      <c r="N214">
        <v>78874.39</v>
      </c>
      <c r="O214">
        <v>66547.289999999994</v>
      </c>
      <c r="P214">
        <f t="shared" si="22"/>
        <v>-12327.100000000006</v>
      </c>
      <c r="Q214">
        <v>80417.119999999995</v>
      </c>
      <c r="R214">
        <v>70595.31</v>
      </c>
      <c r="S214">
        <f t="shared" si="23"/>
        <v>-9821.8099999999977</v>
      </c>
    </row>
    <row r="215" spans="1:19" x14ac:dyDescent="0.3">
      <c r="A215" s="2" t="str">
        <f xml:space="preserve"> _xll.EPMOlapMemberO("[CECO].[PARENTH3].[AMSA1001AD4530]","","AMSA1001AD4530 - Med.Ambte Corporativ","","000")</f>
        <v>AMSA1001AD4530 - Med.Ambte Corporativ</v>
      </c>
      <c r="B215" s="2" t="str">
        <f t="shared" si="18"/>
        <v>1001AD4530</v>
      </c>
      <c r="C215" s="2" t="str">
        <f>IFERROR(_xlfn.XLOOKUP(B215,'CECOS Corporativos'!$D:$D,'CECOS Corporativos'!$E:$E,""),"")</f>
        <v>Medio Ambiente Corporativo</v>
      </c>
      <c r="D215" s="2" t="str">
        <f>IFERROR(_xlfn.XLOOKUP(B215,'CECOS Corporativos'!$D:$D,'CECOS Corporativos'!$J:$J,""),"")</f>
        <v>VP Sustentabilidad</v>
      </c>
      <c r="E215" s="2" t="s">
        <v>757</v>
      </c>
      <c r="F215" s="2" t="str">
        <f t="shared" si="19"/>
        <v>N1001AD470</v>
      </c>
      <c r="G215" s="1" t="s">
        <v>726</v>
      </c>
      <c r="H215">
        <v>13700.66</v>
      </c>
      <c r="I215">
        <v>159330</v>
      </c>
      <c r="J215">
        <f t="shared" si="20"/>
        <v>145629.34</v>
      </c>
      <c r="K215">
        <v>84719.6</v>
      </c>
      <c r="L215">
        <v>145113</v>
      </c>
      <c r="M215">
        <f t="shared" si="21"/>
        <v>60393.399999999994</v>
      </c>
      <c r="N215">
        <v>66931.38</v>
      </c>
      <c r="O215">
        <v>118011</v>
      </c>
      <c r="P215">
        <f t="shared" si="22"/>
        <v>51079.619999999995</v>
      </c>
      <c r="Q215">
        <v>38309.360000000001</v>
      </c>
      <c r="R215">
        <v>90254.21</v>
      </c>
      <c r="S215">
        <f t="shared" si="23"/>
        <v>51944.850000000006</v>
      </c>
    </row>
    <row r="216" spans="1:19" x14ac:dyDescent="0.3">
      <c r="A216" s="2" t="str">
        <f xml:space="preserve"> _xll.EPMOlapMemberO("[CECO].[PARENTH3].[AMSA1001AD4530]","","AMSA1001AD4530 - Med.Ambte Corporativ","","000")</f>
        <v>AMSA1001AD4530 - Med.Ambte Corporativ</v>
      </c>
      <c r="B216" s="2" t="str">
        <f t="shared" si="18"/>
        <v>1001AD4530</v>
      </c>
      <c r="C216" s="2" t="str">
        <f>IFERROR(_xlfn.XLOOKUP(B216,'CECOS Corporativos'!$D:$D,'CECOS Corporativos'!$E:$E,""),"")</f>
        <v>Medio Ambiente Corporativo</v>
      </c>
      <c r="D216" s="2" t="str">
        <f>IFERROR(_xlfn.XLOOKUP(B216,'CECOS Corporativos'!$D:$D,'CECOS Corporativos'!$J:$J,""),"")</f>
        <v>VP Sustentabilidad</v>
      </c>
      <c r="E216" s="2" t="s">
        <v>758</v>
      </c>
      <c r="F216" s="2" t="str">
        <f t="shared" si="19"/>
        <v>N1001AD470</v>
      </c>
      <c r="G216" s="1" t="s">
        <v>726</v>
      </c>
      <c r="H216">
        <v>94728.39</v>
      </c>
      <c r="J216">
        <f t="shared" si="20"/>
        <v>-94728.39</v>
      </c>
      <c r="M216">
        <f t="shared" si="21"/>
        <v>0</v>
      </c>
      <c r="N216">
        <v>3207.78</v>
      </c>
      <c r="P216">
        <f t="shared" si="22"/>
        <v>-3207.78</v>
      </c>
      <c r="Q216">
        <v>-4029.8</v>
      </c>
      <c r="S216">
        <f t="shared" si="23"/>
        <v>4029.8</v>
      </c>
    </row>
    <row r="217" spans="1:19" x14ac:dyDescent="0.3">
      <c r="A217" s="2" t="str">
        <f xml:space="preserve"> _xll.EPMOlapMemberO("[CECO].[PARENTH3].[AMSA1001AD4530]","","AMSA1001AD4530 - Med.Ambte Corporativ","","000")</f>
        <v>AMSA1001AD4530 - Med.Ambte Corporativ</v>
      </c>
      <c r="B217" s="2" t="str">
        <f t="shared" si="18"/>
        <v>1001AD4530</v>
      </c>
      <c r="C217" s="2" t="str">
        <f>IFERROR(_xlfn.XLOOKUP(B217,'CECOS Corporativos'!$D:$D,'CECOS Corporativos'!$E:$E,""),"")</f>
        <v>Medio Ambiente Corporativo</v>
      </c>
      <c r="D217" s="2" t="str">
        <f>IFERROR(_xlfn.XLOOKUP(B217,'CECOS Corporativos'!$D:$D,'CECOS Corporativos'!$J:$J,""),"")</f>
        <v>VP Sustentabilidad</v>
      </c>
      <c r="E217" s="2" t="s">
        <v>763</v>
      </c>
      <c r="F217" s="2" t="str">
        <f t="shared" si="19"/>
        <v>N1001AD470</v>
      </c>
      <c r="G217" s="1" t="s">
        <v>726</v>
      </c>
      <c r="J217">
        <f t="shared" si="20"/>
        <v>0</v>
      </c>
      <c r="K217">
        <v>27247.56</v>
      </c>
      <c r="M217">
        <f t="shared" si="21"/>
        <v>-27247.56</v>
      </c>
      <c r="N217">
        <v>67702.080000000002</v>
      </c>
      <c r="O217">
        <v>121950</v>
      </c>
      <c r="P217">
        <f t="shared" si="22"/>
        <v>54247.92</v>
      </c>
      <c r="Q217">
        <v>158142.82999999999</v>
      </c>
      <c r="R217">
        <v>162338.26999999999</v>
      </c>
      <c r="S217">
        <f t="shared" si="23"/>
        <v>4195.4400000000023</v>
      </c>
    </row>
    <row r="218" spans="1:19" x14ac:dyDescent="0.3">
      <c r="A218" s="2" t="str">
        <f xml:space="preserve"> _xll.EPMOlapMemberO("[CECO].[PARENTH3].[AMSA1001AD4530]","","AMSA1001AD4530 - Med.Ambte Corporativ","","000")</f>
        <v>AMSA1001AD4530 - Med.Ambte Corporativ</v>
      </c>
      <c r="B218" s="2" t="str">
        <f t="shared" si="18"/>
        <v>1001AD4530</v>
      </c>
      <c r="C218" s="2" t="str">
        <f>IFERROR(_xlfn.XLOOKUP(B218,'CECOS Corporativos'!$D:$D,'CECOS Corporativos'!$E:$E,""),"")</f>
        <v>Medio Ambiente Corporativo</v>
      </c>
      <c r="D218" s="2" t="str">
        <f>IFERROR(_xlfn.XLOOKUP(B218,'CECOS Corporativos'!$D:$D,'CECOS Corporativos'!$J:$J,""),"")</f>
        <v>VP Sustentabilidad</v>
      </c>
      <c r="E218" s="2" t="s">
        <v>761</v>
      </c>
      <c r="F218" s="2" t="str">
        <f t="shared" si="19"/>
        <v>N1001AD470</v>
      </c>
      <c r="G218" s="1" t="s">
        <v>726</v>
      </c>
      <c r="H218">
        <v>38.51</v>
      </c>
      <c r="J218">
        <f t="shared" si="20"/>
        <v>-38.51</v>
      </c>
      <c r="M218">
        <f t="shared" si="21"/>
        <v>0</v>
      </c>
      <c r="N218">
        <v>2204.2199999999998</v>
      </c>
      <c r="P218">
        <f t="shared" si="22"/>
        <v>-2204.2199999999998</v>
      </c>
      <c r="Q218">
        <v>0</v>
      </c>
      <c r="S218">
        <f t="shared" si="23"/>
        <v>0</v>
      </c>
    </row>
    <row r="219" spans="1:19" x14ac:dyDescent="0.3">
      <c r="A219" s="2" t="str">
        <f xml:space="preserve"> _xll.EPMOlapMemberO("[CECO].[PARENTH3].[AMSA1001AD4530]","","AMSA1001AD4530 - Med.Ambte Corporativ","","000")</f>
        <v>AMSA1001AD4530 - Med.Ambte Corporativ</v>
      </c>
      <c r="B219" s="2" t="str">
        <f t="shared" si="18"/>
        <v>1001AD4530</v>
      </c>
      <c r="C219" s="2" t="str">
        <f>IFERROR(_xlfn.XLOOKUP(B219,'CECOS Corporativos'!$D:$D,'CECOS Corporativos'!$E:$E,""),"")</f>
        <v>Medio Ambiente Corporativo</v>
      </c>
      <c r="D219" s="2" t="str">
        <f>IFERROR(_xlfn.XLOOKUP(B219,'CECOS Corporativos'!$D:$D,'CECOS Corporativos'!$J:$J,""),"")</f>
        <v>VP Sustentabilidad</v>
      </c>
      <c r="E219" s="2" t="s">
        <v>764</v>
      </c>
      <c r="F219" s="2" t="str">
        <f t="shared" si="19"/>
        <v>N1001AD470</v>
      </c>
      <c r="G219" s="1" t="s">
        <v>726</v>
      </c>
      <c r="H219">
        <v>710662.23</v>
      </c>
      <c r="I219">
        <v>732618</v>
      </c>
      <c r="J219">
        <f t="shared" si="20"/>
        <v>21955.770000000019</v>
      </c>
      <c r="K219">
        <v>1087421.3400000001</v>
      </c>
      <c r="L219">
        <v>987109</v>
      </c>
      <c r="M219">
        <f t="shared" si="21"/>
        <v>-100312.34000000008</v>
      </c>
      <c r="N219">
        <v>-0.34</v>
      </c>
      <c r="O219">
        <v>0</v>
      </c>
      <c r="P219">
        <f t="shared" si="22"/>
        <v>0.34</v>
      </c>
      <c r="S219">
        <f t="shared" si="23"/>
        <v>0</v>
      </c>
    </row>
    <row r="220" spans="1:19" x14ac:dyDescent="0.3">
      <c r="A220" s="2" t="str">
        <f xml:space="preserve"> _xll.EPMOlapMemberO("[CECO].[PARENTH3].[AMSA1001AD5007]","","AMSA1001AD5007 - SSO Corporativo","","000")</f>
        <v>AMSA1001AD5007 - SSO Corporativo</v>
      </c>
      <c r="B220" s="2" t="str">
        <f t="shared" si="18"/>
        <v>1001AD5007</v>
      </c>
      <c r="C220" s="2" t="str">
        <f>IFERROR(_xlfn.XLOOKUP(B220,'CECOS Corporativos'!$D:$D,'CECOS Corporativos'!$E:$E,""),"")</f>
        <v>SSO Corporativo</v>
      </c>
      <c r="D220" s="2" t="str">
        <f>IFERROR(_xlfn.XLOOKUP(B220,'CECOS Corporativos'!$D:$D,'CECOS Corporativos'!$J:$J,""),"")</f>
        <v>VP Sustentabilidad</v>
      </c>
      <c r="E220" s="2" t="s">
        <v>766</v>
      </c>
      <c r="F220" s="2" t="str">
        <f t="shared" si="19"/>
        <v>N1001AD500</v>
      </c>
      <c r="G220" s="1" t="s">
        <v>727</v>
      </c>
      <c r="J220">
        <f t="shared" si="20"/>
        <v>0</v>
      </c>
      <c r="M220">
        <f t="shared" si="21"/>
        <v>0</v>
      </c>
      <c r="N220">
        <v>870.39</v>
      </c>
      <c r="P220">
        <f t="shared" si="22"/>
        <v>-870.39</v>
      </c>
      <c r="S220">
        <f t="shared" si="23"/>
        <v>0</v>
      </c>
    </row>
    <row r="221" spans="1:19" x14ac:dyDescent="0.3">
      <c r="A221" s="2" t="str">
        <f xml:space="preserve"> _xll.EPMOlapMemberO("[CECO].[PARENTH3].[AMSA1001AD5007]","","AMSA1001AD5007 - SSO Corporativo","","000")</f>
        <v>AMSA1001AD5007 - SSO Corporativo</v>
      </c>
      <c r="B221" s="2" t="str">
        <f t="shared" si="18"/>
        <v>1001AD5007</v>
      </c>
      <c r="C221" s="2" t="str">
        <f>IFERROR(_xlfn.XLOOKUP(B221,'CECOS Corporativos'!$D:$D,'CECOS Corporativos'!$E:$E,""),"")</f>
        <v>SSO Corporativo</v>
      </c>
      <c r="D221" s="2" t="str">
        <f>IFERROR(_xlfn.XLOOKUP(B221,'CECOS Corporativos'!$D:$D,'CECOS Corporativos'!$J:$J,""),"")</f>
        <v>VP Sustentabilidad</v>
      </c>
      <c r="E221" s="2" t="s">
        <v>757</v>
      </c>
      <c r="F221" s="2" t="str">
        <f t="shared" si="19"/>
        <v>N1001AD500</v>
      </c>
      <c r="G221" s="1" t="s">
        <v>727</v>
      </c>
      <c r="H221">
        <v>452749.23</v>
      </c>
      <c r="I221">
        <v>548769</v>
      </c>
      <c r="J221">
        <f t="shared" si="20"/>
        <v>96019.770000000019</v>
      </c>
      <c r="K221">
        <v>533546.68000000005</v>
      </c>
      <c r="L221">
        <v>347078</v>
      </c>
      <c r="M221">
        <f t="shared" si="21"/>
        <v>-186468.68000000005</v>
      </c>
      <c r="N221">
        <v>297803.96999999997</v>
      </c>
      <c r="P221">
        <f t="shared" si="22"/>
        <v>-297803.96999999997</v>
      </c>
      <c r="Q221">
        <v>263201.39</v>
      </c>
      <c r="S221">
        <f t="shared" si="23"/>
        <v>-263201.39</v>
      </c>
    </row>
    <row r="222" spans="1:19" x14ac:dyDescent="0.3">
      <c r="A222" s="2" t="str">
        <f xml:space="preserve"> _xll.EPMOlapMemberO("[CECO].[PARENTH3].[AMSA1001AD5007]","","AMSA1001AD5007 - SSO Corporativo","","000")</f>
        <v>AMSA1001AD5007 - SSO Corporativo</v>
      </c>
      <c r="B222" s="2" t="str">
        <f t="shared" si="18"/>
        <v>1001AD5007</v>
      </c>
      <c r="C222" s="2" t="str">
        <f>IFERROR(_xlfn.XLOOKUP(B222,'CECOS Corporativos'!$D:$D,'CECOS Corporativos'!$E:$E,""),"")</f>
        <v>SSO Corporativo</v>
      </c>
      <c r="D222" s="2" t="str">
        <f>IFERROR(_xlfn.XLOOKUP(B222,'CECOS Corporativos'!$D:$D,'CECOS Corporativos'!$J:$J,""),"")</f>
        <v>VP Sustentabilidad</v>
      </c>
      <c r="E222" s="2" t="s">
        <v>758</v>
      </c>
      <c r="F222" s="2" t="str">
        <f t="shared" si="19"/>
        <v>N1001AD500</v>
      </c>
      <c r="G222" s="1" t="s">
        <v>727</v>
      </c>
      <c r="J222">
        <f t="shared" si="20"/>
        <v>0</v>
      </c>
      <c r="K222">
        <v>6014.9</v>
      </c>
      <c r="M222">
        <f t="shared" si="21"/>
        <v>-6014.9</v>
      </c>
      <c r="N222">
        <v>5610.28</v>
      </c>
      <c r="O222">
        <v>367283</v>
      </c>
      <c r="P222">
        <f t="shared" si="22"/>
        <v>361672.72</v>
      </c>
      <c r="Q222">
        <v>20982.36</v>
      </c>
      <c r="R222">
        <v>255554.68</v>
      </c>
      <c r="S222">
        <f t="shared" si="23"/>
        <v>234572.32</v>
      </c>
    </row>
    <row r="223" spans="1:19" x14ac:dyDescent="0.3">
      <c r="A223" s="2" t="str">
        <f xml:space="preserve"> _xll.EPMOlapMemberO("[CECO].[PARENTH3].[AMSA1001AD5007]","","AMSA1001AD5007 - SSO Corporativo","","000")</f>
        <v>AMSA1001AD5007 - SSO Corporativo</v>
      </c>
      <c r="B223" s="2" t="str">
        <f t="shared" si="18"/>
        <v>1001AD5007</v>
      </c>
      <c r="C223" s="2" t="str">
        <f>IFERROR(_xlfn.XLOOKUP(B223,'CECOS Corporativos'!$D:$D,'CECOS Corporativos'!$E:$E,""),"")</f>
        <v>SSO Corporativo</v>
      </c>
      <c r="D223" s="2" t="str">
        <f>IFERROR(_xlfn.XLOOKUP(B223,'CECOS Corporativos'!$D:$D,'CECOS Corporativos'!$J:$J,""),"")</f>
        <v>VP Sustentabilidad</v>
      </c>
      <c r="E223" s="2" t="s">
        <v>763</v>
      </c>
      <c r="F223" s="2" t="str">
        <f t="shared" si="19"/>
        <v>N1001AD500</v>
      </c>
      <c r="G223" s="1" t="s">
        <v>727</v>
      </c>
      <c r="J223">
        <f t="shared" si="20"/>
        <v>0</v>
      </c>
      <c r="K223">
        <v>10341.6</v>
      </c>
      <c r="M223">
        <f t="shared" si="21"/>
        <v>-10341.6</v>
      </c>
      <c r="N223">
        <v>0</v>
      </c>
      <c r="O223">
        <v>101425</v>
      </c>
      <c r="P223">
        <f t="shared" si="22"/>
        <v>101425</v>
      </c>
      <c r="Q223">
        <v>30439.77</v>
      </c>
      <c r="R223">
        <v>103219</v>
      </c>
      <c r="S223">
        <f t="shared" si="23"/>
        <v>72779.23</v>
      </c>
    </row>
    <row r="224" spans="1:19" x14ac:dyDescent="0.3">
      <c r="A224" s="2" t="str">
        <f xml:space="preserve"> _xll.EPMOlapMemberO("[CECO].[PARENTH3].[AMSA1001AD5007]","","AMSA1001AD5007 - SSO Corporativo","","000")</f>
        <v>AMSA1001AD5007 - SSO Corporativo</v>
      </c>
      <c r="B224" s="2" t="str">
        <f t="shared" si="18"/>
        <v>1001AD5007</v>
      </c>
      <c r="C224" s="2" t="str">
        <f>IFERROR(_xlfn.XLOOKUP(B224,'CECOS Corporativos'!$D:$D,'CECOS Corporativos'!$E:$E,""),"")</f>
        <v>SSO Corporativo</v>
      </c>
      <c r="D224" s="2" t="str">
        <f>IFERROR(_xlfn.XLOOKUP(B224,'CECOS Corporativos'!$D:$D,'CECOS Corporativos'!$J:$J,""),"")</f>
        <v>VP Sustentabilidad</v>
      </c>
      <c r="E224" t="s">
        <v>764</v>
      </c>
      <c r="F224" s="2" t="str">
        <f t="shared" si="19"/>
        <v>N1001AD500</v>
      </c>
      <c r="G224" t="s">
        <v>727</v>
      </c>
      <c r="H224">
        <v>121935.17</v>
      </c>
      <c r="I224">
        <v>125702</v>
      </c>
      <c r="J224">
        <f t="shared" si="20"/>
        <v>3766.8300000000017</v>
      </c>
      <c r="K224">
        <v>147000.89000000001</v>
      </c>
      <c r="L224">
        <v>133435</v>
      </c>
      <c r="M224">
        <f t="shared" si="21"/>
        <v>-13565.890000000014</v>
      </c>
      <c r="N224">
        <v>0.11</v>
      </c>
      <c r="O224">
        <v>0</v>
      </c>
      <c r="P224">
        <f t="shared" si="22"/>
        <v>-0.11</v>
      </c>
      <c r="S224">
        <f t="shared" si="23"/>
        <v>0</v>
      </c>
    </row>
    <row r="225" spans="1:19" x14ac:dyDescent="0.3">
      <c r="A225" s="2" t="str">
        <f xml:space="preserve"> _xll.EPMOlapMemberO("[CECO].[PARENTH3].[AMSA1001AD5501]","","AMSA1001AD5501 - Propiedad Minera","","000")</f>
        <v>AMSA1001AD5501 - Propiedad Minera</v>
      </c>
      <c r="B225" s="2" t="str">
        <f t="shared" si="18"/>
        <v>1001AD5501</v>
      </c>
      <c r="C225" s="2" t="str">
        <f>IFERROR(_xlfn.XLOOKUP(B225,'CECOS Corporativos'!$D:$D,'CECOS Corporativos'!$E:$E,""),"")</f>
        <v>Propiedad Minera MLP</v>
      </c>
      <c r="D225" s="2" t="str">
        <f>IFERROR(_xlfn.XLOOKUP(B225,'CECOS Corporativos'!$D:$D,'CECOS Corporativos'!$J:$J,""),"")</f>
        <v>VP Legal</v>
      </c>
      <c r="E225" t="s">
        <v>757</v>
      </c>
      <c r="F225" s="2" t="str">
        <f t="shared" si="19"/>
        <v>N1001AD550</v>
      </c>
      <c r="G225" t="s">
        <v>728</v>
      </c>
      <c r="H225">
        <v>19188.669999999998</v>
      </c>
      <c r="I225">
        <v>32141</v>
      </c>
      <c r="J225">
        <f t="shared" si="20"/>
        <v>12952.330000000002</v>
      </c>
      <c r="K225">
        <v>26588.94</v>
      </c>
      <c r="L225">
        <v>23308</v>
      </c>
      <c r="M225">
        <f t="shared" si="21"/>
        <v>-3280.9399999999987</v>
      </c>
      <c r="N225">
        <v>23860.3</v>
      </c>
      <c r="O225">
        <v>17353</v>
      </c>
      <c r="P225">
        <f t="shared" si="22"/>
        <v>-6507.2999999999993</v>
      </c>
      <c r="Q225">
        <v>23816.3</v>
      </c>
      <c r="R225">
        <v>25758.04</v>
      </c>
      <c r="S225">
        <f t="shared" si="23"/>
        <v>1941.7400000000016</v>
      </c>
    </row>
    <row r="226" spans="1:19" x14ac:dyDescent="0.3">
      <c r="A226" s="2" t="str">
        <f xml:space="preserve"> _xll.EPMOlapMemberO("[CECO].[PARENTH3].[AMSA1001AD5501]","","AMSA1001AD5501 - Propiedad Minera","","000")</f>
        <v>AMSA1001AD5501 - Propiedad Minera</v>
      </c>
      <c r="B226" s="2" t="str">
        <f t="shared" si="18"/>
        <v>1001AD5501</v>
      </c>
      <c r="C226" s="2" t="str">
        <f>IFERROR(_xlfn.XLOOKUP(B226,'CECOS Corporativos'!$D:$D,'CECOS Corporativos'!$E:$E,""),"")</f>
        <v>Propiedad Minera MLP</v>
      </c>
      <c r="D226" s="2" t="str">
        <f>IFERROR(_xlfn.XLOOKUP(B226,'CECOS Corporativos'!$D:$D,'CECOS Corporativos'!$J:$J,""),"")</f>
        <v>VP Legal</v>
      </c>
      <c r="E226" t="s">
        <v>758</v>
      </c>
      <c r="F226" s="2" t="str">
        <f t="shared" si="19"/>
        <v>N1001AD550</v>
      </c>
      <c r="G226" t="s">
        <v>728</v>
      </c>
      <c r="H226">
        <v>6771.53</v>
      </c>
      <c r="I226">
        <v>46638</v>
      </c>
      <c r="J226">
        <f t="shared" si="20"/>
        <v>39866.47</v>
      </c>
      <c r="K226">
        <v>2169.1</v>
      </c>
      <c r="L226">
        <v>37715</v>
      </c>
      <c r="M226">
        <f t="shared" si="21"/>
        <v>35545.9</v>
      </c>
      <c r="N226">
        <v>4282.9799999999996</v>
      </c>
      <c r="O226">
        <v>11523</v>
      </c>
      <c r="P226">
        <f t="shared" si="22"/>
        <v>7240.02</v>
      </c>
      <c r="Q226">
        <v>3440.09</v>
      </c>
      <c r="R226">
        <v>11748.91</v>
      </c>
      <c r="S226">
        <f t="shared" si="23"/>
        <v>8308.82</v>
      </c>
    </row>
    <row r="227" spans="1:19" x14ac:dyDescent="0.3">
      <c r="A227" s="2" t="str">
        <f xml:space="preserve"> _xll.EPMOlapMemberO("[CECO].[PARENTH3].[AMSA1001AD5501]","","AMSA1001AD5501 - Propiedad Minera","","000")</f>
        <v>AMSA1001AD5501 - Propiedad Minera</v>
      </c>
      <c r="B227" s="2" t="str">
        <f t="shared" si="18"/>
        <v>1001AD5501</v>
      </c>
      <c r="C227" s="2" t="str">
        <f>IFERROR(_xlfn.XLOOKUP(B227,'CECOS Corporativos'!$D:$D,'CECOS Corporativos'!$E:$E,""),"")</f>
        <v>Propiedad Minera MLP</v>
      </c>
      <c r="D227" s="2" t="str">
        <f>IFERROR(_xlfn.XLOOKUP(B227,'CECOS Corporativos'!$D:$D,'CECOS Corporativos'!$J:$J,""),"")</f>
        <v>VP Legal</v>
      </c>
      <c r="E227" t="s">
        <v>763</v>
      </c>
      <c r="F227" s="2" t="str">
        <f t="shared" si="19"/>
        <v>N1001AD550</v>
      </c>
      <c r="G227" t="s">
        <v>728</v>
      </c>
      <c r="J227">
        <f t="shared" si="20"/>
        <v>0</v>
      </c>
      <c r="M227">
        <f t="shared" si="21"/>
        <v>0</v>
      </c>
      <c r="P227">
        <f t="shared" si="22"/>
        <v>0</v>
      </c>
      <c r="Q227">
        <v>-328.19</v>
      </c>
      <c r="S227">
        <f t="shared" si="23"/>
        <v>328.19</v>
      </c>
    </row>
    <row r="228" spans="1:19" x14ac:dyDescent="0.3">
      <c r="A228" s="2" t="str">
        <f xml:space="preserve"> _xll.EPMOlapMemberO("[CECO].[PARENTH3].[AMSA1001AD5501]","","AMSA1001AD5501 - Propiedad Minera","","000")</f>
        <v>AMSA1001AD5501 - Propiedad Minera</v>
      </c>
      <c r="B228" s="2" t="str">
        <f t="shared" si="18"/>
        <v>1001AD5501</v>
      </c>
      <c r="C228" s="2" t="str">
        <f>IFERROR(_xlfn.XLOOKUP(B228,'CECOS Corporativos'!$D:$D,'CECOS Corporativos'!$E:$E,""),"")</f>
        <v>Propiedad Minera MLP</v>
      </c>
      <c r="D228" s="2" t="str">
        <f>IFERROR(_xlfn.XLOOKUP(B228,'CECOS Corporativos'!$D:$D,'CECOS Corporativos'!$J:$J,""),"")</f>
        <v>VP Legal</v>
      </c>
      <c r="E228" t="s">
        <v>759</v>
      </c>
      <c r="F228" s="2" t="str">
        <f t="shared" si="19"/>
        <v>N1001AD550</v>
      </c>
      <c r="G228" t="s">
        <v>728</v>
      </c>
      <c r="J228">
        <f t="shared" si="20"/>
        <v>0</v>
      </c>
      <c r="K228">
        <v>0</v>
      </c>
      <c r="M228">
        <f t="shared" si="21"/>
        <v>0</v>
      </c>
      <c r="P228">
        <f t="shared" si="22"/>
        <v>0</v>
      </c>
      <c r="S228">
        <f t="shared" si="23"/>
        <v>0</v>
      </c>
    </row>
    <row r="229" spans="1:19" x14ac:dyDescent="0.3">
      <c r="A229" s="2" t="str">
        <f xml:space="preserve"> _xll.EPMOlapMemberO("[CECO].[PARENTH3].[AMSA1001AD5501]","","AMSA1001AD5501 - Propiedad Minera","","000")</f>
        <v>AMSA1001AD5501 - Propiedad Minera</v>
      </c>
      <c r="B229" s="2" t="str">
        <f t="shared" si="18"/>
        <v>1001AD5501</v>
      </c>
      <c r="C229" s="2" t="str">
        <f>IFERROR(_xlfn.XLOOKUP(B229,'CECOS Corporativos'!$D:$D,'CECOS Corporativos'!$E:$E,""),"")</f>
        <v>Propiedad Minera MLP</v>
      </c>
      <c r="D229" s="2" t="str">
        <f>IFERROR(_xlfn.XLOOKUP(B229,'CECOS Corporativos'!$D:$D,'CECOS Corporativos'!$J:$J,""),"")</f>
        <v>VP Legal</v>
      </c>
      <c r="E229" t="s">
        <v>760</v>
      </c>
      <c r="F229" s="2" t="str">
        <f t="shared" si="19"/>
        <v>N1001AD550</v>
      </c>
      <c r="G229" t="s">
        <v>728</v>
      </c>
      <c r="H229">
        <v>901992.66</v>
      </c>
      <c r="I229">
        <v>1003926</v>
      </c>
      <c r="J229">
        <f t="shared" si="20"/>
        <v>101933.33999999997</v>
      </c>
      <c r="K229">
        <v>862002.66</v>
      </c>
      <c r="L229">
        <v>1149006</v>
      </c>
      <c r="M229">
        <f t="shared" si="21"/>
        <v>287003.33999999997</v>
      </c>
      <c r="N229">
        <v>557281.56999999995</v>
      </c>
      <c r="O229">
        <v>1243504</v>
      </c>
      <c r="P229">
        <f t="shared" si="22"/>
        <v>686222.43</v>
      </c>
      <c r="Q229">
        <v>1280889.6000000001</v>
      </c>
      <c r="R229">
        <v>1543614.24</v>
      </c>
      <c r="S229">
        <f t="shared" si="23"/>
        <v>262724.6399999999</v>
      </c>
    </row>
    <row r="230" spans="1:19" x14ac:dyDescent="0.3">
      <c r="A230" s="2" t="str">
        <f xml:space="preserve"> _xll.EPMOlapMemberO("[CECO].[PARENTH3].[AMSA1001AD5501]","","AMSA1001AD5501 - Propiedad Minera","","000")</f>
        <v>AMSA1001AD5501 - Propiedad Minera</v>
      </c>
      <c r="B230" s="2" t="str">
        <f t="shared" si="18"/>
        <v>1001AD5501</v>
      </c>
      <c r="C230" s="2" t="str">
        <f>IFERROR(_xlfn.XLOOKUP(B230,'CECOS Corporativos'!$D:$D,'CECOS Corporativos'!$E:$E,""),"")</f>
        <v>Propiedad Minera MLP</v>
      </c>
      <c r="D230" s="2" t="str">
        <f>IFERROR(_xlfn.XLOOKUP(B230,'CECOS Corporativos'!$D:$D,'CECOS Corporativos'!$J:$J,""),"")</f>
        <v>VP Legal</v>
      </c>
      <c r="E230" t="s">
        <v>761</v>
      </c>
      <c r="F230" s="2" t="str">
        <f t="shared" si="19"/>
        <v>N1001AD550</v>
      </c>
      <c r="G230" t="s">
        <v>728</v>
      </c>
      <c r="H230">
        <v>9405.32</v>
      </c>
      <c r="I230">
        <v>27382</v>
      </c>
      <c r="J230">
        <f t="shared" si="20"/>
        <v>17976.68</v>
      </c>
      <c r="K230">
        <v>4140.6499999999996</v>
      </c>
      <c r="L230">
        <v>13884</v>
      </c>
      <c r="M230">
        <f t="shared" si="21"/>
        <v>9743.35</v>
      </c>
      <c r="N230">
        <v>3970.46</v>
      </c>
      <c r="O230">
        <v>13598</v>
      </c>
      <c r="P230">
        <f t="shared" si="22"/>
        <v>9627.5400000000009</v>
      </c>
      <c r="Q230">
        <v>2715.8</v>
      </c>
      <c r="R230">
        <v>12820.38</v>
      </c>
      <c r="S230">
        <f t="shared" si="23"/>
        <v>10104.579999999998</v>
      </c>
    </row>
    <row r="231" spans="1:19" x14ac:dyDescent="0.3">
      <c r="A231" s="2" t="str">
        <f xml:space="preserve"> _xll.EPMOlapMemberO("[CECO].[PARENTH3].[AMSA1001AD5501]","","AMSA1001AD5501 - Propiedad Minera","","000")</f>
        <v>AMSA1001AD5501 - Propiedad Minera</v>
      </c>
      <c r="B231" s="2" t="str">
        <f t="shared" si="18"/>
        <v>1001AD5501</v>
      </c>
      <c r="C231" s="2" t="str">
        <f>IFERROR(_xlfn.XLOOKUP(B231,'CECOS Corporativos'!$D:$D,'CECOS Corporativos'!$E:$E,""),"")</f>
        <v>Propiedad Minera MLP</v>
      </c>
      <c r="D231" s="2" t="str">
        <f>IFERROR(_xlfn.XLOOKUP(B231,'CECOS Corporativos'!$D:$D,'CECOS Corporativos'!$J:$J,""),"")</f>
        <v>VP Legal</v>
      </c>
      <c r="E231" s="2" t="s">
        <v>764</v>
      </c>
      <c r="F231" s="2" t="str">
        <f t="shared" si="19"/>
        <v>N1001AD550</v>
      </c>
      <c r="G231" s="1" t="s">
        <v>728</v>
      </c>
      <c r="H231">
        <v>168808.08</v>
      </c>
      <c r="I231">
        <v>174020</v>
      </c>
      <c r="J231">
        <f t="shared" si="20"/>
        <v>5211.9200000000128</v>
      </c>
      <c r="K231">
        <v>181929.17</v>
      </c>
      <c r="L231">
        <v>165141</v>
      </c>
      <c r="M231">
        <f t="shared" si="21"/>
        <v>-16788.170000000013</v>
      </c>
      <c r="N231">
        <v>-0.17</v>
      </c>
      <c r="O231">
        <v>0</v>
      </c>
      <c r="P231">
        <f t="shared" si="22"/>
        <v>0.17</v>
      </c>
      <c r="S231">
        <f t="shared" si="23"/>
        <v>0</v>
      </c>
    </row>
    <row r="232" spans="1:19" x14ac:dyDescent="0.3">
      <c r="A232" s="2" t="str">
        <f xml:space="preserve"> _xll.EPMOlapMemberO("[CECO].[PARENTH3].[AMSA1001AD0508]","","AMSA1001AD0508 - Legal Corporativo","","000")</f>
        <v>AMSA1001AD0508 - Legal Corporativo</v>
      </c>
      <c r="B232" s="2" t="str">
        <f t="shared" si="18"/>
        <v>1001AD0508</v>
      </c>
      <c r="C232" s="2" t="str">
        <f>IFERROR(_xlfn.XLOOKUP(B232,'CECOS Corporativos'!$D:$D,'CECOS Corporativos'!$E:$E,""),"")</f>
        <v>Legal Corporativo (HH Corporativo)</v>
      </c>
      <c r="D232" s="2" t="str">
        <f>IFERROR(_xlfn.XLOOKUP(B232,'CECOS Corporativos'!$D:$D,'CECOS Corporativos'!$J:$J,""),"")</f>
        <v>VP Legal</v>
      </c>
      <c r="E232" s="2" t="s">
        <v>764</v>
      </c>
      <c r="F232" s="2" t="str">
        <f t="shared" si="19"/>
        <v>N1001AD550</v>
      </c>
      <c r="G232" s="1" t="s">
        <v>728</v>
      </c>
      <c r="J232">
        <f t="shared" si="20"/>
        <v>0</v>
      </c>
      <c r="M232">
        <f t="shared" si="21"/>
        <v>0</v>
      </c>
      <c r="N232">
        <v>1109265</v>
      </c>
      <c r="O232">
        <v>1229099</v>
      </c>
      <c r="P232">
        <f t="shared" si="22"/>
        <v>119834</v>
      </c>
      <c r="Q232">
        <v>1136785</v>
      </c>
      <c r="R232">
        <v>1193236.26</v>
      </c>
      <c r="S232">
        <f t="shared" si="23"/>
        <v>56451.260000000009</v>
      </c>
    </row>
    <row r="233" spans="1:19" x14ac:dyDescent="0.3">
      <c r="A233" s="2" t="str">
        <f xml:space="preserve"> _xll.EPMOlapMemberO("[CECO].[PARENTH3].[AMSA1001AD5500]","","AMSA1001AD5500 - Admin Legal","","000")</f>
        <v>AMSA1001AD5500 - Admin Legal</v>
      </c>
      <c r="B233" s="2" t="str">
        <f t="shared" si="18"/>
        <v>1001AD5500</v>
      </c>
      <c r="C233" s="2" t="str">
        <f>IFERROR(_xlfn.XLOOKUP(B233,'CECOS Corporativos'!$D:$D,'CECOS Corporativos'!$E:$E,""),"")</f>
        <v>Legal MLP</v>
      </c>
      <c r="D233" s="2" t="str">
        <f>IFERROR(_xlfn.XLOOKUP(B233,'CECOS Corporativos'!$D:$D,'CECOS Corporativos'!$J:$J,""),"")</f>
        <v>VP Legal</v>
      </c>
      <c r="E233" s="2" t="s">
        <v>768</v>
      </c>
      <c r="F233" s="2" t="str">
        <f t="shared" si="19"/>
        <v>N1001AD550</v>
      </c>
      <c r="G233" s="1" t="s">
        <v>728</v>
      </c>
      <c r="J233">
        <f t="shared" si="20"/>
        <v>0</v>
      </c>
      <c r="K233">
        <v>1113.6199999999999</v>
      </c>
      <c r="M233">
        <f t="shared" si="21"/>
        <v>-1113.6199999999999</v>
      </c>
      <c r="N233">
        <v>2774.16</v>
      </c>
      <c r="P233">
        <f t="shared" si="22"/>
        <v>-2774.16</v>
      </c>
      <c r="R233">
        <v>1944.72</v>
      </c>
      <c r="S233">
        <f t="shared" si="23"/>
        <v>1944.72</v>
      </c>
    </row>
    <row r="234" spans="1:19" x14ac:dyDescent="0.3">
      <c r="A234" s="2" t="str">
        <f xml:space="preserve"> _xll.EPMOlapMemberO("[CECO].[PARENTH3].[AMSA1001AD5500]","","AMSA1001AD5500 - Admin Legal","","000")</f>
        <v>AMSA1001AD5500 - Admin Legal</v>
      </c>
      <c r="B234" s="2" t="str">
        <f t="shared" si="18"/>
        <v>1001AD5500</v>
      </c>
      <c r="C234" s="2" t="str">
        <f>IFERROR(_xlfn.XLOOKUP(B234,'CECOS Corporativos'!$D:$D,'CECOS Corporativos'!$E:$E,""),"")</f>
        <v>Legal MLP</v>
      </c>
      <c r="D234" s="2" t="str">
        <f>IFERROR(_xlfn.XLOOKUP(B234,'CECOS Corporativos'!$D:$D,'CECOS Corporativos'!$J:$J,""),"")</f>
        <v>VP Legal</v>
      </c>
      <c r="E234" s="2" t="s">
        <v>766</v>
      </c>
      <c r="F234" s="2" t="str">
        <f t="shared" si="19"/>
        <v>N1001AD550</v>
      </c>
      <c r="G234" s="1" t="s">
        <v>728</v>
      </c>
      <c r="J234">
        <f t="shared" si="20"/>
        <v>0</v>
      </c>
      <c r="K234">
        <v>2369.2399999999998</v>
      </c>
      <c r="M234">
        <f t="shared" si="21"/>
        <v>-2369.2399999999998</v>
      </c>
      <c r="P234">
        <f t="shared" si="22"/>
        <v>0</v>
      </c>
      <c r="S234">
        <f t="shared" si="23"/>
        <v>0</v>
      </c>
    </row>
    <row r="235" spans="1:19" x14ac:dyDescent="0.3">
      <c r="A235" s="2" t="str">
        <f xml:space="preserve"> _xll.EPMOlapMemberO("[CECO].[PARENTH3].[AMSA1001AD5500]","","AMSA1001AD5500 - Admin Legal","","000")</f>
        <v>AMSA1001AD5500 - Admin Legal</v>
      </c>
      <c r="B235" s="2" t="str">
        <f t="shared" si="18"/>
        <v>1001AD5500</v>
      </c>
      <c r="C235" s="2" t="str">
        <f>IFERROR(_xlfn.XLOOKUP(B235,'CECOS Corporativos'!$D:$D,'CECOS Corporativos'!$E:$E,""),"")</f>
        <v>Legal MLP</v>
      </c>
      <c r="D235" s="2" t="str">
        <f>IFERROR(_xlfn.XLOOKUP(B235,'CECOS Corporativos'!$D:$D,'CECOS Corporativos'!$J:$J,""),"")</f>
        <v>VP Legal</v>
      </c>
      <c r="E235" s="2" t="s">
        <v>757</v>
      </c>
      <c r="F235" s="2" t="str">
        <f t="shared" si="19"/>
        <v>N1001AD550</v>
      </c>
      <c r="G235" s="1" t="s">
        <v>728</v>
      </c>
      <c r="H235">
        <v>1703380.6</v>
      </c>
      <c r="I235">
        <v>2322225</v>
      </c>
      <c r="J235">
        <f t="shared" si="20"/>
        <v>618844.39999999991</v>
      </c>
      <c r="K235">
        <v>2531922.58</v>
      </c>
      <c r="L235">
        <v>2478346</v>
      </c>
      <c r="M235">
        <f t="shared" si="21"/>
        <v>-53576.580000000075</v>
      </c>
      <c r="N235">
        <v>1549619.23</v>
      </c>
      <c r="O235">
        <v>1682590</v>
      </c>
      <c r="P235">
        <f t="shared" si="22"/>
        <v>132970.77000000002</v>
      </c>
      <c r="Q235">
        <v>1499748.89</v>
      </c>
      <c r="R235">
        <v>1683769.27</v>
      </c>
      <c r="S235">
        <f t="shared" si="23"/>
        <v>184020.38000000012</v>
      </c>
    </row>
    <row r="236" spans="1:19" x14ac:dyDescent="0.3">
      <c r="A236" s="2" t="str">
        <f xml:space="preserve"> _xll.EPMOlapMemberO("[CECO].[PARENTH3].[AMSA1001AD5500]","","AMSA1001AD5500 - Admin Legal","","000")</f>
        <v>AMSA1001AD5500 - Admin Legal</v>
      </c>
      <c r="B236" s="2" t="str">
        <f t="shared" si="18"/>
        <v>1001AD5500</v>
      </c>
      <c r="C236" s="2" t="str">
        <f>IFERROR(_xlfn.XLOOKUP(B236,'CECOS Corporativos'!$D:$D,'CECOS Corporativos'!$E:$E,""),"")</f>
        <v>Legal MLP</v>
      </c>
      <c r="D236" s="2" t="str">
        <f>IFERROR(_xlfn.XLOOKUP(B236,'CECOS Corporativos'!$D:$D,'CECOS Corporativos'!$J:$J,""),"")</f>
        <v>VP Legal</v>
      </c>
      <c r="E236" t="s">
        <v>758</v>
      </c>
      <c r="F236" s="2" t="str">
        <f t="shared" si="19"/>
        <v>N1001AD550</v>
      </c>
      <c r="G236" s="1" t="s">
        <v>728</v>
      </c>
      <c r="H236">
        <v>693.33</v>
      </c>
      <c r="J236">
        <f t="shared" si="20"/>
        <v>-693.33</v>
      </c>
      <c r="K236">
        <v>4786.26</v>
      </c>
      <c r="M236">
        <f t="shared" si="21"/>
        <v>-4786.26</v>
      </c>
      <c r="N236">
        <v>18786.560000000001</v>
      </c>
      <c r="P236">
        <f t="shared" si="22"/>
        <v>-18786.560000000001</v>
      </c>
      <c r="Q236">
        <v>3734.15</v>
      </c>
      <c r="R236">
        <v>3580.32</v>
      </c>
      <c r="S236">
        <f t="shared" si="23"/>
        <v>-153.82999999999993</v>
      </c>
    </row>
    <row r="237" spans="1:19" x14ac:dyDescent="0.3">
      <c r="A237" s="2" t="str">
        <f xml:space="preserve"> _xll.EPMOlapMemberO("[CECO].[PARENTH3].[AMSA1001AD5500]","","AMSA1001AD5500 - Admin Legal","","000")</f>
        <v>AMSA1001AD5500 - Admin Legal</v>
      </c>
      <c r="B237" s="2" t="str">
        <f t="shared" si="18"/>
        <v>1001AD5500</v>
      </c>
      <c r="C237" s="2" t="str">
        <f>IFERROR(_xlfn.XLOOKUP(B237,'CECOS Corporativos'!$D:$D,'CECOS Corporativos'!$E:$E,""),"")</f>
        <v>Legal MLP</v>
      </c>
      <c r="D237" s="2" t="str">
        <f>IFERROR(_xlfn.XLOOKUP(B237,'CECOS Corporativos'!$D:$D,'CECOS Corporativos'!$J:$J,""),"")</f>
        <v>VP Legal</v>
      </c>
      <c r="E237" t="s">
        <v>763</v>
      </c>
      <c r="F237" s="2" t="str">
        <f t="shared" si="19"/>
        <v>N1001AD550</v>
      </c>
      <c r="G237" s="1" t="s">
        <v>728</v>
      </c>
      <c r="H237">
        <v>1199.5999999999999</v>
      </c>
      <c r="J237">
        <f t="shared" si="20"/>
        <v>-1199.5999999999999</v>
      </c>
      <c r="M237">
        <f t="shared" si="21"/>
        <v>0</v>
      </c>
      <c r="P237">
        <f t="shared" si="22"/>
        <v>0</v>
      </c>
      <c r="S237">
        <f t="shared" si="23"/>
        <v>0</v>
      </c>
    </row>
    <row r="238" spans="1:19" x14ac:dyDescent="0.3">
      <c r="A238" s="2" t="str">
        <f xml:space="preserve"> _xll.EPMOlapMemberO("[CECO].[PARENTH3].[AMSA1001AD5500]","","AMSA1001AD5500 - Admin Legal","","000")</f>
        <v>AMSA1001AD5500 - Admin Legal</v>
      </c>
      <c r="B238" s="2" t="str">
        <f t="shared" si="18"/>
        <v>1001AD5500</v>
      </c>
      <c r="C238" s="2" t="str">
        <f>IFERROR(_xlfn.XLOOKUP(B238,'CECOS Corporativos'!$D:$D,'CECOS Corporativos'!$E:$E,""),"")</f>
        <v>Legal MLP</v>
      </c>
      <c r="D238" s="2" t="str">
        <f>IFERROR(_xlfn.XLOOKUP(B238,'CECOS Corporativos'!$D:$D,'CECOS Corporativos'!$J:$J,""),"")</f>
        <v>VP Legal</v>
      </c>
      <c r="E238" t="s">
        <v>759</v>
      </c>
      <c r="F238" s="2" t="str">
        <f t="shared" si="19"/>
        <v>N1001AD550</v>
      </c>
      <c r="G238" s="1" t="s">
        <v>728</v>
      </c>
      <c r="H238">
        <v>9830.86</v>
      </c>
      <c r="I238">
        <v>15940.85</v>
      </c>
      <c r="J238">
        <f t="shared" si="20"/>
        <v>6109.99</v>
      </c>
      <c r="K238">
        <v>9787.7999999999993</v>
      </c>
      <c r="L238">
        <v>25695</v>
      </c>
      <c r="M238">
        <f t="shared" si="21"/>
        <v>15907.2</v>
      </c>
      <c r="N238">
        <v>14457.65</v>
      </c>
      <c r="O238">
        <v>8265</v>
      </c>
      <c r="P238">
        <f t="shared" si="22"/>
        <v>-6192.65</v>
      </c>
      <c r="Q238">
        <v>12355.92</v>
      </c>
      <c r="R238">
        <v>10700.08</v>
      </c>
      <c r="S238">
        <f t="shared" si="23"/>
        <v>-1655.8400000000001</v>
      </c>
    </row>
    <row r="239" spans="1:19" x14ac:dyDescent="0.3">
      <c r="A239" s="2" t="str">
        <f xml:space="preserve"> _xll.EPMOlapMemberO("[CECO].[PARENTH3].[AMSA1001AD5500]","","AMSA1001AD5500 - Admin Legal","","000")</f>
        <v>AMSA1001AD5500 - Admin Legal</v>
      </c>
      <c r="B239" s="2" t="str">
        <f t="shared" si="18"/>
        <v>1001AD5500</v>
      </c>
      <c r="C239" s="2" t="str">
        <f>IFERROR(_xlfn.XLOOKUP(B239,'CECOS Corporativos'!$D:$D,'CECOS Corporativos'!$E:$E,""),"")</f>
        <v>Legal MLP</v>
      </c>
      <c r="D239" s="2" t="str">
        <f>IFERROR(_xlfn.XLOOKUP(B239,'CECOS Corporativos'!$D:$D,'CECOS Corporativos'!$J:$J,""),"")</f>
        <v>VP Legal</v>
      </c>
      <c r="E239" t="s">
        <v>760</v>
      </c>
      <c r="F239" s="2" t="str">
        <f t="shared" si="19"/>
        <v>N1001AD550</v>
      </c>
      <c r="G239" s="1" t="s">
        <v>728</v>
      </c>
      <c r="H239">
        <v>16744.73</v>
      </c>
      <c r="I239">
        <v>3391</v>
      </c>
      <c r="J239">
        <f t="shared" si="20"/>
        <v>-13353.73</v>
      </c>
      <c r="K239">
        <v>15483.87</v>
      </c>
      <c r="L239">
        <v>1362</v>
      </c>
      <c r="M239">
        <f t="shared" si="21"/>
        <v>-14121.87</v>
      </c>
      <c r="N239">
        <v>46424.05</v>
      </c>
      <c r="O239">
        <v>721</v>
      </c>
      <c r="P239">
        <f t="shared" si="22"/>
        <v>-45703.05</v>
      </c>
      <c r="Q239">
        <v>7757.44</v>
      </c>
      <c r="R239">
        <v>679.68</v>
      </c>
      <c r="S239">
        <f t="shared" si="23"/>
        <v>-7077.7599999999993</v>
      </c>
    </row>
    <row r="240" spans="1:19" x14ac:dyDescent="0.3">
      <c r="A240" s="2" t="str">
        <f xml:space="preserve"> _xll.EPMOlapMemberO("[CECO].[PARENTH3].[AMSA1001AD5500]","","AMSA1001AD5500 - Admin Legal","","000")</f>
        <v>AMSA1001AD5500 - Admin Legal</v>
      </c>
      <c r="B240" s="2" t="str">
        <f t="shared" si="18"/>
        <v>1001AD5500</v>
      </c>
      <c r="C240" s="2" t="str">
        <f>IFERROR(_xlfn.XLOOKUP(B240,'CECOS Corporativos'!$D:$D,'CECOS Corporativos'!$E:$E,""),"")</f>
        <v>Legal MLP</v>
      </c>
      <c r="D240" s="2" t="str">
        <f>IFERROR(_xlfn.XLOOKUP(B240,'CECOS Corporativos'!$D:$D,'CECOS Corporativos'!$J:$J,""),"")</f>
        <v>VP Legal</v>
      </c>
      <c r="E240" t="s">
        <v>761</v>
      </c>
      <c r="F240" s="2" t="str">
        <f t="shared" si="19"/>
        <v>N1001AD550</v>
      </c>
      <c r="G240" s="1" t="s">
        <v>728</v>
      </c>
      <c r="H240">
        <v>3557.75</v>
      </c>
      <c r="I240">
        <v>770</v>
      </c>
      <c r="J240">
        <f t="shared" si="20"/>
        <v>-2787.75</v>
      </c>
      <c r="K240">
        <v>2642</v>
      </c>
      <c r="L240">
        <v>884</v>
      </c>
      <c r="M240">
        <f t="shared" si="21"/>
        <v>-1758</v>
      </c>
      <c r="N240">
        <v>562.80999999999995</v>
      </c>
      <c r="O240">
        <v>913</v>
      </c>
      <c r="P240">
        <f t="shared" si="22"/>
        <v>350.19000000000005</v>
      </c>
      <c r="Q240">
        <v>593.12</v>
      </c>
      <c r="R240">
        <v>770.76</v>
      </c>
      <c r="S240">
        <f t="shared" si="23"/>
        <v>177.64</v>
      </c>
    </row>
    <row r="241" spans="1:19" x14ac:dyDescent="0.3">
      <c r="A241" s="2" t="str">
        <f xml:space="preserve"> _xll.EPMOlapMemberO("[CECO].[PARENTH3].[AMSA1001AD5500]","","AMSA1001AD5500 - Admin Legal","","000")</f>
        <v>AMSA1001AD5500 - Admin Legal</v>
      </c>
      <c r="B241" s="2" t="str">
        <f t="shared" si="18"/>
        <v>1001AD5500</v>
      </c>
      <c r="C241" s="2" t="str">
        <f>IFERROR(_xlfn.XLOOKUP(B241,'CECOS Corporativos'!$D:$D,'CECOS Corporativos'!$E:$E,""),"")</f>
        <v>Legal MLP</v>
      </c>
      <c r="D241" s="2" t="str">
        <f>IFERROR(_xlfn.XLOOKUP(B241,'CECOS Corporativos'!$D:$D,'CECOS Corporativos'!$J:$J,""),"")</f>
        <v>VP Legal</v>
      </c>
      <c r="E241" t="s">
        <v>770</v>
      </c>
      <c r="F241" s="2" t="str">
        <f t="shared" si="19"/>
        <v>N1001AD550</v>
      </c>
      <c r="G241" t="s">
        <v>728</v>
      </c>
      <c r="J241">
        <f t="shared" si="20"/>
        <v>0</v>
      </c>
      <c r="M241">
        <f t="shared" si="21"/>
        <v>0</v>
      </c>
      <c r="O241">
        <v>-1377665.07</v>
      </c>
      <c r="P241">
        <f t="shared" si="22"/>
        <v>-1377665.07</v>
      </c>
      <c r="S241">
        <f t="shared" si="23"/>
        <v>0</v>
      </c>
    </row>
    <row r="242" spans="1:19" x14ac:dyDescent="0.3">
      <c r="A242" s="2" t="str">
        <f xml:space="preserve"> _xll.EPMOlapMemberO("[CECO].[PARENTH3].[AMSA1001AD5500]","","AMSA1001AD5500 - Admin Legal","","000")</f>
        <v>AMSA1001AD5500 - Admin Legal</v>
      </c>
      <c r="B242" s="2" t="str">
        <f t="shared" si="18"/>
        <v>1001AD5500</v>
      </c>
      <c r="C242" s="2" t="str">
        <f>IFERROR(_xlfn.XLOOKUP(B242,'CECOS Corporativos'!$D:$D,'CECOS Corporativos'!$E:$E,""),"")</f>
        <v>Legal MLP</v>
      </c>
      <c r="D242" s="2" t="str">
        <f>IFERROR(_xlfn.XLOOKUP(B242,'CECOS Corporativos'!$D:$D,'CECOS Corporativos'!$J:$J,""),"")</f>
        <v>VP Legal</v>
      </c>
      <c r="E242" t="s">
        <v>764</v>
      </c>
      <c r="F242" s="2" t="str">
        <f t="shared" si="19"/>
        <v>N1001AD550</v>
      </c>
      <c r="G242" t="s">
        <v>728</v>
      </c>
      <c r="H242">
        <v>935902.4</v>
      </c>
      <c r="I242">
        <v>964820</v>
      </c>
      <c r="J242">
        <f t="shared" si="20"/>
        <v>28917.599999999977</v>
      </c>
      <c r="K242">
        <v>952264.83</v>
      </c>
      <c r="L242">
        <v>864422</v>
      </c>
      <c r="M242">
        <f t="shared" si="21"/>
        <v>-87842.829999999958</v>
      </c>
      <c r="N242">
        <v>0.17</v>
      </c>
      <c r="O242">
        <v>0</v>
      </c>
      <c r="P242">
        <f t="shared" si="22"/>
        <v>-0.17</v>
      </c>
      <c r="S242">
        <f t="shared" si="23"/>
        <v>0</v>
      </c>
    </row>
    <row r="243" spans="1:19" x14ac:dyDescent="0.3">
      <c r="A243" s="2" t="str">
        <f xml:space="preserve"> _xll.EPMOlapMemberO("[CECO].[PARENTH3].[AMSA1001AD6000]","","AMSA1001AD6000 - Adm Comercialización","","000")</f>
        <v>AMSA1001AD6000 - Adm Comercialización</v>
      </c>
      <c r="B243" s="2" t="str">
        <f t="shared" si="18"/>
        <v>1001AD6000</v>
      </c>
      <c r="C243" s="2" t="str">
        <f>IFERROR(_xlfn.XLOOKUP(B243,'CECOS Corporativos'!$D:$D,'CECOS Corporativos'!$E:$E,""),"")</f>
        <v>VP Comercialización</v>
      </c>
      <c r="D243" s="2" t="str">
        <f>IFERROR(_xlfn.XLOOKUP(B243,'CECOS Corporativos'!$D:$D,'CECOS Corporativos'!$J:$J,""),"")</f>
        <v>VP Comercialización</v>
      </c>
      <c r="E243" t="s">
        <v>768</v>
      </c>
      <c r="F243" s="2" t="str">
        <f t="shared" si="19"/>
        <v>N1001AD610</v>
      </c>
      <c r="G243" t="s">
        <v>729</v>
      </c>
      <c r="J243">
        <f t="shared" si="20"/>
        <v>0</v>
      </c>
      <c r="M243">
        <f t="shared" si="21"/>
        <v>0</v>
      </c>
      <c r="P243">
        <f t="shared" si="22"/>
        <v>0</v>
      </c>
      <c r="Q243">
        <v>556.67999999999995</v>
      </c>
      <c r="S243">
        <f t="shared" si="23"/>
        <v>-556.67999999999995</v>
      </c>
    </row>
    <row r="244" spans="1:19" x14ac:dyDescent="0.3">
      <c r="A244" s="2" t="str">
        <f xml:space="preserve"> _xll.EPMOlapMemberO("[CECO].[PARENTH3].[AMSA1001AD6000]","","AMSA1001AD6000 - Adm Comercialización","","000")</f>
        <v>AMSA1001AD6000 - Adm Comercialización</v>
      </c>
      <c r="B244" s="2" t="str">
        <f t="shared" si="18"/>
        <v>1001AD6000</v>
      </c>
      <c r="C244" s="2" t="str">
        <f>IFERROR(_xlfn.XLOOKUP(B244,'CECOS Corporativos'!$D:$D,'CECOS Corporativos'!$E:$E,""),"")</f>
        <v>VP Comercialización</v>
      </c>
      <c r="D244" s="2" t="str">
        <f>IFERROR(_xlfn.XLOOKUP(B244,'CECOS Corporativos'!$D:$D,'CECOS Corporativos'!$J:$J,""),"")</f>
        <v>VP Comercialización</v>
      </c>
      <c r="E244" t="s">
        <v>757</v>
      </c>
      <c r="F244" s="2" t="str">
        <f t="shared" si="19"/>
        <v>N1001AD610</v>
      </c>
      <c r="G244" t="s">
        <v>729</v>
      </c>
      <c r="I244">
        <v>13925</v>
      </c>
      <c r="J244">
        <f t="shared" si="20"/>
        <v>13925</v>
      </c>
      <c r="K244">
        <v>2384.36</v>
      </c>
      <c r="L244">
        <v>39680.65</v>
      </c>
      <c r="M244">
        <f t="shared" si="21"/>
        <v>37296.29</v>
      </c>
      <c r="N244">
        <v>2952.44</v>
      </c>
      <c r="O244">
        <v>39010.11</v>
      </c>
      <c r="P244">
        <f t="shared" si="22"/>
        <v>36057.67</v>
      </c>
      <c r="Q244">
        <v>2449.0700000000002</v>
      </c>
      <c r="R244">
        <v>21198.61</v>
      </c>
      <c r="S244">
        <f t="shared" si="23"/>
        <v>18749.54</v>
      </c>
    </row>
    <row r="245" spans="1:19" x14ac:dyDescent="0.3">
      <c r="A245" s="2" t="str">
        <f xml:space="preserve"> _xll.EPMOlapMemberO("[CECO].[PARENTH3].[AMSA1001AD6000]","","AMSA1001AD6000 - Adm Comercialización","","000")</f>
        <v>AMSA1001AD6000 - Adm Comercialización</v>
      </c>
      <c r="B245" s="2" t="str">
        <f t="shared" si="18"/>
        <v>1001AD6000</v>
      </c>
      <c r="C245" s="2" t="str">
        <f>IFERROR(_xlfn.XLOOKUP(B245,'CECOS Corporativos'!$D:$D,'CECOS Corporativos'!$E:$E,""),"")</f>
        <v>VP Comercialización</v>
      </c>
      <c r="D245" s="2" t="str">
        <f>IFERROR(_xlfn.XLOOKUP(B245,'CECOS Corporativos'!$D:$D,'CECOS Corporativos'!$J:$J,""),"")</f>
        <v>VP Comercialización</v>
      </c>
      <c r="E245" t="s">
        <v>758</v>
      </c>
      <c r="F245" s="2" t="str">
        <f t="shared" si="19"/>
        <v>N1001AD610</v>
      </c>
      <c r="G245" t="s">
        <v>729</v>
      </c>
      <c r="H245">
        <v>227980.79</v>
      </c>
      <c r="I245">
        <v>397476</v>
      </c>
      <c r="J245">
        <f t="shared" si="20"/>
        <v>169495.21</v>
      </c>
      <c r="K245">
        <v>216510.2</v>
      </c>
      <c r="L245">
        <v>431808</v>
      </c>
      <c r="M245">
        <f t="shared" si="21"/>
        <v>215297.8</v>
      </c>
      <c r="N245">
        <v>237413.13</v>
      </c>
      <c r="O245">
        <v>466056</v>
      </c>
      <c r="P245">
        <f t="shared" si="22"/>
        <v>228642.87</v>
      </c>
      <c r="Q245">
        <v>223583.64</v>
      </c>
      <c r="R245">
        <v>498288</v>
      </c>
      <c r="S245">
        <f t="shared" si="23"/>
        <v>274704.36</v>
      </c>
    </row>
    <row r="246" spans="1:19" x14ac:dyDescent="0.3">
      <c r="A246" s="2" t="str">
        <f xml:space="preserve"> _xll.EPMOlapMemberO("[CECO].[PARENTH3].[AMSA1001AD6000]","","AMSA1001AD6000 - Adm Comercialización","","000")</f>
        <v>AMSA1001AD6000 - Adm Comercialización</v>
      </c>
      <c r="B246" s="2" t="str">
        <f t="shared" si="18"/>
        <v>1001AD6000</v>
      </c>
      <c r="C246" s="2" t="str">
        <f>IFERROR(_xlfn.XLOOKUP(B246,'CECOS Corporativos'!$D:$D,'CECOS Corporativos'!$E:$E,""),"")</f>
        <v>VP Comercialización</v>
      </c>
      <c r="D246" s="2" t="str">
        <f>IFERROR(_xlfn.XLOOKUP(B246,'CECOS Corporativos'!$D:$D,'CECOS Corporativos'!$J:$J,""),"")</f>
        <v>VP Comercialización</v>
      </c>
      <c r="E246" t="s">
        <v>763</v>
      </c>
      <c r="F246" s="2" t="str">
        <f t="shared" si="19"/>
        <v>N1001AD610</v>
      </c>
      <c r="G246" t="s">
        <v>729</v>
      </c>
      <c r="H246">
        <v>2652.08</v>
      </c>
      <c r="J246">
        <f t="shared" si="20"/>
        <v>-2652.08</v>
      </c>
      <c r="K246">
        <v>13352.98</v>
      </c>
      <c r="M246">
        <f t="shared" si="21"/>
        <v>-13352.98</v>
      </c>
      <c r="N246">
        <v>26482.39</v>
      </c>
      <c r="O246">
        <v>25677.75</v>
      </c>
      <c r="P246">
        <f t="shared" si="22"/>
        <v>-804.63999999999942</v>
      </c>
      <c r="Q246">
        <v>30513</v>
      </c>
      <c r="R246">
        <v>26713.57</v>
      </c>
      <c r="S246">
        <f t="shared" si="23"/>
        <v>-3799.4300000000003</v>
      </c>
    </row>
    <row r="247" spans="1:19" x14ac:dyDescent="0.3">
      <c r="A247" s="2" t="str">
        <f xml:space="preserve"> _xll.EPMOlapMemberO("[CECO].[PARENTH3].[AMSA1001AD6000]","","AMSA1001AD6000 - Adm Comercialización","","000")</f>
        <v>AMSA1001AD6000 - Adm Comercialización</v>
      </c>
      <c r="B247" s="2" t="str">
        <f t="shared" si="18"/>
        <v>1001AD6000</v>
      </c>
      <c r="C247" s="2" t="str">
        <f>IFERROR(_xlfn.XLOOKUP(B247,'CECOS Corporativos'!$D:$D,'CECOS Corporativos'!$E:$E,""),"")</f>
        <v>VP Comercialización</v>
      </c>
      <c r="D247" s="2" t="str">
        <f>IFERROR(_xlfn.XLOOKUP(B247,'CECOS Corporativos'!$D:$D,'CECOS Corporativos'!$J:$J,""),"")</f>
        <v>VP Comercialización</v>
      </c>
      <c r="E247" t="s">
        <v>759</v>
      </c>
      <c r="F247" s="2" t="str">
        <f t="shared" si="19"/>
        <v>N1001AD610</v>
      </c>
      <c r="G247" t="s">
        <v>729</v>
      </c>
      <c r="H247">
        <v>40072.839999999997</v>
      </c>
      <c r="I247">
        <v>286626.61</v>
      </c>
      <c r="J247">
        <f t="shared" si="20"/>
        <v>246553.77</v>
      </c>
      <c r="K247">
        <v>135034.87</v>
      </c>
      <c r="L247">
        <v>236641.87</v>
      </c>
      <c r="M247">
        <f t="shared" si="21"/>
        <v>101607</v>
      </c>
      <c r="N247">
        <v>91794.44</v>
      </c>
      <c r="O247">
        <v>195491.11</v>
      </c>
      <c r="P247">
        <f t="shared" si="22"/>
        <v>103696.66999999998</v>
      </c>
      <c r="Q247">
        <v>139428.46</v>
      </c>
      <c r="R247">
        <v>169988.67</v>
      </c>
      <c r="S247">
        <f t="shared" si="23"/>
        <v>30560.210000000021</v>
      </c>
    </row>
    <row r="248" spans="1:19" x14ac:dyDescent="0.3">
      <c r="A248" s="2" t="str">
        <f xml:space="preserve"> _xll.EPMOlapMemberO("[CECO].[PARENTH3].[AMSA1001AD6000]","","AMSA1001AD6000 - Adm Comercialización","","000")</f>
        <v>AMSA1001AD6000 - Adm Comercialización</v>
      </c>
      <c r="B248" s="2" t="str">
        <f t="shared" si="18"/>
        <v>1001AD6000</v>
      </c>
      <c r="C248" s="2" t="str">
        <f>IFERROR(_xlfn.XLOOKUP(B248,'CECOS Corporativos'!$D:$D,'CECOS Corporativos'!$E:$E,""),"")</f>
        <v>VP Comercialización</v>
      </c>
      <c r="D248" s="2" t="str">
        <f>IFERROR(_xlfn.XLOOKUP(B248,'CECOS Corporativos'!$D:$D,'CECOS Corporativos'!$J:$J,""),"")</f>
        <v>VP Comercialización</v>
      </c>
      <c r="E248" t="s">
        <v>760</v>
      </c>
      <c r="F248" s="2" t="str">
        <f t="shared" si="19"/>
        <v>N1001AD610</v>
      </c>
      <c r="G248" t="s">
        <v>729</v>
      </c>
      <c r="H248">
        <v>6063.82</v>
      </c>
      <c r="J248">
        <f t="shared" si="20"/>
        <v>-6063.82</v>
      </c>
      <c r="M248">
        <f t="shared" si="21"/>
        <v>0</v>
      </c>
      <c r="P248">
        <f t="shared" si="22"/>
        <v>0</v>
      </c>
      <c r="S248">
        <f t="shared" si="23"/>
        <v>0</v>
      </c>
    </row>
    <row r="249" spans="1:19" x14ac:dyDescent="0.3">
      <c r="A249" s="2" t="str">
        <f xml:space="preserve"> _xll.EPMOlapMemberO("[CECO].[PARENTH3].[AMSA1001AD6000]","","AMSA1001AD6000 - Adm Comercialización","","000")</f>
        <v>AMSA1001AD6000 - Adm Comercialización</v>
      </c>
      <c r="B249" s="2" t="str">
        <f t="shared" si="18"/>
        <v>1001AD6000</v>
      </c>
      <c r="C249" s="2" t="str">
        <f>IFERROR(_xlfn.XLOOKUP(B249,'CECOS Corporativos'!$D:$D,'CECOS Corporativos'!$E:$E,""),"")</f>
        <v>VP Comercialización</v>
      </c>
      <c r="D249" s="2" t="str">
        <f>IFERROR(_xlfn.XLOOKUP(B249,'CECOS Corporativos'!$D:$D,'CECOS Corporativos'!$J:$J,""),"")</f>
        <v>VP Comercialización</v>
      </c>
      <c r="E249" t="s">
        <v>761</v>
      </c>
      <c r="F249" s="2" t="str">
        <f t="shared" si="19"/>
        <v>N1001AD610</v>
      </c>
      <c r="G249" t="s">
        <v>729</v>
      </c>
      <c r="H249">
        <v>1247973.44</v>
      </c>
      <c r="I249">
        <v>1362189</v>
      </c>
      <c r="J249">
        <f t="shared" si="20"/>
        <v>114215.56000000006</v>
      </c>
      <c r="K249">
        <v>1157086.79</v>
      </c>
      <c r="L249">
        <v>1299077.1299999999</v>
      </c>
      <c r="M249">
        <f t="shared" si="21"/>
        <v>141990.33999999985</v>
      </c>
      <c r="N249">
        <v>935832.29</v>
      </c>
      <c r="O249">
        <v>1147183.79</v>
      </c>
      <c r="P249">
        <f t="shared" si="22"/>
        <v>211351.5</v>
      </c>
      <c r="Q249">
        <v>945957.36</v>
      </c>
      <c r="R249">
        <v>970907.51</v>
      </c>
      <c r="S249">
        <f t="shared" si="23"/>
        <v>24950.150000000023</v>
      </c>
    </row>
    <row r="250" spans="1:19" x14ac:dyDescent="0.3">
      <c r="A250" s="2" t="str">
        <f xml:space="preserve"> _xll.EPMOlapMemberO("[CECO].[PARENTH3].[AMSA1001AD6000]","","AMSA1001AD6000 - Adm Comercialización","","000")</f>
        <v>AMSA1001AD6000 - Adm Comercialización</v>
      </c>
      <c r="B250" s="2" t="str">
        <f t="shared" si="18"/>
        <v>1001AD6000</v>
      </c>
      <c r="C250" s="2" t="str">
        <f>IFERROR(_xlfn.XLOOKUP(B250,'CECOS Corporativos'!$D:$D,'CECOS Corporativos'!$E:$E,""),"")</f>
        <v>VP Comercialización</v>
      </c>
      <c r="D250" s="2" t="str">
        <f>IFERROR(_xlfn.XLOOKUP(B250,'CECOS Corporativos'!$D:$D,'CECOS Corporativos'!$J:$J,""),"")</f>
        <v>VP Comercialización</v>
      </c>
      <c r="E250" t="s">
        <v>776</v>
      </c>
      <c r="F250" s="2" t="str">
        <f t="shared" si="19"/>
        <v>N1001AD610</v>
      </c>
      <c r="G250" t="s">
        <v>729</v>
      </c>
      <c r="H250">
        <v>21476.55</v>
      </c>
      <c r="J250">
        <f t="shared" si="20"/>
        <v>-21476.55</v>
      </c>
      <c r="M250">
        <f t="shared" si="21"/>
        <v>0</v>
      </c>
      <c r="P250">
        <f t="shared" si="22"/>
        <v>0</v>
      </c>
      <c r="S250">
        <f t="shared" si="23"/>
        <v>0</v>
      </c>
    </row>
    <row r="251" spans="1:19" x14ac:dyDescent="0.3">
      <c r="A251" s="2" t="str">
        <f xml:space="preserve"> _xll.EPMOlapMemberO("[CECO].[PARENTH3].[AMSA1001AD6000]","","AMSA1001AD6000 - Adm Comercialización","","000")</f>
        <v>AMSA1001AD6000 - Adm Comercialización</v>
      </c>
      <c r="B251" s="2" t="str">
        <f t="shared" si="18"/>
        <v>1001AD6000</v>
      </c>
      <c r="C251" s="2" t="str">
        <f>IFERROR(_xlfn.XLOOKUP(B251,'CECOS Corporativos'!$D:$D,'CECOS Corporativos'!$E:$E,""),"")</f>
        <v>VP Comercialización</v>
      </c>
      <c r="D251" s="2" t="str">
        <f>IFERROR(_xlfn.XLOOKUP(B251,'CECOS Corporativos'!$D:$D,'CECOS Corporativos'!$J:$J,""),"")</f>
        <v>VP Comercialización</v>
      </c>
      <c r="E251" t="s">
        <v>764</v>
      </c>
      <c r="F251" s="2" t="str">
        <f t="shared" si="19"/>
        <v>N1001AD610</v>
      </c>
      <c r="G251" t="s">
        <v>729</v>
      </c>
      <c r="H251">
        <v>2550769.85</v>
      </c>
      <c r="I251">
        <v>2590692</v>
      </c>
      <c r="J251">
        <f t="shared" si="20"/>
        <v>39922.149999999907</v>
      </c>
      <c r="K251">
        <v>2742890.12</v>
      </c>
      <c r="L251">
        <v>2681011.67</v>
      </c>
      <c r="M251">
        <f t="shared" si="21"/>
        <v>-61878.450000000186</v>
      </c>
      <c r="N251">
        <v>2627758.88</v>
      </c>
      <c r="O251">
        <v>2983565.51</v>
      </c>
      <c r="P251">
        <f t="shared" si="22"/>
        <v>355806.62999999989</v>
      </c>
      <c r="Q251">
        <v>2664211</v>
      </c>
      <c r="R251">
        <v>2762624.63</v>
      </c>
      <c r="S251">
        <f t="shared" si="23"/>
        <v>98413.629999999888</v>
      </c>
    </row>
    <row r="252" spans="1:19" x14ac:dyDescent="0.3">
      <c r="A252" s="2" t="str">
        <f xml:space="preserve"> _xll.EPMOlapMemberO("[CECO].[PARENTH3].[AMSA1001AD0509]","","AMSA1001AD0509 - Proyectos Corporativ","","000")</f>
        <v>AMSA1001AD0509 - Proyectos Corporativ</v>
      </c>
      <c r="B252" s="2" t="str">
        <f t="shared" si="18"/>
        <v>1001AD0509</v>
      </c>
      <c r="C252" s="2" t="str">
        <f>IFERROR(_xlfn.XLOOKUP(B252,'CECOS Corporativos'!$D:$D,'CECOS Corporativos'!$E:$E,""),"")</f>
        <v>Proyectos Corporativo (HH Corporativo)</v>
      </c>
      <c r="D252" s="2" t="str">
        <f>IFERROR(_xlfn.XLOOKUP(B252,'CECOS Corporativos'!$D:$D,'CECOS Corporativos'!$J:$J,""),"")</f>
        <v>VP Proyectos</v>
      </c>
      <c r="E252" s="2" t="s">
        <v>764</v>
      </c>
      <c r="F252" s="2" t="str">
        <f t="shared" si="19"/>
        <v>N1001SS701</v>
      </c>
      <c r="G252" s="1" t="s">
        <v>730</v>
      </c>
      <c r="J252">
        <f t="shared" si="20"/>
        <v>0</v>
      </c>
      <c r="M252">
        <f t="shared" si="21"/>
        <v>0</v>
      </c>
      <c r="N252">
        <v>1159118</v>
      </c>
      <c r="O252">
        <v>1284338</v>
      </c>
      <c r="P252">
        <f t="shared" si="22"/>
        <v>125220</v>
      </c>
      <c r="Q252">
        <v>2305026</v>
      </c>
      <c r="R252">
        <v>2419484.0499999998</v>
      </c>
      <c r="S252">
        <f t="shared" si="23"/>
        <v>114458.04999999981</v>
      </c>
    </row>
  </sheetData>
  <pageMargins left="0.7" right="0.7" top="0.75" bottom="0.75" header="0.3" footer="0.3"/>
  <pageSetup paperSize="9" orientation="portrait" horizontalDpi="360" verticalDpi="360" r:id="rId1"/>
  <customProperties>
    <customPr name="EpmWorksheetKeyString_GUID" r:id="rId2"/>
    <customPr name="FPMExcelClientCellBasedFunctionStatus" r:id="rId3"/>
    <customPr name="FPMExcelClientRefreshTime" r:id="rId4"/>
  </customProperties>
  <drawing r:id="rId5"/>
  <legacyDrawing r:id="rId6"/>
  <controls>
    <mc:AlternateContent xmlns:mc="http://schemas.openxmlformats.org/markup-compatibility/2006">
      <mc:Choice Requires="x14">
        <control shapeId="1028" r:id="rId7" name="AnalyzerDynReport000tb1">
          <controlPr defaultSize="0" autoLine="0" autoPict="0" r:id="rId8">
            <anchor moveWithCells="1" sizeWithCells="1">
              <from>
                <xdr:col>0</xdr:col>
                <xdr:colOff>0</xdr:colOff>
                <xdr:row>0</xdr:row>
                <xdr:rowOff>0</xdr:rowOff>
              </from>
              <to>
                <xdr:col>1</xdr:col>
                <xdr:colOff>205740</xdr:colOff>
                <xdr:row>0</xdr:row>
                <xdr:rowOff>0</xdr:rowOff>
              </to>
            </anchor>
          </controlPr>
        </control>
      </mc:Choice>
      <mc:Fallback>
        <control shapeId="1028" r:id="rId7" name="AnalyzerDynReport000tb1"/>
      </mc:Fallback>
    </mc:AlternateContent>
    <mc:AlternateContent xmlns:mc="http://schemas.openxmlformats.org/markup-compatibility/2006">
      <mc:Choice Requires="x14">
        <control shapeId="1027" r:id="rId9" name="MultipleReportManagerInfotb1">
          <controlPr defaultSize="0" autoLine="0" autoPict="0" r:id="rId10">
            <anchor moveWithCells="1" sizeWithCells="1">
              <from>
                <xdr:col>0</xdr:col>
                <xdr:colOff>0</xdr:colOff>
                <xdr:row>0</xdr:row>
                <xdr:rowOff>0</xdr:rowOff>
              </from>
              <to>
                <xdr:col>1</xdr:col>
                <xdr:colOff>205740</xdr:colOff>
                <xdr:row>0</xdr:row>
                <xdr:rowOff>0</xdr:rowOff>
              </to>
            </anchor>
          </controlPr>
        </control>
      </mc:Choice>
      <mc:Fallback>
        <control shapeId="1027" r:id="rId9" name="MultipleReportManagerInfotb1"/>
      </mc:Fallback>
    </mc:AlternateContent>
    <mc:AlternateContent xmlns:mc="http://schemas.openxmlformats.org/markup-compatibility/2006">
      <mc:Choice Requires="x14">
        <control shapeId="1026" r:id="rId11" name="ConnectionDescriptorsInfotb1">
          <controlPr defaultSize="0" autoLine="0" autoPict="0" r:id="rId12">
            <anchor moveWithCells="1" sizeWithCells="1">
              <from>
                <xdr:col>0</xdr:col>
                <xdr:colOff>0</xdr:colOff>
                <xdr:row>0</xdr:row>
                <xdr:rowOff>0</xdr:rowOff>
              </from>
              <to>
                <xdr:col>1</xdr:col>
                <xdr:colOff>205740</xdr:colOff>
                <xdr:row>0</xdr:row>
                <xdr:rowOff>0</xdr:rowOff>
              </to>
            </anchor>
          </controlPr>
        </control>
      </mc:Choice>
      <mc:Fallback>
        <control shapeId="1026" r:id="rId11" name="ConnectionDescriptorsInfotb1"/>
      </mc:Fallback>
    </mc:AlternateContent>
    <mc:AlternateContent xmlns:mc="http://schemas.openxmlformats.org/markup-compatibility/2006">
      <mc:Choice Requires="x14">
        <control shapeId="1025" r:id="rId13" name="FPMExcelClientSheetOptionstb1">
          <controlPr defaultSize="0" autoLine="0" autoPict="0" r:id="rId14">
            <anchor moveWithCells="1" sizeWithCells="1">
              <from>
                <xdr:col>0</xdr:col>
                <xdr:colOff>0</xdr:colOff>
                <xdr:row>0</xdr:row>
                <xdr:rowOff>0</xdr:rowOff>
              </from>
              <to>
                <xdr:col>1</xdr:col>
                <xdr:colOff>205740</xdr:colOff>
                <xdr:row>0</xdr:row>
                <xdr:rowOff>0</xdr:rowOff>
              </to>
            </anchor>
          </controlPr>
        </control>
      </mc:Choice>
      <mc:Fallback>
        <control shapeId="1025" r:id="rId13" name="FPMExcelClientSheetOptionstb1"/>
      </mc:Fallback>
    </mc:AlternateContent>
  </control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5E8114-7DCD-49F3-89BB-77B791410722}">
  <sheetPr codeName="Hoja3"/>
  <dimension ref="A1:T168"/>
  <sheetViews>
    <sheetView topLeftCell="A7" zoomScale="70" zoomScaleNormal="70" workbookViewId="0">
      <selection activeCell="A8" sqref="A8:XFD8"/>
    </sheetView>
  </sheetViews>
  <sheetFormatPr baseColWidth="10" defaultRowHeight="13.8" x14ac:dyDescent="0.3"/>
  <cols>
    <col min="1" max="1" width="42.88671875" bestFit="1" customWidth="1"/>
    <col min="2" max="4" width="42.88671875" customWidth="1"/>
    <col min="5" max="5" width="25.6640625" customWidth="1"/>
    <col min="6" max="6" width="20.109375" customWidth="1"/>
    <col min="7" max="7" width="33.109375" bestFit="1" customWidth="1"/>
    <col min="8" max="8" width="33.109375" customWidth="1"/>
    <col min="9" max="9" width="12.109375" bestFit="1" customWidth="1"/>
    <col min="10" max="10" width="11.5546875" bestFit="1" customWidth="1"/>
    <col min="11" max="11" width="4.33203125" bestFit="1" customWidth="1"/>
    <col min="12" max="12" width="12.109375" bestFit="1" customWidth="1"/>
    <col min="13" max="13" width="11.5546875" bestFit="1" customWidth="1"/>
    <col min="14" max="14" width="4.33203125" bestFit="1" customWidth="1"/>
    <col min="15" max="15" width="12.109375" bestFit="1" customWidth="1"/>
    <col min="16" max="16" width="11.5546875" bestFit="1" customWidth="1"/>
    <col min="17" max="17" width="7.44140625" bestFit="1" customWidth="1"/>
    <col min="18" max="18" width="12.109375" bestFit="1" customWidth="1"/>
    <col min="19" max="19" width="11.5546875" bestFit="1" customWidth="1"/>
    <col min="20" max="20" width="9.5546875" bestFit="1" customWidth="1"/>
    <col min="21" max="21" width="11" bestFit="1" customWidth="1"/>
    <col min="22" max="22" width="9.44140625" bestFit="1" customWidth="1"/>
    <col min="23" max="23" width="11.44140625" bestFit="1" customWidth="1"/>
    <col min="24" max="25" width="9.44140625" bestFit="1" customWidth="1"/>
    <col min="26" max="26" width="7" bestFit="1" customWidth="1"/>
    <col min="27" max="28" width="9.44140625" bestFit="1" customWidth="1"/>
    <col min="29" max="29" width="7" bestFit="1" customWidth="1"/>
    <col min="30" max="31" width="9.44140625" bestFit="1" customWidth="1"/>
    <col min="32" max="32" width="7" bestFit="1" customWidth="1"/>
    <col min="33" max="34" width="9.44140625" bestFit="1" customWidth="1"/>
    <col min="35" max="35" width="7" bestFit="1" customWidth="1"/>
    <col min="36" max="37" width="9.44140625" bestFit="1" customWidth="1"/>
    <col min="38" max="38" width="7" bestFit="1" customWidth="1"/>
    <col min="39" max="40" width="9.44140625" bestFit="1" customWidth="1"/>
    <col min="41" max="41" width="7" bestFit="1" customWidth="1"/>
    <col min="42" max="43" width="9.44140625" bestFit="1" customWidth="1"/>
    <col min="44" max="44" width="7" bestFit="1" customWidth="1"/>
    <col min="45" max="45" width="11" bestFit="1" customWidth="1"/>
    <col min="46" max="46" width="9.44140625" bestFit="1" customWidth="1"/>
    <col min="47" max="47" width="11.44140625" bestFit="1" customWidth="1"/>
  </cols>
  <sheetData>
    <row r="1" spans="1:20" hidden="1" x14ac:dyDescent="0.3">
      <c r="A1" t="str" cm="1">
        <f t="array" ref="A1">_xll.EPMDimensionOverrideRange("000","CECO",CECOS!$B$2:$B$128)</f>
        <v>Expansión de CECO sobrescrita</v>
      </c>
    </row>
    <row r="2" spans="1:20" hidden="1" x14ac:dyDescent="0.3">
      <c r="A2" t="str">
        <f xml:space="preserve"> _xll.EPMOlapMemberO("[CEBE].[PARENTH1].[JE-]","","Gr Antofagasta Miner","","000")</f>
        <v>Gr Antofagasta Miner</v>
      </c>
    </row>
    <row r="3" spans="1:20" hidden="1" x14ac:dyDescent="0.3"/>
    <row r="4" spans="1:20" hidden="1" x14ac:dyDescent="0.3">
      <c r="A4" t="str">
        <f xml:space="preserve"> _xll.EPMOlapMemberO("[ENTITY].[PARENTH1].[1003]","","1003 - Minera Antucoya","","000")</f>
        <v>1003 - Minera Antucoya</v>
      </c>
    </row>
    <row r="5" spans="1:20" hidden="1" x14ac:dyDescent="0.3"/>
    <row r="6" spans="1:20" hidden="1" x14ac:dyDescent="0.3"/>
    <row r="7" spans="1:20" x14ac:dyDescent="0.3">
      <c r="G7" t="s">
        <v>712</v>
      </c>
      <c r="I7" t="str">
        <f xml:space="preserve"> _xll.EPMOlapMemberO("[TIME].[PARENTH1].[2022.TOTAL]","","2022.TOTAL","","000")</f>
        <v>2022.TOTAL</v>
      </c>
      <c r="L7" t="str">
        <f xml:space="preserve"> _xll.EPMOlapMemberO("[TIME].[PARENTH1].[2023.TOTAL]","","2023.TOTAL","","000")</f>
        <v>2023.TOTAL</v>
      </c>
      <c r="O7" t="str">
        <f xml:space="preserve"> _xll.EPMOlapMemberO("[TIME].[PARENTH1].[2024.TOTAL]","","2024.TOTAL","","000")</f>
        <v>2024.TOTAL</v>
      </c>
      <c r="R7" t="str">
        <f xml:space="preserve"> _xll.EPMOlapMemberO("[TIME].[PARENTH1].[2025.TOTAL]","","2025.TOTAL","","000")</f>
        <v>2025.TOTAL</v>
      </c>
    </row>
    <row r="8" spans="1:20" s="23" customFormat="1" x14ac:dyDescent="0.3">
      <c r="B8" s="23" t="s">
        <v>780</v>
      </c>
      <c r="C8" s="23" t="s">
        <v>132</v>
      </c>
      <c r="D8" s="23" t="s">
        <v>781</v>
      </c>
      <c r="E8" s="23" t="s">
        <v>779</v>
      </c>
      <c r="F8" s="23" t="s">
        <v>139</v>
      </c>
      <c r="G8" s="23" t="s">
        <v>713</v>
      </c>
      <c r="H8" s="23" t="e">
        <f ca="1" xml:space="preserve"> _xll.EPMOlapMemberO("[CATEGORY].[].[REAL]","","Real - Real","","000")</f>
        <v>#NAME?</v>
      </c>
      <c r="I8" s="23" t="e">
        <f ca="1" xml:space="preserve"> _xll.EPMOlapMemberO("[CATEGORY].[].[PLAN]","","Plan - Plan","","000")</f>
        <v>#NAME?</v>
      </c>
      <c r="J8" s="23" t="str">
        <f xml:space="preserve"> _xll.FPMXLClient.TechnicalCategory.EPMLocalMember("Var","001","000")</f>
        <v>Var</v>
      </c>
      <c r="K8" s="23" t="e">
        <f ca="1" xml:space="preserve"> _xll.EPMOlapMemberO("[CATEGORY].[].[REAL]","","Real - Real","","000")</f>
        <v>#NAME?</v>
      </c>
      <c r="L8" s="23" t="e">
        <f ca="1" xml:space="preserve"> _xll.EPMOlapMemberO("[CATEGORY].[].[PLAN]","","Plan - Plan","","000")</f>
        <v>#NAME?</v>
      </c>
      <c r="M8" s="23" t="str">
        <f xml:space="preserve"> _xll.FPMXLClient.TechnicalCategory.EPMLocalMember("Var","001","000")</f>
        <v>Var</v>
      </c>
      <c r="N8" s="23" t="e">
        <f ca="1" xml:space="preserve"> _xll.EPMOlapMemberO("[CATEGORY].[].[REAL]","","Real - Real","","000")</f>
        <v>#NAME?</v>
      </c>
      <c r="O8" s="23" t="e">
        <f ca="1" xml:space="preserve"> _xll.EPMOlapMemberO("[CATEGORY].[].[PLAN]","","Plan - Plan","","000")</f>
        <v>#NAME?</v>
      </c>
      <c r="P8" s="23" t="str">
        <f xml:space="preserve"> _xll.FPMXLClient.TechnicalCategory.EPMLocalMember("Var","001","000")</f>
        <v>Var</v>
      </c>
      <c r="Q8" s="23" t="e">
        <f ca="1" xml:space="preserve"> _xll.EPMOlapMemberO("[CATEGORY].[].[REAL]","","Real - Real","","000")</f>
        <v>#NAME?</v>
      </c>
      <c r="R8" s="23" t="e">
        <f ca="1" xml:space="preserve"> _xll.EPMOlapMemberO("[CATEGORY].[].[PLAN]","","Plan - Plan","","000")</f>
        <v>#NAME?</v>
      </c>
      <c r="S8" s="23" t="str">
        <f xml:space="preserve"> _xll.FPMXLClient.TechnicalCategory.EPMLocalMember("Var","001","000")</f>
        <v>Var</v>
      </c>
    </row>
    <row r="9" spans="1:20" x14ac:dyDescent="0.3">
      <c r="A9" t="str">
        <f xml:space="preserve"> _xll.EPMOlapMemberO("[CECO].[PARENTH3].[AMSA1003AD0507]","","AMSA1003AD0507 - VPACS Corporativo","","000")</f>
        <v>AMSA1003AD0507 - VPACS Corporativo</v>
      </c>
      <c r="B9" t="str">
        <f>IFERROR(SUBSTITUTE(TRIM(LEFT(A9,FIND("-",A9)-1)),"AMSA",""),"")</f>
        <v>1003AD0507</v>
      </c>
      <c r="C9" t="str">
        <f>IFERROR(_xlfn.XLOOKUP(B9,'CECOS Corporativos'!$D:$D,'CECOS Corporativos'!$E:$E,""),"")</f>
        <v>VPACS Corporativo (HH Corporativo)</v>
      </c>
      <c r="D9" t="str">
        <f>IFERROR(_xlfn.XLOOKUP(B9,'CECOS Corporativos'!$D:$D,'CECOS Corporativos'!$J:$J,""),"")</f>
        <v>VP Asuntos Corporativos</v>
      </c>
      <c r="E9" t="str">
        <f xml:space="preserve"> _xll.EPMOlapMemberO("[CLACO].[PARENTH7].[AMSASERV_CORP]","","Servicios Corporativ","","000")</f>
        <v>Servicios Corporativ</v>
      </c>
      <c r="F9" t="str">
        <f>IFERROR(TRIM(LEFT(G9,FIND("-",G9)-1)),"")</f>
        <v>N100300500</v>
      </c>
      <c r="G9" t="s">
        <v>731</v>
      </c>
      <c r="H9" t="str">
        <f>IFERROR(_xlfn.XLOOKUP(F9,'CECOS Corporativos'!$K:$K,'CECOS Corporativos'!$D:$D,""),"")</f>
        <v>1003AD4505</v>
      </c>
      <c r="K9">
        <f>J9-I9</f>
        <v>0</v>
      </c>
      <c r="N9">
        <f>M9-L9</f>
        <v>0</v>
      </c>
      <c r="O9">
        <v>1044408</v>
      </c>
      <c r="P9">
        <v>1157235</v>
      </c>
      <c r="Q9">
        <f>P9-O9</f>
        <v>112827</v>
      </c>
      <c r="R9">
        <v>961205</v>
      </c>
      <c r="S9">
        <v>1008932.31</v>
      </c>
      <c r="T9">
        <f>S9-R9</f>
        <v>47727.310000000056</v>
      </c>
    </row>
    <row r="10" spans="1:20" x14ac:dyDescent="0.3">
      <c r="A10" t="str">
        <f xml:space="preserve"> _xll.EPMOlapMemberO("[CECO].[PARENTH3].[AMSA1003AD4505]","","AMSA1003AD4505 - Asunt Publ y Comunid","","000")</f>
        <v>AMSA1003AD4505 - Asunt Publ y Comunid</v>
      </c>
      <c r="B10" t="str">
        <f t="shared" ref="B10:B73" si="0">IFERROR(SUBSTITUTE(TRIM(LEFT(A10,FIND("-",A10)-1)),"AMSA",""),"")</f>
        <v>1003AD4505</v>
      </c>
      <c r="C10" t="str">
        <f>IFERROR(_xlfn.XLOOKUP(B10,'CECOS Corporativos'!$D:$D,'CECOS Corporativos'!$E:$E,""),"")</f>
        <v>Asuntos Públicos y Comunidades</v>
      </c>
      <c r="D10" t="str">
        <f>IFERROR(_xlfn.XLOOKUP(B10,'CECOS Corporativos'!$D:$D,'CECOS Corporativos'!$J:$J,""),"")</f>
        <v>VP Asuntos Corporativos</v>
      </c>
      <c r="E10" t="str">
        <f xml:space="preserve"> _xll.EPMOlapMemberO("[CLACO].[PARENTH7].[AMSAMAT_Y_REP.2]","","Materiales y repuest","","000")</f>
        <v>Materiales y repuest</v>
      </c>
      <c r="F10" t="str">
        <f t="shared" ref="F10:F73" si="1">IFERROR(TRIM(LEFT(G10,FIND("-",G10)-1)),"")</f>
        <v>N100300500</v>
      </c>
      <c r="G10" t="s">
        <v>731</v>
      </c>
      <c r="H10" t="str">
        <f>IFERROR(_xlfn.XLOOKUP(F10,'CECOS Corporativos'!$K:$K,'CECOS Corporativos'!$D:$D,""),"")</f>
        <v>1003AD4505</v>
      </c>
      <c r="I10">
        <v>602.29</v>
      </c>
      <c r="K10">
        <f t="shared" ref="K10:K73" si="2">J10-I10</f>
        <v>-602.29</v>
      </c>
      <c r="N10">
        <f t="shared" ref="N10:N73" si="3">M10-L10</f>
        <v>0</v>
      </c>
      <c r="Q10">
        <f t="shared" ref="Q10:Q73" si="4">P10-O10</f>
        <v>0</v>
      </c>
      <c r="T10">
        <f t="shared" ref="T10:T73" si="5">S10-R10</f>
        <v>0</v>
      </c>
    </row>
    <row r="11" spans="1:20" x14ac:dyDescent="0.3">
      <c r="A11" t="str">
        <f xml:space="preserve"> _xll.EPMOlapMemberO("[CECO].[PARENTH3].[AMSA1003AD4505]","","AMSA1003AD4505 - Asunt Publ y Comunid","","000")</f>
        <v>AMSA1003AD4505 - Asunt Publ y Comunid</v>
      </c>
      <c r="B11" t="str">
        <f t="shared" si="0"/>
        <v>1003AD4505</v>
      </c>
      <c r="C11" t="str">
        <f>IFERROR(_xlfn.XLOOKUP(B11,'CECOS Corporativos'!$D:$D,'CECOS Corporativos'!$E:$E,""),"")</f>
        <v>Asuntos Públicos y Comunidades</v>
      </c>
      <c r="D11" t="str">
        <f>IFERROR(_xlfn.XLOOKUP(B11,'CECOS Corporativos'!$D:$D,'CECOS Corporativos'!$J:$J,""),"")</f>
        <v>VP Asuntos Corporativos</v>
      </c>
      <c r="E11" t="str">
        <f xml:space="preserve"> _xll.EPMOlapMemberO("[CLACO].[PARENTH7].[AMSAADM_PERSON]","","Administración Perso","","000")</f>
        <v>Administración Perso</v>
      </c>
      <c r="F11" t="str">
        <f t="shared" si="1"/>
        <v>N100300500</v>
      </c>
      <c r="G11" t="s">
        <v>731</v>
      </c>
      <c r="H11" t="str">
        <f>IFERROR(_xlfn.XLOOKUP(F11,'CECOS Corporativos'!$K:$K,'CECOS Corporativos'!$D:$D,""),"")</f>
        <v>1003AD4505</v>
      </c>
      <c r="I11">
        <v>-1427.15</v>
      </c>
      <c r="K11">
        <f t="shared" si="2"/>
        <v>1427.15</v>
      </c>
      <c r="N11">
        <f t="shared" si="3"/>
        <v>0</v>
      </c>
      <c r="Q11">
        <f t="shared" si="4"/>
        <v>0</v>
      </c>
      <c r="T11">
        <f t="shared" si="5"/>
        <v>0</v>
      </c>
    </row>
    <row r="12" spans="1:20" x14ac:dyDescent="0.3">
      <c r="A12" t="str">
        <f xml:space="preserve"> _xll.EPMOlapMemberO("[CECO].[PARENTH3].[AMSA1003AD4505]","","AMSA1003AD4505 - Asunt Publ y Comunid","","000")</f>
        <v>AMSA1003AD4505 - Asunt Publ y Comunid</v>
      </c>
      <c r="B12" t="str">
        <f t="shared" si="0"/>
        <v>1003AD4505</v>
      </c>
      <c r="C12" t="str">
        <f>IFERROR(_xlfn.XLOOKUP(B12,'CECOS Corporativos'!$D:$D,'CECOS Corporativos'!$E:$E,""),"")</f>
        <v>Asuntos Públicos y Comunidades</v>
      </c>
      <c r="D12" t="str">
        <f>IFERROR(_xlfn.XLOOKUP(B12,'CECOS Corporativos'!$D:$D,'CECOS Corporativos'!$J:$J,""),"")</f>
        <v>VP Asuntos Corporativos</v>
      </c>
      <c r="E12" t="str">
        <f xml:space="preserve"> _xll.EPMOlapMemberO("[CLACO].[PARENTH7].[AMSAENTRENAMI]","","Entrenamiento","","000")</f>
        <v>Entrenamiento</v>
      </c>
      <c r="F12" t="str">
        <f t="shared" si="1"/>
        <v>N100300500</v>
      </c>
      <c r="G12" t="s">
        <v>731</v>
      </c>
      <c r="H12" t="str">
        <f>IFERROR(_xlfn.XLOOKUP(F12,'CECOS Corporativos'!$K:$K,'CECOS Corporativos'!$D:$D,""),"")</f>
        <v>1003AD4505</v>
      </c>
      <c r="K12">
        <f t="shared" si="2"/>
        <v>0</v>
      </c>
      <c r="N12">
        <f t="shared" si="3"/>
        <v>0</v>
      </c>
      <c r="Q12">
        <f t="shared" si="4"/>
        <v>0</v>
      </c>
      <c r="R12">
        <v>1350.37</v>
      </c>
      <c r="T12">
        <f t="shared" si="5"/>
        <v>-1350.37</v>
      </c>
    </row>
    <row r="13" spans="1:20" x14ac:dyDescent="0.3">
      <c r="A13" t="str">
        <f xml:space="preserve"> _xll.EPMOlapMemberO("[CECO].[PARENTH3].[AMSA1003AD4505]","","AMSA1003AD4505 - Asunt Publ y Comunid","","000")</f>
        <v>AMSA1003AD4505 - Asunt Publ y Comunid</v>
      </c>
      <c r="B13" t="str">
        <f t="shared" si="0"/>
        <v>1003AD4505</v>
      </c>
      <c r="C13" t="str">
        <f>IFERROR(_xlfn.XLOOKUP(B13,'CECOS Corporativos'!$D:$D,'CECOS Corporativos'!$E:$E,""),"")</f>
        <v>Asuntos Públicos y Comunidades</v>
      </c>
      <c r="D13" t="str">
        <f>IFERROR(_xlfn.XLOOKUP(B13,'CECOS Corporativos'!$D:$D,'CECOS Corporativos'!$J:$J,""),"")</f>
        <v>VP Asuntos Corporativos</v>
      </c>
      <c r="E13" t="str">
        <f xml:space="preserve"> _xll.EPMOlapMemberO("[CLACO].[PARENTH7].[AMSAASESORIAS]","","Asesorías y Consulto","","000")</f>
        <v>Asesorías y Consulto</v>
      </c>
      <c r="F13" t="str">
        <f t="shared" si="1"/>
        <v>N100300500</v>
      </c>
      <c r="G13" t="s">
        <v>731</v>
      </c>
      <c r="H13" t="str">
        <f>IFERROR(_xlfn.XLOOKUP(F13,'CECOS Corporativos'!$K:$K,'CECOS Corporativos'!$D:$D,""),"")</f>
        <v>1003AD4505</v>
      </c>
      <c r="I13">
        <v>120720.09</v>
      </c>
      <c r="J13">
        <v>74702</v>
      </c>
      <c r="K13">
        <f t="shared" si="2"/>
        <v>-46018.09</v>
      </c>
      <c r="L13">
        <v>125189.99</v>
      </c>
      <c r="M13">
        <v>17279</v>
      </c>
      <c r="N13">
        <f t="shared" si="3"/>
        <v>-107910.99</v>
      </c>
      <c r="O13">
        <v>21760.51</v>
      </c>
      <c r="Q13">
        <f t="shared" si="4"/>
        <v>-21760.51</v>
      </c>
      <c r="R13">
        <v>29750.19</v>
      </c>
      <c r="S13">
        <v>10433.84</v>
      </c>
      <c r="T13">
        <f t="shared" si="5"/>
        <v>-19316.349999999999</v>
      </c>
    </row>
    <row r="14" spans="1:20" x14ac:dyDescent="0.3">
      <c r="A14" t="str">
        <f xml:space="preserve"> _xll.EPMOlapMemberO("[CECO].[PARENTH3].[AMSA1003AD4505]","","AMSA1003AD4505 - Asunt Publ y Comunid","","000")</f>
        <v>AMSA1003AD4505 - Asunt Publ y Comunid</v>
      </c>
      <c r="B14" t="str">
        <f t="shared" si="0"/>
        <v>1003AD4505</v>
      </c>
      <c r="C14" t="str">
        <f>IFERROR(_xlfn.XLOOKUP(B14,'CECOS Corporativos'!$D:$D,'CECOS Corporativos'!$E:$E,""),"")</f>
        <v>Asuntos Públicos y Comunidades</v>
      </c>
      <c r="D14" t="str">
        <f>IFERROR(_xlfn.XLOOKUP(B14,'CECOS Corporativos'!$D:$D,'CECOS Corporativos'!$J:$J,""),"")</f>
        <v>VP Asuntos Corporativos</v>
      </c>
      <c r="E14" t="str">
        <f xml:space="preserve"> _xll.EPMOlapMemberO("[CLACO].[PARENTH7].[AMSASERVICIOS]","","Servicios","","000")</f>
        <v>Servicios</v>
      </c>
      <c r="F14" t="str">
        <f t="shared" si="1"/>
        <v>N100300500</v>
      </c>
      <c r="G14" t="s">
        <v>731</v>
      </c>
      <c r="H14" t="str">
        <f>IFERROR(_xlfn.XLOOKUP(F14,'CECOS Corporativos'!$K:$K,'CECOS Corporativos'!$D:$D,""),"")</f>
        <v>1003AD4505</v>
      </c>
      <c r="I14">
        <v>259648.63</v>
      </c>
      <c r="J14">
        <v>432257</v>
      </c>
      <c r="K14">
        <f t="shared" si="2"/>
        <v>172608.37</v>
      </c>
      <c r="L14">
        <v>203961.93</v>
      </c>
      <c r="N14">
        <f t="shared" si="3"/>
        <v>-203961.93</v>
      </c>
      <c r="O14">
        <v>174781.97</v>
      </c>
      <c r="P14">
        <v>47518</v>
      </c>
      <c r="Q14">
        <f t="shared" si="4"/>
        <v>-127263.97</v>
      </c>
      <c r="R14">
        <v>95903.09</v>
      </c>
      <c r="S14">
        <v>45206.35</v>
      </c>
      <c r="T14">
        <f t="shared" si="5"/>
        <v>-50696.74</v>
      </c>
    </row>
    <row r="15" spans="1:20" x14ac:dyDescent="0.3">
      <c r="A15" t="str">
        <f xml:space="preserve"> _xll.EPMOlapMemberO("[CECO].[PARENTH3].[AMSA1003AD4505]","","AMSA1003AD4505 - Asunt Publ y Comunid","","000")</f>
        <v>AMSA1003AD4505 - Asunt Publ y Comunid</v>
      </c>
      <c r="B15" t="str">
        <f t="shared" si="0"/>
        <v>1003AD4505</v>
      </c>
      <c r="C15" t="str">
        <f>IFERROR(_xlfn.XLOOKUP(B15,'CECOS Corporativos'!$D:$D,'CECOS Corporativos'!$E:$E,""),"")</f>
        <v>Asuntos Públicos y Comunidades</v>
      </c>
      <c r="D15" t="str">
        <f>IFERROR(_xlfn.XLOOKUP(B15,'CECOS Corporativos'!$D:$D,'CECOS Corporativos'!$J:$J,""),"")</f>
        <v>VP Asuntos Corporativos</v>
      </c>
      <c r="E15" t="str">
        <f xml:space="preserve"> _xll.EPMOlapMemberO("[CLACO].[PARENTH7].[AMSAINFORMATIC]","","Informática y Comuni","","000")</f>
        <v>Informática y Comuni</v>
      </c>
      <c r="F15" t="str">
        <f t="shared" si="1"/>
        <v>N100300500</v>
      </c>
      <c r="G15" t="s">
        <v>731</v>
      </c>
      <c r="H15" t="str">
        <f>IFERROR(_xlfn.XLOOKUP(F15,'CECOS Corporativos'!$K:$K,'CECOS Corporativos'!$D:$D,""),"")</f>
        <v>1003AD4505</v>
      </c>
      <c r="I15">
        <v>167.37</v>
      </c>
      <c r="K15">
        <f t="shared" si="2"/>
        <v>-167.37</v>
      </c>
      <c r="L15">
        <v>0</v>
      </c>
      <c r="N15">
        <f t="shared" si="3"/>
        <v>0</v>
      </c>
      <c r="Q15">
        <f t="shared" si="4"/>
        <v>0</v>
      </c>
      <c r="T15">
        <f t="shared" si="5"/>
        <v>0</v>
      </c>
    </row>
    <row r="16" spans="1:20" x14ac:dyDescent="0.3">
      <c r="A16" t="str">
        <f xml:space="preserve"> _xll.EPMOlapMemberO("[CECO].[PARENTH3].[AMSA1003AD4505]","","AMSA1003AD4505 - Asunt Publ y Comunid","","000")</f>
        <v>AMSA1003AD4505 - Asunt Publ y Comunid</v>
      </c>
      <c r="B16" t="str">
        <f t="shared" si="0"/>
        <v>1003AD4505</v>
      </c>
      <c r="C16" t="str">
        <f>IFERROR(_xlfn.XLOOKUP(B16,'CECOS Corporativos'!$D:$D,'CECOS Corporativos'!$E:$E,""),"")</f>
        <v>Asuntos Públicos y Comunidades</v>
      </c>
      <c r="D16" t="str">
        <f>IFERROR(_xlfn.XLOOKUP(B16,'CECOS Corporativos'!$D:$D,'CECOS Corporativos'!$J:$J,""),"")</f>
        <v>VP Asuntos Corporativos</v>
      </c>
      <c r="E16" t="str">
        <f xml:space="preserve"> _xll.EPMOlapMemberO("[CLACO].[PARENTH7].[AMSAG_VIAJES]","","Gastos de Viajes","","000")</f>
        <v>Gastos de Viajes</v>
      </c>
      <c r="F16" t="str">
        <f t="shared" si="1"/>
        <v>N100300500</v>
      </c>
      <c r="G16" t="s">
        <v>731</v>
      </c>
      <c r="H16" t="str">
        <f>IFERROR(_xlfn.XLOOKUP(F16,'CECOS Corporativos'!$K:$K,'CECOS Corporativos'!$D:$D,""),"")</f>
        <v>1003AD4505</v>
      </c>
      <c r="I16">
        <v>113522.3</v>
      </c>
      <c r="J16">
        <v>11481.47</v>
      </c>
      <c r="K16">
        <f t="shared" si="2"/>
        <v>-102040.83</v>
      </c>
      <c r="L16">
        <v>2254.4899999999998</v>
      </c>
      <c r="N16">
        <f t="shared" si="3"/>
        <v>-2254.4899999999998</v>
      </c>
      <c r="O16">
        <v>1815.48</v>
      </c>
      <c r="Q16">
        <f t="shared" si="4"/>
        <v>-1815.48</v>
      </c>
      <c r="R16">
        <v>740.54</v>
      </c>
      <c r="T16">
        <f t="shared" si="5"/>
        <v>-740.54</v>
      </c>
    </row>
    <row r="17" spans="1:20" x14ac:dyDescent="0.3">
      <c r="A17" t="str">
        <f xml:space="preserve"> _xll.EPMOlapMemberO("[CECO].[PARENTH3].[AMSA1003AD4505]","","AMSA1003AD4505 - Asunt Publ y Comunid","","000")</f>
        <v>AMSA1003AD4505 - Asunt Publ y Comunid</v>
      </c>
      <c r="B17" t="str">
        <f t="shared" si="0"/>
        <v>1003AD4505</v>
      </c>
      <c r="C17" t="str">
        <f>IFERROR(_xlfn.XLOOKUP(B17,'CECOS Corporativos'!$D:$D,'CECOS Corporativos'!$E:$E,""),"")</f>
        <v>Asuntos Públicos y Comunidades</v>
      </c>
      <c r="D17" t="str">
        <f>IFERROR(_xlfn.XLOOKUP(B17,'CECOS Corporativos'!$D:$D,'CECOS Corporativos'!$J:$J,""),"")</f>
        <v>VP Asuntos Corporativos</v>
      </c>
      <c r="E17" t="str">
        <f xml:space="preserve"> _xll.EPMOlapMemberO("[CLACO].[PARENTH7].[AMSAGGENERALES.2]","","Otros Gastos","","000")</f>
        <v>Otros Gastos</v>
      </c>
      <c r="F17" t="str">
        <f t="shared" si="1"/>
        <v>N100300500</v>
      </c>
      <c r="G17" t="s">
        <v>731</v>
      </c>
      <c r="H17" t="str">
        <f>IFERROR(_xlfn.XLOOKUP(F17,'CECOS Corporativos'!$K:$K,'CECOS Corporativos'!$D:$D,""),"")</f>
        <v>1003AD4505</v>
      </c>
      <c r="I17">
        <v>86772</v>
      </c>
      <c r="J17">
        <v>53254</v>
      </c>
      <c r="K17">
        <f t="shared" si="2"/>
        <v>-33518</v>
      </c>
      <c r="L17">
        <v>81508.05</v>
      </c>
      <c r="M17">
        <v>22767</v>
      </c>
      <c r="N17">
        <f t="shared" si="3"/>
        <v>-58741.05</v>
      </c>
      <c r="O17">
        <v>9308.7900000000009</v>
      </c>
      <c r="P17">
        <v>8443</v>
      </c>
      <c r="Q17">
        <f t="shared" si="4"/>
        <v>-865.79000000000087</v>
      </c>
      <c r="R17">
        <v>30489.02</v>
      </c>
      <c r="S17">
        <v>24861.15</v>
      </c>
      <c r="T17">
        <f t="shared" si="5"/>
        <v>-5627.869999999999</v>
      </c>
    </row>
    <row r="18" spans="1:20" x14ac:dyDescent="0.3">
      <c r="A18" t="str">
        <f xml:space="preserve"> _xll.EPMOlapMemberO("[CECO].[PARENTH3].[AMSA1003AD4505]","","AMSA1003AD4505 - Asunt Publ y Comunid","","000")</f>
        <v>AMSA1003AD4505 - Asunt Publ y Comunid</v>
      </c>
      <c r="B18" t="str">
        <f t="shared" si="0"/>
        <v>1003AD4505</v>
      </c>
      <c r="C18" t="str">
        <f>IFERROR(_xlfn.XLOOKUP(B18,'CECOS Corporativos'!$D:$D,'CECOS Corporativos'!$E:$E,""),"")</f>
        <v>Asuntos Públicos y Comunidades</v>
      </c>
      <c r="D18" t="str">
        <f>IFERROR(_xlfn.XLOOKUP(B18,'CECOS Corporativos'!$D:$D,'CECOS Corporativos'!$J:$J,""),"")</f>
        <v>VP Asuntos Corporativos</v>
      </c>
      <c r="E18" t="str">
        <f xml:space="preserve"> _xll.EPMOlapMemberO("[CLACO].[PARENTH7].[AMSALIQUIDACIO.SEC]","","Liquidación Interna","","000")</f>
        <v>Liquidación Interna</v>
      </c>
      <c r="F18" t="str">
        <f t="shared" si="1"/>
        <v>N100300500</v>
      </c>
      <c r="G18" t="s">
        <v>731</v>
      </c>
      <c r="H18" t="str">
        <f>IFERROR(_xlfn.XLOOKUP(F18,'CECOS Corporativos'!$K:$K,'CECOS Corporativos'!$D:$D,""),"")</f>
        <v>1003AD4505</v>
      </c>
      <c r="K18">
        <f t="shared" si="2"/>
        <v>0</v>
      </c>
      <c r="N18">
        <f t="shared" si="3"/>
        <v>0</v>
      </c>
      <c r="Q18">
        <f t="shared" si="4"/>
        <v>0</v>
      </c>
      <c r="R18">
        <v>2770.78</v>
      </c>
      <c r="T18">
        <f t="shared" si="5"/>
        <v>-2770.78</v>
      </c>
    </row>
    <row r="19" spans="1:20" x14ac:dyDescent="0.3">
      <c r="A19" t="str">
        <f xml:space="preserve"> _xll.EPMOlapMemberO("[CECO].[PARENTH3].[AMSA1003AD4505]","","AMSA1003AD4505 - Asunt Publ y Comunid","","000")</f>
        <v>AMSA1003AD4505 - Asunt Publ y Comunid</v>
      </c>
      <c r="B19" t="str">
        <f t="shared" si="0"/>
        <v>1003AD4505</v>
      </c>
      <c r="C19" t="str">
        <f>IFERROR(_xlfn.XLOOKUP(B19,'CECOS Corporativos'!$D:$D,'CECOS Corporativos'!$E:$E,""),"")</f>
        <v>Asuntos Públicos y Comunidades</v>
      </c>
      <c r="D19" t="str">
        <f>IFERROR(_xlfn.XLOOKUP(B19,'CECOS Corporativos'!$D:$D,'CECOS Corporativos'!$J:$J,""),"")</f>
        <v>VP Asuntos Corporativos</v>
      </c>
      <c r="E19" t="str">
        <f xml:space="preserve"> _xll.EPMOlapMemberO("[CLACO].[PARENTH7].[AMSASERV_CORP]","","Servicios Corporativ","","000")</f>
        <v>Servicios Corporativ</v>
      </c>
      <c r="F19" t="str">
        <f t="shared" si="1"/>
        <v>N100300500</v>
      </c>
      <c r="G19" t="s">
        <v>731</v>
      </c>
      <c r="H19" t="str">
        <f>IFERROR(_xlfn.XLOOKUP(F19,'CECOS Corporativos'!$K:$K,'CECOS Corporativos'!$D:$D,""),"")</f>
        <v>1003AD4505</v>
      </c>
      <c r="I19">
        <v>424984.07</v>
      </c>
      <c r="J19">
        <v>438111</v>
      </c>
      <c r="K19">
        <f t="shared" si="2"/>
        <v>13126.929999999993</v>
      </c>
      <c r="L19">
        <v>603209.21</v>
      </c>
      <c r="M19">
        <v>547565</v>
      </c>
      <c r="N19">
        <f t="shared" si="3"/>
        <v>-55644.209999999963</v>
      </c>
      <c r="O19">
        <v>14533.79</v>
      </c>
      <c r="Q19">
        <f t="shared" si="4"/>
        <v>-14533.79</v>
      </c>
      <c r="T19">
        <f t="shared" si="5"/>
        <v>0</v>
      </c>
    </row>
    <row r="20" spans="1:20" x14ac:dyDescent="0.3">
      <c r="A20" t="str">
        <f xml:space="preserve"> _xll.EPMOlapMemberO("[CECO].[PARENTH3].[AMSA1003AD4509]","","AMSA1003AD4509 - AAPP Corporativo","","000")</f>
        <v>AMSA1003AD4509 - AAPP Corporativo</v>
      </c>
      <c r="B20" t="str">
        <f t="shared" si="0"/>
        <v>1003AD4509</v>
      </c>
      <c r="C20" t="str">
        <f>IFERROR(_xlfn.XLOOKUP(B20,'CECOS Corporativos'!$D:$D,'CECOS Corporativos'!$E:$E,""),"")</f>
        <v>AAPP Corporativo</v>
      </c>
      <c r="D20" t="str">
        <f>IFERROR(_xlfn.XLOOKUP(B20,'CECOS Corporativos'!$D:$D,'CECOS Corporativos'!$J:$J,""),"")</f>
        <v>VP Asuntos Corporativos</v>
      </c>
      <c r="E20" t="str">
        <f xml:space="preserve"> _xll.EPMOlapMemberO("[CLACO].[PARENTH7].[AMSAASESORIAS]","","Asesorías y Consulto","","000")</f>
        <v>Asesorías y Consulto</v>
      </c>
      <c r="F20" t="str">
        <f t="shared" si="1"/>
        <v>N100300500</v>
      </c>
      <c r="G20" t="s">
        <v>731</v>
      </c>
      <c r="H20" t="str">
        <f>IFERROR(_xlfn.XLOOKUP(F20,'CECOS Corporativos'!$K:$K,'CECOS Corporativos'!$D:$D,""),"")</f>
        <v>1003AD4505</v>
      </c>
      <c r="K20">
        <f t="shared" si="2"/>
        <v>0</v>
      </c>
      <c r="M20">
        <v>43671</v>
      </c>
      <c r="N20">
        <f t="shared" si="3"/>
        <v>43671</v>
      </c>
      <c r="O20">
        <v>37752.300000000003</v>
      </c>
      <c r="P20">
        <v>29594</v>
      </c>
      <c r="Q20">
        <f t="shared" si="4"/>
        <v>-8158.3000000000029</v>
      </c>
      <c r="R20">
        <v>43338.26</v>
      </c>
      <c r="S20">
        <v>28730.53</v>
      </c>
      <c r="T20">
        <f t="shared" si="5"/>
        <v>-14607.730000000003</v>
      </c>
    </row>
    <row r="21" spans="1:20" x14ac:dyDescent="0.3">
      <c r="A21" t="str">
        <f xml:space="preserve"> _xll.EPMOlapMemberO("[CECO].[PARENTH3].[AMSA1003AD4509]","","AMSA1003AD4509 - AAPP Corporativo","","000")</f>
        <v>AMSA1003AD4509 - AAPP Corporativo</v>
      </c>
      <c r="B21" t="str">
        <f t="shared" si="0"/>
        <v>1003AD4509</v>
      </c>
      <c r="C21" t="str">
        <f>IFERROR(_xlfn.XLOOKUP(B21,'CECOS Corporativos'!$D:$D,'CECOS Corporativos'!$E:$E,""),"")</f>
        <v>AAPP Corporativo</v>
      </c>
      <c r="D21" t="str">
        <f>IFERROR(_xlfn.XLOOKUP(B21,'CECOS Corporativos'!$D:$D,'CECOS Corporativos'!$J:$J,""),"")</f>
        <v>VP Asuntos Corporativos</v>
      </c>
      <c r="E21" t="str">
        <f xml:space="preserve"> _xll.EPMOlapMemberO("[CLACO].[PARENTH7].[AMSASERVICIOS]","","Servicios","","000")</f>
        <v>Servicios</v>
      </c>
      <c r="F21" t="str">
        <f t="shared" si="1"/>
        <v>N100300500</v>
      </c>
      <c r="G21" t="s">
        <v>731</v>
      </c>
      <c r="H21" t="str">
        <f>IFERROR(_xlfn.XLOOKUP(F21,'CECOS Corporativos'!$K:$K,'CECOS Corporativos'!$D:$D,""),"")</f>
        <v>1003AD4505</v>
      </c>
      <c r="K21">
        <f t="shared" si="2"/>
        <v>0</v>
      </c>
      <c r="M21">
        <v>61271</v>
      </c>
      <c r="N21">
        <f t="shared" si="3"/>
        <v>61271</v>
      </c>
      <c r="Q21">
        <f t="shared" si="4"/>
        <v>0</v>
      </c>
      <c r="T21">
        <f t="shared" si="5"/>
        <v>0</v>
      </c>
    </row>
    <row r="22" spans="1:20" x14ac:dyDescent="0.3">
      <c r="A22" t="str">
        <f xml:space="preserve"> _xll.EPMOlapMemberO("[CECO].[PARENTH3].[AMSA1003AD4509]","","AMSA1003AD4509 - AAPP Corporativo","","000")</f>
        <v>AMSA1003AD4509 - AAPP Corporativo</v>
      </c>
      <c r="B22" t="str">
        <f t="shared" si="0"/>
        <v>1003AD4509</v>
      </c>
      <c r="C22" t="str">
        <f>IFERROR(_xlfn.XLOOKUP(B22,'CECOS Corporativos'!$D:$D,'CECOS Corporativos'!$E:$E,""),"")</f>
        <v>AAPP Corporativo</v>
      </c>
      <c r="D22" t="str">
        <f>IFERROR(_xlfn.XLOOKUP(B22,'CECOS Corporativos'!$D:$D,'CECOS Corporativos'!$J:$J,""),"")</f>
        <v>VP Asuntos Corporativos</v>
      </c>
      <c r="E22" t="str">
        <f xml:space="preserve"> _xll.EPMOlapMemberO("[CLACO].[PARENTH7].[AMSAINFORMATIC]","","Informática y Comuni","","000")</f>
        <v>Informática y Comuni</v>
      </c>
      <c r="F22" t="str">
        <f t="shared" si="1"/>
        <v>N100300500</v>
      </c>
      <c r="G22" t="s">
        <v>731</v>
      </c>
      <c r="H22" t="str">
        <f>IFERROR(_xlfn.XLOOKUP(F22,'CECOS Corporativos'!$K:$K,'CECOS Corporativos'!$D:$D,""),"")</f>
        <v>1003AD4505</v>
      </c>
      <c r="K22">
        <f t="shared" si="2"/>
        <v>0</v>
      </c>
      <c r="M22">
        <v>4681</v>
      </c>
      <c r="N22">
        <f t="shared" si="3"/>
        <v>4681</v>
      </c>
      <c r="Q22">
        <f t="shared" si="4"/>
        <v>0</v>
      </c>
      <c r="T22">
        <f t="shared" si="5"/>
        <v>0</v>
      </c>
    </row>
    <row r="23" spans="1:20" x14ac:dyDescent="0.3">
      <c r="A23" t="str">
        <f xml:space="preserve"> _xll.EPMOlapMemberO("[CECO].[PARENTH3].[AMSA1003AD4509]","","AMSA1003AD4509 - AAPP Corporativo","","000")</f>
        <v>AMSA1003AD4509 - AAPP Corporativo</v>
      </c>
      <c r="B23" t="str">
        <f t="shared" si="0"/>
        <v>1003AD4509</v>
      </c>
      <c r="C23" t="str">
        <f>IFERROR(_xlfn.XLOOKUP(B23,'CECOS Corporativos'!$D:$D,'CECOS Corporativos'!$E:$E,""),"")</f>
        <v>AAPP Corporativo</v>
      </c>
      <c r="D23" t="str">
        <f>IFERROR(_xlfn.XLOOKUP(B23,'CECOS Corporativos'!$D:$D,'CECOS Corporativos'!$J:$J,""),"")</f>
        <v>VP Asuntos Corporativos</v>
      </c>
      <c r="E23" t="str">
        <f xml:space="preserve"> _xll.EPMOlapMemberO("[CLACO].[PARENTH7].[AMSAGGENERALES.2]","","Otros Gastos","","000")</f>
        <v>Otros Gastos</v>
      </c>
      <c r="F23" t="str">
        <f t="shared" si="1"/>
        <v>N100300500</v>
      </c>
      <c r="G23" t="s">
        <v>731</v>
      </c>
      <c r="H23" t="str">
        <f>IFERROR(_xlfn.XLOOKUP(F23,'CECOS Corporativos'!$K:$K,'CECOS Corporativos'!$D:$D,""),"")</f>
        <v>1003AD4505</v>
      </c>
      <c r="K23">
        <f t="shared" si="2"/>
        <v>0</v>
      </c>
      <c r="M23">
        <v>43383</v>
      </c>
      <c r="N23">
        <f t="shared" si="3"/>
        <v>43383</v>
      </c>
      <c r="Q23">
        <f t="shared" si="4"/>
        <v>0</v>
      </c>
      <c r="R23">
        <v>4819.5</v>
      </c>
      <c r="S23">
        <v>8611.2800000000007</v>
      </c>
      <c r="T23">
        <f t="shared" si="5"/>
        <v>3791.7800000000007</v>
      </c>
    </row>
    <row r="24" spans="1:20" x14ac:dyDescent="0.3">
      <c r="A24" t="str">
        <f xml:space="preserve"> _xll.EPMOlapMemberO("[CECO].[PARENTH3].[AMSA1003AD4510]","","AMSA1003AD4510 - Comunicaciones Corpo","","000")</f>
        <v>AMSA1003AD4510 - Comunicaciones Corpo</v>
      </c>
      <c r="B24" t="str">
        <f t="shared" si="0"/>
        <v>1003AD4510</v>
      </c>
      <c r="C24" t="str">
        <f>IFERROR(_xlfn.XLOOKUP(B24,'CECOS Corporativos'!$D:$D,'CECOS Corporativos'!$E:$E,""),"")</f>
        <v>Comunicaciones Corporativo</v>
      </c>
      <c r="D24" t="str">
        <f>IFERROR(_xlfn.XLOOKUP(B24,'CECOS Corporativos'!$D:$D,'CECOS Corporativos'!$J:$J,""),"")</f>
        <v>VP Asuntos Corporativos</v>
      </c>
      <c r="E24" t="str">
        <f xml:space="preserve"> _xll.EPMOlapMemberO("[CLACO].[PARENTH7].[AMSAASESORIAS]","","Asesorías y Consulto","","000")</f>
        <v>Asesorías y Consulto</v>
      </c>
      <c r="F24" t="str">
        <f t="shared" si="1"/>
        <v>N100300500</v>
      </c>
      <c r="G24" t="s">
        <v>731</v>
      </c>
      <c r="H24" t="str">
        <f>IFERROR(_xlfn.XLOOKUP(F24,'CECOS Corporativos'!$K:$K,'CECOS Corporativos'!$D:$D,""),"")</f>
        <v>1003AD4505</v>
      </c>
      <c r="K24">
        <f t="shared" si="2"/>
        <v>0</v>
      </c>
      <c r="M24">
        <v>4736</v>
      </c>
      <c r="N24">
        <f t="shared" si="3"/>
        <v>4736</v>
      </c>
      <c r="O24">
        <v>16139.91</v>
      </c>
      <c r="P24">
        <v>8666</v>
      </c>
      <c r="Q24">
        <f t="shared" si="4"/>
        <v>-7473.91</v>
      </c>
      <c r="R24">
        <v>917.75</v>
      </c>
      <c r="T24">
        <f t="shared" si="5"/>
        <v>-917.75</v>
      </c>
    </row>
    <row r="25" spans="1:20" x14ac:dyDescent="0.3">
      <c r="A25" t="str">
        <f xml:space="preserve"> _xll.EPMOlapMemberO("[CECO].[PARENTH3].[AMSA1003AD4510]","","AMSA1003AD4510 - Comunicaciones Corpo","","000")</f>
        <v>AMSA1003AD4510 - Comunicaciones Corpo</v>
      </c>
      <c r="B25" t="str">
        <f t="shared" si="0"/>
        <v>1003AD4510</v>
      </c>
      <c r="C25" t="str">
        <f>IFERROR(_xlfn.XLOOKUP(B25,'CECOS Corporativos'!$D:$D,'CECOS Corporativos'!$E:$E,""),"")</f>
        <v>Comunicaciones Corporativo</v>
      </c>
      <c r="D25" t="str">
        <f>IFERROR(_xlfn.XLOOKUP(B25,'CECOS Corporativos'!$D:$D,'CECOS Corporativos'!$J:$J,""),"")</f>
        <v>VP Asuntos Corporativos</v>
      </c>
      <c r="E25" t="str">
        <f xml:space="preserve"> _xll.EPMOlapMemberO("[CLACO].[PARENTH7].[AMSAINFORMATIC]","","Informática y Comuni","","000")</f>
        <v>Informática y Comuni</v>
      </c>
      <c r="F25" t="str">
        <f t="shared" si="1"/>
        <v>N100300500</v>
      </c>
      <c r="G25" t="s">
        <v>731</v>
      </c>
      <c r="H25" t="str">
        <f>IFERROR(_xlfn.XLOOKUP(F25,'CECOS Corporativos'!$K:$K,'CECOS Corporativos'!$D:$D,""),"")</f>
        <v>1003AD4505</v>
      </c>
      <c r="K25">
        <f t="shared" si="2"/>
        <v>0</v>
      </c>
      <c r="M25">
        <v>13713</v>
      </c>
      <c r="N25">
        <f t="shared" si="3"/>
        <v>13713</v>
      </c>
      <c r="P25">
        <v>8888</v>
      </c>
      <c r="Q25">
        <f t="shared" si="4"/>
        <v>8888</v>
      </c>
      <c r="R25">
        <v>2909.19</v>
      </c>
      <c r="S25">
        <v>19771.32</v>
      </c>
      <c r="T25">
        <f t="shared" si="5"/>
        <v>16862.13</v>
      </c>
    </row>
    <row r="26" spans="1:20" x14ac:dyDescent="0.3">
      <c r="A26" t="str">
        <f xml:space="preserve"> _xll.EPMOlapMemberO("[CECO].[PARENTH3].[AMSA1003AD4510]","","AMSA1003AD4510 - Comunicaciones Corpo","","000")</f>
        <v>AMSA1003AD4510 - Comunicaciones Corpo</v>
      </c>
      <c r="B26" t="str">
        <f t="shared" si="0"/>
        <v>1003AD4510</v>
      </c>
      <c r="C26" t="str">
        <f>IFERROR(_xlfn.XLOOKUP(B26,'CECOS Corporativos'!$D:$D,'CECOS Corporativos'!$E:$E,""),"")</f>
        <v>Comunicaciones Corporativo</v>
      </c>
      <c r="D26" t="str">
        <f>IFERROR(_xlfn.XLOOKUP(B26,'CECOS Corporativos'!$D:$D,'CECOS Corporativos'!$J:$J,""),"")</f>
        <v>VP Asuntos Corporativos</v>
      </c>
      <c r="E26" t="str">
        <f xml:space="preserve"> _xll.EPMOlapMemberO("[CLACO].[PARENTH7].[AMSAGGENERALES.2]","","Otros Gastos","","000")</f>
        <v>Otros Gastos</v>
      </c>
      <c r="F26" t="str">
        <f t="shared" si="1"/>
        <v>N100300500</v>
      </c>
      <c r="G26" t="s">
        <v>731</v>
      </c>
      <c r="H26" t="str">
        <f>IFERROR(_xlfn.XLOOKUP(F26,'CECOS Corporativos'!$K:$K,'CECOS Corporativos'!$D:$D,""),"")</f>
        <v>1003AD4505</v>
      </c>
      <c r="K26">
        <f t="shared" si="2"/>
        <v>0</v>
      </c>
      <c r="M26">
        <v>22307</v>
      </c>
      <c r="N26">
        <f t="shared" si="3"/>
        <v>22307</v>
      </c>
      <c r="O26">
        <v>41968.58</v>
      </c>
      <c r="P26">
        <v>48594</v>
      </c>
      <c r="Q26">
        <f t="shared" si="4"/>
        <v>6625.4199999999983</v>
      </c>
      <c r="R26">
        <v>85781.4</v>
      </c>
      <c r="S26">
        <v>61736.33</v>
      </c>
      <c r="T26">
        <f t="shared" si="5"/>
        <v>-24045.069999999992</v>
      </c>
    </row>
    <row r="27" spans="1:20" x14ac:dyDescent="0.3">
      <c r="A27" t="str">
        <f xml:space="preserve"> _xll.EPMOlapMemberO("[CECO].[PARENTH3].[AMSA1003AD4512]","","AMSA1003AD4512 - AAPP y RRII","","000")</f>
        <v>AMSA1003AD4512 - AAPP y RRII</v>
      </c>
      <c r="B27" t="str">
        <f t="shared" si="0"/>
        <v>1003AD4512</v>
      </c>
      <c r="C27" t="str">
        <f>IFERROR(_xlfn.XLOOKUP(B27,'CECOS Corporativos'!$D:$D,'CECOS Corporativos'!$E:$E,""),"")</f>
        <v>AAPP y RRII</v>
      </c>
      <c r="D27" t="str">
        <f>IFERROR(_xlfn.XLOOKUP(B27,'CECOS Corporativos'!$D:$D,'CECOS Corporativos'!$J:$J,""),"")</f>
        <v>VP Asuntos Corporativos</v>
      </c>
      <c r="E27" t="str">
        <f xml:space="preserve"> _xll.EPMOlapMemberO("[CLACO].[PARENTH7].[AMSAASESORIAS]","","Asesorías y Consulto","","000")</f>
        <v>Asesorías y Consulto</v>
      </c>
      <c r="F27" t="str">
        <f t="shared" si="1"/>
        <v>N100300500</v>
      </c>
      <c r="G27" t="s">
        <v>731</v>
      </c>
      <c r="H27" t="str">
        <f>IFERROR(_xlfn.XLOOKUP(F27,'CECOS Corporativos'!$K:$K,'CECOS Corporativos'!$D:$D,""),"")</f>
        <v>1003AD4505</v>
      </c>
      <c r="K27">
        <f t="shared" si="2"/>
        <v>0</v>
      </c>
      <c r="N27">
        <f t="shared" si="3"/>
        <v>0</v>
      </c>
      <c r="Q27">
        <f t="shared" si="4"/>
        <v>0</v>
      </c>
      <c r="R27">
        <v>20884.400000000001</v>
      </c>
      <c r="T27">
        <f t="shared" si="5"/>
        <v>-20884.400000000001</v>
      </c>
    </row>
    <row r="28" spans="1:20" x14ac:dyDescent="0.3">
      <c r="A28" t="str">
        <f xml:space="preserve"> _xll.EPMOlapMemberO("[CECO].[PARENTH3].[AMSA1003AD4512]","","AMSA1003AD4512 - AAPP y RRII","","000")</f>
        <v>AMSA1003AD4512 - AAPP y RRII</v>
      </c>
      <c r="B28" t="str">
        <f t="shared" si="0"/>
        <v>1003AD4512</v>
      </c>
      <c r="C28" t="str">
        <f>IFERROR(_xlfn.XLOOKUP(B28,'CECOS Corporativos'!$D:$D,'CECOS Corporativos'!$E:$E,""),"")</f>
        <v>AAPP y RRII</v>
      </c>
      <c r="D28" t="str">
        <f>IFERROR(_xlfn.XLOOKUP(B28,'CECOS Corporativos'!$D:$D,'CECOS Corporativos'!$J:$J,""),"")</f>
        <v>VP Asuntos Corporativos</v>
      </c>
      <c r="E28" t="str">
        <f xml:space="preserve"> _xll.EPMOlapMemberO("[CLACO].[PARENTH7].[AMSASERVICIOS]","","Servicios","","000")</f>
        <v>Servicios</v>
      </c>
      <c r="F28" t="str">
        <f t="shared" si="1"/>
        <v>N100300500</v>
      </c>
      <c r="G28" t="s">
        <v>731</v>
      </c>
      <c r="H28" t="str">
        <f>IFERROR(_xlfn.XLOOKUP(F28,'CECOS Corporativos'!$K:$K,'CECOS Corporativos'!$D:$D,""),"")</f>
        <v>1003AD4505</v>
      </c>
      <c r="K28">
        <f t="shared" si="2"/>
        <v>0</v>
      </c>
      <c r="M28">
        <v>34884</v>
      </c>
      <c r="N28">
        <f t="shared" si="3"/>
        <v>34884</v>
      </c>
      <c r="O28">
        <v>0</v>
      </c>
      <c r="P28">
        <v>40750</v>
      </c>
      <c r="Q28">
        <f t="shared" si="4"/>
        <v>40750</v>
      </c>
      <c r="R28">
        <v>2183.0300000000002</v>
      </c>
      <c r="S28">
        <v>6284.96</v>
      </c>
      <c r="T28">
        <f t="shared" si="5"/>
        <v>4101.93</v>
      </c>
    </row>
    <row r="29" spans="1:20" x14ac:dyDescent="0.3">
      <c r="A29" t="str">
        <f xml:space="preserve"> _xll.EPMOlapMemberO("[CECO].[PARENTH3].[AMSA1003AD4512]","","AMSA1003AD4512 - AAPP y RRII","","000")</f>
        <v>AMSA1003AD4512 - AAPP y RRII</v>
      </c>
      <c r="B29" t="str">
        <f t="shared" si="0"/>
        <v>1003AD4512</v>
      </c>
      <c r="C29" t="str">
        <f>IFERROR(_xlfn.XLOOKUP(B29,'CECOS Corporativos'!$D:$D,'CECOS Corporativos'!$E:$E,""),"")</f>
        <v>AAPP y RRII</v>
      </c>
      <c r="D29" t="str">
        <f>IFERROR(_xlfn.XLOOKUP(B29,'CECOS Corporativos'!$D:$D,'CECOS Corporativos'!$J:$J,""),"")</f>
        <v>VP Asuntos Corporativos</v>
      </c>
      <c r="E29" t="str">
        <f xml:space="preserve"> _xll.EPMOlapMemberO("[CLACO].[PARENTH7].[AMSAINFORMATIC]","","Informática y Comuni","","000")</f>
        <v>Informática y Comuni</v>
      </c>
      <c r="F29" t="str">
        <f t="shared" si="1"/>
        <v>N100300500</v>
      </c>
      <c r="G29" t="s">
        <v>731</v>
      </c>
      <c r="H29" t="str">
        <f>IFERROR(_xlfn.XLOOKUP(F29,'CECOS Corporativos'!$K:$K,'CECOS Corporativos'!$D:$D,""),"")</f>
        <v>1003AD4505</v>
      </c>
      <c r="K29">
        <f t="shared" si="2"/>
        <v>0</v>
      </c>
      <c r="N29">
        <f t="shared" si="3"/>
        <v>0</v>
      </c>
      <c r="O29">
        <v>8067.77</v>
      </c>
      <c r="P29">
        <v>6060</v>
      </c>
      <c r="Q29">
        <f t="shared" si="4"/>
        <v>-2007.7700000000004</v>
      </c>
      <c r="R29">
        <v>1827.2</v>
      </c>
      <c r="T29">
        <f t="shared" si="5"/>
        <v>-1827.2</v>
      </c>
    </row>
    <row r="30" spans="1:20" x14ac:dyDescent="0.3">
      <c r="A30" t="str">
        <f xml:space="preserve"> _xll.EPMOlapMemberO("[CECO].[PARENTH3].[AMSA1003AD4512]","","AMSA1003AD4512 - AAPP y RRII","","000")</f>
        <v>AMSA1003AD4512 - AAPP y RRII</v>
      </c>
      <c r="B30" t="str">
        <f t="shared" si="0"/>
        <v>1003AD4512</v>
      </c>
      <c r="C30" t="str">
        <f>IFERROR(_xlfn.XLOOKUP(B30,'CECOS Corporativos'!$D:$D,'CECOS Corporativos'!$E:$E,""),"")</f>
        <v>AAPP y RRII</v>
      </c>
      <c r="D30" t="str">
        <f>IFERROR(_xlfn.XLOOKUP(B30,'CECOS Corporativos'!$D:$D,'CECOS Corporativos'!$J:$J,""),"")</f>
        <v>VP Asuntos Corporativos</v>
      </c>
      <c r="E30" t="str">
        <f xml:space="preserve"> _xll.EPMOlapMemberO("[CLACO].[PARENTH7].[AMSAGGENERALES.2]","","Otros Gastos","","000")</f>
        <v>Otros Gastos</v>
      </c>
      <c r="F30" t="str">
        <f t="shared" si="1"/>
        <v>N100300500</v>
      </c>
      <c r="G30" t="s">
        <v>731</v>
      </c>
      <c r="H30" t="str">
        <f>IFERROR(_xlfn.XLOOKUP(F30,'CECOS Corporativos'!$K:$K,'CECOS Corporativos'!$D:$D,""),"")</f>
        <v>1003AD4505</v>
      </c>
      <c r="K30">
        <f t="shared" si="2"/>
        <v>0</v>
      </c>
      <c r="L30">
        <v>11763.98</v>
      </c>
      <c r="M30">
        <v>102191</v>
      </c>
      <c r="N30">
        <f t="shared" si="3"/>
        <v>90427.02</v>
      </c>
      <c r="O30">
        <v>100366.71</v>
      </c>
      <c r="P30">
        <v>48972</v>
      </c>
      <c r="Q30">
        <f t="shared" si="4"/>
        <v>-51394.710000000006</v>
      </c>
      <c r="R30">
        <v>30256.639999999999</v>
      </c>
      <c r="S30">
        <v>26601.59</v>
      </c>
      <c r="T30">
        <f t="shared" si="5"/>
        <v>-3655.0499999999993</v>
      </c>
    </row>
    <row r="31" spans="1:20" x14ac:dyDescent="0.3">
      <c r="A31" s="4" t="str">
        <f xml:space="preserve"> _xll.EPMOlapMemberO("[CECO].[PARENTH3].[AMSA1003AD0503]","","AMSA1003AD0503 - Corporativo","","000")</f>
        <v>AMSA1003AD0503 - Corporativo</v>
      </c>
      <c r="B31" t="str">
        <f t="shared" si="0"/>
        <v>1003AD0503</v>
      </c>
      <c r="C31" t="str">
        <f>IFERROR(_xlfn.XLOOKUP(B31,'CECOS Corporativos'!$D:$D,'CECOS Corporativos'!$E:$E,""),"")</f>
        <v>Auditoría (HH Corporativo)</v>
      </c>
      <c r="D31" t="str">
        <f>IFERROR(_xlfn.XLOOKUP(B31,'CECOS Corporativos'!$D:$D,'CECOS Corporativos'!$J:$J,""),"")</f>
        <v>Auditoría (HH Corporativo)</v>
      </c>
      <c r="E31" t="str">
        <f xml:space="preserve"> _xll.EPMOlapMemberO("[CLACO].[PARENTH7].[AMSAASESORIAS]","","Asesorías y Consulto","","000")</f>
        <v>Asesorías y Consulto</v>
      </c>
      <c r="F31" t="str">
        <f t="shared" si="1"/>
        <v>N1003AD050</v>
      </c>
      <c r="G31" t="s">
        <v>732</v>
      </c>
      <c r="H31" t="str">
        <f>IFERROR(_xlfn.XLOOKUP(F31,'CECOS Corporativos'!$K:$K,'CECOS Corporativos'!$D:$D,""),"")</f>
        <v>1003AD0508</v>
      </c>
      <c r="I31">
        <v>-13231.9</v>
      </c>
      <c r="K31">
        <f t="shared" si="2"/>
        <v>13231.9</v>
      </c>
      <c r="N31">
        <f t="shared" si="3"/>
        <v>0</v>
      </c>
      <c r="Q31">
        <f t="shared" si="4"/>
        <v>0</v>
      </c>
      <c r="T31">
        <f t="shared" si="5"/>
        <v>0</v>
      </c>
    </row>
    <row r="32" spans="1:20" x14ac:dyDescent="0.3">
      <c r="A32" s="4" t="str">
        <f xml:space="preserve"> _xll.EPMOlapMemberO("[CECO].[PARENTH3].[AMSA1003AD0503]","","AMSA1003AD0503 - Corporativo","","000")</f>
        <v>AMSA1003AD0503 - Corporativo</v>
      </c>
      <c r="B32" t="str">
        <f t="shared" si="0"/>
        <v>1003AD0503</v>
      </c>
      <c r="C32" t="str">
        <f>IFERROR(_xlfn.XLOOKUP(B32,'CECOS Corporativos'!$D:$D,'CECOS Corporativos'!$E:$E,""),"")</f>
        <v>Auditoría (HH Corporativo)</v>
      </c>
      <c r="D32" t="str">
        <f>IFERROR(_xlfn.XLOOKUP(B32,'CECOS Corporativos'!$D:$D,'CECOS Corporativos'!$J:$J,""),"")</f>
        <v>Auditoría (HH Corporativo)</v>
      </c>
      <c r="E32" t="str">
        <f xml:space="preserve"> _xll.EPMOlapMemberO("[CLACO].[PARENTH7].[AMSASERMANTO.REPA]","","Servicios Mantenimie","","000")</f>
        <v>Servicios Mantenimie</v>
      </c>
      <c r="F32" t="str">
        <f t="shared" si="1"/>
        <v>N1003AD050</v>
      </c>
      <c r="G32" t="s">
        <v>732</v>
      </c>
      <c r="H32" t="str">
        <f>IFERROR(_xlfn.XLOOKUP(F32,'CECOS Corporativos'!$K:$K,'CECOS Corporativos'!$D:$D,""),"")</f>
        <v>1003AD0508</v>
      </c>
      <c r="K32">
        <f t="shared" si="2"/>
        <v>0</v>
      </c>
      <c r="N32">
        <f t="shared" si="3"/>
        <v>0</v>
      </c>
      <c r="Q32">
        <f t="shared" si="4"/>
        <v>0</v>
      </c>
      <c r="R32">
        <v>16.97</v>
      </c>
      <c r="T32">
        <f t="shared" si="5"/>
        <v>-16.97</v>
      </c>
    </row>
    <row r="33" spans="1:20" x14ac:dyDescent="0.3">
      <c r="A33" s="4" t="str">
        <f xml:space="preserve"> _xll.EPMOlapMemberO("[CECO].[PARENTH3].[AMSA1003AD0503]","","AMSA1003AD0503 - Corporativo","","000")</f>
        <v>AMSA1003AD0503 - Corporativo</v>
      </c>
      <c r="B33" t="str">
        <f t="shared" si="0"/>
        <v>1003AD0503</v>
      </c>
      <c r="C33" t="str">
        <f>IFERROR(_xlfn.XLOOKUP(B33,'CECOS Corporativos'!$D:$D,'CECOS Corporativos'!$E:$E,""),"")</f>
        <v>Auditoría (HH Corporativo)</v>
      </c>
      <c r="D33" t="str">
        <f>IFERROR(_xlfn.XLOOKUP(B33,'CECOS Corporativos'!$D:$D,'CECOS Corporativos'!$J:$J,""),"")</f>
        <v>Auditoría (HH Corporativo)</v>
      </c>
      <c r="E33" t="str">
        <f xml:space="preserve"> _xll.EPMOlapMemberO("[CLACO].[PARENTH7].[AMSAG_VIAJES]","","Gastos de Viajes","","000")</f>
        <v>Gastos de Viajes</v>
      </c>
      <c r="F33" t="str">
        <f t="shared" si="1"/>
        <v>N1003AD050</v>
      </c>
      <c r="G33" t="s">
        <v>732</v>
      </c>
      <c r="H33" t="str">
        <f>IFERROR(_xlfn.XLOOKUP(F33,'CECOS Corporativos'!$K:$K,'CECOS Corporativos'!$D:$D,""),"")</f>
        <v>1003AD0508</v>
      </c>
      <c r="I33">
        <v>0</v>
      </c>
      <c r="K33">
        <f t="shared" si="2"/>
        <v>0</v>
      </c>
      <c r="N33">
        <f t="shared" si="3"/>
        <v>0</v>
      </c>
      <c r="Q33">
        <f t="shared" si="4"/>
        <v>0</v>
      </c>
      <c r="T33">
        <f t="shared" si="5"/>
        <v>0</v>
      </c>
    </row>
    <row r="34" spans="1:20" x14ac:dyDescent="0.3">
      <c r="A34" s="4" t="str">
        <f xml:space="preserve"> _xll.EPMOlapMemberO("[CECO].[PARENTH3].[AMSA1003AD0503]","","AMSA1003AD0503 - Corporativo","","000")</f>
        <v>AMSA1003AD0503 - Corporativo</v>
      </c>
      <c r="B34" t="str">
        <f t="shared" si="0"/>
        <v>1003AD0503</v>
      </c>
      <c r="C34" t="str">
        <f>IFERROR(_xlfn.XLOOKUP(B34,'CECOS Corporativos'!$D:$D,'CECOS Corporativos'!$E:$E,""),"")</f>
        <v>Auditoría (HH Corporativo)</v>
      </c>
      <c r="D34" t="str">
        <f>IFERROR(_xlfn.XLOOKUP(B34,'CECOS Corporativos'!$D:$D,'CECOS Corporativos'!$J:$J,""),"")</f>
        <v>Auditoría (HH Corporativo)</v>
      </c>
      <c r="E34" t="str">
        <f xml:space="preserve"> _xll.EPMOlapMemberO("[CLACO].[PARENTH7].[AMSASERV_CORP]","","Servicios Corporativ","","000")</f>
        <v>Servicios Corporativ</v>
      </c>
      <c r="F34" t="str">
        <f t="shared" si="1"/>
        <v>N1003AD050</v>
      </c>
      <c r="G34" t="s">
        <v>732</v>
      </c>
      <c r="H34" t="str">
        <f>IFERROR(_xlfn.XLOOKUP(F34,'CECOS Corporativos'!$K:$K,'CECOS Corporativos'!$D:$D,""),"")</f>
        <v>1003AD0508</v>
      </c>
      <c r="I34">
        <v>385777.39</v>
      </c>
      <c r="J34">
        <v>397697</v>
      </c>
      <c r="K34">
        <f t="shared" si="2"/>
        <v>11919.609999999986</v>
      </c>
      <c r="L34">
        <v>457194.15</v>
      </c>
      <c r="M34">
        <v>416198</v>
      </c>
      <c r="N34">
        <f t="shared" si="3"/>
        <v>-40996.150000000023</v>
      </c>
      <c r="O34">
        <v>185195.85</v>
      </c>
      <c r="P34">
        <v>184267</v>
      </c>
      <c r="Q34">
        <f t="shared" si="4"/>
        <v>-928.85000000000582</v>
      </c>
      <c r="R34">
        <v>223942</v>
      </c>
      <c r="S34">
        <v>235062.76</v>
      </c>
      <c r="T34">
        <f t="shared" si="5"/>
        <v>11120.760000000009</v>
      </c>
    </row>
    <row r="35" spans="1:20" x14ac:dyDescent="0.3">
      <c r="A35" s="4" t="str">
        <f xml:space="preserve"> _xll.EPMOlapMemberO("[CECO].[PARENTH3].[AMSA1003AD0504]","","AMSA1003AD0504 - Desarrollo Corp","","000")</f>
        <v>AMSA1003AD0504 - Desarrollo Corp</v>
      </c>
      <c r="B35" t="str">
        <f t="shared" si="0"/>
        <v>1003AD0504</v>
      </c>
      <c r="C35" t="str">
        <f>IFERROR(_xlfn.XLOOKUP(B35,'CECOS Corporativos'!$D:$D,'CECOS Corporativos'!$E:$E,""),"")</f>
        <v>VP Desarrollo</v>
      </c>
      <c r="D35" t="str">
        <f>IFERROR(_xlfn.XLOOKUP(B35,'CECOS Corporativos'!$D:$D,'CECOS Corporativos'!$J:$J,""),"")</f>
        <v>VP Desarrollo</v>
      </c>
      <c r="E35" t="str">
        <f xml:space="preserve"> _xll.EPMOlapMemberO("[CLACO].[PARENTH7].[AMSAASESORIAS]","","Asesorías y Consulto","","000")</f>
        <v>Asesorías y Consulto</v>
      </c>
      <c r="F35" t="str">
        <f t="shared" si="1"/>
        <v>N1003AD050</v>
      </c>
      <c r="G35" t="s">
        <v>732</v>
      </c>
      <c r="H35" t="str">
        <f>IFERROR(_xlfn.XLOOKUP(F35,'CECOS Corporativos'!$K:$K,'CECOS Corporativos'!$D:$D,""),"")</f>
        <v>1003AD0508</v>
      </c>
      <c r="I35">
        <v>52498.85</v>
      </c>
      <c r="K35">
        <f t="shared" si="2"/>
        <v>-52498.85</v>
      </c>
      <c r="L35">
        <v>67660.5</v>
      </c>
      <c r="M35">
        <v>40784</v>
      </c>
      <c r="N35">
        <f t="shared" si="3"/>
        <v>-26876.5</v>
      </c>
      <c r="O35">
        <v>-3302.73</v>
      </c>
      <c r="Q35">
        <f t="shared" si="4"/>
        <v>3302.73</v>
      </c>
      <c r="T35">
        <f t="shared" si="5"/>
        <v>0</v>
      </c>
    </row>
    <row r="36" spans="1:20" x14ac:dyDescent="0.3">
      <c r="A36" s="4" t="str">
        <f xml:space="preserve"> _xll.EPMOlapMemberO("[CECO].[PARENTH3].[AMSA1003AD0504]","","AMSA1003AD0504 - Desarrollo Corp","","000")</f>
        <v>AMSA1003AD0504 - Desarrollo Corp</v>
      </c>
      <c r="B36" t="str">
        <f t="shared" si="0"/>
        <v>1003AD0504</v>
      </c>
      <c r="C36" t="str">
        <f>IFERROR(_xlfn.XLOOKUP(B36,'CECOS Corporativos'!$D:$D,'CECOS Corporativos'!$E:$E,""),"")</f>
        <v>VP Desarrollo</v>
      </c>
      <c r="D36" t="str">
        <f>IFERROR(_xlfn.XLOOKUP(B36,'CECOS Corporativos'!$D:$D,'CECOS Corporativos'!$J:$J,""),"")</f>
        <v>VP Desarrollo</v>
      </c>
      <c r="E36" t="str">
        <f xml:space="preserve"> _xll.EPMOlapMemberO("[CLACO].[PARENTH7].[AMSASERVICIOS]","","Servicios","","000")</f>
        <v>Servicios</v>
      </c>
      <c r="F36" t="str">
        <f t="shared" si="1"/>
        <v>N1003AD050</v>
      </c>
      <c r="G36" t="s">
        <v>732</v>
      </c>
      <c r="H36" t="str">
        <f>IFERROR(_xlfn.XLOOKUP(F36,'CECOS Corporativos'!$K:$K,'CECOS Corporativos'!$D:$D,""),"")</f>
        <v>1003AD0508</v>
      </c>
      <c r="K36">
        <f t="shared" si="2"/>
        <v>0</v>
      </c>
      <c r="L36">
        <v>178.41</v>
      </c>
      <c r="N36">
        <f t="shared" si="3"/>
        <v>-178.41</v>
      </c>
      <c r="Q36">
        <f t="shared" si="4"/>
        <v>0</v>
      </c>
      <c r="R36">
        <v>-38500</v>
      </c>
      <c r="T36">
        <f t="shared" si="5"/>
        <v>38500</v>
      </c>
    </row>
    <row r="37" spans="1:20" x14ac:dyDescent="0.3">
      <c r="A37" s="4" t="str">
        <f xml:space="preserve"> _xll.EPMOlapMemberO("[CECO].[PARENTH3].[AMSA1003AD0504]","","AMSA1003AD0504 - Desarrollo Corp","","000")</f>
        <v>AMSA1003AD0504 - Desarrollo Corp</v>
      </c>
      <c r="B37" t="str">
        <f t="shared" si="0"/>
        <v>1003AD0504</v>
      </c>
      <c r="C37" t="str">
        <f>IFERROR(_xlfn.XLOOKUP(B37,'CECOS Corporativos'!$D:$D,'CECOS Corporativos'!$E:$E,""),"")</f>
        <v>VP Desarrollo</v>
      </c>
      <c r="D37" t="str">
        <f>IFERROR(_xlfn.XLOOKUP(B37,'CECOS Corporativos'!$D:$D,'CECOS Corporativos'!$J:$J,""),"")</f>
        <v>VP Desarrollo</v>
      </c>
      <c r="E37" t="str">
        <f xml:space="preserve"> _xll.EPMOlapMemberO("[CLACO].[PARENTH7].[AMSASERMANTO.REPA]","","Servicios Mantenimie","","000")</f>
        <v>Servicios Mantenimie</v>
      </c>
      <c r="F37" t="str">
        <f t="shared" si="1"/>
        <v>N1003AD050</v>
      </c>
      <c r="G37" t="s">
        <v>732</v>
      </c>
      <c r="H37" t="str">
        <f>IFERROR(_xlfn.XLOOKUP(F37,'CECOS Corporativos'!$K:$K,'CECOS Corporativos'!$D:$D,""),"")</f>
        <v>1003AD0508</v>
      </c>
      <c r="K37">
        <f t="shared" si="2"/>
        <v>0</v>
      </c>
      <c r="N37">
        <f t="shared" si="3"/>
        <v>0</v>
      </c>
      <c r="Q37">
        <f t="shared" si="4"/>
        <v>0</v>
      </c>
      <c r="R37">
        <v>2211.36</v>
      </c>
      <c r="T37">
        <f t="shared" si="5"/>
        <v>-2211.36</v>
      </c>
    </row>
    <row r="38" spans="1:20" x14ac:dyDescent="0.3">
      <c r="A38" s="4" t="str">
        <f xml:space="preserve"> _xll.EPMOlapMemberO("[CECO].[PARENTH3].[AMSA1003AD0504]","","AMSA1003AD0504 - Desarrollo Corp","","000")</f>
        <v>AMSA1003AD0504 - Desarrollo Corp</v>
      </c>
      <c r="B38" t="str">
        <f t="shared" si="0"/>
        <v>1003AD0504</v>
      </c>
      <c r="C38" t="str">
        <f>IFERROR(_xlfn.XLOOKUP(B38,'CECOS Corporativos'!$D:$D,'CECOS Corporativos'!$E:$E,""),"")</f>
        <v>VP Desarrollo</v>
      </c>
      <c r="D38" t="str">
        <f>IFERROR(_xlfn.XLOOKUP(B38,'CECOS Corporativos'!$D:$D,'CECOS Corporativos'!$J:$J,""),"")</f>
        <v>VP Desarrollo</v>
      </c>
      <c r="E38" t="str">
        <f xml:space="preserve"> _xll.EPMOlapMemberO("[CLACO].[PARENTH7].[AMSAINFORMATIC]","","Informática y Comuni","","000")</f>
        <v>Informática y Comuni</v>
      </c>
      <c r="F38" t="str">
        <f t="shared" si="1"/>
        <v>N1003AD050</v>
      </c>
      <c r="G38" t="s">
        <v>732</v>
      </c>
      <c r="H38" t="str">
        <f>IFERROR(_xlfn.XLOOKUP(F38,'CECOS Corporativos'!$K:$K,'CECOS Corporativos'!$D:$D,""),"")</f>
        <v>1003AD0508</v>
      </c>
      <c r="K38">
        <f t="shared" si="2"/>
        <v>0</v>
      </c>
      <c r="N38">
        <f t="shared" si="3"/>
        <v>0</v>
      </c>
      <c r="O38">
        <v>7733.47</v>
      </c>
      <c r="Q38">
        <f t="shared" si="4"/>
        <v>-7733.47</v>
      </c>
      <c r="R38">
        <v>12358.67</v>
      </c>
      <c r="S38">
        <v>12523.96</v>
      </c>
      <c r="T38">
        <f t="shared" si="5"/>
        <v>165.28999999999905</v>
      </c>
    </row>
    <row r="39" spans="1:20" x14ac:dyDescent="0.3">
      <c r="A39" s="4" t="str">
        <f xml:space="preserve"> _xll.EPMOlapMemberO("[CECO].[PARENTH3].[AMSA1003AD0504]","","AMSA1003AD0504 - Desarrollo Corp","","000")</f>
        <v>AMSA1003AD0504 - Desarrollo Corp</v>
      </c>
      <c r="B39" t="str">
        <f t="shared" si="0"/>
        <v>1003AD0504</v>
      </c>
      <c r="C39" t="str">
        <f>IFERROR(_xlfn.XLOOKUP(B39,'CECOS Corporativos'!$D:$D,'CECOS Corporativos'!$E:$E,""),"")</f>
        <v>VP Desarrollo</v>
      </c>
      <c r="D39" t="str">
        <f>IFERROR(_xlfn.XLOOKUP(B39,'CECOS Corporativos'!$D:$D,'CECOS Corporativos'!$J:$J,""),"")</f>
        <v>VP Desarrollo</v>
      </c>
      <c r="E39" t="str">
        <f xml:space="preserve"> _xll.EPMOlapMemberO("[CLACO].[PARENTH7].[AMSAG_VIAJES]","","Gastos de Viajes","","000")</f>
        <v>Gastos de Viajes</v>
      </c>
      <c r="F39" t="str">
        <f t="shared" si="1"/>
        <v>N1003AD050</v>
      </c>
      <c r="G39" t="s">
        <v>732</v>
      </c>
      <c r="H39" t="str">
        <f>IFERROR(_xlfn.XLOOKUP(F39,'CECOS Corporativos'!$K:$K,'CECOS Corporativos'!$D:$D,""),"")</f>
        <v>1003AD0508</v>
      </c>
      <c r="J39">
        <v>11222.19</v>
      </c>
      <c r="K39">
        <f t="shared" si="2"/>
        <v>11222.19</v>
      </c>
      <c r="L39">
        <v>1116</v>
      </c>
      <c r="M39">
        <v>14439.57</v>
      </c>
      <c r="N39">
        <f t="shared" si="3"/>
        <v>13323.57</v>
      </c>
      <c r="O39">
        <v>816.36</v>
      </c>
      <c r="P39">
        <v>14694</v>
      </c>
      <c r="Q39">
        <f t="shared" si="4"/>
        <v>13877.64</v>
      </c>
      <c r="R39">
        <v>248.5</v>
      </c>
      <c r="S39">
        <v>8893.4500000000007</v>
      </c>
      <c r="T39">
        <f t="shared" si="5"/>
        <v>8644.9500000000007</v>
      </c>
    </row>
    <row r="40" spans="1:20" x14ac:dyDescent="0.3">
      <c r="A40" s="4" t="str">
        <f xml:space="preserve"> _xll.EPMOlapMemberO("[CECO].[PARENTH3].[AMSA1003AD0504]","","AMSA1003AD0504 - Desarrollo Corp","","000")</f>
        <v>AMSA1003AD0504 - Desarrollo Corp</v>
      </c>
      <c r="B40" t="str">
        <f t="shared" si="0"/>
        <v>1003AD0504</v>
      </c>
      <c r="C40" t="str">
        <f>IFERROR(_xlfn.XLOOKUP(B40,'CECOS Corporativos'!$D:$D,'CECOS Corporativos'!$E:$E,""),"")</f>
        <v>VP Desarrollo</v>
      </c>
      <c r="D40" t="str">
        <f>IFERROR(_xlfn.XLOOKUP(B40,'CECOS Corporativos'!$D:$D,'CECOS Corporativos'!$J:$J,""),"")</f>
        <v>VP Desarrollo</v>
      </c>
      <c r="E40" t="str">
        <f xml:space="preserve"> _xll.EPMOlapMemberO("[CLACO].[PARENTH7].[AMSASERV_CORP]","","Servicios Corporativ","","000")</f>
        <v>Servicios Corporativ</v>
      </c>
      <c r="F40" t="str">
        <f t="shared" si="1"/>
        <v>N1003AD050</v>
      </c>
      <c r="G40" t="s">
        <v>732</v>
      </c>
      <c r="H40" t="str">
        <f>IFERROR(_xlfn.XLOOKUP(F40,'CECOS Corporativos'!$K:$K,'CECOS Corporativos'!$D:$D,""),"")</f>
        <v>1003AD0508</v>
      </c>
      <c r="K40">
        <f t="shared" si="2"/>
        <v>0</v>
      </c>
      <c r="N40">
        <f t="shared" si="3"/>
        <v>0</v>
      </c>
      <c r="O40">
        <v>0</v>
      </c>
      <c r="P40">
        <v>196128</v>
      </c>
      <c r="Q40">
        <f t="shared" si="4"/>
        <v>196128</v>
      </c>
      <c r="R40">
        <v>352306</v>
      </c>
      <c r="S40">
        <v>369803.1</v>
      </c>
      <c r="T40">
        <f t="shared" si="5"/>
        <v>17497.099999999977</v>
      </c>
    </row>
    <row r="41" spans="1:20" x14ac:dyDescent="0.3">
      <c r="A41" s="4" t="str">
        <f xml:space="preserve"> _xll.EPMOlapMemberO("[CECO].[PARENTH3].[AMSA1003AD0505]","","AMSA1003AD0505 - Estrateg e Inn Corp","","000")</f>
        <v>AMSA1003AD0505 - Estrateg e Inn Corp</v>
      </c>
      <c r="B41" t="str">
        <f t="shared" si="0"/>
        <v>1003AD0505</v>
      </c>
      <c r="C41" t="str">
        <f>IFERROR(_xlfn.XLOOKUP(B41,'CECOS Corporativos'!$D:$D,'CECOS Corporativos'!$E:$E,""),"")</f>
        <v>Estrategia e Innovación Corp</v>
      </c>
      <c r="D41" t="str">
        <f>IFERROR(_xlfn.XLOOKUP(B41,'CECOS Corporativos'!$D:$D,'CECOS Corporativos'!$J:$J,""),"")</f>
        <v>VP Estrategia e Innovación</v>
      </c>
      <c r="E41" t="str">
        <f xml:space="preserve"> _xll.EPMOlapMemberO("[CLACO].[PARENTH7].[AMSAASESORIAS]","","Asesorías y Consulto","","000")</f>
        <v>Asesorías y Consulto</v>
      </c>
      <c r="F41" t="str">
        <f t="shared" si="1"/>
        <v>N1003AD050</v>
      </c>
      <c r="G41" t="s">
        <v>732</v>
      </c>
      <c r="H41" t="str">
        <f>IFERROR(_xlfn.XLOOKUP(F41,'CECOS Corporativos'!$K:$K,'CECOS Corporativos'!$D:$D,""),"")</f>
        <v>1003AD0508</v>
      </c>
      <c r="I41">
        <v>59124.74</v>
      </c>
      <c r="J41">
        <v>117472</v>
      </c>
      <c r="K41">
        <f t="shared" si="2"/>
        <v>58347.26</v>
      </c>
      <c r="L41">
        <v>39542.769999999997</v>
      </c>
      <c r="M41">
        <v>132551</v>
      </c>
      <c r="N41">
        <f t="shared" si="3"/>
        <v>93008.23000000001</v>
      </c>
      <c r="O41">
        <v>-10.68</v>
      </c>
      <c r="Q41">
        <f t="shared" si="4"/>
        <v>10.68</v>
      </c>
      <c r="T41">
        <f t="shared" si="5"/>
        <v>0</v>
      </c>
    </row>
    <row r="42" spans="1:20" x14ac:dyDescent="0.3">
      <c r="A42" s="4" t="str">
        <f xml:space="preserve"> _xll.EPMOlapMemberO("[CECO].[PARENTH3].[AMSA1003AD0505]","","AMSA1003AD0505 - Estrateg e Inn Corp","","000")</f>
        <v>AMSA1003AD0505 - Estrateg e Inn Corp</v>
      </c>
      <c r="B42" t="str">
        <f t="shared" si="0"/>
        <v>1003AD0505</v>
      </c>
      <c r="C42" t="str">
        <f>IFERROR(_xlfn.XLOOKUP(B42,'CECOS Corporativos'!$D:$D,'CECOS Corporativos'!$E:$E,""),"")</f>
        <v>Estrategia e Innovación Corp</v>
      </c>
      <c r="D42" t="str">
        <f>IFERROR(_xlfn.XLOOKUP(B42,'CECOS Corporativos'!$D:$D,'CECOS Corporativos'!$J:$J,""),"")</f>
        <v>VP Estrategia e Innovación</v>
      </c>
      <c r="E42" t="str">
        <f xml:space="preserve"> _xll.EPMOlapMemberO("[CLACO].[PARENTH7].[AMSASERVICIOS]","","Servicios","","000")</f>
        <v>Servicios</v>
      </c>
      <c r="F42" t="str">
        <f t="shared" si="1"/>
        <v>N1003AD050</v>
      </c>
      <c r="G42" t="s">
        <v>732</v>
      </c>
      <c r="H42" t="str">
        <f>IFERROR(_xlfn.XLOOKUP(F42,'CECOS Corporativos'!$K:$K,'CECOS Corporativos'!$D:$D,""),"")</f>
        <v>1003AD0508</v>
      </c>
      <c r="K42">
        <f t="shared" si="2"/>
        <v>0</v>
      </c>
      <c r="L42">
        <v>99482</v>
      </c>
      <c r="M42">
        <v>92157</v>
      </c>
      <c r="N42">
        <f t="shared" si="3"/>
        <v>-7325</v>
      </c>
      <c r="O42">
        <v>40090</v>
      </c>
      <c r="P42">
        <v>79595</v>
      </c>
      <c r="Q42">
        <f t="shared" si="4"/>
        <v>39505</v>
      </c>
      <c r="R42">
        <v>73987.92</v>
      </c>
      <c r="S42">
        <v>61819.31</v>
      </c>
      <c r="T42">
        <f t="shared" si="5"/>
        <v>-12168.61</v>
      </c>
    </row>
    <row r="43" spans="1:20" x14ac:dyDescent="0.3">
      <c r="A43" s="4" t="str">
        <f xml:space="preserve"> _xll.EPMOlapMemberO("[CECO].[PARENTH3].[AMSA1003AD0505]","","AMSA1003AD0505 - Estrateg e Inn Corp","","000")</f>
        <v>AMSA1003AD0505 - Estrateg e Inn Corp</v>
      </c>
      <c r="B43" t="str">
        <f t="shared" si="0"/>
        <v>1003AD0505</v>
      </c>
      <c r="C43" t="str">
        <f>IFERROR(_xlfn.XLOOKUP(B43,'CECOS Corporativos'!$D:$D,'CECOS Corporativos'!$E:$E,""),"")</f>
        <v>Estrategia e Innovación Corp</v>
      </c>
      <c r="D43" t="str">
        <f>IFERROR(_xlfn.XLOOKUP(B43,'CECOS Corporativos'!$D:$D,'CECOS Corporativos'!$J:$J,""),"")</f>
        <v>VP Estrategia e Innovación</v>
      </c>
      <c r="E43" t="str">
        <f xml:space="preserve"> _xll.EPMOlapMemberO("[CLACO].[PARENTH7].[AMSAINFORMATIC]","","Informática y Comuni","","000")</f>
        <v>Informática y Comuni</v>
      </c>
      <c r="F43" t="str">
        <f t="shared" si="1"/>
        <v>N1003AD050</v>
      </c>
      <c r="G43" t="s">
        <v>732</v>
      </c>
      <c r="H43" t="str">
        <f>IFERROR(_xlfn.XLOOKUP(F43,'CECOS Corporativos'!$K:$K,'CECOS Corporativos'!$D:$D,""),"")</f>
        <v>1003AD0508</v>
      </c>
      <c r="K43">
        <f t="shared" si="2"/>
        <v>0</v>
      </c>
      <c r="L43">
        <v>206740.22</v>
      </c>
      <c r="M43">
        <v>186223</v>
      </c>
      <c r="N43">
        <f t="shared" si="3"/>
        <v>-20517.22</v>
      </c>
      <c r="O43">
        <v>218153.77</v>
      </c>
      <c r="P43">
        <v>245637</v>
      </c>
      <c r="Q43">
        <f t="shared" si="4"/>
        <v>27483.23000000001</v>
      </c>
      <c r="R43">
        <v>454956.39</v>
      </c>
      <c r="S43">
        <v>460933.75</v>
      </c>
      <c r="T43">
        <f t="shared" si="5"/>
        <v>5977.359999999986</v>
      </c>
    </row>
    <row r="44" spans="1:20" x14ac:dyDescent="0.3">
      <c r="A44" s="4" t="str">
        <f xml:space="preserve"> _xll.EPMOlapMemberO("[CECO].[PARENTH3].[AMSA1003AD0505]","","AMSA1003AD0505 - Estrateg e Inn Corp","","000")</f>
        <v>AMSA1003AD0505 - Estrateg e Inn Corp</v>
      </c>
      <c r="B44" t="str">
        <f t="shared" si="0"/>
        <v>1003AD0505</v>
      </c>
      <c r="C44" t="str">
        <f>IFERROR(_xlfn.XLOOKUP(B44,'CECOS Corporativos'!$D:$D,'CECOS Corporativos'!$E:$E,""),"")</f>
        <v>Estrategia e Innovación Corp</v>
      </c>
      <c r="D44" t="str">
        <f>IFERROR(_xlfn.XLOOKUP(B44,'CECOS Corporativos'!$D:$D,'CECOS Corporativos'!$J:$J,""),"")</f>
        <v>VP Estrategia e Innovación</v>
      </c>
      <c r="E44" t="str">
        <f xml:space="preserve"> _xll.EPMOlapMemberO("[CLACO].[PARENTH7].[AMSAG_VIAJES]","","Gastos de Viajes","","000")</f>
        <v>Gastos de Viajes</v>
      </c>
      <c r="F44" t="str">
        <f t="shared" si="1"/>
        <v>N1003AD050</v>
      </c>
      <c r="G44" t="s">
        <v>732</v>
      </c>
      <c r="H44" t="str">
        <f>IFERROR(_xlfn.XLOOKUP(F44,'CECOS Corporativos'!$K:$K,'CECOS Corporativos'!$D:$D,""),"")</f>
        <v>1003AD0508</v>
      </c>
      <c r="K44">
        <f t="shared" si="2"/>
        <v>0</v>
      </c>
      <c r="N44">
        <f t="shared" si="3"/>
        <v>0</v>
      </c>
      <c r="Q44">
        <f t="shared" si="4"/>
        <v>0</v>
      </c>
      <c r="R44">
        <v>1495.67</v>
      </c>
      <c r="T44">
        <f t="shared" si="5"/>
        <v>-1495.67</v>
      </c>
    </row>
    <row r="45" spans="1:20" x14ac:dyDescent="0.3">
      <c r="A45" s="4" t="str">
        <f xml:space="preserve"> _xll.EPMOlapMemberO("[CECO].[PARENTH3].[AMSA1003AD0505]","","AMSA1003AD0505 - Estrateg e Inn Corp","","000")</f>
        <v>AMSA1003AD0505 - Estrateg e Inn Corp</v>
      </c>
      <c r="B45" t="str">
        <f t="shared" si="0"/>
        <v>1003AD0505</v>
      </c>
      <c r="C45" t="str">
        <f>IFERROR(_xlfn.XLOOKUP(B45,'CECOS Corporativos'!$D:$D,'CECOS Corporativos'!$E:$E,""),"")</f>
        <v>Estrategia e Innovación Corp</v>
      </c>
      <c r="D45" t="str">
        <f>IFERROR(_xlfn.XLOOKUP(B45,'CECOS Corporativos'!$D:$D,'CECOS Corporativos'!$J:$J,""),"")</f>
        <v>VP Estrategia e Innovación</v>
      </c>
      <c r="E45" t="str">
        <f xml:space="preserve"> _xll.EPMOlapMemberO("[CLACO].[PARENTH7].[AMSAGGENERALES.2]","","Otros Gastos","","000")</f>
        <v>Otros Gastos</v>
      </c>
      <c r="F45" t="str">
        <f t="shared" si="1"/>
        <v>N1003AD050</v>
      </c>
      <c r="G45" t="s">
        <v>732</v>
      </c>
      <c r="H45" t="str">
        <f>IFERROR(_xlfn.XLOOKUP(F45,'CECOS Corporativos'!$K:$K,'CECOS Corporativos'!$D:$D,""),"")</f>
        <v>1003AD0508</v>
      </c>
      <c r="K45">
        <f t="shared" si="2"/>
        <v>0</v>
      </c>
      <c r="L45">
        <v>11228.29</v>
      </c>
      <c r="N45">
        <f t="shared" si="3"/>
        <v>-11228.29</v>
      </c>
      <c r="O45">
        <v>0</v>
      </c>
      <c r="Q45">
        <f t="shared" si="4"/>
        <v>0</v>
      </c>
      <c r="T45">
        <f t="shared" si="5"/>
        <v>0</v>
      </c>
    </row>
    <row r="46" spans="1:20" x14ac:dyDescent="0.3">
      <c r="A46" s="4" t="str">
        <f xml:space="preserve"> _xll.EPMOlapMemberO("[CECO].[PARENTH3].[AMSA1003AD0505]","","AMSA1003AD0505 - Estrateg e Inn Corp","","000")</f>
        <v>AMSA1003AD0505 - Estrateg e Inn Corp</v>
      </c>
      <c r="B46" t="str">
        <f t="shared" si="0"/>
        <v>1003AD0505</v>
      </c>
      <c r="C46" t="str">
        <f>IFERROR(_xlfn.XLOOKUP(B46,'CECOS Corporativos'!$D:$D,'CECOS Corporativos'!$E:$E,""),"")</f>
        <v>Estrategia e Innovación Corp</v>
      </c>
      <c r="D46" t="str">
        <f>IFERROR(_xlfn.XLOOKUP(B46,'CECOS Corporativos'!$D:$D,'CECOS Corporativos'!$J:$J,""),"")</f>
        <v>VP Estrategia e Innovación</v>
      </c>
      <c r="E46" t="str">
        <f xml:space="preserve"> _xll.EPMOlapMemberO("[CLACO].[PARENTH7].[AMSASERV_CORP]","","Servicios Corporativ","","000")</f>
        <v>Servicios Corporativ</v>
      </c>
      <c r="F46" t="str">
        <f t="shared" si="1"/>
        <v>N1003AD050</v>
      </c>
      <c r="G46" t="s">
        <v>732</v>
      </c>
      <c r="H46" t="str">
        <f>IFERROR(_xlfn.XLOOKUP(F46,'CECOS Corporativos'!$K:$K,'CECOS Corporativos'!$D:$D,""),"")</f>
        <v>1003AD0508</v>
      </c>
      <c r="I46">
        <v>40205</v>
      </c>
      <c r="J46">
        <v>41449</v>
      </c>
      <c r="K46">
        <f t="shared" si="2"/>
        <v>1244</v>
      </c>
      <c r="L46">
        <v>111045.23</v>
      </c>
      <c r="M46">
        <v>99613</v>
      </c>
      <c r="N46">
        <f t="shared" si="3"/>
        <v>-11432.229999999996</v>
      </c>
      <c r="O46">
        <v>642163.77</v>
      </c>
      <c r="P46">
        <v>711536</v>
      </c>
      <c r="Q46">
        <f t="shared" si="4"/>
        <v>69372.229999999981</v>
      </c>
      <c r="R46">
        <v>666099</v>
      </c>
      <c r="S46">
        <v>699176.36</v>
      </c>
      <c r="T46">
        <f t="shared" si="5"/>
        <v>33077.359999999986</v>
      </c>
    </row>
    <row r="47" spans="1:20" x14ac:dyDescent="0.3">
      <c r="A47" s="4" t="str">
        <f xml:space="preserve"> _xll.EPMOlapMemberO("[CECO].[PARENTH3].[AMSA1003AD0506]","","AMSA1003AD0506 - Operaciones Corp","","000")</f>
        <v>AMSA1003AD0506 - Operaciones Corp</v>
      </c>
      <c r="B47" t="str">
        <f t="shared" si="0"/>
        <v>1003AD0506</v>
      </c>
      <c r="C47" t="str">
        <f>IFERROR(_xlfn.XLOOKUP(B47,'CECOS Corporativos'!$D:$D,'CECOS Corporativos'!$E:$E,""),"")</f>
        <v>Operaciones Corp (Distribuibles)</v>
      </c>
      <c r="D47" t="str">
        <f>IFERROR(_xlfn.XLOOKUP(B47,'CECOS Corporativos'!$D:$D,'CECOS Corporativos'!$J:$J,""),"")</f>
        <v>VP Planificación y Servicios Técnicos</v>
      </c>
      <c r="E47" t="str">
        <f xml:space="preserve"> _xll.EPMOlapMemberO("[CLACO].[PARENTH7].[AMSAENTRENAMI]","","Entrenamiento","","000")</f>
        <v>Entrenamiento</v>
      </c>
      <c r="F47" t="str">
        <f t="shared" si="1"/>
        <v>N1003AD050</v>
      </c>
      <c r="G47" t="s">
        <v>732</v>
      </c>
      <c r="H47" t="str">
        <f>IFERROR(_xlfn.XLOOKUP(F47,'CECOS Corporativos'!$K:$K,'CECOS Corporativos'!$D:$D,""),"")</f>
        <v>1003AD0508</v>
      </c>
      <c r="I47">
        <v>33500</v>
      </c>
      <c r="K47">
        <f t="shared" si="2"/>
        <v>-33500</v>
      </c>
      <c r="N47">
        <f t="shared" si="3"/>
        <v>0</v>
      </c>
      <c r="O47">
        <v>98114</v>
      </c>
      <c r="P47">
        <v>28125</v>
      </c>
      <c r="Q47">
        <f t="shared" si="4"/>
        <v>-69989</v>
      </c>
      <c r="R47">
        <v>86319.24</v>
      </c>
      <c r="T47">
        <f t="shared" si="5"/>
        <v>-86319.24</v>
      </c>
    </row>
    <row r="48" spans="1:20" x14ac:dyDescent="0.3">
      <c r="A48" s="4" t="str">
        <f xml:space="preserve"> _xll.EPMOlapMemberO("[CECO].[PARENTH3].[AMSA1003AD0506]","","AMSA1003AD0506 - Operaciones Corp","","000")</f>
        <v>AMSA1003AD0506 - Operaciones Corp</v>
      </c>
      <c r="B48" t="str">
        <f t="shared" si="0"/>
        <v>1003AD0506</v>
      </c>
      <c r="C48" t="str">
        <f>IFERROR(_xlfn.XLOOKUP(B48,'CECOS Corporativos'!$D:$D,'CECOS Corporativos'!$E:$E,""),"")</f>
        <v>Operaciones Corp (Distribuibles)</v>
      </c>
      <c r="D48" t="str">
        <f>IFERROR(_xlfn.XLOOKUP(B48,'CECOS Corporativos'!$D:$D,'CECOS Corporativos'!$J:$J,""),"")</f>
        <v>VP Planificación y Servicios Técnicos</v>
      </c>
      <c r="E48" t="str">
        <f xml:space="preserve"> _xll.EPMOlapMemberO("[CLACO].[PARENTH7].[AMSAASESORIAS]","","Asesorías y Consulto","","000")</f>
        <v>Asesorías y Consulto</v>
      </c>
      <c r="F48" t="str">
        <f t="shared" si="1"/>
        <v>N1003AD050</v>
      </c>
      <c r="G48" t="s">
        <v>732</v>
      </c>
      <c r="H48" t="str">
        <f>IFERROR(_xlfn.XLOOKUP(F48,'CECOS Corporativos'!$K:$K,'CECOS Corporativos'!$D:$D,""),"")</f>
        <v>1003AD0508</v>
      </c>
      <c r="I48">
        <v>320169.5</v>
      </c>
      <c r="J48">
        <v>223816</v>
      </c>
      <c r="K48">
        <f t="shared" si="2"/>
        <v>-96353.5</v>
      </c>
      <c r="L48">
        <v>178198.98</v>
      </c>
      <c r="M48">
        <v>220967</v>
      </c>
      <c r="N48">
        <f t="shared" si="3"/>
        <v>42768.01999999999</v>
      </c>
      <c r="O48">
        <v>9582.2199999999993</v>
      </c>
      <c r="P48">
        <v>118500</v>
      </c>
      <c r="Q48">
        <f t="shared" si="4"/>
        <v>108917.78</v>
      </c>
      <c r="R48">
        <v>49330.97</v>
      </c>
      <c r="S48">
        <v>90000.97</v>
      </c>
      <c r="T48">
        <f t="shared" si="5"/>
        <v>40670</v>
      </c>
    </row>
    <row r="49" spans="1:20" x14ac:dyDescent="0.3">
      <c r="A49" s="4" t="str">
        <f xml:space="preserve"> _xll.EPMOlapMemberO("[CECO].[PARENTH3].[AMSA1003AD0506]","","AMSA1003AD0506 - Operaciones Corp","","000")</f>
        <v>AMSA1003AD0506 - Operaciones Corp</v>
      </c>
      <c r="B49" t="str">
        <f t="shared" si="0"/>
        <v>1003AD0506</v>
      </c>
      <c r="C49" t="str">
        <f>IFERROR(_xlfn.XLOOKUP(B49,'CECOS Corporativos'!$D:$D,'CECOS Corporativos'!$E:$E,""),"")</f>
        <v>Operaciones Corp (Distribuibles)</v>
      </c>
      <c r="D49" t="str">
        <f>IFERROR(_xlfn.XLOOKUP(B49,'CECOS Corporativos'!$D:$D,'CECOS Corporativos'!$J:$J,""),"")</f>
        <v>VP Planificación y Servicios Técnicos</v>
      </c>
      <c r="E49" t="str">
        <f xml:space="preserve"> _xll.EPMOlapMemberO("[CLACO].[PARENTH7].[AMSASERVICIOS]","","Servicios","","000")</f>
        <v>Servicios</v>
      </c>
      <c r="F49" t="str">
        <f t="shared" si="1"/>
        <v>N1003AD050</v>
      </c>
      <c r="G49" t="s">
        <v>732</v>
      </c>
      <c r="H49" t="str">
        <f>IFERROR(_xlfn.XLOOKUP(F49,'CECOS Corporativos'!$K:$K,'CECOS Corporativos'!$D:$D,""),"")</f>
        <v>1003AD0508</v>
      </c>
      <c r="K49">
        <f t="shared" si="2"/>
        <v>0</v>
      </c>
      <c r="N49">
        <f t="shared" si="3"/>
        <v>0</v>
      </c>
      <c r="O49">
        <v>44854.26</v>
      </c>
      <c r="P49">
        <v>101978</v>
      </c>
      <c r="Q49">
        <f t="shared" si="4"/>
        <v>57123.74</v>
      </c>
      <c r="R49">
        <v>230372.12</v>
      </c>
      <c r="S49">
        <v>283661.01</v>
      </c>
      <c r="T49">
        <f t="shared" si="5"/>
        <v>53288.890000000014</v>
      </c>
    </row>
    <row r="50" spans="1:20" x14ac:dyDescent="0.3">
      <c r="A50" s="4" t="str">
        <f xml:space="preserve"> _xll.EPMOlapMemberO("[CECO].[PARENTH3].[AMSA1003AD0506]","","AMSA1003AD0506 - Operaciones Corp","","000")</f>
        <v>AMSA1003AD0506 - Operaciones Corp</v>
      </c>
      <c r="B50" t="str">
        <f t="shared" si="0"/>
        <v>1003AD0506</v>
      </c>
      <c r="C50" t="str">
        <f>IFERROR(_xlfn.XLOOKUP(B50,'CECOS Corporativos'!$D:$D,'CECOS Corporativos'!$E:$E,""),"")</f>
        <v>Operaciones Corp (Distribuibles)</v>
      </c>
      <c r="D50" t="str">
        <f>IFERROR(_xlfn.XLOOKUP(B50,'CECOS Corporativos'!$D:$D,'CECOS Corporativos'!$J:$J,""),"")</f>
        <v>VP Planificación y Servicios Técnicos</v>
      </c>
      <c r="E50" t="str">
        <f xml:space="preserve"> _xll.EPMOlapMemberO("[CLACO].[PARENTH7].[AMSAINFORMATIC]","","Informática y Comuni","","000")</f>
        <v>Informática y Comuni</v>
      </c>
      <c r="F50" t="str">
        <f t="shared" si="1"/>
        <v>N1003AD050</v>
      </c>
      <c r="G50" t="s">
        <v>732</v>
      </c>
      <c r="H50" t="str">
        <f>IFERROR(_xlfn.XLOOKUP(F50,'CECOS Corporativos'!$K:$K,'CECOS Corporativos'!$D:$D,""),"")</f>
        <v>1003AD0508</v>
      </c>
      <c r="I50">
        <v>11281.29</v>
      </c>
      <c r="J50">
        <v>16043</v>
      </c>
      <c r="K50">
        <f t="shared" si="2"/>
        <v>4761.7099999999991</v>
      </c>
      <c r="L50">
        <v>28156.58</v>
      </c>
      <c r="N50">
        <f t="shared" si="3"/>
        <v>-28156.58</v>
      </c>
      <c r="O50">
        <v>36905.089999999997</v>
      </c>
      <c r="Q50">
        <f t="shared" si="4"/>
        <v>-36905.089999999997</v>
      </c>
      <c r="R50">
        <v>34580.06</v>
      </c>
      <c r="T50">
        <f t="shared" si="5"/>
        <v>-34580.06</v>
      </c>
    </row>
    <row r="51" spans="1:20" x14ac:dyDescent="0.3">
      <c r="A51" s="4" t="str">
        <f xml:space="preserve"> _xll.EPMOlapMemberO("[CECO].[PARENTH3].[AMSA1003AD0506]","","AMSA1003AD0506 - Operaciones Corp","","000")</f>
        <v>AMSA1003AD0506 - Operaciones Corp</v>
      </c>
      <c r="B51" t="str">
        <f t="shared" si="0"/>
        <v>1003AD0506</v>
      </c>
      <c r="C51" t="str">
        <f>IFERROR(_xlfn.XLOOKUP(B51,'CECOS Corporativos'!$D:$D,'CECOS Corporativos'!$E:$E,""),"")</f>
        <v>Operaciones Corp (Distribuibles)</v>
      </c>
      <c r="D51" t="str">
        <f>IFERROR(_xlfn.XLOOKUP(B51,'CECOS Corporativos'!$D:$D,'CECOS Corporativos'!$J:$J,""),"")</f>
        <v>VP Planificación y Servicios Técnicos</v>
      </c>
      <c r="E51" t="str">
        <f xml:space="preserve"> _xll.EPMOlapMemberO("[CLACO].[PARENTH7].[AMSAGGENERALES.2]","","Otros Gastos","","000")</f>
        <v>Otros Gastos</v>
      </c>
      <c r="F51" t="str">
        <f t="shared" si="1"/>
        <v>N1003AD050</v>
      </c>
      <c r="G51" t="s">
        <v>732</v>
      </c>
      <c r="H51" t="str">
        <f>IFERROR(_xlfn.XLOOKUP(F51,'CECOS Corporativos'!$K:$K,'CECOS Corporativos'!$D:$D,""),"")</f>
        <v>1003AD0508</v>
      </c>
      <c r="K51">
        <f t="shared" si="2"/>
        <v>0</v>
      </c>
      <c r="N51">
        <f t="shared" si="3"/>
        <v>0</v>
      </c>
      <c r="Q51">
        <f t="shared" si="4"/>
        <v>0</v>
      </c>
      <c r="R51">
        <v>4809.88</v>
      </c>
      <c r="T51">
        <f t="shared" si="5"/>
        <v>-4809.88</v>
      </c>
    </row>
    <row r="52" spans="1:20" x14ac:dyDescent="0.3">
      <c r="A52" s="4" t="str">
        <f xml:space="preserve"> _xll.EPMOlapMemberO("[CECO].[PARENTH3].[AMSA1003AD0506]","","AMSA1003AD0506 - Operaciones Corp","","000")</f>
        <v>AMSA1003AD0506 - Operaciones Corp</v>
      </c>
      <c r="B52" t="str">
        <f t="shared" si="0"/>
        <v>1003AD0506</v>
      </c>
      <c r="C52" t="str">
        <f>IFERROR(_xlfn.XLOOKUP(B52,'CECOS Corporativos'!$D:$D,'CECOS Corporativos'!$E:$E,""),"")</f>
        <v>Operaciones Corp (Distribuibles)</v>
      </c>
      <c r="D52" t="str">
        <f>IFERROR(_xlfn.XLOOKUP(B52,'CECOS Corporativos'!$D:$D,'CECOS Corporativos'!$J:$J,""),"")</f>
        <v>VP Planificación y Servicios Técnicos</v>
      </c>
      <c r="E52" t="str">
        <f xml:space="preserve"> _xll.EPMOlapMemberO("[CLACO].[PARENTH7].[AMSASERV_CORP]","","Servicios Corporativ","","000")</f>
        <v>Servicios Corporativ</v>
      </c>
      <c r="F52" t="str">
        <f t="shared" si="1"/>
        <v>N1003AD050</v>
      </c>
      <c r="G52" t="s">
        <v>732</v>
      </c>
      <c r="H52" t="str">
        <f>IFERROR(_xlfn.XLOOKUP(F52,'CECOS Corporativos'!$K:$K,'CECOS Corporativos'!$D:$D,""),"")</f>
        <v>1003AD0508</v>
      </c>
      <c r="K52">
        <f t="shared" si="2"/>
        <v>0</v>
      </c>
      <c r="N52">
        <f t="shared" si="3"/>
        <v>0</v>
      </c>
      <c r="O52">
        <v>841858.32</v>
      </c>
      <c r="P52">
        <v>932804</v>
      </c>
      <c r="Q52">
        <f t="shared" si="4"/>
        <v>90945.680000000051</v>
      </c>
      <c r="R52">
        <v>913518</v>
      </c>
      <c r="S52">
        <v>958884.43</v>
      </c>
      <c r="T52">
        <f t="shared" si="5"/>
        <v>45366.430000000051</v>
      </c>
    </row>
    <row r="53" spans="1:20" x14ac:dyDescent="0.3">
      <c r="A53" s="4" t="str">
        <f xml:space="preserve"> _xll.EPMOlapMemberO("[CECO].[PARENTH3].[AMSA1003AD0508]","","AMSA1003AD0508 - Finanzas Corporativo","","000")</f>
        <v>AMSA1003AD0508 - Finanzas Corporativo</v>
      </c>
      <c r="B53" t="str">
        <f t="shared" si="0"/>
        <v>1003AD0508</v>
      </c>
      <c r="C53" t="str">
        <f>IFERROR(_xlfn.XLOOKUP(B53,'CECOS Corporativos'!$D:$D,'CECOS Corporativos'!$E:$E,""),"")</f>
        <v>Finanzas Corporativo (HH Corporativo)</v>
      </c>
      <c r="D53" t="str">
        <f>IFERROR(_xlfn.XLOOKUP(B53,'CECOS Corporativos'!$D:$D,'CECOS Corporativos'!$J:$J,""),"")</f>
        <v>VP Finanzas</v>
      </c>
      <c r="E53" t="str">
        <f xml:space="preserve"> _xll.EPMOlapMemberO("[CLACO].[PARENTH7].[AMSASERV_CORP]","","Servicios Corporativ","","000")</f>
        <v>Servicios Corporativ</v>
      </c>
      <c r="F53" t="str">
        <f t="shared" si="1"/>
        <v>N1003AD050</v>
      </c>
      <c r="G53" t="s">
        <v>732</v>
      </c>
      <c r="H53" t="str">
        <f>IFERROR(_xlfn.XLOOKUP(F53,'CECOS Corporativos'!$K:$K,'CECOS Corporativos'!$D:$D,""),"")</f>
        <v>1003AD0508</v>
      </c>
      <c r="K53">
        <f t="shared" si="2"/>
        <v>0</v>
      </c>
      <c r="N53">
        <f t="shared" si="3"/>
        <v>0</v>
      </c>
      <c r="O53">
        <v>2313464</v>
      </c>
      <c r="P53">
        <v>2563388</v>
      </c>
      <c r="Q53">
        <f t="shared" si="4"/>
        <v>249924</v>
      </c>
      <c r="R53">
        <v>2343174</v>
      </c>
      <c r="S53">
        <v>2459527.5099999998</v>
      </c>
      <c r="T53">
        <f t="shared" si="5"/>
        <v>116353.50999999978</v>
      </c>
    </row>
    <row r="54" spans="1:20" x14ac:dyDescent="0.3">
      <c r="A54" s="4" t="str">
        <f xml:space="preserve"> _xll.EPMOlapMemberO("[CECO].[PARENTH3].[AMSA1003AD0509]","","AMSA1003AD0509 - Legal Corporativo","","000")</f>
        <v>AMSA1003AD0509 - Legal Corporativo</v>
      </c>
      <c r="B54" t="str">
        <f t="shared" si="0"/>
        <v>1003AD0509</v>
      </c>
      <c r="C54" t="str">
        <f>IFERROR(_xlfn.XLOOKUP(B54,'CECOS Corporativos'!$D:$D,'CECOS Corporativos'!$E:$E,""),"")</f>
        <v>Legal Corporativo (HH Corporativo)</v>
      </c>
      <c r="D54" t="str">
        <f>IFERROR(_xlfn.XLOOKUP(B54,'CECOS Corporativos'!$D:$D,'CECOS Corporativos'!$J:$J,""),"")</f>
        <v>VP Legal</v>
      </c>
      <c r="E54" t="str">
        <f xml:space="preserve"> _xll.EPMOlapMemberO("[CLACO].[PARENTH7].[AMSAMAT_Y_REP.2]","","Materiales y repuest","","000")</f>
        <v>Materiales y repuest</v>
      </c>
      <c r="F54" t="str">
        <f t="shared" si="1"/>
        <v>N1003AD050</v>
      </c>
      <c r="G54" t="s">
        <v>732</v>
      </c>
      <c r="H54" t="str">
        <f>IFERROR(_xlfn.XLOOKUP(F54,'CECOS Corporativos'!$K:$K,'CECOS Corporativos'!$D:$D,""),"")</f>
        <v>1003AD0508</v>
      </c>
      <c r="K54">
        <f t="shared" si="2"/>
        <v>0</v>
      </c>
      <c r="N54">
        <f t="shared" si="3"/>
        <v>0</v>
      </c>
      <c r="Q54">
        <f t="shared" si="4"/>
        <v>0</v>
      </c>
      <c r="R54">
        <v>93.06</v>
      </c>
      <c r="T54">
        <f t="shared" si="5"/>
        <v>-93.06</v>
      </c>
    </row>
    <row r="55" spans="1:20" x14ac:dyDescent="0.3">
      <c r="A55" s="4" t="str">
        <f xml:space="preserve"> _xll.EPMOlapMemberO("[CECO].[PARENTH3].[AMSA1003AD0509]","","AMSA1003AD0509 - Legal Corporativo","","000")</f>
        <v>AMSA1003AD0509 - Legal Corporativo</v>
      </c>
      <c r="B55" t="str">
        <f t="shared" si="0"/>
        <v>1003AD0509</v>
      </c>
      <c r="C55" t="str">
        <f>IFERROR(_xlfn.XLOOKUP(B55,'CECOS Corporativos'!$D:$D,'CECOS Corporativos'!$E:$E,""),"")</f>
        <v>Legal Corporativo (HH Corporativo)</v>
      </c>
      <c r="D55" t="str">
        <f>IFERROR(_xlfn.XLOOKUP(B55,'CECOS Corporativos'!$D:$D,'CECOS Corporativos'!$J:$J,""),"")</f>
        <v>VP Legal</v>
      </c>
      <c r="E55" t="str">
        <f xml:space="preserve"> _xll.EPMOlapMemberO("[CLACO].[PARENTH7].[AMSASERV_CORP]","","Servicios Corporativ","","000")</f>
        <v>Servicios Corporativ</v>
      </c>
      <c r="F55" t="str">
        <f t="shared" si="1"/>
        <v>N1003AD050</v>
      </c>
      <c r="G55" t="s">
        <v>732</v>
      </c>
      <c r="H55" t="str">
        <f>IFERROR(_xlfn.XLOOKUP(F55,'CECOS Corporativos'!$K:$K,'CECOS Corporativos'!$D:$D,""),"")</f>
        <v>1003AD0508</v>
      </c>
      <c r="K55">
        <f t="shared" si="2"/>
        <v>0</v>
      </c>
      <c r="N55">
        <f t="shared" si="3"/>
        <v>0</v>
      </c>
      <c r="O55">
        <v>236055</v>
      </c>
      <c r="P55">
        <v>261554</v>
      </c>
      <c r="Q55">
        <f t="shared" si="4"/>
        <v>25499</v>
      </c>
      <c r="R55">
        <v>260914</v>
      </c>
      <c r="S55">
        <v>273869.84000000003</v>
      </c>
      <c r="T55">
        <f t="shared" si="5"/>
        <v>12955.840000000026</v>
      </c>
    </row>
    <row r="56" spans="1:20" x14ac:dyDescent="0.3">
      <c r="A56" s="4" t="str">
        <f xml:space="preserve"> _xll.EPMOlapMemberO("[CECO].[PARENTH3].[AMSA1003AD0511]","","AMSA1003AD0511 - Reporting VPACS Corp","","000")</f>
        <v>AMSA1003AD0511 - Reporting VPACS Corp</v>
      </c>
      <c r="B56" t="str">
        <f t="shared" si="0"/>
        <v>1003AD0511</v>
      </c>
      <c r="C56" t="str">
        <f>IFERROR(_xlfn.XLOOKUP(B56,'CECOS Corporativos'!$D:$D,'CECOS Corporativos'!$E:$E,""),"")</f>
        <v>Reporting VPACS Corporativo</v>
      </c>
      <c r="D56" t="str">
        <f>IFERROR(_xlfn.XLOOKUP(B56,'CECOS Corporativos'!$D:$D,'CECOS Corporativos'!$J:$J,""),"")</f>
        <v>VP Sustentabilidad</v>
      </c>
      <c r="E56" t="str">
        <f xml:space="preserve"> _xll.EPMOlapMemberO("[CLACO].[PARENTH7].[AMSAASESORIAS]","","Asesorías y Consulto","","000")</f>
        <v>Asesorías y Consulto</v>
      </c>
      <c r="F56" t="str">
        <f t="shared" si="1"/>
        <v>N1003AD050</v>
      </c>
      <c r="G56" t="s">
        <v>732</v>
      </c>
      <c r="H56" t="str">
        <f>IFERROR(_xlfn.XLOOKUP(F56,'CECOS Corporativos'!$K:$K,'CECOS Corporativos'!$D:$D,""),"")</f>
        <v>1003AD0508</v>
      </c>
      <c r="K56">
        <f t="shared" si="2"/>
        <v>0</v>
      </c>
      <c r="N56">
        <f t="shared" si="3"/>
        <v>0</v>
      </c>
      <c r="O56">
        <v>-77.709999999999994</v>
      </c>
      <c r="Q56">
        <f t="shared" si="4"/>
        <v>77.709999999999994</v>
      </c>
      <c r="T56">
        <f t="shared" si="5"/>
        <v>0</v>
      </c>
    </row>
    <row r="57" spans="1:20" x14ac:dyDescent="0.3">
      <c r="A57" s="4" t="str">
        <f xml:space="preserve"> _xll.EPMOlapMemberO("[CECO].[PARENTH3].[AMSA1003AD0511]","","AMSA1003AD0511 - Reporting VPACS Corp","","000")</f>
        <v>AMSA1003AD0511 - Reporting VPACS Corp</v>
      </c>
      <c r="B57" t="str">
        <f t="shared" si="0"/>
        <v>1003AD0511</v>
      </c>
      <c r="C57" t="str">
        <f>IFERROR(_xlfn.XLOOKUP(B57,'CECOS Corporativos'!$D:$D,'CECOS Corporativos'!$E:$E,""),"")</f>
        <v>Reporting VPACS Corporativo</v>
      </c>
      <c r="D57" t="str">
        <f>IFERROR(_xlfn.XLOOKUP(B57,'CECOS Corporativos'!$D:$D,'CECOS Corporativos'!$J:$J,""),"")</f>
        <v>VP Sustentabilidad</v>
      </c>
      <c r="E57" t="str">
        <f xml:space="preserve"> _xll.EPMOlapMemberO("[CLACO].[PARENTH7].[AMSASERVICIOS]","","Servicios","","000")</f>
        <v>Servicios</v>
      </c>
      <c r="F57" t="str">
        <f t="shared" si="1"/>
        <v>N1003AD050</v>
      </c>
      <c r="G57" t="s">
        <v>732</v>
      </c>
      <c r="H57" t="str">
        <f>IFERROR(_xlfn.XLOOKUP(F57,'CECOS Corporativos'!$K:$K,'CECOS Corporativos'!$D:$D,""),"")</f>
        <v>1003AD0508</v>
      </c>
      <c r="K57">
        <f t="shared" si="2"/>
        <v>0</v>
      </c>
      <c r="N57">
        <f t="shared" si="3"/>
        <v>0</v>
      </c>
      <c r="O57">
        <v>79921.95</v>
      </c>
      <c r="P57">
        <v>66444</v>
      </c>
      <c r="Q57">
        <f t="shared" si="4"/>
        <v>-13477.949999999997</v>
      </c>
      <c r="R57">
        <v>48552.15</v>
      </c>
      <c r="S57">
        <v>65098.27</v>
      </c>
      <c r="T57">
        <f t="shared" si="5"/>
        <v>16546.119999999995</v>
      </c>
    </row>
    <row r="58" spans="1:20" x14ac:dyDescent="0.3">
      <c r="A58" s="4" t="str">
        <f xml:space="preserve"> _xll.EPMOlapMemberO("[CECO].[PARENTH3].[AMSA1003AD0511]","","AMSA1003AD0511 - Reporting VPACS Corp","","000")</f>
        <v>AMSA1003AD0511 - Reporting VPACS Corp</v>
      </c>
      <c r="B58" t="str">
        <f t="shared" si="0"/>
        <v>1003AD0511</v>
      </c>
      <c r="C58" t="str">
        <f>IFERROR(_xlfn.XLOOKUP(B58,'CECOS Corporativos'!$D:$D,'CECOS Corporativos'!$E:$E,""),"")</f>
        <v>Reporting VPACS Corporativo</v>
      </c>
      <c r="D58" t="str">
        <f>IFERROR(_xlfn.XLOOKUP(B58,'CECOS Corporativos'!$D:$D,'CECOS Corporativos'!$J:$J,""),"")</f>
        <v>VP Sustentabilidad</v>
      </c>
      <c r="E58" t="str">
        <f xml:space="preserve"> _xll.EPMOlapMemberO("[CLACO].[PARENTH7].[AMSAINFORMATIC]","","Informática y Comuni","","000")</f>
        <v>Informática y Comuni</v>
      </c>
      <c r="F58" t="str">
        <f t="shared" si="1"/>
        <v>N1003AD050</v>
      </c>
      <c r="G58" t="s">
        <v>732</v>
      </c>
      <c r="H58" t="str">
        <f>IFERROR(_xlfn.XLOOKUP(F58,'CECOS Corporativos'!$K:$K,'CECOS Corporativos'!$D:$D,""),"")</f>
        <v>1003AD0508</v>
      </c>
      <c r="K58">
        <f t="shared" si="2"/>
        <v>0</v>
      </c>
      <c r="N58">
        <f t="shared" si="3"/>
        <v>0</v>
      </c>
      <c r="O58">
        <v>945.5</v>
      </c>
      <c r="P58">
        <v>5499</v>
      </c>
      <c r="Q58">
        <f t="shared" si="4"/>
        <v>4553.5</v>
      </c>
      <c r="T58">
        <f t="shared" si="5"/>
        <v>0</v>
      </c>
    </row>
    <row r="59" spans="1:20" x14ac:dyDescent="0.3">
      <c r="A59" s="4" t="str">
        <f xml:space="preserve"> _xll.EPMOlapMemberO("[CECO].[PARENTH3].[AMSA1003AD0511]","","AMSA1003AD0511 - Reporting VPACS Corp","","000")</f>
        <v>AMSA1003AD0511 - Reporting VPACS Corp</v>
      </c>
      <c r="B59" t="str">
        <f t="shared" si="0"/>
        <v>1003AD0511</v>
      </c>
      <c r="C59" t="str">
        <f>IFERROR(_xlfn.XLOOKUP(B59,'CECOS Corporativos'!$D:$D,'CECOS Corporativos'!$E:$E,""),"")</f>
        <v>Reporting VPACS Corporativo</v>
      </c>
      <c r="D59" t="str">
        <f>IFERROR(_xlfn.XLOOKUP(B59,'CECOS Corporativos'!$D:$D,'CECOS Corporativos'!$J:$J,""),"")</f>
        <v>VP Sustentabilidad</v>
      </c>
      <c r="E59" t="str">
        <f xml:space="preserve"> _xll.EPMOlapMemberO("[CLACO].[PARENTH7].[AMSAGGENERALES.2]","","Otros Gastos","","000")</f>
        <v>Otros Gastos</v>
      </c>
      <c r="F59" t="str">
        <f t="shared" si="1"/>
        <v>N1003AD050</v>
      </c>
      <c r="G59" t="s">
        <v>732</v>
      </c>
      <c r="H59" t="str">
        <f>IFERROR(_xlfn.XLOOKUP(F59,'CECOS Corporativos'!$K:$K,'CECOS Corporativos'!$D:$D,""),"")</f>
        <v>1003AD0508</v>
      </c>
      <c r="K59">
        <f t="shared" si="2"/>
        <v>0</v>
      </c>
      <c r="N59">
        <f t="shared" si="3"/>
        <v>0</v>
      </c>
      <c r="O59">
        <v>40840.65</v>
      </c>
      <c r="P59">
        <v>49478</v>
      </c>
      <c r="Q59">
        <f t="shared" si="4"/>
        <v>8637.3499999999985</v>
      </c>
      <c r="R59">
        <v>54135.64</v>
      </c>
      <c r="S59">
        <v>51929.120000000003</v>
      </c>
      <c r="T59">
        <f t="shared" si="5"/>
        <v>-2206.5199999999968</v>
      </c>
    </row>
    <row r="60" spans="1:20" x14ac:dyDescent="0.3">
      <c r="A60" s="4" t="str">
        <f xml:space="preserve"> _xll.EPMOlapMemberO("[CECO].[PARENTH3].[AMSA1003AD3502]","","AMSA1003AD3502 - Finanzas","","000")</f>
        <v>AMSA1003AD3502 - Finanzas</v>
      </c>
      <c r="B60" t="str">
        <f t="shared" si="0"/>
        <v>1003AD3502</v>
      </c>
      <c r="C60" t="str">
        <f>IFERROR(_xlfn.XLOOKUP(B60,'CECOS Corporativos'!$D:$D,'CECOS Corporativos'!$E:$E,""),"")</f>
        <v>Gerencia de Inversiones &amp; Finanzas</v>
      </c>
      <c r="D60" t="str">
        <f>IFERROR(_xlfn.XLOOKUP(B60,'CECOS Corporativos'!$D:$D,'CECOS Corporativos'!$J:$J,""),"")</f>
        <v>VP Finanzas</v>
      </c>
      <c r="E60" t="str">
        <f xml:space="preserve"> _xll.EPMOlapMemberO("[CLACO].[PARENTH7].[AMSAMAT_Y_REP.2]","","Materiales y repuest","","000")</f>
        <v>Materiales y repuest</v>
      </c>
      <c r="F60" t="str">
        <f t="shared" si="1"/>
        <v>N1003AD350</v>
      </c>
      <c r="G60" t="s">
        <v>733</v>
      </c>
      <c r="H60" t="str">
        <f>IFERROR(_xlfn.XLOOKUP(F60,'CECOS Corporativos'!$K:$K,'CECOS Corporativos'!$D:$D,""),"")</f>
        <v/>
      </c>
      <c r="K60">
        <f t="shared" si="2"/>
        <v>0</v>
      </c>
      <c r="N60">
        <f t="shared" si="3"/>
        <v>0</v>
      </c>
      <c r="O60">
        <v>52.88</v>
      </c>
      <c r="Q60">
        <f t="shared" si="4"/>
        <v>-52.88</v>
      </c>
      <c r="T60">
        <f t="shared" si="5"/>
        <v>0</v>
      </c>
    </row>
    <row r="61" spans="1:20" x14ac:dyDescent="0.3">
      <c r="A61" s="4" t="str">
        <f xml:space="preserve"> _xll.EPMOlapMemberO("[CECO].[PARENTH3].[AMSA1003AD3502]","","AMSA1003AD3502 - Finanzas","","000")</f>
        <v>AMSA1003AD3502 - Finanzas</v>
      </c>
      <c r="B61" t="str">
        <f t="shared" si="0"/>
        <v>1003AD3502</v>
      </c>
      <c r="C61" t="str">
        <f>IFERROR(_xlfn.XLOOKUP(B61,'CECOS Corporativos'!$D:$D,'CECOS Corporativos'!$E:$E,""),"")</f>
        <v>Gerencia de Inversiones &amp; Finanzas</v>
      </c>
      <c r="D61" t="str">
        <f>IFERROR(_xlfn.XLOOKUP(B61,'CECOS Corporativos'!$D:$D,'CECOS Corporativos'!$J:$J,""),"")</f>
        <v>VP Finanzas</v>
      </c>
      <c r="E61" t="str">
        <f xml:space="preserve"> _xll.EPMOlapMemberO("[CLACO].[PARENTH7].[AMSAENTRENAMI]","","Entrenamiento","","000")</f>
        <v>Entrenamiento</v>
      </c>
      <c r="F61" t="str">
        <f t="shared" si="1"/>
        <v>N1003AD350</v>
      </c>
      <c r="G61" t="s">
        <v>733</v>
      </c>
      <c r="H61" t="str">
        <f>IFERROR(_xlfn.XLOOKUP(F61,'CECOS Corporativos'!$K:$K,'CECOS Corporativos'!$D:$D,""),"")</f>
        <v/>
      </c>
      <c r="K61">
        <f t="shared" si="2"/>
        <v>0</v>
      </c>
      <c r="L61">
        <v>0</v>
      </c>
      <c r="N61">
        <f t="shared" si="3"/>
        <v>0</v>
      </c>
      <c r="Q61">
        <f t="shared" si="4"/>
        <v>0</v>
      </c>
      <c r="T61">
        <f t="shared" si="5"/>
        <v>0</v>
      </c>
    </row>
    <row r="62" spans="1:20" x14ac:dyDescent="0.3">
      <c r="A62" s="4" t="str">
        <f xml:space="preserve"> _xll.EPMOlapMemberO("[CECO].[PARENTH3].[AMSA1003AD3502]","","AMSA1003AD3502 - Finanzas","","000")</f>
        <v>AMSA1003AD3502 - Finanzas</v>
      </c>
      <c r="B62" t="str">
        <f t="shared" si="0"/>
        <v>1003AD3502</v>
      </c>
      <c r="C62" t="str">
        <f>IFERROR(_xlfn.XLOOKUP(B62,'CECOS Corporativos'!$D:$D,'CECOS Corporativos'!$E:$E,""),"")</f>
        <v>Gerencia de Inversiones &amp; Finanzas</v>
      </c>
      <c r="D62" t="str">
        <f>IFERROR(_xlfn.XLOOKUP(B62,'CECOS Corporativos'!$D:$D,'CECOS Corporativos'!$J:$J,""),"")</f>
        <v>VP Finanzas</v>
      </c>
      <c r="E62" t="str">
        <f xml:space="preserve"> _xll.EPMOlapMemberO("[CLACO].[PARENTH7].[AMSAASESORIAS]","","Asesorías y Consulto","","000")</f>
        <v>Asesorías y Consulto</v>
      </c>
      <c r="F62" t="str">
        <f t="shared" si="1"/>
        <v>N1003AD350</v>
      </c>
      <c r="G62" t="s">
        <v>733</v>
      </c>
      <c r="H62" t="str">
        <f>IFERROR(_xlfn.XLOOKUP(F62,'CECOS Corporativos'!$K:$K,'CECOS Corporativos'!$D:$D,""),"")</f>
        <v/>
      </c>
      <c r="I62">
        <v>26014.17</v>
      </c>
      <c r="J62">
        <v>80136</v>
      </c>
      <c r="K62">
        <f t="shared" si="2"/>
        <v>54121.83</v>
      </c>
      <c r="L62">
        <v>4685.63</v>
      </c>
      <c r="M62">
        <v>1404</v>
      </c>
      <c r="N62">
        <f t="shared" si="3"/>
        <v>-3281.63</v>
      </c>
      <c r="O62">
        <v>1334.01</v>
      </c>
      <c r="P62">
        <v>1471</v>
      </c>
      <c r="Q62">
        <f t="shared" si="4"/>
        <v>136.99</v>
      </c>
      <c r="R62">
        <v>-0.25</v>
      </c>
      <c r="S62">
        <v>1355.56</v>
      </c>
      <c r="T62">
        <f t="shared" si="5"/>
        <v>1355.81</v>
      </c>
    </row>
    <row r="63" spans="1:20" x14ac:dyDescent="0.3">
      <c r="A63" s="4" t="str">
        <f xml:space="preserve"> _xll.EPMOlapMemberO("[CECO].[PARENTH3].[AMSA1003AD3502]","","AMSA1003AD3502 - Finanzas","","000")</f>
        <v>AMSA1003AD3502 - Finanzas</v>
      </c>
      <c r="B63" t="str">
        <f t="shared" si="0"/>
        <v>1003AD3502</v>
      </c>
      <c r="C63" t="str">
        <f>IFERROR(_xlfn.XLOOKUP(B63,'CECOS Corporativos'!$D:$D,'CECOS Corporativos'!$E:$E,""),"")</f>
        <v>Gerencia de Inversiones &amp; Finanzas</v>
      </c>
      <c r="D63" t="str">
        <f>IFERROR(_xlfn.XLOOKUP(B63,'CECOS Corporativos'!$D:$D,'CECOS Corporativos'!$J:$J,""),"")</f>
        <v>VP Finanzas</v>
      </c>
      <c r="E63" t="str">
        <f xml:space="preserve"> _xll.EPMOlapMemberO("[CLACO].[PARENTH7].[AMSAARRIENDOS]","","Arriendos","","000")</f>
        <v>Arriendos</v>
      </c>
      <c r="F63" t="str">
        <f t="shared" si="1"/>
        <v>N1003AD350</v>
      </c>
      <c r="G63" t="s">
        <v>733</v>
      </c>
      <c r="H63" t="str">
        <f>IFERROR(_xlfn.XLOOKUP(F63,'CECOS Corporativos'!$K:$K,'CECOS Corporativos'!$D:$D,""),"")</f>
        <v/>
      </c>
      <c r="I63">
        <v>0</v>
      </c>
      <c r="K63">
        <f t="shared" si="2"/>
        <v>0</v>
      </c>
      <c r="N63">
        <f t="shared" si="3"/>
        <v>0</v>
      </c>
      <c r="O63">
        <v>0</v>
      </c>
      <c r="Q63">
        <f t="shared" si="4"/>
        <v>0</v>
      </c>
      <c r="T63">
        <f t="shared" si="5"/>
        <v>0</v>
      </c>
    </row>
    <row r="64" spans="1:20" x14ac:dyDescent="0.3">
      <c r="A64" s="4" t="str">
        <f xml:space="preserve"> _xll.EPMOlapMemberO("[CECO].[PARENTH3].[AMSA1003AD3502]","","AMSA1003AD3502 - Finanzas","","000")</f>
        <v>AMSA1003AD3502 - Finanzas</v>
      </c>
      <c r="B64" t="str">
        <f t="shared" si="0"/>
        <v>1003AD3502</v>
      </c>
      <c r="C64" t="str">
        <f>IFERROR(_xlfn.XLOOKUP(B64,'CECOS Corporativos'!$D:$D,'CECOS Corporativos'!$E:$E,""),"")</f>
        <v>Gerencia de Inversiones &amp; Finanzas</v>
      </c>
      <c r="D64" t="str">
        <f>IFERROR(_xlfn.XLOOKUP(B64,'CECOS Corporativos'!$D:$D,'CECOS Corporativos'!$J:$J,""),"")</f>
        <v>VP Finanzas</v>
      </c>
      <c r="E64" t="str">
        <f xml:space="preserve"> _xll.EPMOlapMemberO("[CLACO].[PARENTH7].[AMSASERVICIOS]","","Servicios","","000")</f>
        <v>Servicios</v>
      </c>
      <c r="F64" t="str">
        <f t="shared" si="1"/>
        <v>N1003AD350</v>
      </c>
      <c r="G64" t="s">
        <v>733</v>
      </c>
      <c r="H64" t="str">
        <f>IFERROR(_xlfn.XLOOKUP(F64,'CECOS Corporativos'!$K:$K,'CECOS Corporativos'!$D:$D,""),"")</f>
        <v/>
      </c>
      <c r="K64">
        <f t="shared" si="2"/>
        <v>0</v>
      </c>
      <c r="L64">
        <v>108.66</v>
      </c>
      <c r="N64">
        <f t="shared" si="3"/>
        <v>-108.66</v>
      </c>
      <c r="Q64">
        <f t="shared" si="4"/>
        <v>0</v>
      </c>
      <c r="R64">
        <v>5.54</v>
      </c>
      <c r="T64">
        <f t="shared" si="5"/>
        <v>-5.54</v>
      </c>
    </row>
    <row r="65" spans="1:20" x14ac:dyDescent="0.3">
      <c r="A65" s="4" t="str">
        <f xml:space="preserve"> _xll.EPMOlapMemberO("[CECO].[PARENTH3].[AMSA1003AD3502]","","AMSA1003AD3502 - Finanzas","","000")</f>
        <v>AMSA1003AD3502 - Finanzas</v>
      </c>
      <c r="B65" t="str">
        <f t="shared" si="0"/>
        <v>1003AD3502</v>
      </c>
      <c r="C65" t="str">
        <f>IFERROR(_xlfn.XLOOKUP(B65,'CECOS Corporativos'!$D:$D,'CECOS Corporativos'!$E:$E,""),"")</f>
        <v>Gerencia de Inversiones &amp; Finanzas</v>
      </c>
      <c r="D65" t="str">
        <f>IFERROR(_xlfn.XLOOKUP(B65,'CECOS Corporativos'!$D:$D,'CECOS Corporativos'!$J:$J,""),"")</f>
        <v>VP Finanzas</v>
      </c>
      <c r="E65" t="str">
        <f xml:space="preserve"> _xll.EPMOlapMemberO("[CLACO].[PARENTH7].[AMSAINFORMATIC]","","Informática y Comuni","","000")</f>
        <v>Informática y Comuni</v>
      </c>
      <c r="F65" t="str">
        <f t="shared" si="1"/>
        <v>N1003AD350</v>
      </c>
      <c r="G65" t="s">
        <v>733</v>
      </c>
      <c r="H65" t="str">
        <f>IFERROR(_xlfn.XLOOKUP(F65,'CECOS Corporativos'!$K:$K,'CECOS Corporativos'!$D:$D,""),"")</f>
        <v/>
      </c>
      <c r="I65">
        <v>3704.92</v>
      </c>
      <c r="J65">
        <v>1235</v>
      </c>
      <c r="K65">
        <f t="shared" si="2"/>
        <v>-2469.92</v>
      </c>
      <c r="L65">
        <v>883.17</v>
      </c>
      <c r="M65">
        <v>1247</v>
      </c>
      <c r="N65">
        <f t="shared" si="3"/>
        <v>363.83000000000004</v>
      </c>
      <c r="O65">
        <v>546.65</v>
      </c>
      <c r="P65">
        <v>1200</v>
      </c>
      <c r="Q65">
        <f t="shared" si="4"/>
        <v>653.35</v>
      </c>
      <c r="R65">
        <v>3617</v>
      </c>
      <c r="S65">
        <v>800</v>
      </c>
      <c r="T65">
        <f t="shared" si="5"/>
        <v>-2817</v>
      </c>
    </row>
    <row r="66" spans="1:20" x14ac:dyDescent="0.3">
      <c r="A66" s="4" t="str">
        <f xml:space="preserve"> _xll.EPMOlapMemberO("[CECO].[PARENTH3].[AMSA1003AD3502]","","AMSA1003AD3502 - Finanzas","","000")</f>
        <v>AMSA1003AD3502 - Finanzas</v>
      </c>
      <c r="B66" t="str">
        <f t="shared" si="0"/>
        <v>1003AD3502</v>
      </c>
      <c r="C66" t="str">
        <f>IFERROR(_xlfn.XLOOKUP(B66,'CECOS Corporativos'!$D:$D,'CECOS Corporativos'!$E:$E,""),"")</f>
        <v>Gerencia de Inversiones &amp; Finanzas</v>
      </c>
      <c r="D66" t="str">
        <f>IFERROR(_xlfn.XLOOKUP(B66,'CECOS Corporativos'!$D:$D,'CECOS Corporativos'!$J:$J,""),"")</f>
        <v>VP Finanzas</v>
      </c>
      <c r="E66" t="str">
        <f xml:space="preserve"> _xll.EPMOlapMemberO("[CLACO].[PARENTH7].[AMSAG_VIAJES]","","Gastos de Viajes","","000")</f>
        <v>Gastos de Viajes</v>
      </c>
      <c r="F66" t="str">
        <f t="shared" si="1"/>
        <v>N1003AD350</v>
      </c>
      <c r="G66" t="s">
        <v>733</v>
      </c>
      <c r="H66" t="str">
        <f>IFERROR(_xlfn.XLOOKUP(F66,'CECOS Corporativos'!$K:$K,'CECOS Corporativos'!$D:$D,""),"")</f>
        <v/>
      </c>
      <c r="I66">
        <v>-1.35</v>
      </c>
      <c r="K66">
        <f t="shared" si="2"/>
        <v>1.35</v>
      </c>
      <c r="L66">
        <v>0</v>
      </c>
      <c r="N66">
        <f t="shared" si="3"/>
        <v>0</v>
      </c>
      <c r="Q66">
        <f t="shared" si="4"/>
        <v>0</v>
      </c>
      <c r="T66">
        <f t="shared" si="5"/>
        <v>0</v>
      </c>
    </row>
    <row r="67" spans="1:20" x14ac:dyDescent="0.3">
      <c r="A67" s="4" t="str">
        <f xml:space="preserve"> _xll.EPMOlapMemberO("[CECO].[PARENTH3].[AMSA1003AD3502]","","AMSA1003AD3502 - Finanzas","","000")</f>
        <v>AMSA1003AD3502 - Finanzas</v>
      </c>
      <c r="B67" t="str">
        <f t="shared" si="0"/>
        <v>1003AD3502</v>
      </c>
      <c r="C67" t="str">
        <f>IFERROR(_xlfn.XLOOKUP(B67,'CECOS Corporativos'!$D:$D,'CECOS Corporativos'!$E:$E,""),"")</f>
        <v>Gerencia de Inversiones &amp; Finanzas</v>
      </c>
      <c r="D67" t="str">
        <f>IFERROR(_xlfn.XLOOKUP(B67,'CECOS Corporativos'!$D:$D,'CECOS Corporativos'!$J:$J,""),"")</f>
        <v>VP Finanzas</v>
      </c>
      <c r="E67" t="str">
        <f xml:space="preserve"> _xll.EPMOlapMemberO("[CLACO].[PARENTH7].[AMSASEGUROS]","","Seguros","","000")</f>
        <v>Seguros</v>
      </c>
      <c r="F67" t="str">
        <f t="shared" si="1"/>
        <v>N1003AD350</v>
      </c>
      <c r="G67" t="s">
        <v>733</v>
      </c>
      <c r="H67" t="str">
        <f>IFERROR(_xlfn.XLOOKUP(F67,'CECOS Corporativos'!$K:$K,'CECOS Corporativos'!$D:$D,""),"")</f>
        <v/>
      </c>
      <c r="K67">
        <f t="shared" si="2"/>
        <v>0</v>
      </c>
      <c r="L67">
        <v>21534</v>
      </c>
      <c r="N67">
        <f t="shared" si="3"/>
        <v>-21534</v>
      </c>
      <c r="O67">
        <v>0</v>
      </c>
      <c r="Q67">
        <f t="shared" si="4"/>
        <v>0</v>
      </c>
      <c r="T67">
        <f t="shared" si="5"/>
        <v>0</v>
      </c>
    </row>
    <row r="68" spans="1:20" x14ac:dyDescent="0.3">
      <c r="A68" s="4" t="str">
        <f xml:space="preserve"> _xll.EPMOlapMemberO("[CECO].[PARENTH3].[AMSA1003AD3502]","","AMSA1003AD3502 - Finanzas","","000")</f>
        <v>AMSA1003AD3502 - Finanzas</v>
      </c>
      <c r="B68" t="str">
        <f t="shared" si="0"/>
        <v>1003AD3502</v>
      </c>
      <c r="C68" t="str">
        <f>IFERROR(_xlfn.XLOOKUP(B68,'CECOS Corporativos'!$D:$D,'CECOS Corporativos'!$E:$E,""),"")</f>
        <v>Gerencia de Inversiones &amp; Finanzas</v>
      </c>
      <c r="D68" t="str">
        <f>IFERROR(_xlfn.XLOOKUP(B68,'CECOS Corporativos'!$D:$D,'CECOS Corporativos'!$J:$J,""),"")</f>
        <v>VP Finanzas</v>
      </c>
      <c r="E68" t="str">
        <f xml:space="preserve"> _xll.EPMOlapMemberO("[CLACO].[PARENTH7].[AMSAGGENERALES.2]","","Otros Gastos","","000")</f>
        <v>Otros Gastos</v>
      </c>
      <c r="F68" t="str">
        <f t="shared" si="1"/>
        <v>N1003AD350</v>
      </c>
      <c r="G68" t="s">
        <v>733</v>
      </c>
      <c r="H68" t="str">
        <f>IFERROR(_xlfn.XLOOKUP(F68,'CECOS Corporativos'!$K:$K,'CECOS Corporativos'!$D:$D,""),"")</f>
        <v/>
      </c>
      <c r="J68">
        <v>3082</v>
      </c>
      <c r="K68">
        <f t="shared" si="2"/>
        <v>3082</v>
      </c>
      <c r="L68">
        <v>0</v>
      </c>
      <c r="M68">
        <v>2731</v>
      </c>
      <c r="N68">
        <f t="shared" si="3"/>
        <v>2731</v>
      </c>
      <c r="O68">
        <v>0</v>
      </c>
      <c r="Q68">
        <f t="shared" si="4"/>
        <v>0</v>
      </c>
      <c r="T68">
        <f t="shared" si="5"/>
        <v>0</v>
      </c>
    </row>
    <row r="69" spans="1:20" x14ac:dyDescent="0.3">
      <c r="A69" s="4" t="str">
        <f xml:space="preserve"> _xll.EPMOlapMemberO("[CECO].[PARENTH3].[AMSA1003AD3502]","","AMSA1003AD3502 - Finanzas","","000")</f>
        <v>AMSA1003AD3502 - Finanzas</v>
      </c>
      <c r="B69" t="str">
        <f t="shared" si="0"/>
        <v>1003AD3502</v>
      </c>
      <c r="C69" t="str">
        <f>IFERROR(_xlfn.XLOOKUP(B69,'CECOS Corporativos'!$D:$D,'CECOS Corporativos'!$E:$E,""),"")</f>
        <v>Gerencia de Inversiones &amp; Finanzas</v>
      </c>
      <c r="D69" t="str">
        <f>IFERROR(_xlfn.XLOOKUP(B69,'CECOS Corporativos'!$D:$D,'CECOS Corporativos'!$J:$J,""),"")</f>
        <v>VP Finanzas</v>
      </c>
      <c r="E69" t="str">
        <f xml:space="preserve"> _xll.EPMOlapMemberO("[CLACO].[PARENTH7].[AMSASERV_CORP]","","Servicios Corporativ","","000")</f>
        <v>Servicios Corporativ</v>
      </c>
      <c r="F69" t="str">
        <f t="shared" si="1"/>
        <v>N1003AD350</v>
      </c>
      <c r="G69" t="s">
        <v>733</v>
      </c>
      <c r="H69" t="str">
        <f>IFERROR(_xlfn.XLOOKUP(F69,'CECOS Corporativos'!$K:$K,'CECOS Corporativos'!$D:$D,""),"")</f>
        <v/>
      </c>
      <c r="I69">
        <v>267002.17</v>
      </c>
      <c r="J69">
        <v>275248</v>
      </c>
      <c r="K69">
        <f t="shared" si="2"/>
        <v>8245.8300000000163</v>
      </c>
      <c r="L69">
        <v>291831.09999999998</v>
      </c>
      <c r="M69">
        <v>264907</v>
      </c>
      <c r="N69">
        <f t="shared" si="3"/>
        <v>-26924.099999999977</v>
      </c>
      <c r="O69">
        <v>-0.1</v>
      </c>
      <c r="Q69">
        <f t="shared" si="4"/>
        <v>0.1</v>
      </c>
      <c r="T69">
        <f t="shared" si="5"/>
        <v>0</v>
      </c>
    </row>
    <row r="70" spans="1:20" x14ac:dyDescent="0.3">
      <c r="A70" s="4" t="str">
        <f xml:space="preserve"> _xll.EPMOlapMemberO("[CECO].[PARENTH3].[AMSA1003AD3503]","","AMSA1003AD3503 - Contabilidad","","000")</f>
        <v>AMSA1003AD3503 - Contabilidad</v>
      </c>
      <c r="B70" t="str">
        <f t="shared" si="0"/>
        <v>1003AD3503</v>
      </c>
      <c r="C70" t="str">
        <f>IFERROR(_xlfn.XLOOKUP(B70,'CECOS Corporativos'!$D:$D,'CECOS Corporativos'!$E:$E,""),"")</f>
        <v>Gerencia Contabilidad Corporativa</v>
      </c>
      <c r="D70" t="str">
        <f>IFERROR(_xlfn.XLOOKUP(B70,'CECOS Corporativos'!$D:$D,'CECOS Corporativos'!$J:$J,""),"")</f>
        <v>VP Finanzas</v>
      </c>
      <c r="E70" t="str">
        <f xml:space="preserve"> _xll.EPMOlapMemberO("[CLACO].[PARENTH7].[AMSAMAT_Y_REP.2]","","Materiales y repuest","","000")</f>
        <v>Materiales y repuest</v>
      </c>
      <c r="F70" t="str">
        <f t="shared" si="1"/>
        <v>N1003AD350</v>
      </c>
      <c r="G70" t="s">
        <v>733</v>
      </c>
      <c r="H70" t="str">
        <f>IFERROR(_xlfn.XLOOKUP(F70,'CECOS Corporativos'!$K:$K,'CECOS Corporativos'!$D:$D,""),"")</f>
        <v/>
      </c>
      <c r="J70">
        <v>205</v>
      </c>
      <c r="K70">
        <f t="shared" si="2"/>
        <v>205</v>
      </c>
      <c r="L70">
        <v>186.74</v>
      </c>
      <c r="M70">
        <v>245</v>
      </c>
      <c r="N70">
        <f t="shared" si="3"/>
        <v>58.259999999999991</v>
      </c>
      <c r="P70">
        <v>243</v>
      </c>
      <c r="Q70">
        <f t="shared" si="4"/>
        <v>243</v>
      </c>
      <c r="S70">
        <v>242.3</v>
      </c>
      <c r="T70">
        <f t="shared" si="5"/>
        <v>242.3</v>
      </c>
    </row>
    <row r="71" spans="1:20" x14ac:dyDescent="0.3">
      <c r="A71" s="4" t="str">
        <f xml:space="preserve"> _xll.EPMOlapMemberO("[CECO].[PARENTH3].[AMSA1003AD3503]","","AMSA1003AD3503 - Contabilidad","","000")</f>
        <v>AMSA1003AD3503 - Contabilidad</v>
      </c>
      <c r="B71" t="str">
        <f t="shared" si="0"/>
        <v>1003AD3503</v>
      </c>
      <c r="C71" t="str">
        <f>IFERROR(_xlfn.XLOOKUP(B71,'CECOS Corporativos'!$D:$D,'CECOS Corporativos'!$E:$E,""),"")</f>
        <v>Gerencia Contabilidad Corporativa</v>
      </c>
      <c r="D71" t="str">
        <f>IFERROR(_xlfn.XLOOKUP(B71,'CECOS Corporativos'!$D:$D,'CECOS Corporativos'!$J:$J,""),"")</f>
        <v>VP Finanzas</v>
      </c>
      <c r="E71" t="str">
        <f xml:space="preserve"> _xll.EPMOlapMemberO("[CLACO].[PARENTH7].[AMSAASESORIAS]","","Asesorías y Consulto","","000")</f>
        <v>Asesorías y Consulto</v>
      </c>
      <c r="F71" t="str">
        <f t="shared" si="1"/>
        <v>N1003AD350</v>
      </c>
      <c r="G71" t="s">
        <v>733</v>
      </c>
      <c r="H71" t="str">
        <f>IFERROR(_xlfn.XLOOKUP(F71,'CECOS Corporativos'!$K:$K,'CECOS Corporativos'!$D:$D,""),"")</f>
        <v/>
      </c>
      <c r="I71">
        <v>185093.78</v>
      </c>
      <c r="J71">
        <v>193038</v>
      </c>
      <c r="K71">
        <f t="shared" si="2"/>
        <v>7944.2200000000012</v>
      </c>
      <c r="L71">
        <v>157636.71</v>
      </c>
      <c r="M71">
        <v>191615</v>
      </c>
      <c r="N71">
        <f t="shared" si="3"/>
        <v>33978.290000000008</v>
      </c>
      <c r="O71">
        <v>151621.16</v>
      </c>
      <c r="P71">
        <v>217093</v>
      </c>
      <c r="Q71">
        <f t="shared" si="4"/>
        <v>65471.839999999997</v>
      </c>
      <c r="R71">
        <v>186026.14</v>
      </c>
      <c r="S71">
        <v>192253.72</v>
      </c>
      <c r="T71">
        <f t="shared" si="5"/>
        <v>6227.5799999999872</v>
      </c>
    </row>
    <row r="72" spans="1:20" x14ac:dyDescent="0.3">
      <c r="A72" s="4" t="str">
        <f xml:space="preserve"> _xll.EPMOlapMemberO("[CECO].[PARENTH3].[AMSA1003AD3503]","","AMSA1003AD3503 - Contabilidad","","000")</f>
        <v>AMSA1003AD3503 - Contabilidad</v>
      </c>
      <c r="B72" t="str">
        <f t="shared" si="0"/>
        <v>1003AD3503</v>
      </c>
      <c r="C72" t="str">
        <f>IFERROR(_xlfn.XLOOKUP(B72,'CECOS Corporativos'!$D:$D,'CECOS Corporativos'!$E:$E,""),"")</f>
        <v>Gerencia Contabilidad Corporativa</v>
      </c>
      <c r="D72" t="str">
        <f>IFERROR(_xlfn.XLOOKUP(B72,'CECOS Corporativos'!$D:$D,'CECOS Corporativos'!$J:$J,""),"")</f>
        <v>VP Finanzas</v>
      </c>
      <c r="E72" t="str">
        <f xml:space="preserve"> _xll.EPMOlapMemberO("[CLACO].[PARENTH7].[AMSASERVICIOS]","","Servicios","","000")</f>
        <v>Servicios</v>
      </c>
      <c r="F72" t="str">
        <f t="shared" si="1"/>
        <v>N1003AD350</v>
      </c>
      <c r="G72" t="s">
        <v>733</v>
      </c>
      <c r="H72" t="str">
        <f>IFERROR(_xlfn.XLOOKUP(F72,'CECOS Corporativos'!$K:$K,'CECOS Corporativos'!$D:$D,""),"")</f>
        <v/>
      </c>
      <c r="I72">
        <v>390.45</v>
      </c>
      <c r="J72">
        <v>1555</v>
      </c>
      <c r="K72">
        <f t="shared" si="2"/>
        <v>1164.55</v>
      </c>
      <c r="L72">
        <v>42.68</v>
      </c>
      <c r="M72">
        <v>463</v>
      </c>
      <c r="N72">
        <f t="shared" si="3"/>
        <v>420.32</v>
      </c>
      <c r="O72">
        <v>1087.2</v>
      </c>
      <c r="P72">
        <v>531</v>
      </c>
      <c r="Q72">
        <f t="shared" si="4"/>
        <v>-556.20000000000005</v>
      </c>
      <c r="R72">
        <v>0</v>
      </c>
      <c r="S72">
        <v>922.14</v>
      </c>
      <c r="T72">
        <f t="shared" si="5"/>
        <v>922.14</v>
      </c>
    </row>
    <row r="73" spans="1:20" x14ac:dyDescent="0.3">
      <c r="A73" s="4" t="str">
        <f xml:space="preserve"> _xll.EPMOlapMemberO("[CECO].[PARENTH3].[AMSA1003AD3503]","","AMSA1003AD3503 - Contabilidad","","000")</f>
        <v>AMSA1003AD3503 - Contabilidad</v>
      </c>
      <c r="B73" t="str">
        <f t="shared" si="0"/>
        <v>1003AD3503</v>
      </c>
      <c r="C73" t="str">
        <f>IFERROR(_xlfn.XLOOKUP(B73,'CECOS Corporativos'!$D:$D,'CECOS Corporativos'!$E:$E,""),"")</f>
        <v>Gerencia Contabilidad Corporativa</v>
      </c>
      <c r="D73" t="str">
        <f>IFERROR(_xlfn.XLOOKUP(B73,'CECOS Corporativos'!$D:$D,'CECOS Corporativos'!$J:$J,""),"")</f>
        <v>VP Finanzas</v>
      </c>
      <c r="E73" t="str">
        <f xml:space="preserve"> _xll.EPMOlapMemberO("[CLACO].[PARENTH7].[AMSAINFORMATIC]","","Informática y Comuni","","000")</f>
        <v>Informática y Comuni</v>
      </c>
      <c r="F73" t="str">
        <f t="shared" si="1"/>
        <v>N1003AD350</v>
      </c>
      <c r="G73" t="s">
        <v>733</v>
      </c>
      <c r="H73" t="str">
        <f>IFERROR(_xlfn.XLOOKUP(F73,'CECOS Corporativos'!$K:$K,'CECOS Corporativos'!$D:$D,""),"")</f>
        <v/>
      </c>
      <c r="I73">
        <v>32409.27</v>
      </c>
      <c r="J73">
        <v>37921</v>
      </c>
      <c r="K73">
        <f t="shared" si="2"/>
        <v>5511.73</v>
      </c>
      <c r="L73">
        <v>48910.78</v>
      </c>
      <c r="M73">
        <v>41293</v>
      </c>
      <c r="N73">
        <f t="shared" si="3"/>
        <v>-7617.7799999999988</v>
      </c>
      <c r="O73">
        <v>43340.41</v>
      </c>
      <c r="P73">
        <v>41920</v>
      </c>
      <c r="Q73">
        <f t="shared" si="4"/>
        <v>-1420.4100000000035</v>
      </c>
      <c r="R73">
        <v>42824.84</v>
      </c>
      <c r="S73">
        <v>43273.51</v>
      </c>
      <c r="T73">
        <f t="shared" si="5"/>
        <v>448.67000000000553</v>
      </c>
    </row>
    <row r="74" spans="1:20" x14ac:dyDescent="0.3">
      <c r="A74" s="4" t="str">
        <f xml:space="preserve"> _xll.EPMOlapMemberO("[CECO].[PARENTH3].[AMSA1003AD3503]","","AMSA1003AD3503 - Contabilidad","","000")</f>
        <v>AMSA1003AD3503 - Contabilidad</v>
      </c>
      <c r="B74" t="str">
        <f t="shared" ref="B74:B137" si="6">IFERROR(SUBSTITUTE(TRIM(LEFT(A74,FIND("-",A74)-1)),"AMSA",""),"")</f>
        <v>1003AD3503</v>
      </c>
      <c r="C74" t="str">
        <f>IFERROR(_xlfn.XLOOKUP(B74,'CECOS Corporativos'!$D:$D,'CECOS Corporativos'!$E:$E,""),"")</f>
        <v>Gerencia Contabilidad Corporativa</v>
      </c>
      <c r="D74" t="str">
        <f>IFERROR(_xlfn.XLOOKUP(B74,'CECOS Corporativos'!$D:$D,'CECOS Corporativos'!$J:$J,""),"")</f>
        <v>VP Finanzas</v>
      </c>
      <c r="E74" t="str">
        <f xml:space="preserve"> _xll.EPMOlapMemberO("[CLACO].[PARENTH7].[AMSAG_VIAJES]","","Gastos de Viajes","","000")</f>
        <v>Gastos de Viajes</v>
      </c>
      <c r="F74" t="str">
        <f t="shared" ref="F74:F137" si="7">IFERROR(TRIM(LEFT(G74,FIND("-",G74)-1)),"")</f>
        <v>N1003AD350</v>
      </c>
      <c r="G74" t="s">
        <v>733</v>
      </c>
      <c r="H74" t="str">
        <f>IFERROR(_xlfn.XLOOKUP(F74,'CECOS Corporativos'!$K:$K,'CECOS Corporativos'!$D:$D,""),"")</f>
        <v/>
      </c>
      <c r="I74">
        <v>7418.07</v>
      </c>
      <c r="J74">
        <v>7829.63</v>
      </c>
      <c r="K74">
        <f t="shared" ref="K74:K137" si="8">J74-I74</f>
        <v>411.5600000000004</v>
      </c>
      <c r="L74">
        <v>4525.6499999999996</v>
      </c>
      <c r="M74">
        <v>18518.71</v>
      </c>
      <c r="N74">
        <f t="shared" ref="N74:N137" si="9">M74-L74</f>
        <v>13993.06</v>
      </c>
      <c r="O74">
        <v>3907.97</v>
      </c>
      <c r="P74">
        <v>9241</v>
      </c>
      <c r="Q74">
        <f t="shared" ref="Q74:Q137" si="10">P74-O74</f>
        <v>5333.0300000000007</v>
      </c>
      <c r="R74">
        <v>2937.43</v>
      </c>
      <c r="S74">
        <v>11535.47</v>
      </c>
      <c r="T74">
        <f t="shared" ref="T74:T137" si="11">S74-R74</f>
        <v>8598.0399999999991</v>
      </c>
    </row>
    <row r="75" spans="1:20" x14ac:dyDescent="0.3">
      <c r="A75" s="4" t="str">
        <f xml:space="preserve"> _xll.EPMOlapMemberO("[CECO].[PARENTH3].[AMSA1003AD3503]","","AMSA1003AD3503 - Contabilidad","","000")</f>
        <v>AMSA1003AD3503 - Contabilidad</v>
      </c>
      <c r="B75" t="str">
        <f t="shared" si="6"/>
        <v>1003AD3503</v>
      </c>
      <c r="C75" t="str">
        <f>IFERROR(_xlfn.XLOOKUP(B75,'CECOS Corporativos'!$D:$D,'CECOS Corporativos'!$E:$E,""),"")</f>
        <v>Gerencia Contabilidad Corporativa</v>
      </c>
      <c r="D75" t="str">
        <f>IFERROR(_xlfn.XLOOKUP(B75,'CECOS Corporativos'!$D:$D,'CECOS Corporativos'!$J:$J,""),"")</f>
        <v>VP Finanzas</v>
      </c>
      <c r="E75" t="str">
        <f xml:space="preserve"> _xll.EPMOlapMemberO("[CLACO].[PARENTH7].[AMSASERV_CORP]","","Servicios Corporativ","","000")</f>
        <v>Servicios Corporativ</v>
      </c>
      <c r="F75" t="str">
        <f t="shared" si="7"/>
        <v>N1003AD350</v>
      </c>
      <c r="G75" t="s">
        <v>733</v>
      </c>
      <c r="H75" t="str">
        <f>IFERROR(_xlfn.XLOOKUP(F75,'CECOS Corporativos'!$K:$K,'CECOS Corporativos'!$D:$D,""),"")</f>
        <v/>
      </c>
      <c r="I75">
        <v>585417.93999999994</v>
      </c>
      <c r="J75">
        <v>603717</v>
      </c>
      <c r="K75">
        <f t="shared" si="8"/>
        <v>18299.060000000056</v>
      </c>
      <c r="L75">
        <v>712385.89</v>
      </c>
      <c r="M75">
        <v>641674</v>
      </c>
      <c r="N75">
        <f t="shared" si="9"/>
        <v>-70711.890000000014</v>
      </c>
      <c r="O75">
        <v>32607.84</v>
      </c>
      <c r="P75">
        <v>37422</v>
      </c>
      <c r="Q75">
        <f t="shared" si="10"/>
        <v>4814.16</v>
      </c>
      <c r="R75">
        <v>33469.29</v>
      </c>
      <c r="S75">
        <v>36973.839999999997</v>
      </c>
      <c r="T75">
        <f t="shared" si="11"/>
        <v>3504.5499999999956</v>
      </c>
    </row>
    <row r="76" spans="1:20" x14ac:dyDescent="0.3">
      <c r="A76" s="4" t="str">
        <f xml:space="preserve"> _xll.EPMOlapMemberO("[CECO].[PARENTH3].[AMSA1003AD3507]","","AMSA1003AD3507 - Control Inter y Ries","","000")</f>
        <v>AMSA1003AD3507 - Control Inter y Ries</v>
      </c>
      <c r="B76" t="str">
        <f t="shared" si="6"/>
        <v>1003AD3507</v>
      </c>
      <c r="C76" t="str">
        <f>IFERROR(_xlfn.XLOOKUP(B76,'CECOS Corporativos'!$D:$D,'CECOS Corporativos'!$E:$E,""),"")</f>
        <v>Grcia. Riesgos, Compliance y Control Interno</v>
      </c>
      <c r="D76" t="str">
        <f>IFERROR(_xlfn.XLOOKUP(B76,'CECOS Corporativos'!$D:$D,'CECOS Corporativos'!$J:$J,""),"")</f>
        <v>VP Finanzas</v>
      </c>
      <c r="E76" t="str">
        <f xml:space="preserve"> _xll.EPMOlapMemberO("[CLACO].[PARENTH7].[AMSAMAT_Y_REP.2]","","Materiales y repuest","","000")</f>
        <v>Materiales y repuest</v>
      </c>
      <c r="F76" t="str">
        <f t="shared" si="7"/>
        <v>N1003AD350</v>
      </c>
      <c r="G76" t="s">
        <v>733</v>
      </c>
      <c r="H76" t="str">
        <f>IFERROR(_xlfn.XLOOKUP(F76,'CECOS Corporativos'!$K:$K,'CECOS Corporativos'!$D:$D,""),"")</f>
        <v/>
      </c>
      <c r="I76">
        <v>1694.16</v>
      </c>
      <c r="K76">
        <f t="shared" si="8"/>
        <v>-1694.16</v>
      </c>
      <c r="N76">
        <f t="shared" si="9"/>
        <v>0</v>
      </c>
      <c r="Q76">
        <f t="shared" si="10"/>
        <v>0</v>
      </c>
      <c r="T76">
        <f t="shared" si="11"/>
        <v>0</v>
      </c>
    </row>
    <row r="77" spans="1:20" x14ac:dyDescent="0.3">
      <c r="A77" s="4" t="str">
        <f xml:space="preserve"> _xll.EPMOlapMemberO("[CECO].[PARENTH3].[AMSA1003AD3507]","","AMSA1003AD3507 - Control Inter y Ries","","000")</f>
        <v>AMSA1003AD3507 - Control Inter y Ries</v>
      </c>
      <c r="B77" t="str">
        <f t="shared" si="6"/>
        <v>1003AD3507</v>
      </c>
      <c r="C77" t="str">
        <f>IFERROR(_xlfn.XLOOKUP(B77,'CECOS Corporativos'!$D:$D,'CECOS Corporativos'!$E:$E,""),"")</f>
        <v>Grcia. Riesgos, Compliance y Control Interno</v>
      </c>
      <c r="D77" t="str">
        <f>IFERROR(_xlfn.XLOOKUP(B77,'CECOS Corporativos'!$D:$D,'CECOS Corporativos'!$J:$J,""),"")</f>
        <v>VP Finanzas</v>
      </c>
      <c r="E77" t="str">
        <f xml:space="preserve"> _xll.EPMOlapMemberO("[CLACO].[PARENTH7].[AMSAENTRENAMI]","","Entrenamiento","","000")</f>
        <v>Entrenamiento</v>
      </c>
      <c r="F77" t="str">
        <f t="shared" si="7"/>
        <v>N1003AD350</v>
      </c>
      <c r="G77" t="s">
        <v>733</v>
      </c>
      <c r="H77" t="str">
        <f>IFERROR(_xlfn.XLOOKUP(F77,'CECOS Corporativos'!$K:$K,'CECOS Corporativos'!$D:$D,""),"")</f>
        <v/>
      </c>
      <c r="I77">
        <v>-8.7100000000000009</v>
      </c>
      <c r="J77">
        <v>9630</v>
      </c>
      <c r="K77">
        <f t="shared" si="8"/>
        <v>9638.7099999999991</v>
      </c>
      <c r="M77">
        <v>5833</v>
      </c>
      <c r="N77">
        <f t="shared" si="9"/>
        <v>5833</v>
      </c>
      <c r="O77">
        <v>518.35</v>
      </c>
      <c r="P77">
        <v>4241</v>
      </c>
      <c r="Q77">
        <f t="shared" si="10"/>
        <v>3722.65</v>
      </c>
      <c r="S77">
        <v>1076.55</v>
      </c>
      <c r="T77">
        <f t="shared" si="11"/>
        <v>1076.55</v>
      </c>
    </row>
    <row r="78" spans="1:20" x14ac:dyDescent="0.3">
      <c r="A78" s="4" t="str">
        <f xml:space="preserve"> _xll.EPMOlapMemberO("[CECO].[PARENTH3].[AMSA1003AD3507]","","AMSA1003AD3507 - Control Inter y Ries","","000")</f>
        <v>AMSA1003AD3507 - Control Inter y Ries</v>
      </c>
      <c r="B78" t="str">
        <f t="shared" si="6"/>
        <v>1003AD3507</v>
      </c>
      <c r="C78" t="str">
        <f>IFERROR(_xlfn.XLOOKUP(B78,'CECOS Corporativos'!$D:$D,'CECOS Corporativos'!$E:$E,""),"")</f>
        <v>Grcia. Riesgos, Compliance y Control Interno</v>
      </c>
      <c r="D78" t="str">
        <f>IFERROR(_xlfn.XLOOKUP(B78,'CECOS Corporativos'!$D:$D,'CECOS Corporativos'!$J:$J,""),"")</f>
        <v>VP Finanzas</v>
      </c>
      <c r="E78" t="str">
        <f xml:space="preserve"> _xll.EPMOlapMemberO("[CLACO].[PARENTH7].[AMSAASESORIAS]","","Asesorías y Consulto","","000")</f>
        <v>Asesorías y Consulto</v>
      </c>
      <c r="F78" t="str">
        <f t="shared" si="7"/>
        <v>N1003AD350</v>
      </c>
      <c r="G78" t="s">
        <v>733</v>
      </c>
      <c r="H78" t="str">
        <f>IFERROR(_xlfn.XLOOKUP(F78,'CECOS Corporativos'!$K:$K,'CECOS Corporativos'!$D:$D,""),"")</f>
        <v/>
      </c>
      <c r="I78">
        <v>-4218.91</v>
      </c>
      <c r="J78">
        <v>5135</v>
      </c>
      <c r="K78">
        <f t="shared" si="8"/>
        <v>9353.91</v>
      </c>
      <c r="L78">
        <v>29975.35</v>
      </c>
      <c r="M78">
        <v>24998</v>
      </c>
      <c r="N78">
        <f t="shared" si="9"/>
        <v>-4977.3499999999985</v>
      </c>
      <c r="O78">
        <v>1595.56</v>
      </c>
      <c r="P78">
        <v>13978</v>
      </c>
      <c r="Q78">
        <f t="shared" si="10"/>
        <v>12382.44</v>
      </c>
      <c r="R78">
        <v>7263.97</v>
      </c>
      <c r="S78">
        <v>13056</v>
      </c>
      <c r="T78">
        <f t="shared" si="11"/>
        <v>5792.03</v>
      </c>
    </row>
    <row r="79" spans="1:20" x14ac:dyDescent="0.3">
      <c r="A79" s="4" t="str">
        <f xml:space="preserve"> _xll.EPMOlapMemberO("[CECO].[PARENTH3].[AMSA1003AD3507]","","AMSA1003AD3507 - Control Inter y Ries","","000")</f>
        <v>AMSA1003AD3507 - Control Inter y Ries</v>
      </c>
      <c r="B79" t="str">
        <f t="shared" si="6"/>
        <v>1003AD3507</v>
      </c>
      <c r="C79" t="str">
        <f>IFERROR(_xlfn.XLOOKUP(B79,'CECOS Corporativos'!$D:$D,'CECOS Corporativos'!$E:$E,""),"")</f>
        <v>Grcia. Riesgos, Compliance y Control Interno</v>
      </c>
      <c r="D79" t="str">
        <f>IFERROR(_xlfn.XLOOKUP(B79,'CECOS Corporativos'!$D:$D,'CECOS Corporativos'!$J:$J,""),"")</f>
        <v>VP Finanzas</v>
      </c>
      <c r="E79" t="str">
        <f xml:space="preserve"> _xll.EPMOlapMemberO("[CLACO].[PARENTH7].[AMSASERVICIOS]","","Servicios","","000")</f>
        <v>Servicios</v>
      </c>
      <c r="F79" t="str">
        <f t="shared" si="7"/>
        <v>N1003AD350</v>
      </c>
      <c r="G79" t="s">
        <v>733</v>
      </c>
      <c r="H79" t="str">
        <f>IFERROR(_xlfn.XLOOKUP(F79,'CECOS Corporativos'!$K:$K,'CECOS Corporativos'!$D:$D,""),"")</f>
        <v/>
      </c>
      <c r="I79">
        <v>52121.63</v>
      </c>
      <c r="J79">
        <v>60846</v>
      </c>
      <c r="K79">
        <f t="shared" si="8"/>
        <v>8724.3700000000026</v>
      </c>
      <c r="L79">
        <v>62264.84</v>
      </c>
      <c r="M79">
        <v>42772</v>
      </c>
      <c r="N79">
        <f t="shared" si="9"/>
        <v>-19492.839999999997</v>
      </c>
      <c r="O79">
        <v>76193.37</v>
      </c>
      <c r="P79">
        <v>89262</v>
      </c>
      <c r="Q79">
        <f t="shared" si="10"/>
        <v>13068.630000000005</v>
      </c>
      <c r="R79">
        <v>74339.789999999994</v>
      </c>
      <c r="S79">
        <v>87673.54</v>
      </c>
      <c r="T79">
        <f t="shared" si="11"/>
        <v>13333.75</v>
      </c>
    </row>
    <row r="80" spans="1:20" x14ac:dyDescent="0.3">
      <c r="A80" s="4" t="str">
        <f xml:space="preserve"> _xll.EPMOlapMemberO("[CECO].[PARENTH3].[AMSA1003AD3507]","","AMSA1003AD3507 - Control Inter y Ries","","000")</f>
        <v>AMSA1003AD3507 - Control Inter y Ries</v>
      </c>
      <c r="B80" t="str">
        <f t="shared" si="6"/>
        <v>1003AD3507</v>
      </c>
      <c r="C80" t="str">
        <f>IFERROR(_xlfn.XLOOKUP(B80,'CECOS Corporativos'!$D:$D,'CECOS Corporativos'!$E:$E,""),"")</f>
        <v>Grcia. Riesgos, Compliance y Control Interno</v>
      </c>
      <c r="D80" t="str">
        <f>IFERROR(_xlfn.XLOOKUP(B80,'CECOS Corporativos'!$D:$D,'CECOS Corporativos'!$J:$J,""),"")</f>
        <v>VP Finanzas</v>
      </c>
      <c r="E80" t="str">
        <f xml:space="preserve"> _xll.EPMOlapMemberO("[CLACO].[PARENTH7].[AMSAINFORMATIC]","","Informática y Comuni","","000")</f>
        <v>Informática y Comuni</v>
      </c>
      <c r="F80" t="str">
        <f t="shared" si="7"/>
        <v>N1003AD350</v>
      </c>
      <c r="G80" t="s">
        <v>733</v>
      </c>
      <c r="H80" t="str">
        <f>IFERROR(_xlfn.XLOOKUP(F80,'CECOS Corporativos'!$K:$K,'CECOS Corporativos'!$D:$D,""),"")</f>
        <v/>
      </c>
      <c r="I80">
        <v>26631.279999999999</v>
      </c>
      <c r="J80">
        <v>33292</v>
      </c>
      <c r="K80">
        <f t="shared" si="8"/>
        <v>6660.7200000000012</v>
      </c>
      <c r="L80">
        <v>29903.67</v>
      </c>
      <c r="M80">
        <v>41336</v>
      </c>
      <c r="N80">
        <f t="shared" si="9"/>
        <v>11432.330000000002</v>
      </c>
      <c r="O80">
        <v>40875.86</v>
      </c>
      <c r="P80">
        <v>34432</v>
      </c>
      <c r="Q80">
        <f t="shared" si="10"/>
        <v>-6443.8600000000006</v>
      </c>
      <c r="R80">
        <v>56003.94</v>
      </c>
      <c r="S80">
        <v>68092.850000000006</v>
      </c>
      <c r="T80">
        <f t="shared" si="11"/>
        <v>12088.910000000003</v>
      </c>
    </row>
    <row r="81" spans="1:20" x14ac:dyDescent="0.3">
      <c r="A81" s="4" t="str">
        <f xml:space="preserve"> _xll.EPMOlapMemberO("[CECO].[PARENTH3].[AMSA1003AD3507]","","AMSA1003AD3507 - Control Inter y Ries","","000")</f>
        <v>AMSA1003AD3507 - Control Inter y Ries</v>
      </c>
      <c r="B81" t="str">
        <f t="shared" si="6"/>
        <v>1003AD3507</v>
      </c>
      <c r="C81" t="str">
        <f>IFERROR(_xlfn.XLOOKUP(B81,'CECOS Corporativos'!$D:$D,'CECOS Corporativos'!$E:$E,""),"")</f>
        <v>Grcia. Riesgos, Compliance y Control Interno</v>
      </c>
      <c r="D81" t="str">
        <f>IFERROR(_xlfn.XLOOKUP(B81,'CECOS Corporativos'!$D:$D,'CECOS Corporativos'!$J:$J,""),"")</f>
        <v>VP Finanzas</v>
      </c>
      <c r="E81" t="str">
        <f xml:space="preserve"> _xll.EPMOlapMemberO("[CLACO].[PARENTH7].[AMSAG_VIAJES]","","Gastos de Viajes","","000")</f>
        <v>Gastos de Viajes</v>
      </c>
      <c r="F81" t="str">
        <f t="shared" si="7"/>
        <v>N1003AD350</v>
      </c>
      <c r="G81" t="s">
        <v>733</v>
      </c>
      <c r="H81" t="str">
        <f>IFERROR(_xlfn.XLOOKUP(F81,'CECOS Corporativos'!$K:$K,'CECOS Corporativos'!$D:$D,""),"")</f>
        <v/>
      </c>
      <c r="J81">
        <v>10765.4</v>
      </c>
      <c r="K81">
        <f t="shared" si="8"/>
        <v>10765.4</v>
      </c>
      <c r="N81">
        <f t="shared" si="9"/>
        <v>0</v>
      </c>
      <c r="Q81">
        <f t="shared" si="10"/>
        <v>0</v>
      </c>
      <c r="T81">
        <f t="shared" si="11"/>
        <v>0</v>
      </c>
    </row>
    <row r="82" spans="1:20" x14ac:dyDescent="0.3">
      <c r="A82" s="4" t="str">
        <f xml:space="preserve"> _xll.EPMOlapMemberO("[CECO].[PARENTH3].[AMSA1003AD3507]","","AMSA1003AD3507 - Control Inter y Ries","","000")</f>
        <v>AMSA1003AD3507 - Control Inter y Ries</v>
      </c>
      <c r="B82" t="str">
        <f t="shared" si="6"/>
        <v>1003AD3507</v>
      </c>
      <c r="C82" t="str">
        <f>IFERROR(_xlfn.XLOOKUP(B82,'CECOS Corporativos'!$D:$D,'CECOS Corporativos'!$E:$E,""),"")</f>
        <v>Grcia. Riesgos, Compliance y Control Interno</v>
      </c>
      <c r="D82" t="str">
        <f>IFERROR(_xlfn.XLOOKUP(B82,'CECOS Corporativos'!$D:$D,'CECOS Corporativos'!$J:$J,""),"")</f>
        <v>VP Finanzas</v>
      </c>
      <c r="E82" t="str">
        <f xml:space="preserve"> _xll.EPMOlapMemberO("[CLACO].[PARENTH7].[AMSAGGENERALES.2]","","Otros Gastos","","000")</f>
        <v>Otros Gastos</v>
      </c>
      <c r="F82" t="str">
        <f t="shared" si="7"/>
        <v>N1003AD350</v>
      </c>
      <c r="G82" t="s">
        <v>733</v>
      </c>
      <c r="H82" t="str">
        <f>IFERROR(_xlfn.XLOOKUP(F82,'CECOS Corporativos'!$K:$K,'CECOS Corporativos'!$D:$D,""),"")</f>
        <v/>
      </c>
      <c r="I82">
        <v>3393.96</v>
      </c>
      <c r="J82">
        <v>2691</v>
      </c>
      <c r="K82">
        <f t="shared" si="8"/>
        <v>-702.96</v>
      </c>
      <c r="L82">
        <v>2582.16</v>
      </c>
      <c r="M82">
        <v>3379</v>
      </c>
      <c r="N82">
        <f t="shared" si="9"/>
        <v>796.84000000000015</v>
      </c>
      <c r="O82">
        <v>701.72</v>
      </c>
      <c r="P82">
        <v>3649</v>
      </c>
      <c r="Q82">
        <f t="shared" si="10"/>
        <v>2947.2799999999997</v>
      </c>
      <c r="R82">
        <v>3078.72</v>
      </c>
      <c r="S82">
        <v>2910.97</v>
      </c>
      <c r="T82">
        <f t="shared" si="11"/>
        <v>-167.75</v>
      </c>
    </row>
    <row r="83" spans="1:20" x14ac:dyDescent="0.3">
      <c r="A83" s="4" t="str">
        <f xml:space="preserve"> _xll.EPMOlapMemberO("[CECO].[PARENTH3].[AMSA1003AD3507]","","AMSA1003AD3507 - Control Inter y Ries","","000")</f>
        <v>AMSA1003AD3507 - Control Inter y Ries</v>
      </c>
      <c r="B83" t="str">
        <f t="shared" si="6"/>
        <v>1003AD3507</v>
      </c>
      <c r="C83" t="str">
        <f>IFERROR(_xlfn.XLOOKUP(B83,'CECOS Corporativos'!$D:$D,'CECOS Corporativos'!$E:$E,""),"")</f>
        <v>Grcia. Riesgos, Compliance y Control Interno</v>
      </c>
      <c r="D83" t="str">
        <f>IFERROR(_xlfn.XLOOKUP(B83,'CECOS Corporativos'!$D:$D,'CECOS Corporativos'!$J:$J,""),"")</f>
        <v>VP Finanzas</v>
      </c>
      <c r="E83" t="str">
        <f xml:space="preserve"> _xll.EPMOlapMemberO("[CLACO].[PARENTH7].[AMSASERV_CORP]","","Servicios Corporativ","","000")</f>
        <v>Servicios Corporativ</v>
      </c>
      <c r="F83" t="str">
        <f t="shared" si="7"/>
        <v>N1003AD350</v>
      </c>
      <c r="G83" t="s">
        <v>733</v>
      </c>
      <c r="H83" t="str">
        <f>IFERROR(_xlfn.XLOOKUP(F83,'CECOS Corporativos'!$K:$K,'CECOS Corporativos'!$D:$D,""),"")</f>
        <v/>
      </c>
      <c r="I83">
        <v>212098.52</v>
      </c>
      <c r="J83">
        <v>218709</v>
      </c>
      <c r="K83">
        <f t="shared" si="8"/>
        <v>6610.4800000000105</v>
      </c>
      <c r="L83">
        <v>288577.24</v>
      </c>
      <c r="M83">
        <v>261955</v>
      </c>
      <c r="N83">
        <f t="shared" si="9"/>
        <v>-26622.239999999991</v>
      </c>
      <c r="O83">
        <v>-0.24</v>
      </c>
      <c r="Q83">
        <f t="shared" si="10"/>
        <v>0.24</v>
      </c>
      <c r="T83">
        <f t="shared" si="11"/>
        <v>0</v>
      </c>
    </row>
    <row r="84" spans="1:20" x14ac:dyDescent="0.3">
      <c r="A84" s="4" t="str">
        <f xml:space="preserve"> _xll.EPMOlapMemberO("[CECO].[PARENTH3].[AMSA1003AD3509]","","AMSA1003AD3509 - TICA Corporativo","","000")</f>
        <v>AMSA1003AD3509 - TICA Corporativo</v>
      </c>
      <c r="B84" t="str">
        <f t="shared" si="6"/>
        <v>1003AD3509</v>
      </c>
      <c r="C84" t="str">
        <f>IFERROR(_xlfn.XLOOKUP(B84,'CECOS Corporativos'!$D:$D,'CECOS Corporativos'!$E:$E,""),"")</f>
        <v>TICA Distribuible</v>
      </c>
      <c r="D84" t="str">
        <f>IFERROR(_xlfn.XLOOKUP(B84,'CECOS Corporativos'!$D:$D,'CECOS Corporativos'!$J:$J,""),"")</f>
        <v>VP Estrategia e Innovación</v>
      </c>
      <c r="E84" t="str">
        <f xml:space="preserve"> _xll.EPMOlapMemberO("[CLACO].[PARENTH7].[AMSAMAT_Y_REP.2]","","Materiales y repuest","","000")</f>
        <v>Materiales y repuest</v>
      </c>
      <c r="F84" t="str">
        <f t="shared" si="7"/>
        <v>N1003AD350</v>
      </c>
      <c r="G84" t="s">
        <v>733</v>
      </c>
      <c r="H84" t="str">
        <f>IFERROR(_xlfn.XLOOKUP(F84,'CECOS Corporativos'!$K:$K,'CECOS Corporativos'!$D:$D,""),"")</f>
        <v/>
      </c>
      <c r="I84">
        <v>140831.19</v>
      </c>
      <c r="J84">
        <v>89579</v>
      </c>
      <c r="K84">
        <f t="shared" si="8"/>
        <v>-51252.19</v>
      </c>
      <c r="L84">
        <v>55479.57</v>
      </c>
      <c r="M84">
        <v>67357</v>
      </c>
      <c r="N84">
        <f t="shared" si="9"/>
        <v>11877.43</v>
      </c>
      <c r="O84">
        <v>43887.11</v>
      </c>
      <c r="P84">
        <v>50077</v>
      </c>
      <c r="Q84">
        <f t="shared" si="10"/>
        <v>6189.8899999999994</v>
      </c>
      <c r="R84">
        <v>38520.82</v>
      </c>
      <c r="S84">
        <v>49801.66</v>
      </c>
      <c r="T84">
        <f t="shared" si="11"/>
        <v>11280.840000000004</v>
      </c>
    </row>
    <row r="85" spans="1:20" x14ac:dyDescent="0.3">
      <c r="A85" s="4" t="str">
        <f xml:space="preserve"> _xll.EPMOlapMemberO("[CECO].[PARENTH3].[AMSA1003AD3509]","","AMSA1003AD3509 - TICA Corporativo","","000")</f>
        <v>AMSA1003AD3509 - TICA Corporativo</v>
      </c>
      <c r="B85" t="str">
        <f t="shared" si="6"/>
        <v>1003AD3509</v>
      </c>
      <c r="C85" t="str">
        <f>IFERROR(_xlfn.XLOOKUP(B85,'CECOS Corporativos'!$D:$D,'CECOS Corporativos'!$E:$E,""),"")</f>
        <v>TICA Distribuible</v>
      </c>
      <c r="D85" t="str">
        <f>IFERROR(_xlfn.XLOOKUP(B85,'CECOS Corporativos'!$D:$D,'CECOS Corporativos'!$J:$J,""),"")</f>
        <v>VP Estrategia e Innovación</v>
      </c>
      <c r="E85" t="str">
        <f xml:space="preserve"> _xll.EPMOlapMemberO("[CLACO].[PARENTH7].[AMSACOMBUSTIBL]","","Combustibles  / Lubr","","000")</f>
        <v>Combustibles  / Lubr</v>
      </c>
      <c r="F85" t="str">
        <f t="shared" si="7"/>
        <v>N1003AD350</v>
      </c>
      <c r="G85" t="s">
        <v>733</v>
      </c>
      <c r="H85" t="str">
        <f>IFERROR(_xlfn.XLOOKUP(F85,'CECOS Corporativos'!$K:$K,'CECOS Corporativos'!$D:$D,""),"")</f>
        <v/>
      </c>
      <c r="I85">
        <v>0</v>
      </c>
      <c r="J85">
        <v>6103</v>
      </c>
      <c r="K85">
        <f t="shared" si="8"/>
        <v>6103</v>
      </c>
      <c r="L85">
        <v>1117.3</v>
      </c>
      <c r="M85">
        <v>5413</v>
      </c>
      <c r="N85">
        <f t="shared" si="9"/>
        <v>4295.7</v>
      </c>
      <c r="O85">
        <v>2866.24</v>
      </c>
      <c r="P85">
        <v>2164</v>
      </c>
      <c r="Q85">
        <f t="shared" si="10"/>
        <v>-702.23999999999978</v>
      </c>
      <c r="R85">
        <v>3241.5</v>
      </c>
      <c r="S85">
        <v>2039.04</v>
      </c>
      <c r="T85">
        <f t="shared" si="11"/>
        <v>-1202.46</v>
      </c>
    </row>
    <row r="86" spans="1:20" x14ac:dyDescent="0.3">
      <c r="A86" s="4" t="str">
        <f xml:space="preserve"> _xll.EPMOlapMemberO("[CECO].[PARENTH3].[AMSA1003AD3509]","","AMSA1003AD3509 - TICA Corporativo","","000")</f>
        <v>AMSA1003AD3509 - TICA Corporativo</v>
      </c>
      <c r="B86" t="str">
        <f t="shared" si="6"/>
        <v>1003AD3509</v>
      </c>
      <c r="C86" t="str">
        <f>IFERROR(_xlfn.XLOOKUP(B86,'CECOS Corporativos'!$D:$D,'CECOS Corporativos'!$E:$E,""),"")</f>
        <v>TICA Distribuible</v>
      </c>
      <c r="D86" t="str">
        <f>IFERROR(_xlfn.XLOOKUP(B86,'CECOS Corporativos'!$D:$D,'CECOS Corporativos'!$J:$J,""),"")</f>
        <v>VP Estrategia e Innovación</v>
      </c>
      <c r="E86" t="str">
        <f xml:space="preserve"> _xll.EPMOlapMemberO("[CLACO].[PARENTH7].[AMSAENTRENAMI]","","Entrenamiento","","000")</f>
        <v>Entrenamiento</v>
      </c>
      <c r="F86" t="str">
        <f t="shared" si="7"/>
        <v>N1003AD350</v>
      </c>
      <c r="G86" t="s">
        <v>733</v>
      </c>
      <c r="H86" t="str">
        <f>IFERROR(_xlfn.XLOOKUP(F86,'CECOS Corporativos'!$K:$K,'CECOS Corporativos'!$D:$D,""),"")</f>
        <v/>
      </c>
      <c r="I86">
        <v>-0.01</v>
      </c>
      <c r="K86">
        <f t="shared" si="8"/>
        <v>0.01</v>
      </c>
      <c r="N86">
        <f t="shared" si="9"/>
        <v>0</v>
      </c>
      <c r="Q86">
        <f t="shared" si="10"/>
        <v>0</v>
      </c>
      <c r="T86">
        <f t="shared" si="11"/>
        <v>0</v>
      </c>
    </row>
    <row r="87" spans="1:20" x14ac:dyDescent="0.3">
      <c r="A87" s="4" t="str">
        <f xml:space="preserve"> _xll.EPMOlapMemberO("[CECO].[PARENTH3].[AMSA1003AD3509]","","AMSA1003AD3509 - TICA Corporativo","","000")</f>
        <v>AMSA1003AD3509 - TICA Corporativo</v>
      </c>
      <c r="B87" t="str">
        <f t="shared" si="6"/>
        <v>1003AD3509</v>
      </c>
      <c r="C87" t="str">
        <f>IFERROR(_xlfn.XLOOKUP(B87,'CECOS Corporativos'!$D:$D,'CECOS Corporativos'!$E:$E,""),"")</f>
        <v>TICA Distribuible</v>
      </c>
      <c r="D87" t="str">
        <f>IFERROR(_xlfn.XLOOKUP(B87,'CECOS Corporativos'!$D:$D,'CECOS Corporativos'!$J:$J,""),"")</f>
        <v>VP Estrategia e Innovación</v>
      </c>
      <c r="E87" t="str">
        <f xml:space="preserve"> _xll.EPMOlapMemberO("[CLACO].[PARENTH7].[AMSAASESORIAS]","","Asesorías y Consulto","","000")</f>
        <v>Asesorías y Consulto</v>
      </c>
      <c r="F87" t="str">
        <f t="shared" si="7"/>
        <v>N1003AD350</v>
      </c>
      <c r="G87" t="s">
        <v>733</v>
      </c>
      <c r="H87" t="str">
        <f>IFERROR(_xlfn.XLOOKUP(F87,'CECOS Corporativos'!$K:$K,'CECOS Corporativos'!$D:$D,""),"")</f>
        <v/>
      </c>
      <c r="I87">
        <v>-1.1599999999999999</v>
      </c>
      <c r="K87">
        <f t="shared" si="8"/>
        <v>1.1599999999999999</v>
      </c>
      <c r="N87">
        <f t="shared" si="9"/>
        <v>0</v>
      </c>
      <c r="Q87">
        <f t="shared" si="10"/>
        <v>0</v>
      </c>
      <c r="T87">
        <f t="shared" si="11"/>
        <v>0</v>
      </c>
    </row>
    <row r="88" spans="1:20" x14ac:dyDescent="0.3">
      <c r="A88" s="4" t="str">
        <f xml:space="preserve"> _xll.EPMOlapMemberO("[CECO].[PARENTH3].[AMSA1003AD3509]","","AMSA1003AD3509 - TICA Corporativo","","000")</f>
        <v>AMSA1003AD3509 - TICA Corporativo</v>
      </c>
      <c r="B88" t="str">
        <f t="shared" si="6"/>
        <v>1003AD3509</v>
      </c>
      <c r="C88" t="str">
        <f>IFERROR(_xlfn.XLOOKUP(B88,'CECOS Corporativos'!$D:$D,'CECOS Corporativos'!$E:$E,""),"")</f>
        <v>TICA Distribuible</v>
      </c>
      <c r="D88" t="str">
        <f>IFERROR(_xlfn.XLOOKUP(B88,'CECOS Corporativos'!$D:$D,'CECOS Corporativos'!$J:$J,""),"")</f>
        <v>VP Estrategia e Innovación</v>
      </c>
      <c r="E88" t="str">
        <f xml:space="preserve"> _xll.EPMOlapMemberO("[CLACO].[PARENTH7].[AMSAARRIENDOS]","","Arriendos","","000")</f>
        <v>Arriendos</v>
      </c>
      <c r="F88" t="str">
        <f t="shared" si="7"/>
        <v>N1003AD350</v>
      </c>
      <c r="G88" t="s">
        <v>733</v>
      </c>
      <c r="H88" t="str">
        <f>IFERROR(_xlfn.XLOOKUP(F88,'CECOS Corporativos'!$K:$K,'CECOS Corporativos'!$D:$D,""),"")</f>
        <v/>
      </c>
      <c r="I88">
        <v>9440.15</v>
      </c>
      <c r="J88">
        <v>9432</v>
      </c>
      <c r="K88">
        <f t="shared" si="8"/>
        <v>-8.1499999999996362</v>
      </c>
      <c r="L88">
        <v>9048.2900000000009</v>
      </c>
      <c r="M88">
        <v>10254</v>
      </c>
      <c r="N88">
        <f t="shared" si="9"/>
        <v>1205.7099999999991</v>
      </c>
      <c r="O88">
        <v>9191.98</v>
      </c>
      <c r="P88">
        <v>10818</v>
      </c>
      <c r="Q88">
        <f t="shared" si="10"/>
        <v>1626.0200000000004</v>
      </c>
      <c r="R88">
        <v>10150.870000000001</v>
      </c>
      <c r="S88">
        <v>10194.959999999999</v>
      </c>
      <c r="T88">
        <f t="shared" si="11"/>
        <v>44.089999999998327</v>
      </c>
    </row>
    <row r="89" spans="1:20" x14ac:dyDescent="0.3">
      <c r="A89" s="4" t="str">
        <f xml:space="preserve"> _xll.EPMOlapMemberO("[CECO].[PARENTH3].[AMSA1003AD3509]","","AMSA1003AD3509 - TICA Corporativo","","000")</f>
        <v>AMSA1003AD3509 - TICA Corporativo</v>
      </c>
      <c r="B89" t="str">
        <f t="shared" si="6"/>
        <v>1003AD3509</v>
      </c>
      <c r="C89" t="str">
        <f>IFERROR(_xlfn.XLOOKUP(B89,'CECOS Corporativos'!$D:$D,'CECOS Corporativos'!$E:$E,""),"")</f>
        <v>TICA Distribuible</v>
      </c>
      <c r="D89" t="str">
        <f>IFERROR(_xlfn.XLOOKUP(B89,'CECOS Corporativos'!$D:$D,'CECOS Corporativos'!$J:$J,""),"")</f>
        <v>VP Estrategia e Innovación</v>
      </c>
      <c r="E89" t="str">
        <f xml:space="preserve"> _xll.EPMOlapMemberO("[CLACO].[PARENTH7].[AMSASERVICIOS]","","Servicios","","000")</f>
        <v>Servicios</v>
      </c>
      <c r="F89" t="str">
        <f t="shared" si="7"/>
        <v>N1003AD350</v>
      </c>
      <c r="G89" t="s">
        <v>733</v>
      </c>
      <c r="H89" t="str">
        <f>IFERROR(_xlfn.XLOOKUP(F89,'CECOS Corporativos'!$K:$K,'CECOS Corporativos'!$D:$D,""),"")</f>
        <v/>
      </c>
      <c r="I89">
        <v>11039.22</v>
      </c>
      <c r="J89">
        <v>5147</v>
      </c>
      <c r="K89">
        <f t="shared" si="8"/>
        <v>-5892.2199999999993</v>
      </c>
      <c r="L89">
        <v>12386.95</v>
      </c>
      <c r="M89">
        <v>2068</v>
      </c>
      <c r="N89">
        <f t="shared" si="9"/>
        <v>-10318.950000000001</v>
      </c>
      <c r="O89">
        <v>-36359.17</v>
      </c>
      <c r="Q89">
        <f t="shared" si="10"/>
        <v>36359.17</v>
      </c>
      <c r="R89">
        <v>-1916.74</v>
      </c>
      <c r="T89">
        <f t="shared" si="11"/>
        <v>1916.74</v>
      </c>
    </row>
    <row r="90" spans="1:20" x14ac:dyDescent="0.3">
      <c r="A90" s="4" t="str">
        <f xml:space="preserve"> _xll.EPMOlapMemberO("[CECO].[PARENTH3].[AMSA1003AD3509]","","AMSA1003AD3509 - TICA Corporativo","","000")</f>
        <v>AMSA1003AD3509 - TICA Corporativo</v>
      </c>
      <c r="B90" t="str">
        <f t="shared" si="6"/>
        <v>1003AD3509</v>
      </c>
      <c r="C90" t="str">
        <f>IFERROR(_xlfn.XLOOKUP(B90,'CECOS Corporativos'!$D:$D,'CECOS Corporativos'!$E:$E,""),"")</f>
        <v>TICA Distribuible</v>
      </c>
      <c r="D90" t="str">
        <f>IFERROR(_xlfn.XLOOKUP(B90,'CECOS Corporativos'!$D:$D,'CECOS Corporativos'!$J:$J,""),"")</f>
        <v>VP Estrategia e Innovación</v>
      </c>
      <c r="E90" t="str">
        <f xml:space="preserve"> _xll.EPMOlapMemberO("[CLACO].[PARENTH7].[AMSASERMANTO.REPA]","","Servicios Mantenimie","","000")</f>
        <v>Servicios Mantenimie</v>
      </c>
      <c r="F90" t="str">
        <f t="shared" si="7"/>
        <v>N1003AD350</v>
      </c>
      <c r="G90" t="s">
        <v>733</v>
      </c>
      <c r="H90" t="str">
        <f>IFERROR(_xlfn.XLOOKUP(F90,'CECOS Corporativos'!$K:$K,'CECOS Corporativos'!$D:$D,""),"")</f>
        <v/>
      </c>
      <c r="I90">
        <v>45865</v>
      </c>
      <c r="K90">
        <f t="shared" si="8"/>
        <v>-45865</v>
      </c>
      <c r="N90">
        <f t="shared" si="9"/>
        <v>0</v>
      </c>
      <c r="Q90">
        <f t="shared" si="10"/>
        <v>0</v>
      </c>
      <c r="T90">
        <f t="shared" si="11"/>
        <v>0</v>
      </c>
    </row>
    <row r="91" spans="1:20" x14ac:dyDescent="0.3">
      <c r="A91" s="4" t="str">
        <f xml:space="preserve"> _xll.EPMOlapMemberO("[CECO].[PARENTH3].[AMSA1003AD3509]","","AMSA1003AD3509 - TICA Corporativo","","000")</f>
        <v>AMSA1003AD3509 - TICA Corporativo</v>
      </c>
      <c r="B91" t="str">
        <f t="shared" si="6"/>
        <v>1003AD3509</v>
      </c>
      <c r="C91" t="str">
        <f>IFERROR(_xlfn.XLOOKUP(B91,'CECOS Corporativos'!$D:$D,'CECOS Corporativos'!$E:$E,""),"")</f>
        <v>TICA Distribuible</v>
      </c>
      <c r="D91" t="str">
        <f>IFERROR(_xlfn.XLOOKUP(B91,'CECOS Corporativos'!$D:$D,'CECOS Corporativos'!$J:$J,""),"")</f>
        <v>VP Estrategia e Innovación</v>
      </c>
      <c r="E91" t="str">
        <f xml:space="preserve"> _xll.EPMOlapMemberO("[CLACO].[PARENTH7].[AMSAINFORMATIC]","","Informática y Comuni","","000")</f>
        <v>Informática y Comuni</v>
      </c>
      <c r="F91" t="str">
        <f t="shared" si="7"/>
        <v>N1003AD350</v>
      </c>
      <c r="G91" t="s">
        <v>733</v>
      </c>
      <c r="H91" t="str">
        <f>IFERROR(_xlfn.XLOOKUP(F91,'CECOS Corporativos'!$K:$K,'CECOS Corporativos'!$D:$D,""),"")</f>
        <v/>
      </c>
      <c r="I91">
        <v>3479962.95</v>
      </c>
      <c r="J91">
        <v>3846562.01</v>
      </c>
      <c r="K91">
        <f t="shared" si="8"/>
        <v>366599.05999999959</v>
      </c>
      <c r="L91">
        <v>3750913.47</v>
      </c>
      <c r="M91">
        <v>3741669</v>
      </c>
      <c r="N91">
        <f t="shared" si="9"/>
        <v>-9244.4700000002049</v>
      </c>
      <c r="O91">
        <v>3179441.42</v>
      </c>
      <c r="P91">
        <v>3356648</v>
      </c>
      <c r="Q91">
        <f t="shared" si="10"/>
        <v>177206.58000000007</v>
      </c>
      <c r="R91">
        <v>3691664.09</v>
      </c>
      <c r="S91">
        <v>3820958.2</v>
      </c>
      <c r="T91">
        <f t="shared" si="11"/>
        <v>129294.11000000034</v>
      </c>
    </row>
    <row r="92" spans="1:20" x14ac:dyDescent="0.3">
      <c r="A92" s="4" t="str">
        <f xml:space="preserve"> _xll.EPMOlapMemberO("[CECO].[PARENTH3].[AMSA1003AD3509]","","AMSA1003AD3509 - TICA Corporativo","","000")</f>
        <v>AMSA1003AD3509 - TICA Corporativo</v>
      </c>
      <c r="B92" t="str">
        <f t="shared" si="6"/>
        <v>1003AD3509</v>
      </c>
      <c r="C92" t="str">
        <f>IFERROR(_xlfn.XLOOKUP(B92,'CECOS Corporativos'!$D:$D,'CECOS Corporativos'!$E:$E,""),"")</f>
        <v>TICA Distribuible</v>
      </c>
      <c r="D92" t="str">
        <f>IFERROR(_xlfn.XLOOKUP(B92,'CECOS Corporativos'!$D:$D,'CECOS Corporativos'!$J:$J,""),"")</f>
        <v>VP Estrategia e Innovación</v>
      </c>
      <c r="E92" t="str">
        <f xml:space="preserve"> _xll.EPMOlapMemberO("[CLACO].[PARENTH7].[AMSAG_VIAJES]","","Gastos de Viajes","","000")</f>
        <v>Gastos de Viajes</v>
      </c>
      <c r="F92" t="str">
        <f t="shared" si="7"/>
        <v>N1003AD350</v>
      </c>
      <c r="G92" t="s">
        <v>733</v>
      </c>
      <c r="H92" t="str">
        <f>IFERROR(_xlfn.XLOOKUP(F92,'CECOS Corporativos'!$K:$K,'CECOS Corporativos'!$D:$D,""),"")</f>
        <v/>
      </c>
      <c r="I92">
        <v>13988.85</v>
      </c>
      <c r="J92">
        <v>13518.48</v>
      </c>
      <c r="K92">
        <f t="shared" si="8"/>
        <v>-470.3700000000008</v>
      </c>
      <c r="L92">
        <v>16683.7</v>
      </c>
      <c r="M92">
        <v>27736.31</v>
      </c>
      <c r="N92">
        <f t="shared" si="9"/>
        <v>11052.61</v>
      </c>
      <c r="O92">
        <v>21933.45</v>
      </c>
      <c r="P92">
        <v>28331</v>
      </c>
      <c r="Q92">
        <f t="shared" si="10"/>
        <v>6397.5499999999993</v>
      </c>
      <c r="R92">
        <v>13747.79</v>
      </c>
      <c r="S92">
        <v>25149.49</v>
      </c>
      <c r="T92">
        <f t="shared" si="11"/>
        <v>11401.7</v>
      </c>
    </row>
    <row r="93" spans="1:20" x14ac:dyDescent="0.3">
      <c r="A93" s="4" t="str">
        <f xml:space="preserve"> _xll.EPMOlapMemberO("[CECO].[PARENTH3].[AMSA1003AD3509]","","AMSA1003AD3509 - TICA Corporativo","","000")</f>
        <v>AMSA1003AD3509 - TICA Corporativo</v>
      </c>
      <c r="B93" t="str">
        <f t="shared" si="6"/>
        <v>1003AD3509</v>
      </c>
      <c r="C93" t="str">
        <f>IFERROR(_xlfn.XLOOKUP(B93,'CECOS Corporativos'!$D:$D,'CECOS Corporativos'!$E:$E,""),"")</f>
        <v>TICA Distribuible</v>
      </c>
      <c r="D93" t="str">
        <f>IFERROR(_xlfn.XLOOKUP(B93,'CECOS Corporativos'!$D:$D,'CECOS Corporativos'!$J:$J,""),"")</f>
        <v>VP Estrategia e Innovación</v>
      </c>
      <c r="E93" t="str">
        <f xml:space="preserve"> _xll.EPMOlapMemberO("[CLACO].[PARENTH7].[AMSAGGENERALES.2]","","Otros Gastos","","000")</f>
        <v>Otros Gastos</v>
      </c>
      <c r="F93" t="str">
        <f t="shared" si="7"/>
        <v>N1003AD350</v>
      </c>
      <c r="G93" t="s">
        <v>733</v>
      </c>
      <c r="H93" t="str">
        <f>IFERROR(_xlfn.XLOOKUP(F93,'CECOS Corporativos'!$K:$K,'CECOS Corporativos'!$D:$D,""),"")</f>
        <v/>
      </c>
      <c r="I93">
        <v>440.45</v>
      </c>
      <c r="K93">
        <f t="shared" si="8"/>
        <v>-440.45</v>
      </c>
      <c r="L93">
        <v>730.13</v>
      </c>
      <c r="N93">
        <f t="shared" si="9"/>
        <v>-730.13</v>
      </c>
      <c r="O93">
        <v>30329.51</v>
      </c>
      <c r="P93">
        <v>32453</v>
      </c>
      <c r="Q93">
        <f t="shared" si="10"/>
        <v>2123.4900000000016</v>
      </c>
      <c r="R93">
        <v>186.97</v>
      </c>
      <c r="T93">
        <f t="shared" si="11"/>
        <v>-186.97</v>
      </c>
    </row>
    <row r="94" spans="1:20" x14ac:dyDescent="0.3">
      <c r="A94" s="4" t="str">
        <f xml:space="preserve"> _xll.EPMOlapMemberO("[CECO].[PARENTH3].[AMSA1003AD3509]","","AMSA1003AD3509 - TICA Corporativo","","000")</f>
        <v>AMSA1003AD3509 - TICA Corporativo</v>
      </c>
      <c r="B94" t="str">
        <f t="shared" si="6"/>
        <v>1003AD3509</v>
      </c>
      <c r="C94" t="str">
        <f>IFERROR(_xlfn.XLOOKUP(B94,'CECOS Corporativos'!$D:$D,'CECOS Corporativos'!$E:$E,""),"")</f>
        <v>TICA Distribuible</v>
      </c>
      <c r="D94" t="str">
        <f>IFERROR(_xlfn.XLOOKUP(B94,'CECOS Corporativos'!$D:$D,'CECOS Corporativos'!$J:$J,""),"")</f>
        <v>VP Estrategia e Innovación</v>
      </c>
      <c r="E94" t="str">
        <f xml:space="preserve"> _xll.EPMOlapMemberO("[CLACO].[PARENTH7].[AMSASERV_CORP]","","Servicios Corporativ","","000")</f>
        <v>Servicios Corporativ</v>
      </c>
      <c r="F94" t="str">
        <f t="shared" si="7"/>
        <v>N1003AD350</v>
      </c>
      <c r="G94" t="s">
        <v>733</v>
      </c>
      <c r="H94" t="str">
        <f>IFERROR(_xlfn.XLOOKUP(F94,'CECOS Corporativos'!$K:$K,'CECOS Corporativos'!$D:$D,""),"")</f>
        <v/>
      </c>
      <c r="I94">
        <v>884672.55</v>
      </c>
      <c r="J94">
        <v>896172</v>
      </c>
      <c r="K94">
        <f t="shared" si="8"/>
        <v>11499.449999999953</v>
      </c>
      <c r="L94">
        <v>830881.42</v>
      </c>
      <c r="M94">
        <v>899513</v>
      </c>
      <c r="N94">
        <f t="shared" si="9"/>
        <v>68631.579999999958</v>
      </c>
      <c r="O94">
        <v>885672.58</v>
      </c>
      <c r="P94">
        <v>884676</v>
      </c>
      <c r="Q94">
        <f t="shared" si="10"/>
        <v>-996.57999999995809</v>
      </c>
      <c r="R94">
        <v>1412020.93</v>
      </c>
      <c r="S94">
        <v>1457606.54</v>
      </c>
      <c r="T94">
        <f t="shared" si="11"/>
        <v>45585.610000000102</v>
      </c>
    </row>
    <row r="95" spans="1:20" x14ac:dyDescent="0.3">
      <c r="A95" s="4" t="str">
        <f xml:space="preserve"> _xll.EPMOlapMemberO("[CECO].[PARENTH3].[AMSA1003AD3510]","","AMSA1003AD3510 - Abaste. Corporativos","","000")</f>
        <v>AMSA1003AD3510 - Abaste. Corporativos</v>
      </c>
      <c r="B95" t="str">
        <f t="shared" si="6"/>
        <v>1003AD3510</v>
      </c>
      <c r="C95" t="str">
        <f>IFERROR(_xlfn.XLOOKUP(B95,'CECOS Corporativos'!$D:$D,'CECOS Corporativos'!$E:$E,""),"")</f>
        <v>Gerencia de Abastecimiento Corporativo</v>
      </c>
      <c r="D95" t="str">
        <f>IFERROR(_xlfn.XLOOKUP(B95,'CECOS Corporativos'!$D:$D,'CECOS Corporativos'!$J:$J,""),"")</f>
        <v>VP Finanzas</v>
      </c>
      <c r="E95" t="str">
        <f xml:space="preserve"> _xll.EPMOlapMemberO("[CLACO].[PARENTH7].[AMSAEXPLOSIVOS]","","Explosivos y Accesor","","000")</f>
        <v>Explosivos y Accesor</v>
      </c>
      <c r="F95" t="str">
        <f t="shared" si="7"/>
        <v>N1003AD350</v>
      </c>
      <c r="G95" t="s">
        <v>733</v>
      </c>
      <c r="H95" t="str">
        <f>IFERROR(_xlfn.XLOOKUP(F95,'CECOS Corporativos'!$K:$K,'CECOS Corporativos'!$D:$D,""),"")</f>
        <v/>
      </c>
      <c r="I95">
        <v>21102.75</v>
      </c>
      <c r="K95">
        <f t="shared" si="8"/>
        <v>-21102.75</v>
      </c>
      <c r="L95">
        <v>0</v>
      </c>
      <c r="N95">
        <f t="shared" si="9"/>
        <v>0</v>
      </c>
      <c r="O95">
        <v>0</v>
      </c>
      <c r="Q95">
        <f t="shared" si="10"/>
        <v>0</v>
      </c>
      <c r="T95">
        <f t="shared" si="11"/>
        <v>0</v>
      </c>
    </row>
    <row r="96" spans="1:20" x14ac:dyDescent="0.3">
      <c r="A96" s="4" t="str">
        <f xml:space="preserve"> _xll.EPMOlapMemberO("[CECO].[PARENTH3].[AMSA1003AD3510]","","AMSA1003AD3510 - Abaste. Corporativos","","000")</f>
        <v>AMSA1003AD3510 - Abaste. Corporativos</v>
      </c>
      <c r="B96" t="str">
        <f t="shared" si="6"/>
        <v>1003AD3510</v>
      </c>
      <c r="C96" t="str">
        <f>IFERROR(_xlfn.XLOOKUP(B96,'CECOS Corporativos'!$D:$D,'CECOS Corporativos'!$E:$E,""),"")</f>
        <v>Gerencia de Abastecimiento Corporativo</v>
      </c>
      <c r="D96" t="str">
        <f>IFERROR(_xlfn.XLOOKUP(B96,'CECOS Corporativos'!$D:$D,'CECOS Corporativos'!$J:$J,""),"")</f>
        <v>VP Finanzas</v>
      </c>
      <c r="E96" t="str">
        <f xml:space="preserve"> _xll.EPMOlapMemberO("[CLACO].[PARENTH7].[AMSAADM_PERSON]","","Administración Perso","","000")</f>
        <v>Administración Perso</v>
      </c>
      <c r="F96" t="str">
        <f t="shared" si="7"/>
        <v>N1003AD350</v>
      </c>
      <c r="G96" t="s">
        <v>733</v>
      </c>
      <c r="H96" t="str">
        <f>IFERROR(_xlfn.XLOOKUP(F96,'CECOS Corporativos'!$K:$K,'CECOS Corporativos'!$D:$D,""),"")</f>
        <v/>
      </c>
      <c r="K96">
        <f t="shared" si="8"/>
        <v>0</v>
      </c>
      <c r="L96">
        <v>25713.73</v>
      </c>
      <c r="N96">
        <f t="shared" si="9"/>
        <v>-25713.73</v>
      </c>
      <c r="O96">
        <v>0</v>
      </c>
      <c r="Q96">
        <f t="shared" si="10"/>
        <v>0</v>
      </c>
      <c r="R96">
        <v>8167.44</v>
      </c>
      <c r="T96">
        <f t="shared" si="11"/>
        <v>-8167.44</v>
      </c>
    </row>
    <row r="97" spans="1:20" x14ac:dyDescent="0.3">
      <c r="A97" s="4" t="str">
        <f xml:space="preserve"> _xll.EPMOlapMemberO("[CECO].[PARENTH3].[AMSA1003AD3510]","","AMSA1003AD3510 - Abaste. Corporativos","","000")</f>
        <v>AMSA1003AD3510 - Abaste. Corporativos</v>
      </c>
      <c r="B97" t="str">
        <f t="shared" si="6"/>
        <v>1003AD3510</v>
      </c>
      <c r="C97" t="str">
        <f>IFERROR(_xlfn.XLOOKUP(B97,'CECOS Corporativos'!$D:$D,'CECOS Corporativos'!$E:$E,""),"")</f>
        <v>Gerencia de Abastecimiento Corporativo</v>
      </c>
      <c r="D97" t="str">
        <f>IFERROR(_xlfn.XLOOKUP(B97,'CECOS Corporativos'!$D:$D,'CECOS Corporativos'!$J:$J,""),"")</f>
        <v>VP Finanzas</v>
      </c>
      <c r="E97" t="str">
        <f xml:space="preserve"> _xll.EPMOlapMemberO("[CLACO].[PARENTH7].[AMSAENTRENAMI]","","Entrenamiento","","000")</f>
        <v>Entrenamiento</v>
      </c>
      <c r="F97" t="str">
        <f t="shared" si="7"/>
        <v>N1003AD350</v>
      </c>
      <c r="G97" t="s">
        <v>733</v>
      </c>
      <c r="H97" t="str">
        <f>IFERROR(_xlfn.XLOOKUP(F97,'CECOS Corporativos'!$K:$K,'CECOS Corporativos'!$D:$D,""),"")</f>
        <v/>
      </c>
      <c r="J97">
        <v>3834</v>
      </c>
      <c r="K97">
        <f t="shared" si="8"/>
        <v>3834</v>
      </c>
      <c r="L97">
        <v>612</v>
      </c>
      <c r="M97">
        <v>2611</v>
      </c>
      <c r="N97">
        <f t="shared" si="9"/>
        <v>1999</v>
      </c>
      <c r="Q97">
        <f t="shared" si="10"/>
        <v>0</v>
      </c>
      <c r="R97">
        <v>21137.96</v>
      </c>
      <c r="S97">
        <v>22791.15</v>
      </c>
      <c r="T97">
        <f t="shared" si="11"/>
        <v>1653.1900000000023</v>
      </c>
    </row>
    <row r="98" spans="1:20" x14ac:dyDescent="0.3">
      <c r="A98" s="4" t="str">
        <f xml:space="preserve"> _xll.EPMOlapMemberO("[CECO].[PARENTH3].[AMSA1003AD3510]","","AMSA1003AD3510 - Abaste. Corporativos","","000")</f>
        <v>AMSA1003AD3510 - Abaste. Corporativos</v>
      </c>
      <c r="B98" t="str">
        <f t="shared" si="6"/>
        <v>1003AD3510</v>
      </c>
      <c r="C98" t="str">
        <f>IFERROR(_xlfn.XLOOKUP(B98,'CECOS Corporativos'!$D:$D,'CECOS Corporativos'!$E:$E,""),"")</f>
        <v>Gerencia de Abastecimiento Corporativo</v>
      </c>
      <c r="D98" t="str">
        <f>IFERROR(_xlfn.XLOOKUP(B98,'CECOS Corporativos'!$D:$D,'CECOS Corporativos'!$J:$J,""),"")</f>
        <v>VP Finanzas</v>
      </c>
      <c r="E98" t="str">
        <f xml:space="preserve"> _xll.EPMOlapMemberO("[CLACO].[PARENTH7].[AMSAASESORIAS]","","Asesorías y Consulto","","000")</f>
        <v>Asesorías y Consulto</v>
      </c>
      <c r="F98" t="str">
        <f t="shared" si="7"/>
        <v>N1003AD350</v>
      </c>
      <c r="G98" t="s">
        <v>733</v>
      </c>
      <c r="H98" t="str">
        <f>IFERROR(_xlfn.XLOOKUP(F98,'CECOS Corporativos'!$K:$K,'CECOS Corporativos'!$D:$D,""),"")</f>
        <v/>
      </c>
      <c r="I98">
        <v>1881.76</v>
      </c>
      <c r="J98">
        <v>5142</v>
      </c>
      <c r="K98">
        <f t="shared" si="8"/>
        <v>3260.24</v>
      </c>
      <c r="L98">
        <v>3857</v>
      </c>
      <c r="M98">
        <v>30958</v>
      </c>
      <c r="N98">
        <f t="shared" si="9"/>
        <v>27101</v>
      </c>
      <c r="O98">
        <v>36965.03</v>
      </c>
      <c r="P98">
        <v>3012</v>
      </c>
      <c r="Q98">
        <f t="shared" si="10"/>
        <v>-33953.03</v>
      </c>
      <c r="R98">
        <v>0</v>
      </c>
      <c r="T98">
        <f t="shared" si="11"/>
        <v>0</v>
      </c>
    </row>
    <row r="99" spans="1:20" x14ac:dyDescent="0.3">
      <c r="A99" s="4" t="str">
        <f xml:space="preserve"> _xll.EPMOlapMemberO("[CECO].[PARENTH3].[AMSA1003AD3510]","","AMSA1003AD3510 - Abaste. Corporativos","","000")</f>
        <v>AMSA1003AD3510 - Abaste. Corporativos</v>
      </c>
      <c r="B99" t="str">
        <f t="shared" si="6"/>
        <v>1003AD3510</v>
      </c>
      <c r="C99" t="str">
        <f>IFERROR(_xlfn.XLOOKUP(B99,'CECOS Corporativos'!$D:$D,'CECOS Corporativos'!$E:$E,""),"")</f>
        <v>Gerencia de Abastecimiento Corporativo</v>
      </c>
      <c r="D99" t="str">
        <f>IFERROR(_xlfn.XLOOKUP(B99,'CECOS Corporativos'!$D:$D,'CECOS Corporativos'!$J:$J,""),"")</f>
        <v>VP Finanzas</v>
      </c>
      <c r="E99" t="str">
        <f xml:space="preserve"> _xll.EPMOlapMemberO("[CLACO].[PARENTH7].[AMSASERVICIOS]","","Servicios","","000")</f>
        <v>Servicios</v>
      </c>
      <c r="F99" t="str">
        <f t="shared" si="7"/>
        <v>N1003AD350</v>
      </c>
      <c r="G99" t="s">
        <v>733</v>
      </c>
      <c r="H99" t="str">
        <f>IFERROR(_xlfn.XLOOKUP(F99,'CECOS Corporativos'!$K:$K,'CECOS Corporativos'!$D:$D,""),"")</f>
        <v/>
      </c>
      <c r="I99">
        <v>131827.18</v>
      </c>
      <c r="J99">
        <v>281578</v>
      </c>
      <c r="K99">
        <f t="shared" si="8"/>
        <v>149750.82</v>
      </c>
      <c r="L99">
        <v>169903.6</v>
      </c>
      <c r="M99">
        <v>205785</v>
      </c>
      <c r="N99">
        <f t="shared" si="9"/>
        <v>35881.399999999994</v>
      </c>
      <c r="O99">
        <v>57462.7</v>
      </c>
      <c r="P99">
        <v>156912</v>
      </c>
      <c r="Q99">
        <f t="shared" si="10"/>
        <v>99449.3</v>
      </c>
      <c r="R99">
        <v>76612.75</v>
      </c>
      <c r="S99">
        <v>161934.87</v>
      </c>
      <c r="T99">
        <f t="shared" si="11"/>
        <v>85322.12</v>
      </c>
    </row>
    <row r="100" spans="1:20" x14ac:dyDescent="0.3">
      <c r="A100" s="4" t="str">
        <f xml:space="preserve"> _xll.EPMOlapMemberO("[CECO].[PARENTH3].[AMSA1003AD3510]","","AMSA1003AD3510 - Abaste. Corporativos","","000")</f>
        <v>AMSA1003AD3510 - Abaste. Corporativos</v>
      </c>
      <c r="B100" t="str">
        <f t="shared" si="6"/>
        <v>1003AD3510</v>
      </c>
      <c r="C100" t="str">
        <f>IFERROR(_xlfn.XLOOKUP(B100,'CECOS Corporativos'!$D:$D,'CECOS Corporativos'!$E:$E,""),"")</f>
        <v>Gerencia de Abastecimiento Corporativo</v>
      </c>
      <c r="D100" t="str">
        <f>IFERROR(_xlfn.XLOOKUP(B100,'CECOS Corporativos'!$D:$D,'CECOS Corporativos'!$J:$J,""),"")</f>
        <v>VP Finanzas</v>
      </c>
      <c r="E100" t="str">
        <f xml:space="preserve"> _xll.EPMOlapMemberO("[CLACO].[PARENTH7].[AMSAINFORMATIC]","","Informática y Comuni","","000")</f>
        <v>Informática y Comuni</v>
      </c>
      <c r="F100" t="str">
        <f t="shared" si="7"/>
        <v>N1003AD350</v>
      </c>
      <c r="G100" t="s">
        <v>733</v>
      </c>
      <c r="H100" t="str">
        <f>IFERROR(_xlfn.XLOOKUP(F100,'CECOS Corporativos'!$K:$K,'CECOS Corporativos'!$D:$D,""),"")</f>
        <v/>
      </c>
      <c r="I100">
        <v>25647.27</v>
      </c>
      <c r="K100">
        <f t="shared" si="8"/>
        <v>-25647.27</v>
      </c>
      <c r="L100">
        <v>74087.45</v>
      </c>
      <c r="M100">
        <v>92181</v>
      </c>
      <c r="N100">
        <f t="shared" si="9"/>
        <v>18093.550000000003</v>
      </c>
      <c r="O100">
        <v>109612.59</v>
      </c>
      <c r="P100">
        <v>79128</v>
      </c>
      <c r="Q100">
        <f t="shared" si="10"/>
        <v>-30484.589999999997</v>
      </c>
      <c r="R100">
        <v>93322.99</v>
      </c>
      <c r="S100">
        <v>76171.5</v>
      </c>
      <c r="T100">
        <f t="shared" si="11"/>
        <v>-17151.490000000005</v>
      </c>
    </row>
    <row r="101" spans="1:20" x14ac:dyDescent="0.3">
      <c r="A101" s="4" t="str">
        <f xml:space="preserve"> _xll.EPMOlapMemberO("[CECO].[PARENTH3].[AMSA1003AD3510]","","AMSA1003AD3510 - Abaste. Corporativos","","000")</f>
        <v>AMSA1003AD3510 - Abaste. Corporativos</v>
      </c>
      <c r="B101" t="str">
        <f t="shared" si="6"/>
        <v>1003AD3510</v>
      </c>
      <c r="C101" t="str">
        <f>IFERROR(_xlfn.XLOOKUP(B101,'CECOS Corporativos'!$D:$D,'CECOS Corporativos'!$E:$E,""),"")</f>
        <v>Gerencia de Abastecimiento Corporativo</v>
      </c>
      <c r="D101" t="str">
        <f>IFERROR(_xlfn.XLOOKUP(B101,'CECOS Corporativos'!$D:$D,'CECOS Corporativos'!$J:$J,""),"")</f>
        <v>VP Finanzas</v>
      </c>
      <c r="E101" t="str">
        <f xml:space="preserve"> _xll.EPMOlapMemberO("[CLACO].[PARENTH7].[AMSAG_VIAJES]","","Gastos de Viajes","","000")</f>
        <v>Gastos de Viajes</v>
      </c>
      <c r="F101" t="str">
        <f t="shared" si="7"/>
        <v>N1003AD350</v>
      </c>
      <c r="G101" t="s">
        <v>733</v>
      </c>
      <c r="H101" t="str">
        <f>IFERROR(_xlfn.XLOOKUP(F101,'CECOS Corporativos'!$K:$K,'CECOS Corporativos'!$D:$D,""),"")</f>
        <v/>
      </c>
      <c r="K101">
        <f t="shared" si="8"/>
        <v>0</v>
      </c>
      <c r="L101">
        <v>3750</v>
      </c>
      <c r="N101">
        <f t="shared" si="9"/>
        <v>-3750</v>
      </c>
      <c r="O101">
        <v>0</v>
      </c>
      <c r="Q101">
        <f t="shared" si="10"/>
        <v>0</v>
      </c>
      <c r="T101">
        <f t="shared" si="11"/>
        <v>0</v>
      </c>
    </row>
    <row r="102" spans="1:20" x14ac:dyDescent="0.3">
      <c r="A102" s="4" t="str">
        <f xml:space="preserve"> _xll.EPMOlapMemberO("[CECO].[PARENTH3].[AMSA1003AD3510]","","AMSA1003AD3510 - Abaste. Corporativos","","000")</f>
        <v>AMSA1003AD3510 - Abaste. Corporativos</v>
      </c>
      <c r="B102" t="str">
        <f t="shared" si="6"/>
        <v>1003AD3510</v>
      </c>
      <c r="C102" t="str">
        <f>IFERROR(_xlfn.XLOOKUP(B102,'CECOS Corporativos'!$D:$D,'CECOS Corporativos'!$E:$E,""),"")</f>
        <v>Gerencia de Abastecimiento Corporativo</v>
      </c>
      <c r="D102" t="str">
        <f>IFERROR(_xlfn.XLOOKUP(B102,'CECOS Corporativos'!$D:$D,'CECOS Corporativos'!$J:$J,""),"")</f>
        <v>VP Finanzas</v>
      </c>
      <c r="E102" t="str">
        <f xml:space="preserve"> _xll.EPMOlapMemberO("[CLACO].[PARENTH7].[AMSAGGENERALES.2]","","Otros Gastos","","000")</f>
        <v>Otros Gastos</v>
      </c>
      <c r="F102" t="str">
        <f t="shared" si="7"/>
        <v>N1003AD350</v>
      </c>
      <c r="G102" t="s">
        <v>733</v>
      </c>
      <c r="H102" t="str">
        <f>IFERROR(_xlfn.XLOOKUP(F102,'CECOS Corporativos'!$K:$K,'CECOS Corporativos'!$D:$D,""),"")</f>
        <v/>
      </c>
      <c r="K102">
        <f t="shared" si="8"/>
        <v>0</v>
      </c>
      <c r="L102">
        <v>561</v>
      </c>
      <c r="N102">
        <f t="shared" si="9"/>
        <v>-561</v>
      </c>
      <c r="Q102">
        <f t="shared" si="10"/>
        <v>0</v>
      </c>
      <c r="T102">
        <f t="shared" si="11"/>
        <v>0</v>
      </c>
    </row>
    <row r="103" spans="1:20" x14ac:dyDescent="0.3">
      <c r="A103" s="4" t="str">
        <f xml:space="preserve"> _xll.EPMOlapMemberO("[CECO].[PARENTH3].[AMSA1003AD3510]","","AMSA1003AD3510 - Abaste. Corporativos","","000")</f>
        <v>AMSA1003AD3510 - Abaste. Corporativos</v>
      </c>
      <c r="B103" t="str">
        <f t="shared" si="6"/>
        <v>1003AD3510</v>
      </c>
      <c r="C103" t="str">
        <f>IFERROR(_xlfn.XLOOKUP(B103,'CECOS Corporativos'!$D:$D,'CECOS Corporativos'!$E:$E,""),"")</f>
        <v>Gerencia de Abastecimiento Corporativo</v>
      </c>
      <c r="D103" t="str">
        <f>IFERROR(_xlfn.XLOOKUP(B103,'CECOS Corporativos'!$D:$D,'CECOS Corporativos'!$J:$J,""),"")</f>
        <v>VP Finanzas</v>
      </c>
      <c r="E103" t="str">
        <f xml:space="preserve"> _xll.EPMOlapMemberO("[CLACO].[PARENTH7].[AMSASERV_CORP]","","Servicios Corporativ","","000")</f>
        <v>Servicios Corporativ</v>
      </c>
      <c r="F103" t="str">
        <f t="shared" si="7"/>
        <v>N1003AD350</v>
      </c>
      <c r="G103" t="s">
        <v>733</v>
      </c>
      <c r="H103" t="str">
        <f>IFERROR(_xlfn.XLOOKUP(F103,'CECOS Corporativos'!$K:$K,'CECOS Corporativos'!$D:$D,""),"")</f>
        <v/>
      </c>
      <c r="I103">
        <v>636176.75</v>
      </c>
      <c r="J103">
        <v>626101</v>
      </c>
      <c r="K103">
        <f t="shared" si="8"/>
        <v>-10075.75</v>
      </c>
      <c r="L103">
        <v>674434.84</v>
      </c>
      <c r="M103">
        <v>612220</v>
      </c>
      <c r="N103">
        <f t="shared" si="9"/>
        <v>-62214.839999999967</v>
      </c>
      <c r="O103">
        <v>76317.850000000006</v>
      </c>
      <c r="Q103">
        <f t="shared" si="10"/>
        <v>-76317.850000000006</v>
      </c>
      <c r="R103">
        <v>0</v>
      </c>
      <c r="T103">
        <f t="shared" si="11"/>
        <v>0</v>
      </c>
    </row>
    <row r="104" spans="1:20" x14ac:dyDescent="0.3">
      <c r="A104" s="4" t="str">
        <f xml:space="preserve"> _xll.EPMOlapMemberO("[CECO].[PARENTH3].[AMSA1003AD3520]","","AMSA1003AD3520 - Gestión de Seguros","","000")</f>
        <v>AMSA1003AD3520 - Gestión de Seguros</v>
      </c>
      <c r="B104" t="str">
        <f t="shared" si="6"/>
        <v>1003AD3520</v>
      </c>
      <c r="C104" t="str">
        <f>IFERROR(_xlfn.XLOOKUP(B104,'CECOS Corporativos'!$D:$D,'CECOS Corporativos'!$E:$E,""),"")</f>
        <v>Seguros Corporativos</v>
      </c>
      <c r="D104" t="str">
        <f>IFERROR(_xlfn.XLOOKUP(B104,'CECOS Corporativos'!$D:$D,'CECOS Corporativos'!$J:$J,""),"")</f>
        <v>VP Finanzas</v>
      </c>
      <c r="E104" t="str">
        <f xml:space="preserve"> _xll.EPMOlapMemberO("[CLACO].[PARENTH7].[AMSASERVICIOS]","","Servicios","","000")</f>
        <v>Servicios</v>
      </c>
      <c r="F104" t="str">
        <f t="shared" si="7"/>
        <v>N1003AD350</v>
      </c>
      <c r="G104" t="s">
        <v>733</v>
      </c>
      <c r="H104" t="str">
        <f>IFERROR(_xlfn.XLOOKUP(F104,'CECOS Corporativos'!$K:$K,'CECOS Corporativos'!$D:$D,""),"")</f>
        <v/>
      </c>
      <c r="I104">
        <v>259.73</v>
      </c>
      <c r="K104">
        <f t="shared" si="8"/>
        <v>-259.73</v>
      </c>
      <c r="N104">
        <f t="shared" si="9"/>
        <v>0</v>
      </c>
      <c r="Q104">
        <f t="shared" si="10"/>
        <v>0</v>
      </c>
      <c r="T104">
        <f t="shared" si="11"/>
        <v>0</v>
      </c>
    </row>
    <row r="105" spans="1:20" x14ac:dyDescent="0.3">
      <c r="A105" s="4" t="str">
        <f xml:space="preserve"> _xll.EPMOlapMemberO("[CECO].[PARENTH3].[AMSA1003AD3520]","","AMSA1003AD3520 - Gestión de Seguros","","000")</f>
        <v>AMSA1003AD3520 - Gestión de Seguros</v>
      </c>
      <c r="B105" t="str">
        <f t="shared" si="6"/>
        <v>1003AD3520</v>
      </c>
      <c r="C105" t="str">
        <f>IFERROR(_xlfn.XLOOKUP(B105,'CECOS Corporativos'!$D:$D,'CECOS Corporativos'!$E:$E,""),"")</f>
        <v>Seguros Corporativos</v>
      </c>
      <c r="D105" t="str">
        <f>IFERROR(_xlfn.XLOOKUP(B105,'CECOS Corporativos'!$D:$D,'CECOS Corporativos'!$J:$J,""),"")</f>
        <v>VP Finanzas</v>
      </c>
      <c r="E105" t="str">
        <f xml:space="preserve"> _xll.EPMOlapMemberO("[CLACO].[PARENTH7].[AMSAG_VIAJES]","","Gastos de Viajes","","000")</f>
        <v>Gastos de Viajes</v>
      </c>
      <c r="F105" t="str">
        <f t="shared" si="7"/>
        <v>N1003AD350</v>
      </c>
      <c r="G105" t="s">
        <v>733</v>
      </c>
      <c r="H105" t="str">
        <f>IFERROR(_xlfn.XLOOKUP(F105,'CECOS Corporativos'!$K:$K,'CECOS Corporativos'!$D:$D,""),"")</f>
        <v/>
      </c>
      <c r="I105">
        <v>478.67</v>
      </c>
      <c r="J105">
        <v>288.89</v>
      </c>
      <c r="K105">
        <f t="shared" si="8"/>
        <v>-189.78000000000003</v>
      </c>
      <c r="L105">
        <v>2594.6</v>
      </c>
      <c r="M105">
        <v>3481.49</v>
      </c>
      <c r="N105">
        <f t="shared" si="9"/>
        <v>886.88999999999987</v>
      </c>
      <c r="O105">
        <v>2684.63</v>
      </c>
      <c r="P105">
        <v>6739</v>
      </c>
      <c r="Q105">
        <f t="shared" si="10"/>
        <v>4054.37</v>
      </c>
      <c r="R105">
        <v>1555.8</v>
      </c>
      <c r="S105">
        <v>690.2</v>
      </c>
      <c r="T105">
        <f t="shared" si="11"/>
        <v>-865.59999999999991</v>
      </c>
    </row>
    <row r="106" spans="1:20" x14ac:dyDescent="0.3">
      <c r="A106" s="4" t="str">
        <f xml:space="preserve"> _xll.EPMOlapMemberO("[CECO].[PARENTH3].[AMSA1003AD3520]","","AMSA1003AD3520 - Gestión de Seguros","","000")</f>
        <v>AMSA1003AD3520 - Gestión de Seguros</v>
      </c>
      <c r="B106" t="str">
        <f t="shared" si="6"/>
        <v>1003AD3520</v>
      </c>
      <c r="C106" t="str">
        <f>IFERROR(_xlfn.XLOOKUP(B106,'CECOS Corporativos'!$D:$D,'CECOS Corporativos'!$E:$E,""),"")</f>
        <v>Seguros Corporativos</v>
      </c>
      <c r="D106" t="str">
        <f>IFERROR(_xlfn.XLOOKUP(B106,'CECOS Corporativos'!$D:$D,'CECOS Corporativos'!$J:$J,""),"")</f>
        <v>VP Finanzas</v>
      </c>
      <c r="E106" t="str">
        <f xml:space="preserve"> _xll.EPMOlapMemberO("[CLACO].[PARENTH7].[AMSASEGUROS]","","Seguros","","000")</f>
        <v>Seguros</v>
      </c>
      <c r="F106" t="str">
        <f t="shared" si="7"/>
        <v>N1003AD350</v>
      </c>
      <c r="G106" t="s">
        <v>733</v>
      </c>
      <c r="H106" t="str">
        <f>IFERROR(_xlfn.XLOOKUP(F106,'CECOS Corporativos'!$K:$K,'CECOS Corporativos'!$D:$D,""),"")</f>
        <v/>
      </c>
      <c r="I106">
        <v>4135056.5</v>
      </c>
      <c r="J106">
        <v>4356537</v>
      </c>
      <c r="K106">
        <f t="shared" si="8"/>
        <v>221480.5</v>
      </c>
      <c r="L106">
        <v>4142827.78</v>
      </c>
      <c r="M106">
        <v>4171025</v>
      </c>
      <c r="N106">
        <f t="shared" si="9"/>
        <v>28197.220000000205</v>
      </c>
      <c r="O106">
        <v>4323474.4800000004</v>
      </c>
      <c r="P106">
        <v>4888537</v>
      </c>
      <c r="Q106">
        <f t="shared" si="10"/>
        <v>565062.51999999955</v>
      </c>
      <c r="R106">
        <v>3211498.55</v>
      </c>
      <c r="S106">
        <v>3374169.75</v>
      </c>
      <c r="T106">
        <f t="shared" si="11"/>
        <v>162671.20000000019</v>
      </c>
    </row>
    <row r="107" spans="1:20" x14ac:dyDescent="0.3">
      <c r="A107" s="4" t="str">
        <f xml:space="preserve"> _xll.EPMOlapMemberO("[CECO].[PARENTH3].[AMSA1003AD3520]","","AMSA1003AD3520 - Gestión de Seguros","","000")</f>
        <v>AMSA1003AD3520 - Gestión de Seguros</v>
      </c>
      <c r="B107" t="str">
        <f t="shared" si="6"/>
        <v>1003AD3520</v>
      </c>
      <c r="C107" t="str">
        <f>IFERROR(_xlfn.XLOOKUP(B107,'CECOS Corporativos'!$D:$D,'CECOS Corporativos'!$E:$E,""),"")</f>
        <v>Seguros Corporativos</v>
      </c>
      <c r="D107" t="str">
        <f>IFERROR(_xlfn.XLOOKUP(B107,'CECOS Corporativos'!$D:$D,'CECOS Corporativos'!$J:$J,""),"")</f>
        <v>VP Finanzas</v>
      </c>
      <c r="E107" t="str">
        <f xml:space="preserve"> _xll.EPMOlapMemberO("[CLACO].[PARENTH7].[AMSASERV_CORP]","","Servicios Corporativ","","000")</f>
        <v>Servicios Corporativ</v>
      </c>
      <c r="F107" t="str">
        <f t="shared" si="7"/>
        <v>N1003AD350</v>
      </c>
      <c r="G107" t="s">
        <v>733</v>
      </c>
      <c r="H107" t="str">
        <f>IFERROR(_xlfn.XLOOKUP(F107,'CECOS Corporativos'!$K:$K,'CECOS Corporativos'!$D:$D,""),"")</f>
        <v/>
      </c>
      <c r="I107">
        <v>19986</v>
      </c>
      <c r="J107">
        <v>20601</v>
      </c>
      <c r="K107">
        <f t="shared" si="8"/>
        <v>615</v>
      </c>
      <c r="L107">
        <v>33678.269999999997</v>
      </c>
      <c r="M107">
        <v>30566</v>
      </c>
      <c r="N107">
        <f t="shared" si="9"/>
        <v>-3112.2699999999968</v>
      </c>
      <c r="O107">
        <v>-0.27</v>
      </c>
      <c r="Q107">
        <f t="shared" si="10"/>
        <v>0.27</v>
      </c>
      <c r="T107">
        <f t="shared" si="11"/>
        <v>0</v>
      </c>
    </row>
    <row r="108" spans="1:20" x14ac:dyDescent="0.3">
      <c r="A108" s="4" t="str">
        <f xml:space="preserve"> _xll.EPMOlapMemberO("[CECO].[PARENTH3].[AMSA1003AD3521]","","AMSA1003AD3521 - Gestión de Impuestos","","000")</f>
        <v>AMSA1003AD3521 - Gestión de Impuestos</v>
      </c>
      <c r="B108" t="str">
        <f t="shared" si="6"/>
        <v>1003AD3521</v>
      </c>
      <c r="C108" t="str">
        <f>IFERROR(_xlfn.XLOOKUP(B108,'CECOS Corporativos'!$D:$D,'CECOS Corporativos'!$E:$E,""),"")</f>
        <v>Gerencia de Impuestos</v>
      </c>
      <c r="D108" t="str">
        <f>IFERROR(_xlfn.XLOOKUP(B108,'CECOS Corporativos'!$D:$D,'CECOS Corporativos'!$J:$J,""),"")</f>
        <v>VP Finanzas</v>
      </c>
      <c r="E108" t="str">
        <f xml:space="preserve"> _xll.EPMOlapMemberO("[CLACO].[PARENTH7].[AMSAADM_PERSON]","","Administración Perso","","000")</f>
        <v>Administración Perso</v>
      </c>
      <c r="F108" t="str">
        <f t="shared" si="7"/>
        <v>N1003AD350</v>
      </c>
      <c r="G108" t="s">
        <v>733</v>
      </c>
      <c r="H108" t="str">
        <f>IFERROR(_xlfn.XLOOKUP(F108,'CECOS Corporativos'!$K:$K,'CECOS Corporativos'!$D:$D,""),"")</f>
        <v/>
      </c>
      <c r="I108">
        <v>0</v>
      </c>
      <c r="K108">
        <f t="shared" si="8"/>
        <v>0</v>
      </c>
      <c r="N108">
        <f t="shared" si="9"/>
        <v>0</v>
      </c>
      <c r="Q108">
        <f t="shared" si="10"/>
        <v>0</v>
      </c>
      <c r="T108">
        <f t="shared" si="11"/>
        <v>0</v>
      </c>
    </row>
    <row r="109" spans="1:20" x14ac:dyDescent="0.3">
      <c r="A109" s="4" t="str">
        <f xml:space="preserve"> _xll.EPMOlapMemberO("[CECO].[PARENTH3].[AMSA1003AD3521]","","AMSA1003AD3521 - Gestión de Impuestos","","000")</f>
        <v>AMSA1003AD3521 - Gestión de Impuestos</v>
      </c>
      <c r="B109" t="str">
        <f t="shared" si="6"/>
        <v>1003AD3521</v>
      </c>
      <c r="C109" t="str">
        <f>IFERROR(_xlfn.XLOOKUP(B109,'CECOS Corporativos'!$D:$D,'CECOS Corporativos'!$E:$E,""),"")</f>
        <v>Gerencia de Impuestos</v>
      </c>
      <c r="D109" t="str">
        <f>IFERROR(_xlfn.XLOOKUP(B109,'CECOS Corporativos'!$D:$D,'CECOS Corporativos'!$J:$J,""),"")</f>
        <v>VP Finanzas</v>
      </c>
      <c r="E109" t="str">
        <f xml:space="preserve"> _xll.EPMOlapMemberO("[CLACO].[PARENTH7].[AMSAENTRENAMI]","","Entrenamiento","","000")</f>
        <v>Entrenamiento</v>
      </c>
      <c r="F109" t="str">
        <f t="shared" si="7"/>
        <v>N1003AD350</v>
      </c>
      <c r="G109" t="s">
        <v>733</v>
      </c>
      <c r="H109" t="str">
        <f>IFERROR(_xlfn.XLOOKUP(F109,'CECOS Corporativos'!$K:$K,'CECOS Corporativos'!$D:$D,""),"")</f>
        <v/>
      </c>
      <c r="I109">
        <v>-519.48</v>
      </c>
      <c r="J109">
        <v>1027</v>
      </c>
      <c r="K109">
        <f t="shared" si="8"/>
        <v>1546.48</v>
      </c>
      <c r="M109">
        <v>1000</v>
      </c>
      <c r="N109">
        <f t="shared" si="9"/>
        <v>1000</v>
      </c>
      <c r="P109">
        <v>1015</v>
      </c>
      <c r="Q109">
        <f t="shared" si="10"/>
        <v>1015</v>
      </c>
      <c r="S109">
        <v>1000</v>
      </c>
      <c r="T109">
        <f t="shared" si="11"/>
        <v>1000</v>
      </c>
    </row>
    <row r="110" spans="1:20" x14ac:dyDescent="0.3">
      <c r="A110" s="4" t="str">
        <f xml:space="preserve"> _xll.EPMOlapMemberO("[CECO].[PARENTH3].[AMSA1003AD3521]","","AMSA1003AD3521 - Gestión de Impuestos","","000")</f>
        <v>AMSA1003AD3521 - Gestión de Impuestos</v>
      </c>
      <c r="B110" t="str">
        <f t="shared" si="6"/>
        <v>1003AD3521</v>
      </c>
      <c r="C110" t="str">
        <f>IFERROR(_xlfn.XLOOKUP(B110,'CECOS Corporativos'!$D:$D,'CECOS Corporativos'!$E:$E,""),"")</f>
        <v>Gerencia de Impuestos</v>
      </c>
      <c r="D110" t="str">
        <f>IFERROR(_xlfn.XLOOKUP(B110,'CECOS Corporativos'!$D:$D,'CECOS Corporativos'!$J:$J,""),"")</f>
        <v>VP Finanzas</v>
      </c>
      <c r="E110" t="str">
        <f xml:space="preserve"> _xll.EPMOlapMemberO("[CLACO].[PARENTH7].[AMSAASESORIAS]","","Asesorías y Consulto","","000")</f>
        <v>Asesorías y Consulto</v>
      </c>
      <c r="F110" t="str">
        <f t="shared" si="7"/>
        <v>N1003AD350</v>
      </c>
      <c r="G110" t="s">
        <v>733</v>
      </c>
      <c r="H110" t="str">
        <f>IFERROR(_xlfn.XLOOKUP(F110,'CECOS Corporativos'!$K:$K,'CECOS Corporativos'!$D:$D,""),"")</f>
        <v/>
      </c>
      <c r="I110">
        <v>34754.339999999997</v>
      </c>
      <c r="J110">
        <v>78326</v>
      </c>
      <c r="K110">
        <f t="shared" si="8"/>
        <v>43571.66</v>
      </c>
      <c r="L110">
        <v>13939.62</v>
      </c>
      <c r="M110">
        <v>63519</v>
      </c>
      <c r="N110">
        <f t="shared" si="9"/>
        <v>49579.38</v>
      </c>
      <c r="O110">
        <v>20093.080000000002</v>
      </c>
      <c r="P110">
        <v>37099</v>
      </c>
      <c r="Q110">
        <f t="shared" si="10"/>
        <v>17005.919999999998</v>
      </c>
      <c r="R110">
        <v>17694.02</v>
      </c>
      <c r="S110">
        <v>34433.449999999997</v>
      </c>
      <c r="T110">
        <f t="shared" si="11"/>
        <v>16739.429999999997</v>
      </c>
    </row>
    <row r="111" spans="1:20" x14ac:dyDescent="0.3">
      <c r="A111" s="4" t="str">
        <f xml:space="preserve"> _xll.EPMOlapMemberO("[CECO].[PARENTH3].[AMSA1003AD3521]","","AMSA1003AD3521 - Gestión de Impuestos","","000")</f>
        <v>AMSA1003AD3521 - Gestión de Impuestos</v>
      </c>
      <c r="B111" t="str">
        <f t="shared" si="6"/>
        <v>1003AD3521</v>
      </c>
      <c r="C111" t="str">
        <f>IFERROR(_xlfn.XLOOKUP(B111,'CECOS Corporativos'!$D:$D,'CECOS Corporativos'!$E:$E,""),"")</f>
        <v>Gerencia de Impuestos</v>
      </c>
      <c r="D111" t="str">
        <f>IFERROR(_xlfn.XLOOKUP(B111,'CECOS Corporativos'!$D:$D,'CECOS Corporativos'!$J:$J,""),"")</f>
        <v>VP Finanzas</v>
      </c>
      <c r="E111" t="str">
        <f xml:space="preserve"> _xll.EPMOlapMemberO("[CLACO].[PARENTH7].[AMSASERVICIOS]","","Servicios","","000")</f>
        <v>Servicios</v>
      </c>
      <c r="F111" t="str">
        <f t="shared" si="7"/>
        <v>N1003AD350</v>
      </c>
      <c r="G111" t="s">
        <v>733</v>
      </c>
      <c r="H111" t="str">
        <f>IFERROR(_xlfn.XLOOKUP(F111,'CECOS Corporativos'!$K:$K,'CECOS Corporativos'!$D:$D,""),"")</f>
        <v/>
      </c>
      <c r="I111">
        <v>0</v>
      </c>
      <c r="K111">
        <f t="shared" si="8"/>
        <v>0</v>
      </c>
      <c r="N111">
        <f t="shared" si="9"/>
        <v>0</v>
      </c>
      <c r="Q111">
        <f t="shared" si="10"/>
        <v>0</v>
      </c>
      <c r="T111">
        <f t="shared" si="11"/>
        <v>0</v>
      </c>
    </row>
    <row r="112" spans="1:20" x14ac:dyDescent="0.3">
      <c r="A112" s="4" t="str">
        <f xml:space="preserve"> _xll.EPMOlapMemberO("[CECO].[PARENTH3].[AMSA1003AD3521]","","AMSA1003AD3521 - Gestión de Impuestos","","000")</f>
        <v>AMSA1003AD3521 - Gestión de Impuestos</v>
      </c>
      <c r="B112" t="str">
        <f t="shared" si="6"/>
        <v>1003AD3521</v>
      </c>
      <c r="C112" t="str">
        <f>IFERROR(_xlfn.XLOOKUP(B112,'CECOS Corporativos'!$D:$D,'CECOS Corporativos'!$E:$E,""),"")</f>
        <v>Gerencia de Impuestos</v>
      </c>
      <c r="D112" t="str">
        <f>IFERROR(_xlfn.XLOOKUP(B112,'CECOS Corporativos'!$D:$D,'CECOS Corporativos'!$J:$J,""),"")</f>
        <v>VP Finanzas</v>
      </c>
      <c r="E112" t="str">
        <f xml:space="preserve"> _xll.EPMOlapMemberO("[CLACO].[PARENTH7].[AMSAINFORMATIC]","","Informática y Comuni","","000")</f>
        <v>Informática y Comuni</v>
      </c>
      <c r="F112" t="str">
        <f t="shared" si="7"/>
        <v>N1003AD350</v>
      </c>
      <c r="G112" t="s">
        <v>733</v>
      </c>
      <c r="H112" t="str">
        <f>IFERROR(_xlfn.XLOOKUP(F112,'CECOS Corporativos'!$K:$K,'CECOS Corporativos'!$D:$D,""),"")</f>
        <v/>
      </c>
      <c r="I112">
        <v>192.68</v>
      </c>
      <c r="K112">
        <f t="shared" si="8"/>
        <v>-192.68</v>
      </c>
      <c r="N112">
        <f t="shared" si="9"/>
        <v>0</v>
      </c>
      <c r="Q112">
        <f t="shared" si="10"/>
        <v>0</v>
      </c>
      <c r="T112">
        <f t="shared" si="11"/>
        <v>0</v>
      </c>
    </row>
    <row r="113" spans="1:20" x14ac:dyDescent="0.3">
      <c r="A113" s="4" t="str">
        <f xml:space="preserve"> _xll.EPMOlapMemberO("[CECO].[PARENTH3].[AMSA1003AD3521]","","AMSA1003AD3521 - Gestión de Impuestos","","000")</f>
        <v>AMSA1003AD3521 - Gestión de Impuestos</v>
      </c>
      <c r="B113" t="str">
        <f t="shared" si="6"/>
        <v>1003AD3521</v>
      </c>
      <c r="C113" t="str">
        <f>IFERROR(_xlfn.XLOOKUP(B113,'CECOS Corporativos'!$D:$D,'CECOS Corporativos'!$E:$E,""),"")</f>
        <v>Gerencia de Impuestos</v>
      </c>
      <c r="D113" t="str">
        <f>IFERROR(_xlfn.XLOOKUP(B113,'CECOS Corporativos'!$D:$D,'CECOS Corporativos'!$J:$J,""),"")</f>
        <v>VP Finanzas</v>
      </c>
      <c r="E113" t="str">
        <f xml:space="preserve"> _xll.EPMOlapMemberO("[CLACO].[PARENTH7].[AMSAG_VIAJES]","","Gastos de Viajes","","000")</f>
        <v>Gastos de Viajes</v>
      </c>
      <c r="F113" t="str">
        <f t="shared" si="7"/>
        <v>N1003AD350</v>
      </c>
      <c r="G113" t="s">
        <v>733</v>
      </c>
      <c r="H113" t="str">
        <f>IFERROR(_xlfn.XLOOKUP(F113,'CECOS Corporativos'!$K:$K,'CECOS Corporativos'!$D:$D,""),"")</f>
        <v/>
      </c>
      <c r="J113">
        <v>3222.23</v>
      </c>
      <c r="K113">
        <f t="shared" si="8"/>
        <v>3222.23</v>
      </c>
      <c r="N113">
        <f t="shared" si="9"/>
        <v>0</v>
      </c>
      <c r="P113">
        <v>3084</v>
      </c>
      <c r="Q113">
        <f t="shared" si="10"/>
        <v>3084</v>
      </c>
      <c r="S113">
        <v>2300</v>
      </c>
      <c r="T113">
        <f t="shared" si="11"/>
        <v>2300</v>
      </c>
    </row>
    <row r="114" spans="1:20" x14ac:dyDescent="0.3">
      <c r="A114" s="4" t="str">
        <f xml:space="preserve"> _xll.EPMOlapMemberO("[CECO].[PARENTH3].[AMSA1003AD3521]","","AMSA1003AD3521 - Gestión de Impuestos","","000")</f>
        <v>AMSA1003AD3521 - Gestión de Impuestos</v>
      </c>
      <c r="B114" t="str">
        <f t="shared" si="6"/>
        <v>1003AD3521</v>
      </c>
      <c r="C114" t="str">
        <f>IFERROR(_xlfn.XLOOKUP(B114,'CECOS Corporativos'!$D:$D,'CECOS Corporativos'!$E:$E,""),"")</f>
        <v>Gerencia de Impuestos</v>
      </c>
      <c r="D114" t="str">
        <f>IFERROR(_xlfn.XLOOKUP(B114,'CECOS Corporativos'!$D:$D,'CECOS Corporativos'!$J:$J,""),"")</f>
        <v>VP Finanzas</v>
      </c>
      <c r="E114" t="str">
        <f xml:space="preserve"> _xll.EPMOlapMemberO("[CLACO].[PARENTH7].[AMSAIMP_PATEN]","","Impuestos / Patentes","","000")</f>
        <v>Impuestos / Patentes</v>
      </c>
      <c r="F114" t="str">
        <f t="shared" si="7"/>
        <v>N1003AD350</v>
      </c>
      <c r="G114" t="s">
        <v>733</v>
      </c>
      <c r="H114" t="str">
        <f>IFERROR(_xlfn.XLOOKUP(F114,'CECOS Corporativos'!$K:$K,'CECOS Corporativos'!$D:$D,""),"")</f>
        <v/>
      </c>
      <c r="I114">
        <v>978630.05</v>
      </c>
      <c r="J114">
        <v>1084972</v>
      </c>
      <c r="K114">
        <f t="shared" si="8"/>
        <v>106341.94999999995</v>
      </c>
      <c r="L114">
        <v>1259712.78</v>
      </c>
      <c r="M114">
        <v>1187597</v>
      </c>
      <c r="N114">
        <f t="shared" si="9"/>
        <v>-72115.780000000028</v>
      </c>
      <c r="O114">
        <v>1161725.5</v>
      </c>
      <c r="P114">
        <v>1288656</v>
      </c>
      <c r="Q114">
        <f t="shared" si="10"/>
        <v>126930.5</v>
      </c>
      <c r="R114">
        <v>1177952.6000000001</v>
      </c>
      <c r="S114">
        <v>1220887.02</v>
      </c>
      <c r="T114">
        <f t="shared" si="11"/>
        <v>42934.419999999925</v>
      </c>
    </row>
    <row r="115" spans="1:20" x14ac:dyDescent="0.3">
      <c r="A115" s="4" t="str">
        <f xml:space="preserve"> _xll.EPMOlapMemberO("[CECO].[PARENTH3].[AMSA1003AD3522]","","AMSA1003AD3522 - Servicios Generales","","000")</f>
        <v>AMSA1003AD3522 - Servicios Generales</v>
      </c>
      <c r="B115" t="str">
        <f t="shared" si="6"/>
        <v>1003AD3522</v>
      </c>
      <c r="C115" t="str">
        <f>IFERROR(_xlfn.XLOOKUP(B115,'CECOS Corporativos'!$D:$D,'CECOS Corporativos'!$E:$E,""),"")</f>
        <v>Servicios Generales</v>
      </c>
      <c r="D115" t="str">
        <f>IFERROR(_xlfn.XLOOKUP(B115,'CECOS Corporativos'!$D:$D,'CECOS Corporativos'!$J:$J,""),"")</f>
        <v>VP Personas y Organización</v>
      </c>
      <c r="E115" t="str">
        <f xml:space="preserve"> _xll.EPMOlapMemberO("[CLACO].[PARENTH7].[AMSAENERGIA]","","Energía","","000")</f>
        <v>Energía</v>
      </c>
      <c r="F115" t="str">
        <f t="shared" si="7"/>
        <v>N1003AD400</v>
      </c>
      <c r="G115" t="s">
        <v>734</v>
      </c>
      <c r="H115" t="str">
        <f>IFERROR(_xlfn.XLOOKUP(F115,'CECOS Corporativos'!$K:$K,'CECOS Corporativos'!$D:$D,""),"")</f>
        <v/>
      </c>
      <c r="I115">
        <v>6915.54</v>
      </c>
      <c r="J115">
        <v>7782</v>
      </c>
      <c r="K115">
        <f t="shared" si="8"/>
        <v>866.46</v>
      </c>
      <c r="L115">
        <v>1480.18</v>
      </c>
      <c r="M115">
        <v>17136</v>
      </c>
      <c r="N115">
        <f t="shared" si="9"/>
        <v>15655.82</v>
      </c>
      <c r="O115">
        <v>2490.73</v>
      </c>
      <c r="P115">
        <v>18348</v>
      </c>
      <c r="Q115">
        <f t="shared" si="10"/>
        <v>15857.27</v>
      </c>
      <c r="R115">
        <v>5723.79</v>
      </c>
      <c r="S115">
        <v>1641.33</v>
      </c>
      <c r="T115">
        <f t="shared" si="11"/>
        <v>-4082.46</v>
      </c>
    </row>
    <row r="116" spans="1:20" x14ac:dyDescent="0.3">
      <c r="A116" s="4" t="str">
        <f xml:space="preserve"> _xll.EPMOlapMemberO("[CECO].[PARENTH3].[AMSA1003AD3522]","","AMSA1003AD3522 - Servicios Generales","","000")</f>
        <v>AMSA1003AD3522 - Servicios Generales</v>
      </c>
      <c r="B116" t="str">
        <f t="shared" si="6"/>
        <v>1003AD3522</v>
      </c>
      <c r="C116" t="str">
        <f>IFERROR(_xlfn.XLOOKUP(B116,'CECOS Corporativos'!$D:$D,'CECOS Corporativos'!$E:$E,""),"")</f>
        <v>Servicios Generales</v>
      </c>
      <c r="D116" t="str">
        <f>IFERROR(_xlfn.XLOOKUP(B116,'CECOS Corporativos'!$D:$D,'CECOS Corporativos'!$J:$J,""),"")</f>
        <v>VP Personas y Organización</v>
      </c>
      <c r="E116" t="str">
        <f xml:space="preserve"> _xll.EPMOlapMemberO("[CLACO].[PARENTH7].[AMSAARRIENDOS]","","Arriendos","","000")</f>
        <v>Arriendos</v>
      </c>
      <c r="F116" t="str">
        <f t="shared" si="7"/>
        <v>N1003AD400</v>
      </c>
      <c r="G116" t="s">
        <v>734</v>
      </c>
      <c r="H116" t="str">
        <f>IFERROR(_xlfn.XLOOKUP(F116,'CECOS Corporativos'!$K:$K,'CECOS Corporativos'!$D:$D,""),"")</f>
        <v/>
      </c>
      <c r="I116">
        <v>179761.86</v>
      </c>
      <c r="J116">
        <v>183377</v>
      </c>
      <c r="K116">
        <f t="shared" si="8"/>
        <v>3615.140000000014</v>
      </c>
      <c r="L116">
        <v>200793.44</v>
      </c>
      <c r="M116">
        <v>178121</v>
      </c>
      <c r="N116">
        <f t="shared" si="9"/>
        <v>-22672.440000000002</v>
      </c>
      <c r="O116">
        <v>188698.53</v>
      </c>
      <c r="P116">
        <v>208006</v>
      </c>
      <c r="Q116">
        <f t="shared" si="10"/>
        <v>19307.47</v>
      </c>
      <c r="R116">
        <v>182550</v>
      </c>
      <c r="S116">
        <v>203220.65</v>
      </c>
      <c r="T116">
        <f t="shared" si="11"/>
        <v>20670.649999999994</v>
      </c>
    </row>
    <row r="117" spans="1:20" x14ac:dyDescent="0.3">
      <c r="A117" s="4" t="str">
        <f xml:space="preserve"> _xll.EPMOlapMemberO("[CECO].[PARENTH3].[AMSA1003AD3522]","","AMSA1003AD3522 - Servicios Generales","","000")</f>
        <v>AMSA1003AD3522 - Servicios Generales</v>
      </c>
      <c r="B117" t="str">
        <f t="shared" si="6"/>
        <v>1003AD3522</v>
      </c>
      <c r="C117" t="str">
        <f>IFERROR(_xlfn.XLOOKUP(B117,'CECOS Corporativos'!$D:$D,'CECOS Corporativos'!$E:$E,""),"")</f>
        <v>Servicios Generales</v>
      </c>
      <c r="D117" t="str">
        <f>IFERROR(_xlfn.XLOOKUP(B117,'CECOS Corporativos'!$D:$D,'CECOS Corporativos'!$J:$J,""),"")</f>
        <v>VP Personas y Organización</v>
      </c>
      <c r="E117" t="str">
        <f xml:space="preserve"> _xll.EPMOlapMemberO("[CLACO].[PARENTH7].[AMSASERVICIOS]","","Servicios","","000")</f>
        <v>Servicios</v>
      </c>
      <c r="F117" t="str">
        <f t="shared" si="7"/>
        <v>N1003AD400</v>
      </c>
      <c r="G117" t="s">
        <v>734</v>
      </c>
      <c r="H117" t="str">
        <f>IFERROR(_xlfn.XLOOKUP(F117,'CECOS Corporativos'!$K:$K,'CECOS Corporativos'!$D:$D,""),"")</f>
        <v/>
      </c>
      <c r="I117">
        <v>389.64</v>
      </c>
      <c r="J117">
        <v>6753</v>
      </c>
      <c r="K117">
        <f t="shared" si="8"/>
        <v>6363.36</v>
      </c>
      <c r="N117">
        <f t="shared" si="9"/>
        <v>0</v>
      </c>
      <c r="Q117">
        <f t="shared" si="10"/>
        <v>0</v>
      </c>
      <c r="T117">
        <f t="shared" si="11"/>
        <v>0</v>
      </c>
    </row>
    <row r="118" spans="1:20" x14ac:dyDescent="0.3">
      <c r="A118" s="4" t="str">
        <f xml:space="preserve"> _xll.EPMOlapMemberO("[CECO].[PARENTH3].[AMSA1003AD3522]","","AMSA1003AD3522 - Servicios Generales","","000")</f>
        <v>AMSA1003AD3522 - Servicios Generales</v>
      </c>
      <c r="B118" t="str">
        <f t="shared" si="6"/>
        <v>1003AD3522</v>
      </c>
      <c r="C118" t="str">
        <f>IFERROR(_xlfn.XLOOKUP(B118,'CECOS Corporativos'!$D:$D,'CECOS Corporativos'!$E:$E,""),"")</f>
        <v>Servicios Generales</v>
      </c>
      <c r="D118" t="str">
        <f>IFERROR(_xlfn.XLOOKUP(B118,'CECOS Corporativos'!$D:$D,'CECOS Corporativos'!$J:$J,""),"")</f>
        <v>VP Personas y Organización</v>
      </c>
      <c r="E118" t="str">
        <f xml:space="preserve"> _xll.EPMOlapMemberO("[CLACO].[PARENTH7].[AMSASERMANTO.REPA]","","Servicios Mantenimie","","000")</f>
        <v>Servicios Mantenimie</v>
      </c>
      <c r="F118" t="str">
        <f t="shared" si="7"/>
        <v>N1003AD400</v>
      </c>
      <c r="G118" t="s">
        <v>734</v>
      </c>
      <c r="H118" t="str">
        <f>IFERROR(_xlfn.XLOOKUP(F118,'CECOS Corporativos'!$K:$K,'CECOS Corporativos'!$D:$D,""),"")</f>
        <v/>
      </c>
      <c r="I118">
        <v>27716.720000000001</v>
      </c>
      <c r="J118">
        <v>26164</v>
      </c>
      <c r="K118">
        <f t="shared" si="8"/>
        <v>-1552.7200000000012</v>
      </c>
      <c r="L118">
        <v>22927.56</v>
      </c>
      <c r="M118">
        <v>20676</v>
      </c>
      <c r="N118">
        <f t="shared" si="9"/>
        <v>-2251.5600000000013</v>
      </c>
      <c r="O118">
        <v>18391.39</v>
      </c>
      <c r="P118">
        <v>23568</v>
      </c>
      <c r="Q118">
        <f t="shared" si="10"/>
        <v>5176.6100000000006</v>
      </c>
      <c r="R118">
        <v>23160.33</v>
      </c>
      <c r="S118">
        <v>28697.75</v>
      </c>
      <c r="T118">
        <f t="shared" si="11"/>
        <v>5537.4199999999983</v>
      </c>
    </row>
    <row r="119" spans="1:20" x14ac:dyDescent="0.3">
      <c r="A119" s="4" t="str">
        <f xml:space="preserve"> _xll.EPMOlapMemberO("[CECO].[PARENTH3].[AMSA1003AD3522]","","AMSA1003AD3522 - Servicios Generales","","000")</f>
        <v>AMSA1003AD3522 - Servicios Generales</v>
      </c>
      <c r="B119" t="str">
        <f t="shared" si="6"/>
        <v>1003AD3522</v>
      </c>
      <c r="C119" t="str">
        <f>IFERROR(_xlfn.XLOOKUP(B119,'CECOS Corporativos'!$D:$D,'CECOS Corporativos'!$E:$E,""),"")</f>
        <v>Servicios Generales</v>
      </c>
      <c r="D119" t="str">
        <f>IFERROR(_xlfn.XLOOKUP(B119,'CECOS Corporativos'!$D:$D,'CECOS Corporativos'!$J:$J,""),"")</f>
        <v>VP Personas y Organización</v>
      </c>
      <c r="E119" t="str">
        <f xml:space="preserve"> _xll.EPMOlapMemberO("[CLACO].[PARENTH7].[AMSAIMP_PATEN]","","Impuestos / Patentes","","000")</f>
        <v>Impuestos / Patentes</v>
      </c>
      <c r="F119" t="str">
        <f t="shared" si="7"/>
        <v>N1003AD400</v>
      </c>
      <c r="G119" t="s">
        <v>734</v>
      </c>
      <c r="H119" t="str">
        <f>IFERROR(_xlfn.XLOOKUP(F119,'CECOS Corporativos'!$K:$K,'CECOS Corporativos'!$D:$D,""),"")</f>
        <v/>
      </c>
      <c r="I119">
        <v>783.69</v>
      </c>
      <c r="K119">
        <f t="shared" si="8"/>
        <v>-783.69</v>
      </c>
      <c r="L119">
        <v>-4767.9399999999996</v>
      </c>
      <c r="N119">
        <f t="shared" si="9"/>
        <v>4767.9399999999996</v>
      </c>
      <c r="Q119">
        <f t="shared" si="10"/>
        <v>0</v>
      </c>
      <c r="T119">
        <f t="shared" si="11"/>
        <v>0</v>
      </c>
    </row>
    <row r="120" spans="1:20" x14ac:dyDescent="0.3">
      <c r="A120" s="4" t="str">
        <f xml:space="preserve"> _xll.EPMOlapMemberO("[CECO].[PARENTH3].[AMSA1003AD3522]","","AMSA1003AD3522 - Servicios Generales","","000")</f>
        <v>AMSA1003AD3522 - Servicios Generales</v>
      </c>
      <c r="B120" t="str">
        <f t="shared" si="6"/>
        <v>1003AD3522</v>
      </c>
      <c r="C120" t="str">
        <f>IFERROR(_xlfn.XLOOKUP(B120,'CECOS Corporativos'!$D:$D,'CECOS Corporativos'!$E:$E,""),"")</f>
        <v>Servicios Generales</v>
      </c>
      <c r="D120" t="str">
        <f>IFERROR(_xlfn.XLOOKUP(B120,'CECOS Corporativos'!$D:$D,'CECOS Corporativos'!$J:$J,""),"")</f>
        <v>VP Personas y Organización</v>
      </c>
      <c r="E120" t="str">
        <f xml:space="preserve"> _xll.EPMOlapMemberO("[CLACO].[PARENTH7].[AMSAGGENERALES.2]","","Otros Gastos","","000")</f>
        <v>Otros Gastos</v>
      </c>
      <c r="F120" t="str">
        <f t="shared" si="7"/>
        <v>N1003AD400</v>
      </c>
      <c r="G120" t="s">
        <v>734</v>
      </c>
      <c r="H120" t="str">
        <f>IFERROR(_xlfn.XLOOKUP(F120,'CECOS Corporativos'!$K:$K,'CECOS Corporativos'!$D:$D,""),"")</f>
        <v/>
      </c>
      <c r="I120">
        <v>20319.77</v>
      </c>
      <c r="J120">
        <v>24632</v>
      </c>
      <c r="K120">
        <f t="shared" si="8"/>
        <v>4312.2299999999996</v>
      </c>
      <c r="L120">
        <v>30730</v>
      </c>
      <c r="M120">
        <v>37476</v>
      </c>
      <c r="N120">
        <f t="shared" si="9"/>
        <v>6746</v>
      </c>
      <c r="O120">
        <v>33000.519999999997</v>
      </c>
      <c r="P120">
        <v>40092</v>
      </c>
      <c r="Q120">
        <f t="shared" si="10"/>
        <v>7091.4800000000032</v>
      </c>
      <c r="R120">
        <v>28731.360000000001</v>
      </c>
      <c r="S120">
        <v>31177.919999999998</v>
      </c>
      <c r="T120">
        <f t="shared" si="11"/>
        <v>2446.5599999999977</v>
      </c>
    </row>
    <row r="121" spans="1:20" x14ac:dyDescent="0.3">
      <c r="A121" s="4" t="str">
        <f xml:space="preserve"> _xll.EPMOlapMemberO("[CECO].[PARENTH3].[AMSA1003AD4005]","","AMSA1003AD4005 - RRCC y Comunicacione","","000")</f>
        <v>AMSA1003AD4005 - RRCC y Comunicacione</v>
      </c>
      <c r="B121" t="str">
        <f t="shared" si="6"/>
        <v>1003AD4005</v>
      </c>
      <c r="C121" t="str">
        <f>IFERROR(_xlfn.XLOOKUP(B121,'CECOS Corporativos'!$D:$D,'CECOS Corporativos'!$E:$E,""),"")</f>
        <v>RRCC y Comunicaciones</v>
      </c>
      <c r="D121" t="str">
        <f>IFERROR(_xlfn.XLOOKUP(B121,'CECOS Corporativos'!$D:$D,'CECOS Corporativos'!$J:$J,""),"")</f>
        <v>VP Asuntos Corporativos</v>
      </c>
      <c r="E121" t="str">
        <f xml:space="preserve"> _xll.EPMOlapMemberO("[CLACO].[PARENTH7].[AMSAMAT_Y_REP.2]","","Materiales y repuest","","000")</f>
        <v>Materiales y repuest</v>
      </c>
      <c r="F121" t="str">
        <f t="shared" si="7"/>
        <v>N1003AD400</v>
      </c>
      <c r="G121" t="s">
        <v>734</v>
      </c>
      <c r="H121" t="str">
        <f>IFERROR(_xlfn.XLOOKUP(F121,'CECOS Corporativos'!$K:$K,'CECOS Corporativos'!$D:$D,""),"")</f>
        <v/>
      </c>
      <c r="I121">
        <v>9035.82</v>
      </c>
      <c r="K121">
        <f t="shared" si="8"/>
        <v>-9035.82</v>
      </c>
      <c r="L121">
        <v>281.77999999999997</v>
      </c>
      <c r="N121">
        <f t="shared" si="9"/>
        <v>-281.77999999999997</v>
      </c>
      <c r="Q121">
        <f t="shared" si="10"/>
        <v>0</v>
      </c>
      <c r="T121">
        <f t="shared" si="11"/>
        <v>0</v>
      </c>
    </row>
    <row r="122" spans="1:20" x14ac:dyDescent="0.3">
      <c r="A122" s="4" t="str">
        <f xml:space="preserve"> _xll.EPMOlapMemberO("[CECO].[PARENTH3].[AMSA1003AD4005]","","AMSA1003AD4005 - RRCC y Comunicacione","","000")</f>
        <v>AMSA1003AD4005 - RRCC y Comunicacione</v>
      </c>
      <c r="B122" t="str">
        <f t="shared" si="6"/>
        <v>1003AD4005</v>
      </c>
      <c r="C122" t="str">
        <f>IFERROR(_xlfn.XLOOKUP(B122,'CECOS Corporativos'!$D:$D,'CECOS Corporativos'!$E:$E,""),"")</f>
        <v>RRCC y Comunicaciones</v>
      </c>
      <c r="D122" t="str">
        <f>IFERROR(_xlfn.XLOOKUP(B122,'CECOS Corporativos'!$D:$D,'CECOS Corporativos'!$J:$J,""),"")</f>
        <v>VP Asuntos Corporativos</v>
      </c>
      <c r="E122" t="str">
        <f xml:space="preserve"> _xll.EPMOlapMemberO("[CLACO].[PARENTH7].[AMSAASESORIAS]","","Asesorías y Consulto","","000")</f>
        <v>Asesorías y Consulto</v>
      </c>
      <c r="F122" t="str">
        <f t="shared" si="7"/>
        <v>N1003AD400</v>
      </c>
      <c r="G122" t="s">
        <v>734</v>
      </c>
      <c r="H122" t="str">
        <f>IFERROR(_xlfn.XLOOKUP(F122,'CECOS Corporativos'!$K:$K,'CECOS Corporativos'!$D:$D,""),"")</f>
        <v/>
      </c>
      <c r="I122">
        <v>13553.87</v>
      </c>
      <c r="J122">
        <v>12727</v>
      </c>
      <c r="K122">
        <f t="shared" si="8"/>
        <v>-826.8700000000008</v>
      </c>
      <c r="L122">
        <v>21460.45</v>
      </c>
      <c r="N122">
        <f t="shared" si="9"/>
        <v>-21460.45</v>
      </c>
      <c r="O122">
        <v>8447.4</v>
      </c>
      <c r="Q122">
        <f t="shared" si="10"/>
        <v>-8447.4</v>
      </c>
      <c r="T122">
        <f t="shared" si="11"/>
        <v>0</v>
      </c>
    </row>
    <row r="123" spans="1:20" x14ac:dyDescent="0.3">
      <c r="A123" s="4" t="str">
        <f xml:space="preserve"> _xll.EPMOlapMemberO("[CECO].[PARENTH3].[AMSA1003AD4005]","","AMSA1003AD4005 - RRCC y Comunicacione","","000")</f>
        <v>AMSA1003AD4005 - RRCC y Comunicacione</v>
      </c>
      <c r="B123" t="str">
        <f t="shared" si="6"/>
        <v>1003AD4005</v>
      </c>
      <c r="C123" t="str">
        <f>IFERROR(_xlfn.XLOOKUP(B123,'CECOS Corporativos'!$D:$D,'CECOS Corporativos'!$E:$E,""),"")</f>
        <v>RRCC y Comunicaciones</v>
      </c>
      <c r="D123" t="str">
        <f>IFERROR(_xlfn.XLOOKUP(B123,'CECOS Corporativos'!$D:$D,'CECOS Corporativos'!$J:$J,""),"")</f>
        <v>VP Asuntos Corporativos</v>
      </c>
      <c r="E123" t="str">
        <f xml:space="preserve"> _xll.EPMOlapMemberO("[CLACO].[PARENTH7].[AMSASERVICIOS]","","Servicios","","000")</f>
        <v>Servicios</v>
      </c>
      <c r="F123" t="str">
        <f t="shared" si="7"/>
        <v>N1003AD400</v>
      </c>
      <c r="G123" t="s">
        <v>734</v>
      </c>
      <c r="H123" t="str">
        <f>IFERROR(_xlfn.XLOOKUP(F123,'CECOS Corporativos'!$K:$K,'CECOS Corporativos'!$D:$D,""),"")</f>
        <v/>
      </c>
      <c r="K123">
        <f t="shared" si="8"/>
        <v>0</v>
      </c>
      <c r="N123">
        <f t="shared" si="9"/>
        <v>0</v>
      </c>
      <c r="O123">
        <v>972</v>
      </c>
      <c r="Q123">
        <f t="shared" si="10"/>
        <v>-972</v>
      </c>
      <c r="S123">
        <v>6746.67</v>
      </c>
      <c r="T123">
        <f t="shared" si="11"/>
        <v>6746.67</v>
      </c>
    </row>
    <row r="124" spans="1:20" x14ac:dyDescent="0.3">
      <c r="A124" s="4" t="str">
        <f xml:space="preserve"> _xll.EPMOlapMemberO("[CECO].[PARENTH3].[AMSA1003AD4005]","","AMSA1003AD4005 - RRCC y Comunicacione","","000")</f>
        <v>AMSA1003AD4005 - RRCC y Comunicacione</v>
      </c>
      <c r="B124" t="str">
        <f t="shared" si="6"/>
        <v>1003AD4005</v>
      </c>
      <c r="C124" t="str">
        <f>IFERROR(_xlfn.XLOOKUP(B124,'CECOS Corporativos'!$D:$D,'CECOS Corporativos'!$E:$E,""),"")</f>
        <v>RRCC y Comunicaciones</v>
      </c>
      <c r="D124" t="str">
        <f>IFERROR(_xlfn.XLOOKUP(B124,'CECOS Corporativos'!$D:$D,'CECOS Corporativos'!$J:$J,""),"")</f>
        <v>VP Asuntos Corporativos</v>
      </c>
      <c r="E124" t="str">
        <f xml:space="preserve"> _xll.EPMOlapMemberO("[CLACO].[PARENTH7].[AMSAINFORMATIC]","","Informática y Comuni","","000")</f>
        <v>Informática y Comuni</v>
      </c>
      <c r="F124" t="str">
        <f t="shared" si="7"/>
        <v>N1003AD400</v>
      </c>
      <c r="G124" t="s">
        <v>734</v>
      </c>
      <c r="H124" t="str">
        <f>IFERROR(_xlfn.XLOOKUP(F124,'CECOS Corporativos'!$K:$K,'CECOS Corporativos'!$D:$D,""),"")</f>
        <v/>
      </c>
      <c r="I124">
        <v>164038.41</v>
      </c>
      <c r="J124">
        <v>166441</v>
      </c>
      <c r="K124">
        <f t="shared" si="8"/>
        <v>2402.5899999999965</v>
      </c>
      <c r="L124">
        <v>150125.94</v>
      </c>
      <c r="M124">
        <v>170147</v>
      </c>
      <c r="N124">
        <f t="shared" si="9"/>
        <v>20021.059999999998</v>
      </c>
      <c r="O124">
        <v>142393.85</v>
      </c>
      <c r="P124">
        <v>191256</v>
      </c>
      <c r="Q124">
        <f t="shared" si="10"/>
        <v>48862.149999999994</v>
      </c>
      <c r="R124">
        <v>131018.63</v>
      </c>
      <c r="S124">
        <v>146537.26999999999</v>
      </c>
      <c r="T124">
        <f t="shared" si="11"/>
        <v>15518.639999999985</v>
      </c>
    </row>
    <row r="125" spans="1:20" x14ac:dyDescent="0.3">
      <c r="A125" s="4" t="str">
        <f xml:space="preserve"> _xll.EPMOlapMemberO("[CECO].[PARENTH3].[AMSA1003AD4005]","","AMSA1003AD4005 - RRCC y Comunicacione","","000")</f>
        <v>AMSA1003AD4005 - RRCC y Comunicacione</v>
      </c>
      <c r="B125" t="str">
        <f t="shared" si="6"/>
        <v>1003AD4005</v>
      </c>
      <c r="C125" t="str">
        <f>IFERROR(_xlfn.XLOOKUP(B125,'CECOS Corporativos'!$D:$D,'CECOS Corporativos'!$E:$E,""),"")</f>
        <v>RRCC y Comunicaciones</v>
      </c>
      <c r="D125" t="str">
        <f>IFERROR(_xlfn.XLOOKUP(B125,'CECOS Corporativos'!$D:$D,'CECOS Corporativos'!$J:$J,""),"")</f>
        <v>VP Asuntos Corporativos</v>
      </c>
      <c r="E125" t="str">
        <f xml:space="preserve"> _xll.EPMOlapMemberO("[CLACO].[PARENTH7].[AMSAG_VIAJES]","","Gastos de Viajes","","000")</f>
        <v>Gastos de Viajes</v>
      </c>
      <c r="F125" t="str">
        <f t="shared" si="7"/>
        <v>N1003AD400</v>
      </c>
      <c r="G125" t="s">
        <v>734</v>
      </c>
      <c r="H125" t="str">
        <f>IFERROR(_xlfn.XLOOKUP(F125,'CECOS Corporativos'!$K:$K,'CECOS Corporativos'!$D:$D,""),"")</f>
        <v/>
      </c>
      <c r="I125">
        <v>463.66</v>
      </c>
      <c r="J125">
        <v>6419.76</v>
      </c>
      <c r="K125">
        <f t="shared" si="8"/>
        <v>5956.1</v>
      </c>
      <c r="N125">
        <f t="shared" si="9"/>
        <v>0</v>
      </c>
      <c r="O125">
        <v>981.31</v>
      </c>
      <c r="Q125">
        <f t="shared" si="10"/>
        <v>-981.31</v>
      </c>
      <c r="R125">
        <v>133.72</v>
      </c>
      <c r="T125">
        <f t="shared" si="11"/>
        <v>-133.72</v>
      </c>
    </row>
    <row r="126" spans="1:20" x14ac:dyDescent="0.3">
      <c r="A126" s="4" t="str">
        <f xml:space="preserve"> _xll.EPMOlapMemberO("[CECO].[PARENTH3].[AMSA1003AD4005]","","AMSA1003AD4005 - RRCC y Comunicacione","","000")</f>
        <v>AMSA1003AD4005 - RRCC y Comunicacione</v>
      </c>
      <c r="B126" t="str">
        <f t="shared" si="6"/>
        <v>1003AD4005</v>
      </c>
      <c r="C126" t="str">
        <f>IFERROR(_xlfn.XLOOKUP(B126,'CECOS Corporativos'!$D:$D,'CECOS Corporativos'!$E:$E,""),"")</f>
        <v>RRCC y Comunicaciones</v>
      </c>
      <c r="D126" t="str">
        <f>IFERROR(_xlfn.XLOOKUP(B126,'CECOS Corporativos'!$D:$D,'CECOS Corporativos'!$J:$J,""),"")</f>
        <v>VP Asuntos Corporativos</v>
      </c>
      <c r="E126" t="str">
        <f xml:space="preserve"> _xll.EPMOlapMemberO("[CLACO].[PARENTH7].[AMSAGGENERALES.2]","","Otros Gastos","","000")</f>
        <v>Otros Gastos</v>
      </c>
      <c r="F126" t="str">
        <f t="shared" si="7"/>
        <v>N1003AD400</v>
      </c>
      <c r="G126" t="s">
        <v>734</v>
      </c>
      <c r="H126" t="str">
        <f>IFERROR(_xlfn.XLOOKUP(F126,'CECOS Corporativos'!$K:$K,'CECOS Corporativos'!$D:$D,""),"")</f>
        <v/>
      </c>
      <c r="I126">
        <v>189875.76</v>
      </c>
      <c r="J126">
        <v>157672</v>
      </c>
      <c r="K126">
        <f t="shared" si="8"/>
        <v>-32203.760000000009</v>
      </c>
      <c r="L126">
        <v>27462.57</v>
      </c>
      <c r="M126">
        <v>104221</v>
      </c>
      <c r="N126">
        <f t="shared" si="9"/>
        <v>76758.429999999993</v>
      </c>
      <c r="O126">
        <v>46952.35</v>
      </c>
      <c r="P126">
        <v>139796</v>
      </c>
      <c r="Q126">
        <f t="shared" si="10"/>
        <v>92843.65</v>
      </c>
      <c r="R126">
        <v>86964.62</v>
      </c>
      <c r="S126">
        <v>120012.23</v>
      </c>
      <c r="T126">
        <f t="shared" si="11"/>
        <v>33047.61</v>
      </c>
    </row>
    <row r="127" spans="1:20" x14ac:dyDescent="0.3">
      <c r="A127" s="4" t="str">
        <f xml:space="preserve"> _xll.EPMOlapMemberO("[CECO].[PARENTH3].[AMSA1003AD4020]","","AMSA1003AD4020 - RRHH  Corporativo","","000")</f>
        <v>AMSA1003AD4020 - RRHH  Corporativo</v>
      </c>
      <c r="B127" t="str">
        <f t="shared" si="6"/>
        <v>1003AD4020</v>
      </c>
      <c r="C127" t="str">
        <f>IFERROR(_xlfn.XLOOKUP(B127,'CECOS Corporativos'!$D:$D,'CECOS Corporativos'!$E:$E,""),"")</f>
        <v>RRHH Corporativo</v>
      </c>
      <c r="D127" t="str">
        <f>IFERROR(_xlfn.XLOOKUP(B127,'CECOS Corporativos'!$D:$D,'CECOS Corporativos'!$J:$J,""),"")</f>
        <v>VP Personas y Organización</v>
      </c>
      <c r="E127" t="str">
        <f xml:space="preserve"> _xll.EPMOlapMemberO("[CLACO].[PARENTH7].[AMSAMAT_Y_REP.2]","","Materiales y repuest","","000")</f>
        <v>Materiales y repuest</v>
      </c>
      <c r="F127" t="str">
        <f t="shared" si="7"/>
        <v>N1003AD400</v>
      </c>
      <c r="G127" t="s">
        <v>734</v>
      </c>
      <c r="H127" t="str">
        <f>IFERROR(_xlfn.XLOOKUP(F127,'CECOS Corporativos'!$K:$K,'CECOS Corporativos'!$D:$D,""),"")</f>
        <v/>
      </c>
      <c r="I127">
        <v>0</v>
      </c>
      <c r="K127">
        <f t="shared" si="8"/>
        <v>0</v>
      </c>
      <c r="N127">
        <f t="shared" si="9"/>
        <v>0</v>
      </c>
      <c r="Q127">
        <f t="shared" si="10"/>
        <v>0</v>
      </c>
      <c r="T127">
        <f t="shared" si="11"/>
        <v>0</v>
      </c>
    </row>
    <row r="128" spans="1:20" x14ac:dyDescent="0.3">
      <c r="A128" s="4" t="str">
        <f xml:space="preserve"> _xll.EPMOlapMemberO("[CECO].[PARENTH3].[AMSA1003AD4020]","","AMSA1003AD4020 - RRHH  Corporativo","","000")</f>
        <v>AMSA1003AD4020 - RRHH  Corporativo</v>
      </c>
      <c r="B128" t="str">
        <f t="shared" si="6"/>
        <v>1003AD4020</v>
      </c>
      <c r="C128" t="str">
        <f>IFERROR(_xlfn.XLOOKUP(B128,'CECOS Corporativos'!$D:$D,'CECOS Corporativos'!$E:$E,""),"")</f>
        <v>RRHH Corporativo</v>
      </c>
      <c r="D128" t="str">
        <f>IFERROR(_xlfn.XLOOKUP(B128,'CECOS Corporativos'!$D:$D,'CECOS Corporativos'!$J:$J,""),"")</f>
        <v>VP Personas y Organización</v>
      </c>
      <c r="E128" t="str">
        <f xml:space="preserve"> _xll.EPMOlapMemberO("[CLACO].[PARENTH7].[AMSAADM_PERSON]","","Administración Perso","","000")</f>
        <v>Administración Perso</v>
      </c>
      <c r="F128" t="str">
        <f t="shared" si="7"/>
        <v>N1003AD400</v>
      </c>
      <c r="G128" t="s">
        <v>734</v>
      </c>
      <c r="H128" t="str">
        <f>IFERROR(_xlfn.XLOOKUP(F128,'CECOS Corporativos'!$K:$K,'CECOS Corporativos'!$D:$D,""),"")</f>
        <v/>
      </c>
      <c r="I128">
        <v>135868.9</v>
      </c>
      <c r="J128">
        <v>116938</v>
      </c>
      <c r="K128">
        <f t="shared" si="8"/>
        <v>-18930.899999999994</v>
      </c>
      <c r="L128">
        <v>327297.78999999998</v>
      </c>
      <c r="M128">
        <v>333820</v>
      </c>
      <c r="N128">
        <f t="shared" si="9"/>
        <v>6522.210000000021</v>
      </c>
      <c r="O128">
        <v>323285.55</v>
      </c>
      <c r="P128">
        <v>387062</v>
      </c>
      <c r="Q128">
        <f t="shared" si="10"/>
        <v>63776.450000000012</v>
      </c>
      <c r="R128">
        <v>345989.88</v>
      </c>
      <c r="S128">
        <v>342685.2</v>
      </c>
      <c r="T128">
        <f t="shared" si="11"/>
        <v>-3304.679999999993</v>
      </c>
    </row>
    <row r="129" spans="1:20" x14ac:dyDescent="0.3">
      <c r="A129" s="4" t="str">
        <f xml:space="preserve"> _xll.EPMOlapMemberO("[CECO].[PARENTH3].[AMSA1003AD4020]","","AMSA1003AD4020 - RRHH  Corporativo","","000")</f>
        <v>AMSA1003AD4020 - RRHH  Corporativo</v>
      </c>
      <c r="B129" t="str">
        <f t="shared" si="6"/>
        <v>1003AD4020</v>
      </c>
      <c r="C129" t="str">
        <f>IFERROR(_xlfn.XLOOKUP(B129,'CECOS Corporativos'!$D:$D,'CECOS Corporativos'!$E:$E,""),"")</f>
        <v>RRHH Corporativo</v>
      </c>
      <c r="D129" t="str">
        <f>IFERROR(_xlfn.XLOOKUP(B129,'CECOS Corporativos'!$D:$D,'CECOS Corporativos'!$J:$J,""),"")</f>
        <v>VP Personas y Organización</v>
      </c>
      <c r="E129" t="str">
        <f xml:space="preserve"> _xll.EPMOlapMemberO("[CLACO].[PARENTH7].[AMSAENTRENAMI]","","Entrenamiento","","000")</f>
        <v>Entrenamiento</v>
      </c>
      <c r="F129" t="str">
        <f t="shared" si="7"/>
        <v>N1003AD400</v>
      </c>
      <c r="G129" t="s">
        <v>734</v>
      </c>
      <c r="H129" t="str">
        <f>IFERROR(_xlfn.XLOOKUP(F129,'CECOS Corporativos'!$K:$K,'CECOS Corporativos'!$D:$D,""),"")</f>
        <v/>
      </c>
      <c r="I129">
        <v>186613.97</v>
      </c>
      <c r="J129">
        <v>193766</v>
      </c>
      <c r="K129">
        <f t="shared" si="8"/>
        <v>7152.0299999999988</v>
      </c>
      <c r="L129">
        <v>219925.77</v>
      </c>
      <c r="M129">
        <v>236093</v>
      </c>
      <c r="N129">
        <f t="shared" si="9"/>
        <v>16167.23000000001</v>
      </c>
      <c r="O129">
        <v>128779.26</v>
      </c>
      <c r="P129">
        <v>139690</v>
      </c>
      <c r="Q129">
        <f t="shared" si="10"/>
        <v>10910.740000000005</v>
      </c>
      <c r="R129">
        <v>109592.39</v>
      </c>
      <c r="S129">
        <v>89249.06</v>
      </c>
      <c r="T129">
        <f t="shared" si="11"/>
        <v>-20343.330000000002</v>
      </c>
    </row>
    <row r="130" spans="1:20" x14ac:dyDescent="0.3">
      <c r="A130" s="4" t="str">
        <f xml:space="preserve"> _xll.EPMOlapMemberO("[CECO].[PARENTH3].[AMSA1003AD4020]","","AMSA1003AD4020 - RRHH  Corporativo","","000")</f>
        <v>AMSA1003AD4020 - RRHH  Corporativo</v>
      </c>
      <c r="B130" t="str">
        <f t="shared" si="6"/>
        <v>1003AD4020</v>
      </c>
      <c r="C130" t="str">
        <f>IFERROR(_xlfn.XLOOKUP(B130,'CECOS Corporativos'!$D:$D,'CECOS Corporativos'!$E:$E,""),"")</f>
        <v>RRHH Corporativo</v>
      </c>
      <c r="D130" t="str">
        <f>IFERROR(_xlfn.XLOOKUP(B130,'CECOS Corporativos'!$D:$D,'CECOS Corporativos'!$J:$J,""),"")</f>
        <v>VP Personas y Organización</v>
      </c>
      <c r="E130" t="str">
        <f xml:space="preserve"> _xll.EPMOlapMemberO("[CLACO].[PARENTH7].[AMSAASESORIAS]","","Asesorías y Consulto","","000")</f>
        <v>Asesorías y Consulto</v>
      </c>
      <c r="F130" t="str">
        <f t="shared" si="7"/>
        <v>N1003AD400</v>
      </c>
      <c r="G130" t="s">
        <v>734</v>
      </c>
      <c r="H130" t="str">
        <f>IFERROR(_xlfn.XLOOKUP(F130,'CECOS Corporativos'!$K:$K,'CECOS Corporativos'!$D:$D,""),"")</f>
        <v/>
      </c>
      <c r="I130">
        <v>179373.82</v>
      </c>
      <c r="J130">
        <v>231471</v>
      </c>
      <c r="K130">
        <f t="shared" si="8"/>
        <v>52097.179999999993</v>
      </c>
      <c r="L130">
        <v>87675.35</v>
      </c>
      <c r="M130">
        <v>200971</v>
      </c>
      <c r="N130">
        <f t="shared" si="9"/>
        <v>113295.65</v>
      </c>
      <c r="O130">
        <v>125173.1</v>
      </c>
      <c r="P130">
        <v>127901</v>
      </c>
      <c r="Q130">
        <f t="shared" si="10"/>
        <v>2727.8999999999942</v>
      </c>
      <c r="R130">
        <v>123238.53</v>
      </c>
      <c r="S130">
        <v>62876.82</v>
      </c>
      <c r="T130">
        <f t="shared" si="11"/>
        <v>-60361.71</v>
      </c>
    </row>
    <row r="131" spans="1:20" x14ac:dyDescent="0.3">
      <c r="A131" s="4" t="str">
        <f xml:space="preserve"> _xll.EPMOlapMemberO("[CECO].[PARENTH3].[AMSA1003AD4020]","","AMSA1003AD4020 - RRHH  Corporativo","","000")</f>
        <v>AMSA1003AD4020 - RRHH  Corporativo</v>
      </c>
      <c r="B131" t="str">
        <f t="shared" si="6"/>
        <v>1003AD4020</v>
      </c>
      <c r="C131" t="str">
        <f>IFERROR(_xlfn.XLOOKUP(B131,'CECOS Corporativos'!$D:$D,'CECOS Corporativos'!$E:$E,""),"")</f>
        <v>RRHH Corporativo</v>
      </c>
      <c r="D131" t="str">
        <f>IFERROR(_xlfn.XLOOKUP(B131,'CECOS Corporativos'!$D:$D,'CECOS Corporativos'!$J:$J,""),"")</f>
        <v>VP Personas y Organización</v>
      </c>
      <c r="E131" t="str">
        <f xml:space="preserve"> _xll.EPMOlapMemberO("[CLACO].[PARENTH7].[AMSASERVICIOS]","","Servicios","","000")</f>
        <v>Servicios</v>
      </c>
      <c r="F131" t="str">
        <f t="shared" si="7"/>
        <v>N1003AD400</v>
      </c>
      <c r="G131" t="s">
        <v>734</v>
      </c>
      <c r="H131" t="str">
        <f>IFERROR(_xlfn.XLOOKUP(F131,'CECOS Corporativos'!$K:$K,'CECOS Corporativos'!$D:$D,""),"")</f>
        <v/>
      </c>
      <c r="I131">
        <v>214452.64</v>
      </c>
      <c r="J131">
        <v>36375</v>
      </c>
      <c r="K131">
        <f t="shared" si="8"/>
        <v>-178077.64</v>
      </c>
      <c r="L131">
        <v>205451.72</v>
      </c>
      <c r="N131">
        <f t="shared" si="9"/>
        <v>-205451.72</v>
      </c>
      <c r="O131">
        <v>96476.93</v>
      </c>
      <c r="Q131">
        <f t="shared" si="10"/>
        <v>-96476.93</v>
      </c>
      <c r="R131">
        <v>-24349.81</v>
      </c>
      <c r="T131">
        <f t="shared" si="11"/>
        <v>24349.81</v>
      </c>
    </row>
    <row r="132" spans="1:20" x14ac:dyDescent="0.3">
      <c r="A132" s="4" t="str">
        <f xml:space="preserve"> _xll.EPMOlapMemberO("[CECO].[PARENTH3].[AMSA1003AD4020]","","AMSA1003AD4020 - RRHH  Corporativo","","000")</f>
        <v>AMSA1003AD4020 - RRHH  Corporativo</v>
      </c>
      <c r="B132" t="str">
        <f t="shared" si="6"/>
        <v>1003AD4020</v>
      </c>
      <c r="C132" t="str">
        <f>IFERROR(_xlfn.XLOOKUP(B132,'CECOS Corporativos'!$D:$D,'CECOS Corporativos'!$E:$E,""),"")</f>
        <v>RRHH Corporativo</v>
      </c>
      <c r="D132" t="str">
        <f>IFERROR(_xlfn.XLOOKUP(B132,'CECOS Corporativos'!$D:$D,'CECOS Corporativos'!$J:$J,""),"")</f>
        <v>VP Personas y Organización</v>
      </c>
      <c r="E132" t="str">
        <f xml:space="preserve"> _xll.EPMOlapMemberO("[CLACO].[PARENTH7].[AMSAINFORMATIC]","","Informática y Comuni","","000")</f>
        <v>Informática y Comuni</v>
      </c>
      <c r="F132" t="str">
        <f t="shared" si="7"/>
        <v>N1003AD400</v>
      </c>
      <c r="G132" t="s">
        <v>734</v>
      </c>
      <c r="H132" t="str">
        <f>IFERROR(_xlfn.XLOOKUP(F132,'CECOS Corporativos'!$K:$K,'CECOS Corporativos'!$D:$D,""),"")</f>
        <v/>
      </c>
      <c r="I132">
        <v>156784.57</v>
      </c>
      <c r="J132">
        <v>351123</v>
      </c>
      <c r="K132">
        <f t="shared" si="8"/>
        <v>194338.43</v>
      </c>
      <c r="L132">
        <v>387403.67</v>
      </c>
      <c r="M132">
        <v>298931</v>
      </c>
      <c r="N132">
        <f t="shared" si="9"/>
        <v>-88472.669999999984</v>
      </c>
      <c r="O132">
        <v>332107.33</v>
      </c>
      <c r="P132">
        <v>375027</v>
      </c>
      <c r="Q132">
        <f t="shared" si="10"/>
        <v>42919.669999999984</v>
      </c>
      <c r="R132">
        <v>319310.25</v>
      </c>
      <c r="S132">
        <v>320674.05</v>
      </c>
      <c r="T132">
        <f t="shared" si="11"/>
        <v>1363.7999999999884</v>
      </c>
    </row>
    <row r="133" spans="1:20" x14ac:dyDescent="0.3">
      <c r="A133" s="4" t="str">
        <f xml:space="preserve"> _xll.EPMOlapMemberO("[CECO].[PARENTH3].[AMSA1003AD4020]","","AMSA1003AD4020 - RRHH  Corporativo","","000")</f>
        <v>AMSA1003AD4020 - RRHH  Corporativo</v>
      </c>
      <c r="B133" t="str">
        <f t="shared" si="6"/>
        <v>1003AD4020</v>
      </c>
      <c r="C133" t="str">
        <f>IFERROR(_xlfn.XLOOKUP(B133,'CECOS Corporativos'!$D:$D,'CECOS Corporativos'!$E:$E,""),"")</f>
        <v>RRHH Corporativo</v>
      </c>
      <c r="D133" t="str">
        <f>IFERROR(_xlfn.XLOOKUP(B133,'CECOS Corporativos'!$D:$D,'CECOS Corporativos'!$J:$J,""),"")</f>
        <v>VP Personas y Organización</v>
      </c>
      <c r="E133" t="str">
        <f xml:space="preserve"> _xll.EPMOlapMemberO("[CLACO].[PARENTH7].[AMSAG_VIAJES]","","Gastos de Viajes","","000")</f>
        <v>Gastos de Viajes</v>
      </c>
      <c r="F133" t="str">
        <f t="shared" si="7"/>
        <v>N1003AD400</v>
      </c>
      <c r="G133" t="s">
        <v>734</v>
      </c>
      <c r="H133" t="str">
        <f>IFERROR(_xlfn.XLOOKUP(F133,'CECOS Corporativos'!$K:$K,'CECOS Corporativos'!$D:$D,""),"")</f>
        <v/>
      </c>
      <c r="I133">
        <v>35.53</v>
      </c>
      <c r="K133">
        <f t="shared" si="8"/>
        <v>-35.53</v>
      </c>
      <c r="N133">
        <f t="shared" si="9"/>
        <v>0</v>
      </c>
      <c r="O133">
        <v>987.99</v>
      </c>
      <c r="Q133">
        <f t="shared" si="10"/>
        <v>-987.99</v>
      </c>
      <c r="R133">
        <v>663.23</v>
      </c>
      <c r="T133">
        <f t="shared" si="11"/>
        <v>-663.23</v>
      </c>
    </row>
    <row r="134" spans="1:20" x14ac:dyDescent="0.3">
      <c r="A134" s="4" t="str">
        <f xml:space="preserve"> _xll.EPMOlapMemberO("[CECO].[PARENTH3].[AMSA1003AD4020]","","AMSA1003AD4020 - RRHH  Corporativo","","000")</f>
        <v>AMSA1003AD4020 - RRHH  Corporativo</v>
      </c>
      <c r="B134" t="str">
        <f t="shared" si="6"/>
        <v>1003AD4020</v>
      </c>
      <c r="C134" t="str">
        <f>IFERROR(_xlfn.XLOOKUP(B134,'CECOS Corporativos'!$D:$D,'CECOS Corporativos'!$E:$E,""),"")</f>
        <v>RRHH Corporativo</v>
      </c>
      <c r="D134" t="str">
        <f>IFERROR(_xlfn.XLOOKUP(B134,'CECOS Corporativos'!$D:$D,'CECOS Corporativos'!$J:$J,""),"")</f>
        <v>VP Personas y Organización</v>
      </c>
      <c r="E134" t="str">
        <f xml:space="preserve"> _xll.EPMOlapMemberO("[CLACO].[PARENTH7].[AMSAGGENERALES.2]","","Otros Gastos","","000")</f>
        <v>Otros Gastos</v>
      </c>
      <c r="F134" t="str">
        <f t="shared" si="7"/>
        <v>N1003AD400</v>
      </c>
      <c r="G134" t="s">
        <v>734</v>
      </c>
      <c r="H134" t="str">
        <f>IFERROR(_xlfn.XLOOKUP(F134,'CECOS Corporativos'!$K:$K,'CECOS Corporativos'!$D:$D,""),"")</f>
        <v/>
      </c>
      <c r="I134">
        <v>21900.55</v>
      </c>
      <c r="J134">
        <v>12413</v>
      </c>
      <c r="K134">
        <f t="shared" si="8"/>
        <v>-9487.5499999999993</v>
      </c>
      <c r="L134">
        <v>8216</v>
      </c>
      <c r="M134">
        <v>8216</v>
      </c>
      <c r="N134">
        <f t="shared" si="9"/>
        <v>0</v>
      </c>
      <c r="O134">
        <v>26308.32</v>
      </c>
      <c r="P134">
        <v>34863</v>
      </c>
      <c r="Q134">
        <f t="shared" si="10"/>
        <v>8554.68</v>
      </c>
      <c r="R134">
        <v>34938.199999999997</v>
      </c>
      <c r="S134">
        <v>27094.91</v>
      </c>
      <c r="T134">
        <f t="shared" si="11"/>
        <v>-7843.2899999999972</v>
      </c>
    </row>
    <row r="135" spans="1:20" x14ac:dyDescent="0.3">
      <c r="A135" s="4" t="str">
        <f xml:space="preserve"> _xll.EPMOlapMemberO("[CECO].[PARENTH3].[AMSA1003AD4020]","","AMSA1003AD4020 - RRHH  Corporativo","","000")</f>
        <v>AMSA1003AD4020 - RRHH  Corporativo</v>
      </c>
      <c r="B135" t="str">
        <f t="shared" si="6"/>
        <v>1003AD4020</v>
      </c>
      <c r="C135" t="str">
        <f>IFERROR(_xlfn.XLOOKUP(B135,'CECOS Corporativos'!$D:$D,'CECOS Corporativos'!$E:$E,""),"")</f>
        <v>RRHH Corporativo</v>
      </c>
      <c r="D135" t="str">
        <f>IFERROR(_xlfn.XLOOKUP(B135,'CECOS Corporativos'!$D:$D,'CECOS Corporativos'!$J:$J,""),"")</f>
        <v>VP Personas y Organización</v>
      </c>
      <c r="E135" t="str">
        <f xml:space="preserve"> _xll.EPMOlapMemberO("[CLACO].[PARENTH7].[AMSASERV_CORP]","","Servicios Corporativ","","000")</f>
        <v>Servicios Corporativ</v>
      </c>
      <c r="F135" t="str">
        <f t="shared" si="7"/>
        <v>N1003AD400</v>
      </c>
      <c r="G135" t="s">
        <v>734</v>
      </c>
      <c r="H135" t="str">
        <f>IFERROR(_xlfn.XLOOKUP(F135,'CECOS Corporativos'!$K:$K,'CECOS Corporativos'!$D:$D,""),"")</f>
        <v/>
      </c>
      <c r="I135">
        <v>784444.88</v>
      </c>
      <c r="J135">
        <v>808682</v>
      </c>
      <c r="K135">
        <f t="shared" si="8"/>
        <v>24237.119999999995</v>
      </c>
      <c r="L135">
        <v>744324.77</v>
      </c>
      <c r="M135">
        <v>675662</v>
      </c>
      <c r="N135">
        <f t="shared" si="9"/>
        <v>-68662.770000000019</v>
      </c>
      <c r="O135">
        <v>983681.23</v>
      </c>
      <c r="P135">
        <v>893814</v>
      </c>
      <c r="Q135">
        <f t="shared" si="10"/>
        <v>-89867.229999999981</v>
      </c>
      <c r="R135">
        <v>908693</v>
      </c>
      <c r="S135">
        <v>953815.24</v>
      </c>
      <c r="T135">
        <f t="shared" si="11"/>
        <v>45122.239999999991</v>
      </c>
    </row>
    <row r="136" spans="1:20" x14ac:dyDescent="0.3">
      <c r="A136" s="4" t="str">
        <f xml:space="preserve"> _xll.EPMOlapMemberO("[CECO].[PARENTH3].[AMSA1003AD4506]","","AMSA1003AD4506 - Med.Ambte Corporativ","","000")</f>
        <v>AMSA1003AD4506 - Med.Ambte Corporativ</v>
      </c>
      <c r="B136" t="str">
        <f t="shared" si="6"/>
        <v>1003AD4506</v>
      </c>
      <c r="C136" t="str">
        <f>IFERROR(_xlfn.XLOOKUP(B136,'CECOS Corporativos'!$D:$D,'CECOS Corporativos'!$E:$E,""),"")</f>
        <v>Medio Ambiente Corporativo</v>
      </c>
      <c r="D136" t="str">
        <f>IFERROR(_xlfn.XLOOKUP(B136,'CECOS Corporativos'!$D:$D,'CECOS Corporativos'!$J:$J,""),"")</f>
        <v>VP Sustentabilidad</v>
      </c>
      <c r="E136" t="str">
        <f xml:space="preserve"> _xll.EPMOlapMemberO("[CLACO].[PARENTH7].[AMSAASESORIAS]","","Asesorías y Consulto","","000")</f>
        <v>Asesorías y Consulto</v>
      </c>
      <c r="F136" t="str">
        <f t="shared" si="7"/>
        <v>N1003AD450</v>
      </c>
      <c r="G136" t="s">
        <v>735</v>
      </c>
      <c r="H136" t="str">
        <f>IFERROR(_xlfn.XLOOKUP(F136,'CECOS Corporativos'!$K:$K,'CECOS Corporativos'!$D:$D,""),"")</f>
        <v/>
      </c>
      <c r="I136">
        <v>-51.68</v>
      </c>
      <c r="J136">
        <v>27407</v>
      </c>
      <c r="K136">
        <f t="shared" si="8"/>
        <v>27458.68</v>
      </c>
      <c r="L136">
        <v>35586.26</v>
      </c>
      <c r="M136">
        <v>62922</v>
      </c>
      <c r="N136">
        <f t="shared" si="9"/>
        <v>27335.739999999998</v>
      </c>
      <c r="O136">
        <v>5158.51</v>
      </c>
      <c r="P136">
        <v>45233</v>
      </c>
      <c r="Q136">
        <f t="shared" si="10"/>
        <v>40074.49</v>
      </c>
      <c r="R136">
        <v>13846</v>
      </c>
      <c r="S136">
        <v>38844.11</v>
      </c>
      <c r="T136">
        <f t="shared" si="11"/>
        <v>24998.11</v>
      </c>
    </row>
    <row r="137" spans="1:20" x14ac:dyDescent="0.3">
      <c r="A137" s="4" t="str">
        <f xml:space="preserve"> _xll.EPMOlapMemberO("[CECO].[PARENTH3].[AMSA1003AD4506]","","AMSA1003AD4506 - Med.Ambte Corporativ","","000")</f>
        <v>AMSA1003AD4506 - Med.Ambte Corporativ</v>
      </c>
      <c r="B137" t="str">
        <f t="shared" si="6"/>
        <v>1003AD4506</v>
      </c>
      <c r="C137" t="str">
        <f>IFERROR(_xlfn.XLOOKUP(B137,'CECOS Corporativos'!$D:$D,'CECOS Corporativos'!$E:$E,""),"")</f>
        <v>Medio Ambiente Corporativo</v>
      </c>
      <c r="D137" t="str">
        <f>IFERROR(_xlfn.XLOOKUP(B137,'CECOS Corporativos'!$D:$D,'CECOS Corporativos'!$J:$J,""),"")</f>
        <v>VP Sustentabilidad</v>
      </c>
      <c r="E137" t="str">
        <f xml:space="preserve"> _xll.EPMOlapMemberO("[CLACO].[PARENTH7].[AMSAINFORMATIC]","","Informática y Comuni","","000")</f>
        <v>Informática y Comuni</v>
      </c>
      <c r="F137" t="str">
        <f t="shared" si="7"/>
        <v>N1003AD450</v>
      </c>
      <c r="G137" t="s">
        <v>735</v>
      </c>
      <c r="H137" t="str">
        <f>IFERROR(_xlfn.XLOOKUP(F137,'CECOS Corporativos'!$K:$K,'CECOS Corporativos'!$D:$D,""),"")</f>
        <v/>
      </c>
      <c r="K137">
        <f t="shared" si="8"/>
        <v>0</v>
      </c>
      <c r="L137">
        <v>10217.83</v>
      </c>
      <c r="N137">
        <f t="shared" si="9"/>
        <v>-10217.83</v>
      </c>
      <c r="O137">
        <v>13931.16</v>
      </c>
      <c r="P137">
        <v>45732</v>
      </c>
      <c r="Q137">
        <f t="shared" si="10"/>
        <v>31800.84</v>
      </c>
      <c r="R137">
        <v>69742.740000000005</v>
      </c>
      <c r="S137">
        <v>65982.36</v>
      </c>
      <c r="T137">
        <f t="shared" si="11"/>
        <v>-3760.3800000000047</v>
      </c>
    </row>
    <row r="138" spans="1:20" x14ac:dyDescent="0.3">
      <c r="A138" s="4" t="str">
        <f xml:space="preserve"> _xll.EPMOlapMemberO("[CECO].[PARENTH3].[AMSA1003AD4506]","","AMSA1003AD4506 - Med.Ambte Corporativ","","000")</f>
        <v>AMSA1003AD4506 - Med.Ambte Corporativ</v>
      </c>
      <c r="B138" t="str">
        <f t="shared" ref="B138:B168" si="12">IFERROR(SUBSTITUTE(TRIM(LEFT(A138,FIND("-",A138)-1)),"AMSA",""),"")</f>
        <v>1003AD4506</v>
      </c>
      <c r="C138" t="str">
        <f>IFERROR(_xlfn.XLOOKUP(B138,'CECOS Corporativos'!$D:$D,'CECOS Corporativos'!$E:$E,""),"")</f>
        <v>Medio Ambiente Corporativo</v>
      </c>
      <c r="D138" t="str">
        <f>IFERROR(_xlfn.XLOOKUP(B138,'CECOS Corporativos'!$D:$D,'CECOS Corporativos'!$J:$J,""),"")</f>
        <v>VP Sustentabilidad</v>
      </c>
      <c r="E138" t="str">
        <f xml:space="preserve"> _xll.EPMOlapMemberO("[CLACO].[PARENTH7].[AMSAGGENERALES.2]","","Otros Gastos","","000")</f>
        <v>Otros Gastos</v>
      </c>
      <c r="F138" t="str">
        <f t="shared" ref="F138:F168" si="13">IFERROR(TRIM(LEFT(G138,FIND("-",G138)-1)),"")</f>
        <v>N1003AD450</v>
      </c>
      <c r="G138" t="s">
        <v>735</v>
      </c>
      <c r="H138" t="str">
        <f>IFERROR(_xlfn.XLOOKUP(F138,'CECOS Corporativos'!$K:$K,'CECOS Corporativos'!$D:$D,""),"")</f>
        <v/>
      </c>
      <c r="K138">
        <f t="shared" ref="K138:K168" si="14">J138-I138</f>
        <v>0</v>
      </c>
      <c r="N138">
        <f t="shared" ref="N138:N168" si="15">M138-L138</f>
        <v>0</v>
      </c>
      <c r="O138">
        <v>2204.2199999999998</v>
      </c>
      <c r="Q138">
        <f t="shared" ref="Q138:Q168" si="16">P138-O138</f>
        <v>-2204.2199999999998</v>
      </c>
      <c r="R138">
        <v>0</v>
      </c>
      <c r="T138">
        <f t="shared" ref="T138:T168" si="17">S138-R138</f>
        <v>0</v>
      </c>
    </row>
    <row r="139" spans="1:20" x14ac:dyDescent="0.3">
      <c r="A139" s="4" t="str">
        <f xml:space="preserve"> _xll.EPMOlapMemberO("[CECO].[PARENTH3].[AMSA1003AD4506]","","AMSA1003AD4506 - Med.Ambte Corporativ","","000")</f>
        <v>AMSA1003AD4506 - Med.Ambte Corporativ</v>
      </c>
      <c r="B139" t="str">
        <f t="shared" si="12"/>
        <v>1003AD4506</v>
      </c>
      <c r="C139" t="str">
        <f>IFERROR(_xlfn.XLOOKUP(B139,'CECOS Corporativos'!$D:$D,'CECOS Corporativos'!$E:$E,""),"")</f>
        <v>Medio Ambiente Corporativo</v>
      </c>
      <c r="D139" t="str">
        <f>IFERROR(_xlfn.XLOOKUP(B139,'CECOS Corporativos'!$D:$D,'CECOS Corporativos'!$J:$J,""),"")</f>
        <v>VP Sustentabilidad</v>
      </c>
      <c r="E139" t="str">
        <f xml:space="preserve"> _xll.EPMOlapMemberO("[CLACO].[PARENTH7].[AMSASERV_CORP]","","Servicios Corporativ","","000")</f>
        <v>Servicios Corporativ</v>
      </c>
      <c r="F139" t="str">
        <f t="shared" si="13"/>
        <v>N1003AD450</v>
      </c>
      <c r="G139" t="s">
        <v>735</v>
      </c>
      <c r="H139" t="str">
        <f>IFERROR(_xlfn.XLOOKUP(F139,'CECOS Corporativos'!$K:$K,'CECOS Corporativos'!$D:$D,""),"")</f>
        <v/>
      </c>
      <c r="I139">
        <v>58696.18</v>
      </c>
      <c r="J139">
        <v>60511</v>
      </c>
      <c r="K139">
        <f t="shared" si="14"/>
        <v>1814.8199999999997</v>
      </c>
      <c r="L139">
        <v>72699.740000000005</v>
      </c>
      <c r="M139">
        <v>65984</v>
      </c>
      <c r="N139">
        <f t="shared" si="15"/>
        <v>-6715.7400000000052</v>
      </c>
      <c r="O139">
        <v>-5919.74</v>
      </c>
      <c r="Q139">
        <f t="shared" si="16"/>
        <v>5919.74</v>
      </c>
      <c r="T139">
        <f t="shared" si="17"/>
        <v>0</v>
      </c>
    </row>
    <row r="140" spans="1:20" x14ac:dyDescent="0.3">
      <c r="A140" s="4" t="str">
        <f xml:space="preserve"> _xll.EPMOlapMemberO("[CECO].[PARENTH3].[AMSA1003AD4507]","","AMSA1003AD4507 - SSO Corporativo","","000")</f>
        <v>AMSA1003AD4507 - SSO Corporativo</v>
      </c>
      <c r="B140" t="str">
        <f t="shared" si="12"/>
        <v>1003AD4507</v>
      </c>
      <c r="C140" t="str">
        <f>IFERROR(_xlfn.XLOOKUP(B140,'CECOS Corporativos'!$D:$D,'CECOS Corporativos'!$E:$E,""),"")</f>
        <v>SSO Corporativo</v>
      </c>
      <c r="D140" t="str">
        <f>IFERROR(_xlfn.XLOOKUP(B140,'CECOS Corporativos'!$D:$D,'CECOS Corporativos'!$J:$J,""),"")</f>
        <v>VP Sustentabilidad</v>
      </c>
      <c r="E140" t="str">
        <f xml:space="preserve"> _xll.EPMOlapMemberO("[CLACO].[PARENTH7].[AMSAASESORIAS]","","Asesorías y Consulto","","000")</f>
        <v>Asesorías y Consulto</v>
      </c>
      <c r="F140" t="str">
        <f t="shared" si="13"/>
        <v>N1003AD450</v>
      </c>
      <c r="G140" t="s">
        <v>735</v>
      </c>
      <c r="H140" t="str">
        <f>IFERROR(_xlfn.XLOOKUP(F140,'CECOS Corporativos'!$K:$K,'CECOS Corporativos'!$D:$D,""),"")</f>
        <v/>
      </c>
      <c r="J140">
        <v>237040</v>
      </c>
      <c r="K140">
        <f t="shared" si="14"/>
        <v>237040</v>
      </c>
      <c r="M140">
        <v>192648</v>
      </c>
      <c r="N140">
        <f t="shared" si="15"/>
        <v>192648</v>
      </c>
      <c r="O140">
        <v>111793.03</v>
      </c>
      <c r="Q140">
        <f t="shared" si="16"/>
        <v>-111793.03</v>
      </c>
      <c r="R140">
        <v>105663.05</v>
      </c>
      <c r="T140">
        <f t="shared" si="17"/>
        <v>-105663.05</v>
      </c>
    </row>
    <row r="141" spans="1:20" x14ac:dyDescent="0.3">
      <c r="A141" s="4" t="str">
        <f xml:space="preserve"> _xll.EPMOlapMemberO("[CECO].[PARENTH3].[AMSA1003AD4507]","","AMSA1003AD4507 - SSO Corporativo","","000")</f>
        <v>AMSA1003AD4507 - SSO Corporativo</v>
      </c>
      <c r="B141" t="str">
        <f t="shared" si="12"/>
        <v>1003AD4507</v>
      </c>
      <c r="C141" t="str">
        <f>IFERROR(_xlfn.XLOOKUP(B141,'CECOS Corporativos'!$D:$D,'CECOS Corporativos'!$E:$E,""),"")</f>
        <v>SSO Corporativo</v>
      </c>
      <c r="D141" t="str">
        <f>IFERROR(_xlfn.XLOOKUP(B141,'CECOS Corporativos'!$D:$D,'CECOS Corporativos'!$J:$J,""),"")</f>
        <v>VP Sustentabilidad</v>
      </c>
      <c r="E141" t="str">
        <f xml:space="preserve"> _xll.EPMOlapMemberO("[CLACO].[PARENTH7].[AMSASERVICIOS]","","Servicios","","000")</f>
        <v>Servicios</v>
      </c>
      <c r="F141" t="str">
        <f t="shared" si="13"/>
        <v>N1003AD450</v>
      </c>
      <c r="G141" t="s">
        <v>735</v>
      </c>
      <c r="H141" t="str">
        <f>IFERROR(_xlfn.XLOOKUP(F141,'CECOS Corporativos'!$K:$K,'CECOS Corporativos'!$D:$D,""),"")</f>
        <v/>
      </c>
      <c r="K141">
        <f t="shared" si="14"/>
        <v>0</v>
      </c>
      <c r="N141">
        <f t="shared" si="15"/>
        <v>0</v>
      </c>
      <c r="O141">
        <v>2103.37</v>
      </c>
      <c r="P141">
        <v>137443</v>
      </c>
      <c r="Q141">
        <f t="shared" si="16"/>
        <v>135339.63</v>
      </c>
      <c r="R141">
        <v>904.41</v>
      </c>
      <c r="S141">
        <v>98173.3</v>
      </c>
      <c r="T141">
        <f t="shared" si="17"/>
        <v>97268.89</v>
      </c>
    </row>
    <row r="142" spans="1:20" x14ac:dyDescent="0.3">
      <c r="A142" s="4" t="str">
        <f xml:space="preserve"> _xll.EPMOlapMemberO("[CECO].[PARENTH3].[AMSA1003AD4507]","","AMSA1003AD4507 - SSO Corporativo","","000")</f>
        <v>AMSA1003AD4507 - SSO Corporativo</v>
      </c>
      <c r="B142" t="str">
        <f t="shared" si="12"/>
        <v>1003AD4507</v>
      </c>
      <c r="C142" t="str">
        <f>IFERROR(_xlfn.XLOOKUP(B142,'CECOS Corporativos'!$D:$D,'CECOS Corporativos'!$E:$E,""),"")</f>
        <v>SSO Corporativo</v>
      </c>
      <c r="D142" t="str">
        <f>IFERROR(_xlfn.XLOOKUP(B142,'CECOS Corporativos'!$D:$D,'CECOS Corporativos'!$J:$J,""),"")</f>
        <v>VP Sustentabilidad</v>
      </c>
      <c r="E142" t="str">
        <f xml:space="preserve"> _xll.EPMOlapMemberO("[CLACO].[PARENTH7].[AMSAINFORMATIC]","","Informática y Comuni","","000")</f>
        <v>Informática y Comuni</v>
      </c>
      <c r="F142" t="str">
        <f t="shared" si="13"/>
        <v>N1003AD450</v>
      </c>
      <c r="G142" t="s">
        <v>735</v>
      </c>
      <c r="H142" t="str">
        <f>IFERROR(_xlfn.XLOOKUP(F142,'CECOS Corporativos'!$K:$K,'CECOS Corporativos'!$D:$D,""),"")</f>
        <v/>
      </c>
      <c r="K142">
        <f t="shared" si="14"/>
        <v>0</v>
      </c>
      <c r="N142">
        <f t="shared" si="15"/>
        <v>0</v>
      </c>
      <c r="P142">
        <v>37948</v>
      </c>
      <c r="Q142">
        <f t="shared" si="16"/>
        <v>37948</v>
      </c>
      <c r="R142">
        <v>11418.93</v>
      </c>
      <c r="S142">
        <v>37843.089999999997</v>
      </c>
      <c r="T142">
        <f t="shared" si="17"/>
        <v>26424.159999999996</v>
      </c>
    </row>
    <row r="143" spans="1:20" x14ac:dyDescent="0.3">
      <c r="A143" s="4" t="str">
        <f xml:space="preserve"> _xll.EPMOlapMemberO("[CECO].[PARENTH3].[AMSA1003AD4507]","","AMSA1003AD4507 - SSO Corporativo","","000")</f>
        <v>AMSA1003AD4507 - SSO Corporativo</v>
      </c>
      <c r="B143" t="str">
        <f t="shared" si="12"/>
        <v>1003AD4507</v>
      </c>
      <c r="C143" t="str">
        <f>IFERROR(_xlfn.XLOOKUP(B143,'CECOS Corporativos'!$D:$D,'CECOS Corporativos'!$E:$E,""),"")</f>
        <v>SSO Corporativo</v>
      </c>
      <c r="D143" t="str">
        <f>IFERROR(_xlfn.XLOOKUP(B143,'CECOS Corporativos'!$D:$D,'CECOS Corporativos'!$J:$J,""),"")</f>
        <v>VP Sustentabilidad</v>
      </c>
      <c r="E143" t="str">
        <f xml:space="preserve"> _xll.EPMOlapMemberO("[CLACO].[PARENTH7].[AMSAG_VIAJES]","","Gastos de Viajes","","000")</f>
        <v>Gastos de Viajes</v>
      </c>
      <c r="F143" t="str">
        <f t="shared" si="13"/>
        <v>N1003AD450</v>
      </c>
      <c r="G143" t="s">
        <v>735</v>
      </c>
      <c r="H143" t="str">
        <f>IFERROR(_xlfn.XLOOKUP(F143,'CECOS Corporativos'!$K:$K,'CECOS Corporativos'!$D:$D,""),"")</f>
        <v/>
      </c>
      <c r="K143">
        <f t="shared" si="14"/>
        <v>0</v>
      </c>
      <c r="L143">
        <v>1592.08</v>
      </c>
      <c r="N143">
        <f t="shared" si="15"/>
        <v>-1592.08</v>
      </c>
      <c r="Q143">
        <f t="shared" si="16"/>
        <v>0</v>
      </c>
      <c r="T143">
        <f t="shared" si="17"/>
        <v>0</v>
      </c>
    </row>
    <row r="144" spans="1:20" x14ac:dyDescent="0.3">
      <c r="A144" s="4" t="str">
        <f xml:space="preserve"> _xll.EPMOlapMemberO("[CECO].[PARENTH3].[AMSA1003AD4507]","","AMSA1003AD4507 - SSO Corporativo","","000")</f>
        <v>AMSA1003AD4507 - SSO Corporativo</v>
      </c>
      <c r="B144" t="str">
        <f t="shared" si="12"/>
        <v>1003AD4507</v>
      </c>
      <c r="C144" t="str">
        <f>IFERROR(_xlfn.XLOOKUP(B144,'CECOS Corporativos'!$D:$D,'CECOS Corporativos'!$E:$E,""),"")</f>
        <v>SSO Corporativo</v>
      </c>
      <c r="D144" t="str">
        <f>IFERROR(_xlfn.XLOOKUP(B144,'CECOS Corporativos'!$D:$D,'CECOS Corporativos'!$J:$J,""),"")</f>
        <v>VP Sustentabilidad</v>
      </c>
      <c r="E144" t="str">
        <f xml:space="preserve"> _xll.EPMOlapMemberO("[CLACO].[PARENTH7].[AMSASERV_CORP]","","Servicios Corporativ","","000")</f>
        <v>Servicios Corporativ</v>
      </c>
      <c r="F144" t="str">
        <f t="shared" si="13"/>
        <v>N1003AD450</v>
      </c>
      <c r="G144" t="s">
        <v>735</v>
      </c>
      <c r="H144" t="str">
        <f>IFERROR(_xlfn.XLOOKUP(F144,'CECOS Corporativos'!$K:$K,'CECOS Corporativos'!$D:$D,""),"")</f>
        <v/>
      </c>
      <c r="I144">
        <v>128919.34</v>
      </c>
      <c r="J144">
        <v>132902</v>
      </c>
      <c r="K144">
        <f t="shared" si="14"/>
        <v>3982.6600000000035</v>
      </c>
      <c r="L144">
        <v>149032.49</v>
      </c>
      <c r="M144">
        <v>135281</v>
      </c>
      <c r="N144">
        <f t="shared" si="15"/>
        <v>-13751.489999999991</v>
      </c>
      <c r="O144">
        <v>-0.49</v>
      </c>
      <c r="Q144">
        <f t="shared" si="16"/>
        <v>0.49</v>
      </c>
      <c r="T144">
        <f t="shared" si="17"/>
        <v>0</v>
      </c>
    </row>
    <row r="145" spans="1:20" x14ac:dyDescent="0.3">
      <c r="A145" s="4" t="str">
        <f xml:space="preserve"> _xll.EPMOlapMemberO("[CECO].[PARENTH3].[AMSA1003AD4511]","","AMSA1003AD4511 - Adm y gastos operac","","000")</f>
        <v>AMSA1003AD4511 - Adm y gastos operac</v>
      </c>
      <c r="B145" t="str">
        <f t="shared" si="12"/>
        <v>1003AD4511</v>
      </c>
      <c r="C145" t="str">
        <f>IFERROR(_xlfn.XLOOKUP(B145,'CECOS Corporativos'!$D:$D,'CECOS Corporativos'!$E:$E,""),"")</f>
        <v>Administración y Gastos Operacionales</v>
      </c>
      <c r="D145" t="str">
        <f>IFERROR(_xlfn.XLOOKUP(B145,'CECOS Corporativos'!$D:$D,'CECOS Corporativos'!$J:$J,""),"")</f>
        <v>VP Asuntos Corporativos</v>
      </c>
      <c r="E145" t="str">
        <f xml:space="preserve"> _xll.EPMOlapMemberO("[CLACO].[PARENTH7].[AMSAMAT_Y_REP.2]","","Materiales y repuest","","000")</f>
        <v>Materiales y repuest</v>
      </c>
      <c r="F145" t="str">
        <f t="shared" si="13"/>
        <v>N1003AD450</v>
      </c>
      <c r="G145" t="s">
        <v>735</v>
      </c>
      <c r="H145" t="str">
        <f>IFERROR(_xlfn.XLOOKUP(F145,'CECOS Corporativos'!$K:$K,'CECOS Corporativos'!$D:$D,""),"")</f>
        <v/>
      </c>
      <c r="K145">
        <f t="shared" si="14"/>
        <v>0</v>
      </c>
      <c r="M145">
        <v>3409</v>
      </c>
      <c r="N145">
        <f t="shared" si="15"/>
        <v>3409</v>
      </c>
      <c r="O145">
        <v>3111.22</v>
      </c>
      <c r="P145">
        <v>1203</v>
      </c>
      <c r="Q145">
        <f t="shared" si="16"/>
        <v>-1908.2199999999998</v>
      </c>
      <c r="R145">
        <v>401</v>
      </c>
      <c r="S145">
        <v>679.68</v>
      </c>
      <c r="T145">
        <f t="shared" si="17"/>
        <v>278.67999999999995</v>
      </c>
    </row>
    <row r="146" spans="1:20" x14ac:dyDescent="0.3">
      <c r="A146" s="4" t="str">
        <f xml:space="preserve"> _xll.EPMOlapMemberO("[CECO].[PARENTH3].[AMSA1003AD4511]","","AMSA1003AD4511 - Adm y gastos operac","","000")</f>
        <v>AMSA1003AD4511 - Adm y gastos operac</v>
      </c>
      <c r="B146" t="str">
        <f t="shared" si="12"/>
        <v>1003AD4511</v>
      </c>
      <c r="C146" t="str">
        <f>IFERROR(_xlfn.XLOOKUP(B146,'CECOS Corporativos'!$D:$D,'CECOS Corporativos'!$E:$E,""),"")</f>
        <v>Administración y Gastos Operacionales</v>
      </c>
      <c r="D146" t="str">
        <f>IFERROR(_xlfn.XLOOKUP(B146,'CECOS Corporativos'!$D:$D,'CECOS Corporativos'!$J:$J,""),"")</f>
        <v>VP Asuntos Corporativos</v>
      </c>
      <c r="E146" t="str">
        <f xml:space="preserve"> _xll.EPMOlapMemberO("[CLACO].[PARENTH7].[AMSAENTRENAMI]","","Entrenamiento","","000")</f>
        <v>Entrenamiento</v>
      </c>
      <c r="F146" t="str">
        <f t="shared" si="13"/>
        <v>N1003AD450</v>
      </c>
      <c r="G146" t="s">
        <v>735</v>
      </c>
      <c r="H146" t="str">
        <f>IFERROR(_xlfn.XLOOKUP(F146,'CECOS Corporativos'!$K:$K,'CECOS Corporativos'!$D:$D,""),"")</f>
        <v/>
      </c>
      <c r="K146">
        <f t="shared" si="14"/>
        <v>0</v>
      </c>
      <c r="N146">
        <f t="shared" si="15"/>
        <v>0</v>
      </c>
      <c r="P146">
        <v>3680</v>
      </c>
      <c r="Q146">
        <f t="shared" si="16"/>
        <v>3680</v>
      </c>
      <c r="T146">
        <f t="shared" si="17"/>
        <v>0</v>
      </c>
    </row>
    <row r="147" spans="1:20" x14ac:dyDescent="0.3">
      <c r="A147" s="4" t="str">
        <f xml:space="preserve"> _xll.EPMOlapMemberO("[CECO].[PARENTH3].[AMSA1003AD4511]","","AMSA1003AD4511 - Adm y gastos operac","","000")</f>
        <v>AMSA1003AD4511 - Adm y gastos operac</v>
      </c>
      <c r="B147" t="str">
        <f t="shared" si="12"/>
        <v>1003AD4511</v>
      </c>
      <c r="C147" t="str">
        <f>IFERROR(_xlfn.XLOOKUP(B147,'CECOS Corporativos'!$D:$D,'CECOS Corporativos'!$E:$E,""),"")</f>
        <v>Administración y Gastos Operacionales</v>
      </c>
      <c r="D147" t="str">
        <f>IFERROR(_xlfn.XLOOKUP(B147,'CECOS Corporativos'!$D:$D,'CECOS Corporativos'!$J:$J,""),"")</f>
        <v>VP Asuntos Corporativos</v>
      </c>
      <c r="E147" t="str">
        <f xml:space="preserve"> _xll.EPMOlapMemberO("[CLACO].[PARENTH7].[AMSAASESORIAS]","","Asesorías y Consulto","","000")</f>
        <v>Asesorías y Consulto</v>
      </c>
      <c r="F147" t="str">
        <f t="shared" si="13"/>
        <v>N1003AD450</v>
      </c>
      <c r="G147" t="s">
        <v>735</v>
      </c>
      <c r="H147" t="str">
        <f>IFERROR(_xlfn.XLOOKUP(F147,'CECOS Corporativos'!$K:$K,'CECOS Corporativos'!$D:$D,""),"")</f>
        <v/>
      </c>
      <c r="K147">
        <f t="shared" si="14"/>
        <v>0</v>
      </c>
      <c r="L147">
        <v>1671.5</v>
      </c>
      <c r="M147">
        <v>8853</v>
      </c>
      <c r="N147">
        <f t="shared" si="15"/>
        <v>7181.5</v>
      </c>
      <c r="O147">
        <v>31186.14</v>
      </c>
      <c r="Q147">
        <f t="shared" si="16"/>
        <v>-31186.14</v>
      </c>
      <c r="R147">
        <v>6424.59</v>
      </c>
      <c r="T147">
        <f t="shared" si="17"/>
        <v>-6424.59</v>
      </c>
    </row>
    <row r="148" spans="1:20" x14ac:dyDescent="0.3">
      <c r="A148" s="4" t="str">
        <f xml:space="preserve"> _xll.EPMOlapMemberO("[CECO].[PARENTH3].[AMSA1003AD4511]","","AMSA1003AD4511 - Adm y gastos operac","","000")</f>
        <v>AMSA1003AD4511 - Adm y gastos operac</v>
      </c>
      <c r="B148" t="str">
        <f t="shared" si="12"/>
        <v>1003AD4511</v>
      </c>
      <c r="C148" t="str">
        <f>IFERROR(_xlfn.XLOOKUP(B148,'CECOS Corporativos'!$D:$D,'CECOS Corporativos'!$E:$E,""),"")</f>
        <v>Administración y Gastos Operacionales</v>
      </c>
      <c r="D148" t="str">
        <f>IFERROR(_xlfn.XLOOKUP(B148,'CECOS Corporativos'!$D:$D,'CECOS Corporativos'!$J:$J,""),"")</f>
        <v>VP Asuntos Corporativos</v>
      </c>
      <c r="E148" t="str">
        <f xml:space="preserve"> _xll.EPMOlapMemberO("[CLACO].[PARENTH7].[AMSAARRIENDOS]","","Arriendos","","000")</f>
        <v>Arriendos</v>
      </c>
      <c r="F148" t="str">
        <f t="shared" si="13"/>
        <v>N1003AD450</v>
      </c>
      <c r="G148" t="s">
        <v>735</v>
      </c>
      <c r="H148" t="str">
        <f>IFERROR(_xlfn.XLOOKUP(F148,'CECOS Corporativos'!$K:$K,'CECOS Corporativos'!$D:$D,""),"")</f>
        <v/>
      </c>
      <c r="K148">
        <f t="shared" si="14"/>
        <v>0</v>
      </c>
      <c r="N148">
        <f t="shared" si="15"/>
        <v>0</v>
      </c>
      <c r="O148">
        <v>11162.41</v>
      </c>
      <c r="P148">
        <v>50482</v>
      </c>
      <c r="Q148">
        <f t="shared" si="16"/>
        <v>39319.589999999997</v>
      </c>
      <c r="R148">
        <v>11931.82</v>
      </c>
      <c r="S148">
        <v>12879.02</v>
      </c>
      <c r="T148">
        <f t="shared" si="17"/>
        <v>947.20000000000073</v>
      </c>
    </row>
    <row r="149" spans="1:20" x14ac:dyDescent="0.3">
      <c r="A149" s="4" t="str">
        <f xml:space="preserve"> _xll.EPMOlapMemberO("[CECO].[PARENTH3].[AMSA1003AD4511]","","AMSA1003AD4511 - Adm y gastos operac","","000")</f>
        <v>AMSA1003AD4511 - Adm y gastos operac</v>
      </c>
      <c r="B149" t="str">
        <f t="shared" si="12"/>
        <v>1003AD4511</v>
      </c>
      <c r="C149" t="str">
        <f>IFERROR(_xlfn.XLOOKUP(B149,'CECOS Corporativos'!$D:$D,'CECOS Corporativos'!$E:$E,""),"")</f>
        <v>Administración y Gastos Operacionales</v>
      </c>
      <c r="D149" t="str">
        <f>IFERROR(_xlfn.XLOOKUP(B149,'CECOS Corporativos'!$D:$D,'CECOS Corporativos'!$J:$J,""),"")</f>
        <v>VP Asuntos Corporativos</v>
      </c>
      <c r="E149" t="str">
        <f xml:space="preserve"> _xll.EPMOlapMemberO("[CLACO].[PARENTH7].[AMSASERVICIOS]","","Servicios","","000")</f>
        <v>Servicios</v>
      </c>
      <c r="F149" t="str">
        <f t="shared" si="13"/>
        <v>N1003AD450</v>
      </c>
      <c r="G149" t="s">
        <v>735</v>
      </c>
      <c r="H149" t="str">
        <f>IFERROR(_xlfn.XLOOKUP(F149,'CECOS Corporativos'!$K:$K,'CECOS Corporativos'!$D:$D,""),"")</f>
        <v/>
      </c>
      <c r="K149">
        <f t="shared" si="14"/>
        <v>0</v>
      </c>
      <c r="L149">
        <v>12167.05</v>
      </c>
      <c r="M149">
        <v>184290</v>
      </c>
      <c r="N149">
        <f t="shared" si="15"/>
        <v>172122.95</v>
      </c>
      <c r="O149">
        <v>68765.38</v>
      </c>
      <c r="P149">
        <v>207091</v>
      </c>
      <c r="Q149">
        <f t="shared" si="16"/>
        <v>138325.62</v>
      </c>
      <c r="R149">
        <v>129239.7</v>
      </c>
      <c r="S149">
        <v>208998.89</v>
      </c>
      <c r="T149">
        <f t="shared" si="17"/>
        <v>79759.190000000017</v>
      </c>
    </row>
    <row r="150" spans="1:20" x14ac:dyDescent="0.3">
      <c r="A150" s="4" t="str">
        <f xml:space="preserve"> _xll.EPMOlapMemberO("[CECO].[PARENTH3].[AMSA1003AD4511]","","AMSA1003AD4511 - Adm y gastos operac","","000")</f>
        <v>AMSA1003AD4511 - Adm y gastos operac</v>
      </c>
      <c r="B150" t="str">
        <f t="shared" si="12"/>
        <v>1003AD4511</v>
      </c>
      <c r="C150" t="str">
        <f>IFERROR(_xlfn.XLOOKUP(B150,'CECOS Corporativos'!$D:$D,'CECOS Corporativos'!$E:$E,""),"")</f>
        <v>Administración y Gastos Operacionales</v>
      </c>
      <c r="D150" t="str">
        <f>IFERROR(_xlfn.XLOOKUP(B150,'CECOS Corporativos'!$D:$D,'CECOS Corporativos'!$J:$J,""),"")</f>
        <v>VP Asuntos Corporativos</v>
      </c>
      <c r="E150" t="str">
        <f xml:space="preserve"> _xll.EPMOlapMemberO("[CLACO].[PARENTH7].[AMSAINFORMATIC]","","Informática y Comuni","","000")</f>
        <v>Informática y Comuni</v>
      </c>
      <c r="F150" t="str">
        <f t="shared" si="13"/>
        <v>N1003AD450</v>
      </c>
      <c r="G150" t="s">
        <v>735</v>
      </c>
      <c r="H150" t="str">
        <f>IFERROR(_xlfn.XLOOKUP(F150,'CECOS Corporativos'!$K:$K,'CECOS Corporativos'!$D:$D,""),"")</f>
        <v/>
      </c>
      <c r="K150">
        <f t="shared" si="14"/>
        <v>0</v>
      </c>
      <c r="N150">
        <f t="shared" si="15"/>
        <v>0</v>
      </c>
      <c r="O150">
        <v>2736.58</v>
      </c>
      <c r="Q150">
        <f t="shared" si="16"/>
        <v>-2736.58</v>
      </c>
      <c r="R150">
        <v>197.8</v>
      </c>
      <c r="T150">
        <f t="shared" si="17"/>
        <v>-197.8</v>
      </c>
    </row>
    <row r="151" spans="1:20" x14ac:dyDescent="0.3">
      <c r="A151" s="4" t="str">
        <f xml:space="preserve"> _xll.EPMOlapMemberO("[CECO].[PARENTH3].[AMSA1003AD4511]","","AMSA1003AD4511 - Adm y gastos operac","","000")</f>
        <v>AMSA1003AD4511 - Adm y gastos operac</v>
      </c>
      <c r="B151" t="str">
        <f t="shared" si="12"/>
        <v>1003AD4511</v>
      </c>
      <c r="C151" t="str">
        <f>IFERROR(_xlfn.XLOOKUP(B151,'CECOS Corporativos'!$D:$D,'CECOS Corporativos'!$E:$E,""),"")</f>
        <v>Administración y Gastos Operacionales</v>
      </c>
      <c r="D151" t="str">
        <f>IFERROR(_xlfn.XLOOKUP(B151,'CECOS Corporativos'!$D:$D,'CECOS Corporativos'!$J:$J,""),"")</f>
        <v>VP Asuntos Corporativos</v>
      </c>
      <c r="E151" t="str">
        <f xml:space="preserve"> _xll.EPMOlapMemberO("[CLACO].[PARENTH7].[AMSAG_VIAJES]","","Gastos de Viajes","","000")</f>
        <v>Gastos de Viajes</v>
      </c>
      <c r="F151" t="str">
        <f t="shared" si="13"/>
        <v>N1003AD450</v>
      </c>
      <c r="G151" t="s">
        <v>735</v>
      </c>
      <c r="H151" t="str">
        <f>IFERROR(_xlfn.XLOOKUP(F151,'CECOS Corporativos'!$K:$K,'CECOS Corporativos'!$D:$D,""),"")</f>
        <v/>
      </c>
      <c r="K151">
        <f t="shared" si="14"/>
        <v>0</v>
      </c>
      <c r="L151">
        <v>77255.83</v>
      </c>
      <c r="M151">
        <v>76120.86</v>
      </c>
      <c r="N151">
        <f t="shared" si="15"/>
        <v>-1134.9700000000012</v>
      </c>
      <c r="O151">
        <v>99522.880000000005</v>
      </c>
      <c r="P151">
        <v>51564</v>
      </c>
      <c r="Q151">
        <f t="shared" si="16"/>
        <v>-47958.880000000005</v>
      </c>
      <c r="R151">
        <v>79223.61</v>
      </c>
      <c r="S151">
        <v>65483.94</v>
      </c>
      <c r="T151">
        <f t="shared" si="17"/>
        <v>-13739.669999999998</v>
      </c>
    </row>
    <row r="152" spans="1:20" x14ac:dyDescent="0.3">
      <c r="A152" s="4" t="str">
        <f xml:space="preserve"> _xll.EPMOlapMemberO("[CECO].[PARENTH3].[AMSA1003AD4511]","","AMSA1003AD4511 - Adm y gastos operac","","000")</f>
        <v>AMSA1003AD4511 - Adm y gastos operac</v>
      </c>
      <c r="B152" t="str">
        <f t="shared" si="12"/>
        <v>1003AD4511</v>
      </c>
      <c r="C152" t="str">
        <f>IFERROR(_xlfn.XLOOKUP(B152,'CECOS Corporativos'!$D:$D,'CECOS Corporativos'!$E:$E,""),"")</f>
        <v>Administración y Gastos Operacionales</v>
      </c>
      <c r="D152" t="str">
        <f>IFERROR(_xlfn.XLOOKUP(B152,'CECOS Corporativos'!$D:$D,'CECOS Corporativos'!$J:$J,""),"")</f>
        <v>VP Asuntos Corporativos</v>
      </c>
      <c r="E152" t="str">
        <f xml:space="preserve"> _xll.EPMOlapMemberO("[CLACO].[PARENTH7].[AMSAGGENERALES.2]","","Otros Gastos","","000")</f>
        <v>Otros Gastos</v>
      </c>
      <c r="F152" t="str">
        <f t="shared" si="13"/>
        <v>N1003AD450</v>
      </c>
      <c r="G152" t="s">
        <v>735</v>
      </c>
      <c r="H152" t="str">
        <f>IFERROR(_xlfn.XLOOKUP(F152,'CECOS Corporativos'!$K:$K,'CECOS Corporativos'!$D:$D,""),"")</f>
        <v/>
      </c>
      <c r="K152">
        <f t="shared" si="14"/>
        <v>0</v>
      </c>
      <c r="N152">
        <f t="shared" si="15"/>
        <v>0</v>
      </c>
      <c r="O152">
        <v>18981.580000000002</v>
      </c>
      <c r="Q152">
        <f t="shared" si="16"/>
        <v>-18981.580000000002</v>
      </c>
      <c r="R152">
        <v>5271.02</v>
      </c>
      <c r="T152">
        <f t="shared" si="17"/>
        <v>-5271.02</v>
      </c>
    </row>
    <row r="153" spans="1:20" x14ac:dyDescent="0.3">
      <c r="A153" s="4" t="str">
        <f xml:space="preserve"> _xll.EPMOlapMemberO("[CECO].[PARENTH3].[AMSA1003AD5500]","","AMSA1003AD5500 - Legal","","000")</f>
        <v>AMSA1003AD5500 - Legal</v>
      </c>
      <c r="B153" t="str">
        <f t="shared" si="12"/>
        <v>1003AD5500</v>
      </c>
      <c r="C153" t="str">
        <f>IFERROR(_xlfn.XLOOKUP(B153,'CECOS Corporativos'!$D:$D,'CECOS Corporativos'!$E:$E,""),"")</f>
        <v>Legal ANT</v>
      </c>
      <c r="D153" t="str">
        <f>IFERROR(_xlfn.XLOOKUP(B153,'CECOS Corporativos'!$D:$D,'CECOS Corporativos'!$J:$J,""),"")</f>
        <v>VP Legal</v>
      </c>
      <c r="E153" t="str">
        <f xml:space="preserve"> _xll.EPMOlapMemberO("[CLACO].[PARENTH7].[AMSAASESORIAS]","","Asesorías y Consulto","","000")</f>
        <v>Asesorías y Consulto</v>
      </c>
      <c r="F153" t="str">
        <f t="shared" si="13"/>
        <v>N1003AD550</v>
      </c>
      <c r="G153" t="s">
        <v>736</v>
      </c>
      <c r="H153" t="str">
        <f>IFERROR(_xlfn.XLOOKUP(F153,'CECOS Corporativos'!$K:$K,'CECOS Corporativos'!$D:$D,""),"")</f>
        <v/>
      </c>
      <c r="I153">
        <v>113307.69</v>
      </c>
      <c r="J153">
        <v>213784</v>
      </c>
      <c r="K153">
        <f t="shared" si="14"/>
        <v>100476.31</v>
      </c>
      <c r="L153">
        <v>152531.78</v>
      </c>
      <c r="M153">
        <v>175314</v>
      </c>
      <c r="N153">
        <f t="shared" si="15"/>
        <v>22782.22</v>
      </c>
      <c r="O153">
        <v>190047.43</v>
      </c>
      <c r="P153">
        <v>198456</v>
      </c>
      <c r="Q153">
        <f t="shared" si="16"/>
        <v>8408.570000000007</v>
      </c>
      <c r="R153">
        <v>179391.81</v>
      </c>
      <c r="S153">
        <v>191382.27</v>
      </c>
      <c r="T153">
        <f t="shared" si="17"/>
        <v>11990.459999999992</v>
      </c>
    </row>
    <row r="154" spans="1:20" x14ac:dyDescent="0.3">
      <c r="A154" s="4" t="str">
        <f xml:space="preserve"> _xll.EPMOlapMemberO("[CECO].[PARENTH3].[AMSA1003AD5500]","","AMSA1003AD5500 - Legal","","000")</f>
        <v>AMSA1003AD5500 - Legal</v>
      </c>
      <c r="B154" t="str">
        <f t="shared" si="12"/>
        <v>1003AD5500</v>
      </c>
      <c r="C154" t="str">
        <f>IFERROR(_xlfn.XLOOKUP(B154,'CECOS Corporativos'!$D:$D,'CECOS Corporativos'!$E:$E,""),"")</f>
        <v>Legal ANT</v>
      </c>
      <c r="D154" t="str">
        <f>IFERROR(_xlfn.XLOOKUP(B154,'CECOS Corporativos'!$D:$D,'CECOS Corporativos'!$J:$J,""),"")</f>
        <v>VP Legal</v>
      </c>
      <c r="E154" t="str">
        <f xml:space="preserve"> _xll.EPMOlapMemberO("[CLACO].[PARENTH7].[AMSASERVICIOS]","","Servicios","","000")</f>
        <v>Servicios</v>
      </c>
      <c r="F154" t="str">
        <f t="shared" si="13"/>
        <v>N1003AD550</v>
      </c>
      <c r="G154" t="s">
        <v>736</v>
      </c>
      <c r="H154" t="str">
        <f>IFERROR(_xlfn.XLOOKUP(F154,'CECOS Corporativos'!$K:$K,'CECOS Corporativos'!$D:$D,""),"")</f>
        <v/>
      </c>
      <c r="I154">
        <v>6201.24</v>
      </c>
      <c r="J154">
        <v>6584</v>
      </c>
      <c r="K154">
        <f t="shared" si="14"/>
        <v>382.76000000000022</v>
      </c>
      <c r="L154">
        <v>6189.98</v>
      </c>
      <c r="M154">
        <v>7043</v>
      </c>
      <c r="N154">
        <f t="shared" si="15"/>
        <v>853.02000000000044</v>
      </c>
      <c r="O154">
        <v>6580.28</v>
      </c>
      <c r="P154">
        <v>7730</v>
      </c>
      <c r="Q154">
        <f t="shared" si="16"/>
        <v>1149.7200000000003</v>
      </c>
      <c r="R154">
        <v>3823.28</v>
      </c>
      <c r="S154">
        <v>8173.41</v>
      </c>
      <c r="T154">
        <f t="shared" si="17"/>
        <v>4350.1299999999992</v>
      </c>
    </row>
    <row r="155" spans="1:20" x14ac:dyDescent="0.3">
      <c r="A155" s="4" t="str">
        <f xml:space="preserve"> _xll.EPMOlapMemberO("[CECO].[PARENTH3].[AMSA1003AD5500]","","AMSA1003AD5500 - Legal","","000")</f>
        <v>AMSA1003AD5500 - Legal</v>
      </c>
      <c r="B155" t="str">
        <f t="shared" si="12"/>
        <v>1003AD5500</v>
      </c>
      <c r="C155" t="str">
        <f>IFERROR(_xlfn.XLOOKUP(B155,'CECOS Corporativos'!$D:$D,'CECOS Corporativos'!$E:$E,""),"")</f>
        <v>Legal ANT</v>
      </c>
      <c r="D155" t="str">
        <f>IFERROR(_xlfn.XLOOKUP(B155,'CECOS Corporativos'!$D:$D,'CECOS Corporativos'!$J:$J,""),"")</f>
        <v>VP Legal</v>
      </c>
      <c r="E155" t="str">
        <f xml:space="preserve"> _xll.EPMOlapMemberO("[CLACO].[PARENTH7].[AMSASERMANTO.REPA]","","Servicios Mantenimie","","000")</f>
        <v>Servicios Mantenimie</v>
      </c>
      <c r="F155" t="str">
        <f t="shared" si="13"/>
        <v>N1003AD550</v>
      </c>
      <c r="G155" t="s">
        <v>736</v>
      </c>
      <c r="H155" t="str">
        <f>IFERROR(_xlfn.XLOOKUP(F155,'CECOS Corporativos'!$K:$K,'CECOS Corporativos'!$D:$D,""),"")</f>
        <v/>
      </c>
      <c r="K155">
        <f t="shared" si="14"/>
        <v>0</v>
      </c>
      <c r="N155">
        <f t="shared" si="15"/>
        <v>0</v>
      </c>
      <c r="O155">
        <v>21845.23</v>
      </c>
      <c r="Q155">
        <f t="shared" si="16"/>
        <v>-21845.23</v>
      </c>
      <c r="T155">
        <f t="shared" si="17"/>
        <v>0</v>
      </c>
    </row>
    <row r="156" spans="1:20" x14ac:dyDescent="0.3">
      <c r="A156" s="4" t="str">
        <f xml:space="preserve"> _xll.EPMOlapMemberO("[CECO].[PARENTH3].[AMSA1003AD5500]","","AMSA1003AD5500 - Legal","","000")</f>
        <v>AMSA1003AD5500 - Legal</v>
      </c>
      <c r="B156" t="str">
        <f t="shared" si="12"/>
        <v>1003AD5500</v>
      </c>
      <c r="C156" t="str">
        <f>IFERROR(_xlfn.XLOOKUP(B156,'CECOS Corporativos'!$D:$D,'CECOS Corporativos'!$E:$E,""),"")</f>
        <v>Legal ANT</v>
      </c>
      <c r="D156" t="str">
        <f>IFERROR(_xlfn.XLOOKUP(B156,'CECOS Corporativos'!$D:$D,'CECOS Corporativos'!$J:$J,""),"")</f>
        <v>VP Legal</v>
      </c>
      <c r="E156" t="str">
        <f xml:space="preserve"> _xll.EPMOlapMemberO("[CLACO].[PARENTH7].[AMSAINFORMATIC]","","Informática y Comuni","","000")</f>
        <v>Informática y Comuni</v>
      </c>
      <c r="F156" t="str">
        <f t="shared" si="13"/>
        <v>N1003AD550</v>
      </c>
      <c r="G156" t="s">
        <v>736</v>
      </c>
      <c r="H156" t="str">
        <f>IFERROR(_xlfn.XLOOKUP(F156,'CECOS Corporativos'!$K:$K,'CECOS Corporativos'!$D:$D,""),"")</f>
        <v/>
      </c>
      <c r="I156">
        <v>0</v>
      </c>
      <c r="K156">
        <f t="shared" si="14"/>
        <v>0</v>
      </c>
      <c r="N156">
        <f t="shared" si="15"/>
        <v>0</v>
      </c>
      <c r="Q156">
        <f t="shared" si="16"/>
        <v>0</v>
      </c>
      <c r="R156">
        <v>13329.48</v>
      </c>
      <c r="T156">
        <f t="shared" si="17"/>
        <v>-13329.48</v>
      </c>
    </row>
    <row r="157" spans="1:20" x14ac:dyDescent="0.3">
      <c r="A157" s="4" t="str">
        <f xml:space="preserve"> _xll.EPMOlapMemberO("[CECO].[PARENTH3].[AMSA1003AD5500]","","AMSA1003AD5500 - Legal","","000")</f>
        <v>AMSA1003AD5500 - Legal</v>
      </c>
      <c r="B157" t="str">
        <f t="shared" si="12"/>
        <v>1003AD5500</v>
      </c>
      <c r="C157" t="str">
        <f>IFERROR(_xlfn.XLOOKUP(B157,'CECOS Corporativos'!$D:$D,'CECOS Corporativos'!$E:$E,""),"")</f>
        <v>Legal ANT</v>
      </c>
      <c r="D157" t="str">
        <f>IFERROR(_xlfn.XLOOKUP(B157,'CECOS Corporativos'!$D:$D,'CECOS Corporativos'!$J:$J,""),"")</f>
        <v>VP Legal</v>
      </c>
      <c r="E157" t="str">
        <f xml:space="preserve"> _xll.EPMOlapMemberO("[CLACO].[PARENTH7].[AMSAG_VIAJES]","","Gastos de Viajes","","000")</f>
        <v>Gastos de Viajes</v>
      </c>
      <c r="F157" t="str">
        <f t="shared" si="13"/>
        <v>N1003AD550</v>
      </c>
      <c r="G157" t="s">
        <v>736</v>
      </c>
      <c r="H157" t="str">
        <f>IFERROR(_xlfn.XLOOKUP(F157,'CECOS Corporativos'!$K:$K,'CECOS Corporativos'!$D:$D,""),"")</f>
        <v/>
      </c>
      <c r="I157">
        <v>1057.42</v>
      </c>
      <c r="J157">
        <v>5705.12</v>
      </c>
      <c r="K157">
        <f t="shared" si="14"/>
        <v>4647.7</v>
      </c>
      <c r="L157">
        <v>6488.75</v>
      </c>
      <c r="M157">
        <v>6234.84</v>
      </c>
      <c r="N157">
        <f t="shared" si="15"/>
        <v>-253.90999999999985</v>
      </c>
      <c r="O157">
        <v>4248.72</v>
      </c>
      <c r="P157">
        <v>7471</v>
      </c>
      <c r="Q157">
        <f t="shared" si="16"/>
        <v>3222.2799999999997</v>
      </c>
      <c r="R157">
        <v>5141.41</v>
      </c>
      <c r="S157">
        <v>8143.62</v>
      </c>
      <c r="T157">
        <f t="shared" si="17"/>
        <v>3002.21</v>
      </c>
    </row>
    <row r="158" spans="1:20" x14ac:dyDescent="0.3">
      <c r="A158" s="4" t="str">
        <f xml:space="preserve"> _xll.EPMOlapMemberO("[CECO].[PARENTH3].[AMSA1003AD5500]","","AMSA1003AD5500 - Legal","","000")</f>
        <v>AMSA1003AD5500 - Legal</v>
      </c>
      <c r="B158" t="str">
        <f t="shared" si="12"/>
        <v>1003AD5500</v>
      </c>
      <c r="C158" t="str">
        <f>IFERROR(_xlfn.XLOOKUP(B158,'CECOS Corporativos'!$D:$D,'CECOS Corporativos'!$E:$E,""),"")</f>
        <v>Legal ANT</v>
      </c>
      <c r="D158" t="str">
        <f>IFERROR(_xlfn.XLOOKUP(B158,'CECOS Corporativos'!$D:$D,'CECOS Corporativos'!$J:$J,""),"")</f>
        <v>VP Legal</v>
      </c>
      <c r="E158" t="str">
        <f xml:space="preserve"> _xll.EPMOlapMemberO("[CLACO].[PARENTH7].[AMSAIMP_PATEN]","","Impuestos / Patentes","","000")</f>
        <v>Impuestos / Patentes</v>
      </c>
      <c r="F158" t="str">
        <f t="shared" si="13"/>
        <v>N1003AD550</v>
      </c>
      <c r="G158" t="s">
        <v>736</v>
      </c>
      <c r="H158" t="str">
        <f>IFERROR(_xlfn.XLOOKUP(F158,'CECOS Corporativos'!$K:$K,'CECOS Corporativos'!$D:$D,""),"")</f>
        <v/>
      </c>
      <c r="I158">
        <v>255825.53</v>
      </c>
      <c r="J158">
        <v>256648</v>
      </c>
      <c r="K158">
        <f t="shared" si="14"/>
        <v>822.47000000000116</v>
      </c>
      <c r="L158">
        <v>280783.19</v>
      </c>
      <c r="M158">
        <v>304851</v>
      </c>
      <c r="N158">
        <f t="shared" si="15"/>
        <v>24067.809999999998</v>
      </c>
      <c r="O158">
        <v>315530.63</v>
      </c>
      <c r="P158">
        <v>345036</v>
      </c>
      <c r="Q158">
        <f t="shared" si="16"/>
        <v>29505.369999999995</v>
      </c>
      <c r="R158">
        <v>310802.93</v>
      </c>
      <c r="S158">
        <v>435116.6</v>
      </c>
      <c r="T158">
        <f t="shared" si="17"/>
        <v>124313.66999999998</v>
      </c>
    </row>
    <row r="159" spans="1:20" x14ac:dyDescent="0.3">
      <c r="A159" s="4" t="str">
        <f xml:space="preserve"> _xll.EPMOlapMemberO("[CECO].[PARENTH3].[AMSA1003AD5500]","","AMSA1003AD5500 - Legal","","000")</f>
        <v>AMSA1003AD5500 - Legal</v>
      </c>
      <c r="B159" t="str">
        <f t="shared" si="12"/>
        <v>1003AD5500</v>
      </c>
      <c r="C159" t="str">
        <f>IFERROR(_xlfn.XLOOKUP(B159,'CECOS Corporativos'!$D:$D,'CECOS Corporativos'!$E:$E,""),"")</f>
        <v>Legal ANT</v>
      </c>
      <c r="D159" t="str">
        <f>IFERROR(_xlfn.XLOOKUP(B159,'CECOS Corporativos'!$D:$D,'CECOS Corporativos'!$J:$J,""),"")</f>
        <v>VP Legal</v>
      </c>
      <c r="E159" t="str">
        <f xml:space="preserve"> _xll.EPMOlapMemberO("[CLACO].[PARENTH7].[AMSAGGENERALES.2]","","Otros Gastos","","000")</f>
        <v>Otros Gastos</v>
      </c>
      <c r="F159" t="str">
        <f t="shared" si="13"/>
        <v>N1003AD550</v>
      </c>
      <c r="G159" t="s">
        <v>736</v>
      </c>
      <c r="H159" t="str">
        <f>IFERROR(_xlfn.XLOOKUP(F159,'CECOS Corporativos'!$K:$K,'CECOS Corporativos'!$D:$D,""),"")</f>
        <v/>
      </c>
      <c r="I159">
        <v>0</v>
      </c>
      <c r="K159">
        <f t="shared" si="14"/>
        <v>0</v>
      </c>
      <c r="L159">
        <v>2120.64</v>
      </c>
      <c r="N159">
        <f t="shared" si="15"/>
        <v>-2120.64</v>
      </c>
      <c r="Q159">
        <f t="shared" si="16"/>
        <v>0</v>
      </c>
      <c r="R159">
        <v>6.45</v>
      </c>
      <c r="T159">
        <f t="shared" si="17"/>
        <v>-6.45</v>
      </c>
    </row>
    <row r="160" spans="1:20" x14ac:dyDescent="0.3">
      <c r="A160" s="4" t="str">
        <f xml:space="preserve"> _xll.EPMOlapMemberO("[CECO].[PARENTH3].[AMSA1003AD5500]","","AMSA1003AD5500 - Legal","","000")</f>
        <v>AMSA1003AD5500 - Legal</v>
      </c>
      <c r="B160" t="str">
        <f t="shared" si="12"/>
        <v>1003AD5500</v>
      </c>
      <c r="C160" t="str">
        <f>IFERROR(_xlfn.XLOOKUP(B160,'CECOS Corporativos'!$D:$D,'CECOS Corporativos'!$E:$E,""),"")</f>
        <v>Legal ANT</v>
      </c>
      <c r="D160" t="str">
        <f>IFERROR(_xlfn.XLOOKUP(B160,'CECOS Corporativos'!$D:$D,'CECOS Corporativos'!$J:$J,""),"")</f>
        <v>VP Legal</v>
      </c>
      <c r="E160" t="str">
        <f xml:space="preserve"> _xll.EPMOlapMemberO("[CLACO].[PARENTH7].[AMSASERV_CORP]","","Servicios Corporativ","","000")</f>
        <v>Servicios Corporativ</v>
      </c>
      <c r="F160" t="str">
        <f t="shared" si="13"/>
        <v>N1003AD550</v>
      </c>
      <c r="G160" t="s">
        <v>736</v>
      </c>
      <c r="H160" t="str">
        <f>IFERROR(_xlfn.XLOOKUP(F160,'CECOS Corporativos'!$K:$K,'CECOS Corporativos'!$D:$D,""),"")</f>
        <v/>
      </c>
      <c r="I160">
        <v>211598.28</v>
      </c>
      <c r="J160">
        <v>218134</v>
      </c>
      <c r="K160">
        <f t="shared" si="14"/>
        <v>6535.7200000000012</v>
      </c>
      <c r="L160">
        <v>220258.23</v>
      </c>
      <c r="M160">
        <v>199937</v>
      </c>
      <c r="N160">
        <f t="shared" si="15"/>
        <v>-20321.23000000001</v>
      </c>
      <c r="O160">
        <v>0.77</v>
      </c>
      <c r="Q160">
        <f t="shared" si="16"/>
        <v>-0.77</v>
      </c>
      <c r="T160">
        <f t="shared" si="17"/>
        <v>0</v>
      </c>
    </row>
    <row r="161" spans="1:20" x14ac:dyDescent="0.3">
      <c r="A161" t="str">
        <f xml:space="preserve"> _xll.EPMOlapMemberO("[CECO].[PARENTH3].[AMSA1003AD6000]","","AMSA1003AD6000 - Adm Comercialización","","000")</f>
        <v>AMSA1003AD6000 - Adm Comercialización</v>
      </c>
      <c r="B161" t="str">
        <f t="shared" si="12"/>
        <v>1003AD6000</v>
      </c>
      <c r="C161" t="str">
        <f>IFERROR(_xlfn.XLOOKUP(B161,'CECOS Corporativos'!$D:$D,'CECOS Corporativos'!$E:$E,""),"")</f>
        <v>VP Comercialización</v>
      </c>
      <c r="D161" t="str">
        <f>IFERROR(_xlfn.XLOOKUP(B161,'CECOS Corporativos'!$D:$D,'CECOS Corporativos'!$J:$J,""),"")</f>
        <v>VP Comercialización</v>
      </c>
      <c r="E161" t="str">
        <f xml:space="preserve"> _xll.EPMOlapMemberO("[CLACO].[PARENTH7].[AMSAENTRENAMI]","","Entrenamiento","","000")</f>
        <v>Entrenamiento</v>
      </c>
      <c r="F161" t="str">
        <f t="shared" si="13"/>
        <v>N1003AD600</v>
      </c>
      <c r="G161" t="s">
        <v>737</v>
      </c>
      <c r="H161" t="str">
        <f>IFERROR(_xlfn.XLOOKUP(F161,'CECOS Corporativos'!$K:$K,'CECOS Corporativos'!$D:$D,""),"")</f>
        <v>1003AD6000</v>
      </c>
      <c r="I161">
        <v>0</v>
      </c>
      <c r="K161">
        <f t="shared" si="14"/>
        <v>0</v>
      </c>
      <c r="N161">
        <f t="shared" si="15"/>
        <v>0</v>
      </c>
      <c r="Q161">
        <f t="shared" si="16"/>
        <v>0</v>
      </c>
      <c r="T161">
        <f t="shared" si="17"/>
        <v>0</v>
      </c>
    </row>
    <row r="162" spans="1:20" x14ac:dyDescent="0.3">
      <c r="A162" t="str">
        <f xml:space="preserve"> _xll.EPMOlapMemberO("[CECO].[PARENTH3].[AMSA1003AD6000]","","AMSA1003AD6000 - Adm Comercialización","","000")</f>
        <v>AMSA1003AD6000 - Adm Comercialización</v>
      </c>
      <c r="B162" t="str">
        <f t="shared" si="12"/>
        <v>1003AD6000</v>
      </c>
      <c r="C162" t="str">
        <f>IFERROR(_xlfn.XLOOKUP(B162,'CECOS Corporativos'!$D:$D,'CECOS Corporativos'!$E:$E,""),"")</f>
        <v>VP Comercialización</v>
      </c>
      <c r="D162" t="str">
        <f>IFERROR(_xlfn.XLOOKUP(B162,'CECOS Corporativos'!$D:$D,'CECOS Corporativos'!$J:$J,""),"")</f>
        <v>VP Comercialización</v>
      </c>
      <c r="E162" t="str">
        <f xml:space="preserve"> _xll.EPMOlapMemberO("[CLACO].[PARENTH7].[AMSAASESORIAS]","","Asesorías y Consulto","","000")</f>
        <v>Asesorías y Consulto</v>
      </c>
      <c r="F162" t="str">
        <f t="shared" si="13"/>
        <v>N1003AD600</v>
      </c>
      <c r="G162" t="s">
        <v>737</v>
      </c>
      <c r="H162" t="str">
        <f>IFERROR(_xlfn.XLOOKUP(F162,'CECOS Corporativos'!$K:$K,'CECOS Corporativos'!$D:$D,""),"")</f>
        <v>1003AD6000</v>
      </c>
      <c r="I162">
        <v>0</v>
      </c>
      <c r="J162">
        <v>3182</v>
      </c>
      <c r="K162">
        <f t="shared" si="14"/>
        <v>3182</v>
      </c>
      <c r="L162">
        <v>3391</v>
      </c>
      <c r="M162">
        <v>9217.4699999999993</v>
      </c>
      <c r="N162">
        <f t="shared" si="15"/>
        <v>5826.4699999999993</v>
      </c>
      <c r="O162">
        <v>0</v>
      </c>
      <c r="P162">
        <v>9061.7099999999991</v>
      </c>
      <c r="Q162">
        <f t="shared" si="16"/>
        <v>9061.7099999999991</v>
      </c>
      <c r="R162">
        <v>451</v>
      </c>
      <c r="S162">
        <v>5709.36</v>
      </c>
      <c r="T162">
        <f t="shared" si="17"/>
        <v>5258.36</v>
      </c>
    </row>
    <row r="163" spans="1:20" x14ac:dyDescent="0.3">
      <c r="A163" t="str">
        <f xml:space="preserve"> _xll.EPMOlapMemberO("[CECO].[PARENTH3].[AMSA1003AD6000]","","AMSA1003AD6000 - Adm Comercialización","","000")</f>
        <v>AMSA1003AD6000 - Adm Comercialización</v>
      </c>
      <c r="B163" t="str">
        <f t="shared" si="12"/>
        <v>1003AD6000</v>
      </c>
      <c r="C163" t="str">
        <f>IFERROR(_xlfn.XLOOKUP(B163,'CECOS Corporativos'!$D:$D,'CECOS Corporativos'!$E:$E,""),"")</f>
        <v>VP Comercialización</v>
      </c>
      <c r="D163" t="str">
        <f>IFERROR(_xlfn.XLOOKUP(B163,'CECOS Corporativos'!$D:$D,'CECOS Corporativos'!$J:$J,""),"")</f>
        <v>VP Comercialización</v>
      </c>
      <c r="E163" t="str">
        <f xml:space="preserve"> _xll.EPMOlapMemberO("[CLACO].[PARENTH7].[AMSASERVICIOS]","","Servicios","","000")</f>
        <v>Servicios</v>
      </c>
      <c r="F163" t="str">
        <f t="shared" si="13"/>
        <v>N1003AD600</v>
      </c>
      <c r="G163" t="s">
        <v>737</v>
      </c>
      <c r="H163" t="str">
        <f>IFERROR(_xlfn.XLOOKUP(F163,'CECOS Corporativos'!$K:$K,'CECOS Corporativos'!$D:$D,""),"")</f>
        <v>1003AD6000</v>
      </c>
      <c r="I163">
        <v>1953452.79</v>
      </c>
      <c r="K163">
        <f t="shared" si="14"/>
        <v>-1953452.79</v>
      </c>
      <c r="L163">
        <v>2680006.4900000002</v>
      </c>
      <c r="N163">
        <f t="shared" si="15"/>
        <v>-2680006.4900000002</v>
      </c>
      <c r="O163">
        <v>2112528.2799999998</v>
      </c>
      <c r="Q163">
        <f t="shared" si="16"/>
        <v>-2112528.2799999998</v>
      </c>
      <c r="R163">
        <v>2455106.69</v>
      </c>
      <c r="T163">
        <f t="shared" si="17"/>
        <v>-2455106.69</v>
      </c>
    </row>
    <row r="164" spans="1:20" x14ac:dyDescent="0.3">
      <c r="A164" t="str">
        <f xml:space="preserve"> _xll.EPMOlapMemberO("[CECO].[PARENTH3].[AMSA1003AD6000]","","AMSA1003AD6000 - Adm Comercialización","","000")</f>
        <v>AMSA1003AD6000 - Adm Comercialización</v>
      </c>
      <c r="B164" t="str">
        <f t="shared" si="12"/>
        <v>1003AD6000</v>
      </c>
      <c r="C164" t="str">
        <f>IFERROR(_xlfn.XLOOKUP(B164,'CECOS Corporativos'!$D:$D,'CECOS Corporativos'!$E:$E,""),"")</f>
        <v>VP Comercialización</v>
      </c>
      <c r="D164" t="str">
        <f>IFERROR(_xlfn.XLOOKUP(B164,'CECOS Corporativos'!$D:$D,'CECOS Corporativos'!$J:$J,""),"")</f>
        <v>VP Comercialización</v>
      </c>
      <c r="E164" t="str">
        <f xml:space="preserve"> _xll.EPMOlapMemberO("[CLACO].[PARENTH7].[AMSAG_VIAJES]","","Gastos de Viajes","","000")</f>
        <v>Gastos de Viajes</v>
      </c>
      <c r="F164" t="str">
        <f t="shared" si="13"/>
        <v>N1003AD600</v>
      </c>
      <c r="G164" t="s">
        <v>737</v>
      </c>
      <c r="H164" t="str">
        <f>IFERROR(_xlfn.XLOOKUP(F164,'CECOS Corporativos'!$K:$K,'CECOS Corporativos'!$D:$D,""),"")</f>
        <v>1003AD6000</v>
      </c>
      <c r="I164">
        <v>22096.63</v>
      </c>
      <c r="J164">
        <v>138456.76999999999</v>
      </c>
      <c r="K164">
        <f t="shared" si="14"/>
        <v>116360.13999999998</v>
      </c>
      <c r="L164">
        <v>30156.62</v>
      </c>
      <c r="M164">
        <v>128065.59</v>
      </c>
      <c r="N164">
        <f t="shared" si="15"/>
        <v>97908.97</v>
      </c>
      <c r="O164">
        <v>24705.57</v>
      </c>
      <c r="P164">
        <v>98324.27</v>
      </c>
      <c r="Q164">
        <f t="shared" si="16"/>
        <v>73618.700000000012</v>
      </c>
      <c r="R164">
        <v>39308.06</v>
      </c>
      <c r="S164">
        <v>92512.99</v>
      </c>
      <c r="T164">
        <f t="shared" si="17"/>
        <v>53204.930000000008</v>
      </c>
    </row>
    <row r="165" spans="1:20" x14ac:dyDescent="0.3">
      <c r="A165" t="str">
        <f xml:space="preserve"> _xll.EPMOlapMemberO("[CECO].[PARENTH3].[AMSA1003AD6000]","","AMSA1003AD6000 - Adm Comercialización","","000")</f>
        <v>AMSA1003AD6000 - Adm Comercialización</v>
      </c>
      <c r="B165" t="str">
        <f t="shared" si="12"/>
        <v>1003AD6000</v>
      </c>
      <c r="C165" t="str">
        <f>IFERROR(_xlfn.XLOOKUP(B165,'CECOS Corporativos'!$D:$D,'CECOS Corporativos'!$E:$E,""),"")</f>
        <v>VP Comercialización</v>
      </c>
      <c r="D165" t="str">
        <f>IFERROR(_xlfn.XLOOKUP(B165,'CECOS Corporativos'!$D:$D,'CECOS Corporativos'!$J:$J,""),"")</f>
        <v>VP Comercialización</v>
      </c>
      <c r="E165" t="str">
        <f xml:space="preserve"> _xll.EPMOlapMemberO("[CLACO].[PARENTH7].[AMSAIMP_PATEN]","","Impuestos / Patentes","","000")</f>
        <v>Impuestos / Patentes</v>
      </c>
      <c r="F165" t="str">
        <f t="shared" si="13"/>
        <v>N1003AD600</v>
      </c>
      <c r="G165" t="s">
        <v>737</v>
      </c>
      <c r="H165" t="str">
        <f>IFERROR(_xlfn.XLOOKUP(F165,'CECOS Corporativos'!$K:$K,'CECOS Corporativos'!$D:$D,""),"")</f>
        <v>1003AD6000</v>
      </c>
      <c r="I165">
        <v>31.62</v>
      </c>
      <c r="K165">
        <f t="shared" si="14"/>
        <v>-31.62</v>
      </c>
      <c r="L165">
        <v>3713.33</v>
      </c>
      <c r="N165">
        <f t="shared" si="15"/>
        <v>-3713.33</v>
      </c>
      <c r="Q165">
        <f t="shared" si="16"/>
        <v>0</v>
      </c>
      <c r="T165">
        <f t="shared" si="17"/>
        <v>0</v>
      </c>
    </row>
    <row r="166" spans="1:20" x14ac:dyDescent="0.3">
      <c r="A166" t="str">
        <f xml:space="preserve"> _xll.EPMOlapMemberO("[CECO].[PARENTH3].[AMSA1003AD6000]","","AMSA1003AD6000 - Adm Comercialización","","000")</f>
        <v>AMSA1003AD6000 - Adm Comercialización</v>
      </c>
      <c r="B166" t="str">
        <f t="shared" si="12"/>
        <v>1003AD6000</v>
      </c>
      <c r="C166" t="str">
        <f>IFERROR(_xlfn.XLOOKUP(B166,'CECOS Corporativos'!$D:$D,'CECOS Corporativos'!$E:$E,""),"")</f>
        <v>VP Comercialización</v>
      </c>
      <c r="D166" t="str">
        <f>IFERROR(_xlfn.XLOOKUP(B166,'CECOS Corporativos'!$D:$D,'CECOS Corporativos'!$J:$J,""),"")</f>
        <v>VP Comercialización</v>
      </c>
      <c r="E166" t="str">
        <f xml:space="preserve"> _xll.EPMOlapMemberO("[CLACO].[PARENTH7].[AMSAGGENERALES.2]","","Otros Gastos","","000")</f>
        <v>Otros Gastos</v>
      </c>
      <c r="F166" t="str">
        <f t="shared" si="13"/>
        <v>N1003AD600</v>
      </c>
      <c r="G166" t="s">
        <v>737</v>
      </c>
      <c r="H166" t="str">
        <f>IFERROR(_xlfn.XLOOKUP(F166,'CECOS Corporativos'!$K:$K,'CECOS Corporativos'!$D:$D,""),"")</f>
        <v>1003AD6000</v>
      </c>
      <c r="I166">
        <v>304333.87</v>
      </c>
      <c r="J166">
        <v>362884</v>
      </c>
      <c r="K166">
        <f t="shared" si="14"/>
        <v>58550.130000000005</v>
      </c>
      <c r="L166">
        <v>243253.1</v>
      </c>
      <c r="M166">
        <v>368039.55</v>
      </c>
      <c r="N166">
        <f t="shared" si="15"/>
        <v>124786.44999999998</v>
      </c>
      <c r="O166">
        <v>336110.66</v>
      </c>
      <c r="P166">
        <v>363368.21</v>
      </c>
      <c r="Q166">
        <f t="shared" si="16"/>
        <v>27257.550000000047</v>
      </c>
      <c r="R166">
        <v>264613.84999999998</v>
      </c>
      <c r="S166">
        <v>269582.05</v>
      </c>
      <c r="T166">
        <f t="shared" si="17"/>
        <v>4968.2000000000116</v>
      </c>
    </row>
    <row r="167" spans="1:20" x14ac:dyDescent="0.3">
      <c r="A167" t="str">
        <f xml:space="preserve"> _xll.EPMOlapMemberO("[CECO].[PARENTH3].[AMSA1003AD6000]","","AMSA1003AD6000 - Adm Comercialización","","000")</f>
        <v>AMSA1003AD6000 - Adm Comercialización</v>
      </c>
      <c r="B167" t="str">
        <f t="shared" si="12"/>
        <v>1003AD6000</v>
      </c>
      <c r="C167" t="str">
        <f>IFERROR(_xlfn.XLOOKUP(B167,'CECOS Corporativos'!$D:$D,'CECOS Corporativos'!$E:$E,""),"")</f>
        <v>VP Comercialización</v>
      </c>
      <c r="D167" t="str">
        <f>IFERROR(_xlfn.XLOOKUP(B167,'CECOS Corporativos'!$D:$D,'CECOS Corporativos'!$J:$J,""),"")</f>
        <v>VP Comercialización</v>
      </c>
      <c r="E167" t="str">
        <f xml:space="preserve"> _xll.EPMOlapMemberO("[CLACO].[PARENTH7].[AMSACOMERCIALI]","","Comercial","","000")</f>
        <v>Comercial</v>
      </c>
      <c r="F167" t="str">
        <f t="shared" si="13"/>
        <v>N1003AD600</v>
      </c>
      <c r="G167" t="s">
        <v>737</v>
      </c>
      <c r="H167" t="str">
        <f>IFERROR(_xlfn.XLOOKUP(F167,'CECOS Corporativos'!$K:$K,'CECOS Corporativos'!$D:$D,""),"")</f>
        <v>1003AD6000</v>
      </c>
      <c r="I167">
        <v>6135525.8700000001</v>
      </c>
      <c r="K167">
        <f t="shared" si="14"/>
        <v>-6135525.8700000001</v>
      </c>
      <c r="L167">
        <v>5771744.9299999997</v>
      </c>
      <c r="M167">
        <v>0</v>
      </c>
      <c r="N167">
        <f t="shared" si="15"/>
        <v>-5771744.9299999997</v>
      </c>
      <c r="O167">
        <v>5567243.2999999998</v>
      </c>
      <c r="Q167">
        <f t="shared" si="16"/>
        <v>-5567243.2999999998</v>
      </c>
      <c r="R167">
        <v>4869858.8899999997</v>
      </c>
      <c r="S167">
        <v>8560658.4000000004</v>
      </c>
      <c r="T167">
        <f t="shared" si="17"/>
        <v>3690799.5100000007</v>
      </c>
    </row>
    <row r="168" spans="1:20" x14ac:dyDescent="0.3">
      <c r="A168" t="str">
        <f xml:space="preserve"> _xll.EPMOlapMemberO("[CECO].[PARENTH3].[AMSA1003AD6000]","","AMSA1003AD6000 - Adm Comercialización","","000")</f>
        <v>AMSA1003AD6000 - Adm Comercialización</v>
      </c>
      <c r="B168" t="str">
        <f t="shared" si="12"/>
        <v>1003AD6000</v>
      </c>
      <c r="C168" t="str">
        <f>IFERROR(_xlfn.XLOOKUP(B168,'CECOS Corporativos'!$D:$D,'CECOS Corporativos'!$E:$E,""),"")</f>
        <v>VP Comercialización</v>
      </c>
      <c r="D168" t="str">
        <f>IFERROR(_xlfn.XLOOKUP(B168,'CECOS Corporativos'!$D:$D,'CECOS Corporativos'!$J:$J,""),"")</f>
        <v>VP Comercialización</v>
      </c>
      <c r="E168" t="str">
        <f xml:space="preserve"> _xll.EPMOlapMemberO("[CLACO].[PARENTH7].[AMSASERV_CORP]","","Servicios Corporativ","","000")</f>
        <v>Servicios Corporativ</v>
      </c>
      <c r="F168" t="str">
        <f t="shared" si="13"/>
        <v>N1003AD600</v>
      </c>
      <c r="G168" t="s">
        <v>737</v>
      </c>
      <c r="H168" t="str">
        <f>IFERROR(_xlfn.XLOOKUP(F168,'CECOS Corporativos'!$K:$K,'CECOS Corporativos'!$D:$D,""),"")</f>
        <v>1003AD6000</v>
      </c>
      <c r="I168">
        <v>998466.73</v>
      </c>
      <c r="J168">
        <v>1015020</v>
      </c>
      <c r="K168">
        <f t="shared" si="14"/>
        <v>16553.270000000019</v>
      </c>
      <c r="L168">
        <v>1100013.57</v>
      </c>
      <c r="M168">
        <v>1056042.1599999999</v>
      </c>
      <c r="N168">
        <f t="shared" si="15"/>
        <v>-43971.410000000149</v>
      </c>
      <c r="O168">
        <v>1039160.11</v>
      </c>
      <c r="P168">
        <v>1221536.1200000001</v>
      </c>
      <c r="Q168">
        <f t="shared" si="16"/>
        <v>182376.01000000013</v>
      </c>
      <c r="R168">
        <v>1058426</v>
      </c>
      <c r="S168">
        <v>1106085.78</v>
      </c>
      <c r="T168">
        <f t="shared" si="17"/>
        <v>47659.780000000028</v>
      </c>
    </row>
  </sheetData>
  <pageMargins left="0.7" right="0.7" top="0.75" bottom="0.75" header="0.3" footer="0.3"/>
  <customProperties>
    <customPr name="FPMExcelClientCellBasedFunctionStatus" r:id="rId1"/>
    <customPr name="FPMExcelClientRefreshTime" r:id="rId2"/>
  </customProperties>
  <drawing r:id="rId3"/>
  <legacyDrawing r:id="rId4"/>
  <controls>
    <mc:AlternateContent xmlns:mc="http://schemas.openxmlformats.org/markup-compatibility/2006">
      <mc:Choice Requires="x14">
        <control shapeId="8196" r:id="rId5" name="AnalyzerDynReport000tb1">
          <controlPr defaultSize="0" autoLine="0" autoPict="0" r:id="rId6">
            <anchor moveWithCells="1" sizeWithCells="1">
              <from>
                <xdr:col>0</xdr:col>
                <xdr:colOff>0</xdr:colOff>
                <xdr:row>0</xdr:row>
                <xdr:rowOff>0</xdr:rowOff>
              </from>
              <to>
                <xdr:col>1</xdr:col>
                <xdr:colOff>205740</xdr:colOff>
                <xdr:row>0</xdr:row>
                <xdr:rowOff>0</xdr:rowOff>
              </to>
            </anchor>
          </controlPr>
        </control>
      </mc:Choice>
      <mc:Fallback>
        <control shapeId="8196" r:id="rId5" name="AnalyzerDynReport000tb1"/>
      </mc:Fallback>
    </mc:AlternateContent>
    <mc:AlternateContent xmlns:mc="http://schemas.openxmlformats.org/markup-compatibility/2006">
      <mc:Choice Requires="x14">
        <control shapeId="8195" r:id="rId7" name="MultipleReportManagerInfotb1">
          <controlPr defaultSize="0" autoLine="0" autoPict="0" r:id="rId8">
            <anchor moveWithCells="1" sizeWithCells="1">
              <from>
                <xdr:col>0</xdr:col>
                <xdr:colOff>0</xdr:colOff>
                <xdr:row>0</xdr:row>
                <xdr:rowOff>0</xdr:rowOff>
              </from>
              <to>
                <xdr:col>1</xdr:col>
                <xdr:colOff>205740</xdr:colOff>
                <xdr:row>0</xdr:row>
                <xdr:rowOff>0</xdr:rowOff>
              </to>
            </anchor>
          </controlPr>
        </control>
      </mc:Choice>
      <mc:Fallback>
        <control shapeId="8195" r:id="rId7" name="MultipleReportManagerInfotb1"/>
      </mc:Fallback>
    </mc:AlternateContent>
    <mc:AlternateContent xmlns:mc="http://schemas.openxmlformats.org/markup-compatibility/2006">
      <mc:Choice Requires="x14">
        <control shapeId="8194" r:id="rId9" name="ConnectionDescriptorsInfotb1">
          <controlPr defaultSize="0" autoLine="0" autoPict="0" r:id="rId10">
            <anchor moveWithCells="1" sizeWithCells="1">
              <from>
                <xdr:col>0</xdr:col>
                <xdr:colOff>0</xdr:colOff>
                <xdr:row>0</xdr:row>
                <xdr:rowOff>0</xdr:rowOff>
              </from>
              <to>
                <xdr:col>1</xdr:col>
                <xdr:colOff>205740</xdr:colOff>
                <xdr:row>0</xdr:row>
                <xdr:rowOff>0</xdr:rowOff>
              </to>
            </anchor>
          </controlPr>
        </control>
      </mc:Choice>
      <mc:Fallback>
        <control shapeId="8194" r:id="rId9" name="ConnectionDescriptorsInfotb1"/>
      </mc:Fallback>
    </mc:AlternateContent>
    <mc:AlternateContent xmlns:mc="http://schemas.openxmlformats.org/markup-compatibility/2006">
      <mc:Choice Requires="x14">
        <control shapeId="8193" r:id="rId11" name="FPMExcelClientSheetOptionstb1">
          <controlPr defaultSize="0" autoLine="0" autoPict="0" r:id="rId12">
            <anchor moveWithCells="1" sizeWithCells="1">
              <from>
                <xdr:col>0</xdr:col>
                <xdr:colOff>0</xdr:colOff>
                <xdr:row>0</xdr:row>
                <xdr:rowOff>0</xdr:rowOff>
              </from>
              <to>
                <xdr:col>1</xdr:col>
                <xdr:colOff>205740</xdr:colOff>
                <xdr:row>0</xdr:row>
                <xdr:rowOff>0</xdr:rowOff>
              </to>
            </anchor>
          </controlPr>
        </control>
      </mc:Choice>
      <mc:Fallback>
        <control shapeId="8193" r:id="rId11" name="FPMExcelClientSheetOptionstb1"/>
      </mc:Fallback>
    </mc:AlternateContent>
  </control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F83953-4627-46F5-8827-C8715AAAB5C9}">
  <sheetPr codeName="Hoja2"/>
  <dimension ref="A1:T182"/>
  <sheetViews>
    <sheetView topLeftCell="A7" zoomScale="70" zoomScaleNormal="70" workbookViewId="0">
      <selection activeCell="A8" sqref="A8:XFD8"/>
    </sheetView>
  </sheetViews>
  <sheetFormatPr baseColWidth="10" defaultRowHeight="13.8" x14ac:dyDescent="0.3"/>
  <cols>
    <col min="1" max="1" width="41.5546875" bestFit="1" customWidth="1"/>
    <col min="2" max="4" width="41.5546875" customWidth="1"/>
    <col min="5" max="5" width="22.88671875" bestFit="1" customWidth="1"/>
    <col min="6" max="6" width="22.88671875" customWidth="1"/>
    <col min="7" max="7" width="31.5546875" bestFit="1" customWidth="1"/>
    <col min="8" max="8" width="31.5546875" customWidth="1"/>
    <col min="9" max="9" width="12.109375" bestFit="1" customWidth="1"/>
    <col min="10" max="10" width="12.5546875" bestFit="1" customWidth="1"/>
    <col min="11" max="11" width="4.33203125" bestFit="1" customWidth="1"/>
    <col min="12" max="13" width="12.5546875" bestFit="1" customWidth="1"/>
    <col min="14" max="14" width="4.33203125" bestFit="1" customWidth="1"/>
    <col min="15" max="15" width="12.109375" bestFit="1" customWidth="1"/>
    <col min="16" max="16" width="12.5546875" bestFit="1" customWidth="1"/>
    <col min="17" max="17" width="4.33203125" bestFit="1" customWidth="1"/>
    <col min="18" max="19" width="12.5546875" bestFit="1" customWidth="1"/>
    <col min="20" max="20" width="7.109375" bestFit="1" customWidth="1"/>
    <col min="21" max="21" width="11.44140625" bestFit="1" customWidth="1"/>
    <col min="22" max="22" width="11" bestFit="1" customWidth="1"/>
    <col min="23" max="23" width="11.44140625" bestFit="1" customWidth="1"/>
    <col min="24" max="24" width="9.44140625" bestFit="1" customWidth="1"/>
    <col min="25" max="26" width="11" bestFit="1" customWidth="1"/>
    <col min="27" max="27" width="9.44140625" bestFit="1" customWidth="1"/>
    <col min="28" max="29" width="11" bestFit="1" customWidth="1"/>
    <col min="30" max="30" width="9.44140625" bestFit="1" customWidth="1"/>
    <col min="31" max="32" width="11" bestFit="1" customWidth="1"/>
    <col min="33" max="33" width="9.44140625" bestFit="1" customWidth="1"/>
    <col min="34" max="35" width="11" bestFit="1" customWidth="1"/>
    <col min="36" max="36" width="9.44140625" bestFit="1" customWidth="1"/>
    <col min="37" max="38" width="11" bestFit="1" customWidth="1"/>
    <col min="39" max="39" width="9.44140625" bestFit="1" customWidth="1"/>
    <col min="40" max="41" width="10" bestFit="1" customWidth="1"/>
    <col min="42" max="42" width="9.44140625" bestFit="1" customWidth="1"/>
    <col min="43" max="44" width="11" bestFit="1" customWidth="1"/>
    <col min="45" max="45" width="11.44140625" bestFit="1" customWidth="1"/>
    <col min="46" max="47" width="12" bestFit="1" customWidth="1"/>
  </cols>
  <sheetData>
    <row r="1" spans="1:20" hidden="1" x14ac:dyDescent="0.3">
      <c r="A1" t="str" cm="1">
        <f t="array" ref="A1">_xll.EPMDimensionOverrideRange("000","CECO",CECOS!$B$2:$B$128)</f>
        <v>Expansión de CECO sobrescrita</v>
      </c>
    </row>
    <row r="2" spans="1:20" hidden="1" x14ac:dyDescent="0.3">
      <c r="A2" t="str">
        <f xml:space="preserve"> _xll.EPMOlapMemberO("[CEBE].[PARENTH1].[JE-]","","Gr Antofagasta Miner","","000")</f>
        <v>Gr Antofagasta Miner</v>
      </c>
    </row>
    <row r="3" spans="1:20" hidden="1" x14ac:dyDescent="0.3"/>
    <row r="4" spans="1:20" hidden="1" x14ac:dyDescent="0.3">
      <c r="A4" t="str">
        <f xml:space="preserve"> _xll.EPMOlapMemberO("[ENTITY].[PARENTH1].[1002]","","1002 - Minera Centinela","","000")</f>
        <v>1002 - Minera Centinela</v>
      </c>
    </row>
    <row r="5" spans="1:20" hidden="1" x14ac:dyDescent="0.3"/>
    <row r="6" spans="1:20" hidden="1" x14ac:dyDescent="0.3"/>
    <row r="7" spans="1:20" x14ac:dyDescent="0.3">
      <c r="G7" t="s">
        <v>712</v>
      </c>
      <c r="I7" t="str">
        <f xml:space="preserve"> _xll.EPMOlapMemberO("[TIME].[PARENTH1].[2022.TOTAL]","","2022.TOTAL","","000")</f>
        <v>2022.TOTAL</v>
      </c>
      <c r="L7" t="str">
        <f xml:space="preserve"> _xll.EPMOlapMemberO("[TIME].[PARENTH1].[2023.TOTAL]","","2023.TOTAL","","000")</f>
        <v>2023.TOTAL</v>
      </c>
      <c r="O7" t="str">
        <f xml:space="preserve"> _xll.EPMOlapMemberO("[TIME].[PARENTH1].[2024.TOTAL]","","2024.TOTAL","","000")</f>
        <v>2024.TOTAL</v>
      </c>
      <c r="R7" t="str">
        <f xml:space="preserve"> _xll.EPMOlapMemberO("[TIME].[PARENTH1].[2025.TOTAL]","","2025.TOTAL","","000")</f>
        <v>2025.TOTAL</v>
      </c>
    </row>
    <row r="8" spans="1:20" s="23" customFormat="1" x14ac:dyDescent="0.3">
      <c r="B8" s="23" t="s">
        <v>780</v>
      </c>
      <c r="C8" s="23" t="s">
        <v>132</v>
      </c>
      <c r="D8" s="23" t="s">
        <v>781</v>
      </c>
      <c r="E8" s="23" t="s">
        <v>779</v>
      </c>
      <c r="F8" s="23" t="s">
        <v>139</v>
      </c>
      <c r="G8" s="23" t="s">
        <v>713</v>
      </c>
      <c r="H8" s="23" t="e">
        <f ca="1" xml:space="preserve"> _xll.EPMOlapMemberO("[CATEGORY].[].[REAL]","","Real - Real","","000")</f>
        <v>#NAME?</v>
      </c>
      <c r="I8" s="23" t="e">
        <f ca="1" xml:space="preserve"> _xll.EPMOlapMemberO("[CATEGORY].[].[PLAN]","","Plan - Plan","","000")</f>
        <v>#NAME?</v>
      </c>
      <c r="J8" s="23" t="str">
        <f xml:space="preserve"> _xll.FPMXLClient.TechnicalCategory.EPMLocalMember("Var","001","000")</f>
        <v>Var</v>
      </c>
      <c r="K8" s="23" t="e">
        <f ca="1" xml:space="preserve"> _xll.EPMOlapMemberO("[CATEGORY].[].[REAL]","","Real - Real","","000")</f>
        <v>#NAME?</v>
      </c>
      <c r="L8" s="23" t="e">
        <f ca="1" xml:space="preserve"> _xll.EPMOlapMemberO("[CATEGORY].[].[PLAN]","","Plan - Plan","","000")</f>
        <v>#NAME?</v>
      </c>
      <c r="M8" s="23" t="str">
        <f xml:space="preserve"> _xll.FPMXLClient.TechnicalCategory.EPMLocalMember("Var","001","000")</f>
        <v>Var</v>
      </c>
      <c r="N8" s="23" t="e">
        <f ca="1" xml:space="preserve"> _xll.EPMOlapMemberO("[CATEGORY].[].[REAL]","","Real - Real","","000")</f>
        <v>#NAME?</v>
      </c>
      <c r="O8" s="23" t="e">
        <f ca="1" xml:space="preserve"> _xll.EPMOlapMemberO("[CATEGORY].[].[PLAN]","","Plan - Plan","","000")</f>
        <v>#NAME?</v>
      </c>
      <c r="P8" s="23" t="str">
        <f xml:space="preserve"> _xll.FPMXLClient.TechnicalCategory.EPMLocalMember("Var","001","000")</f>
        <v>Var</v>
      </c>
      <c r="Q8" s="23" t="e">
        <f ca="1" xml:space="preserve"> _xll.EPMOlapMemberO("[CATEGORY].[].[REAL]","","Real - Real","","000")</f>
        <v>#NAME?</v>
      </c>
      <c r="R8" s="23" t="e">
        <f ca="1" xml:space="preserve"> _xll.EPMOlapMemberO("[CATEGORY].[].[PLAN]","","Plan - Plan","","000")</f>
        <v>#NAME?</v>
      </c>
      <c r="S8" s="23" t="str">
        <f xml:space="preserve"> _xll.FPMXLClient.TechnicalCategory.EPMLocalMember("Var","001","000")</f>
        <v>Var</v>
      </c>
    </row>
    <row r="9" spans="1:20" x14ac:dyDescent="0.3">
      <c r="A9" t="str">
        <f xml:space="preserve"> _xll.EPMOlapMemberO("[CECO].[PARENTH3].[AMSA1002AD0507]","","AMSA1002AD0507 - VPACS Corporativo","","000")</f>
        <v>AMSA1002AD0507 - VPACS Corporativo</v>
      </c>
      <c r="B9" t="str">
        <f>IFERROR(SUBSTITUTE(TRIM(LEFT(A9,FIND("-",A9)-1)),"AMSA",""),"")</f>
        <v>1002AD0507</v>
      </c>
      <c r="C9" t="str">
        <f>IFERROR(_xlfn.XLOOKUP(B9,'CECOS Corporativos'!$D:$D,'CECOS Corporativos'!$E:$E,""),"")</f>
        <v>VPACS Corporativo (HH Corporativo)</v>
      </c>
      <c r="D9" t="str">
        <f>IFERROR(_xlfn.XLOOKUP(B9,'CECOS Corporativos'!$D:$D,'CECOS Corporativos'!$J:$J,""),"")</f>
        <v>VP Asuntos Corporativos</v>
      </c>
      <c r="E9" t="str">
        <f xml:space="preserve"> _xll.EPMOlapMemberO("[CLACO].[PARENTH7].[AMSASERVICIOS]","","Servicios","","000")</f>
        <v>Servicios</v>
      </c>
      <c r="F9" t="str">
        <f>IFERROR(TRIM(LEFT(G9,FIND("-",G9)-1)),"")</f>
        <v>N100200500</v>
      </c>
      <c r="G9" t="s">
        <v>738</v>
      </c>
      <c r="H9" t="str">
        <f>IFERROR(_xlfn.XLOOKUP(F9,'CECOS Corporativos'!$K:$K,'CECOS Corporativos'!$D:$D,""),"")</f>
        <v>1002AD4503</v>
      </c>
      <c r="K9">
        <f>J9-I9</f>
        <v>0</v>
      </c>
      <c r="N9">
        <f>M9-L9</f>
        <v>0</v>
      </c>
      <c r="Q9">
        <f>P9-O9</f>
        <v>0</v>
      </c>
      <c r="R9">
        <v>56088</v>
      </c>
      <c r="T9">
        <f>S9-R9</f>
        <v>-56088</v>
      </c>
    </row>
    <row r="10" spans="1:20" x14ac:dyDescent="0.3">
      <c r="A10" t="str">
        <f xml:space="preserve"> _xll.EPMOlapMemberO("[CECO].[PARENTH3].[AMSA1002AD0507]","","AMSA1002AD0507 - VPACS Corporativo","","000")</f>
        <v>AMSA1002AD0507 - VPACS Corporativo</v>
      </c>
      <c r="B10" t="str">
        <f t="shared" ref="B10:B73" si="0">IFERROR(SUBSTITUTE(TRIM(LEFT(A10,FIND("-",A10)-1)),"AMSA",""),"")</f>
        <v>1002AD0507</v>
      </c>
      <c r="C10" t="str">
        <f>IFERROR(_xlfn.XLOOKUP(B10,'CECOS Corporativos'!$D:$D,'CECOS Corporativos'!$E:$E,""),"")</f>
        <v>VPACS Corporativo (HH Corporativo)</v>
      </c>
      <c r="D10" t="str">
        <f>IFERROR(_xlfn.XLOOKUP(B10,'CECOS Corporativos'!$D:$D,'CECOS Corporativos'!$J:$J,""),"")</f>
        <v>VP Asuntos Corporativos</v>
      </c>
      <c r="E10" t="str">
        <f xml:space="preserve"> _xll.EPMOlapMemberO("[CLACO].[PARENTH7].[AMSASERV_CORP]","","Servicios Corporativ","","000")</f>
        <v>Servicios Corporativ</v>
      </c>
      <c r="F10" t="str">
        <f t="shared" ref="F10:F73" si="1">IFERROR(TRIM(LEFT(G10,FIND("-",G10)-1)),"")</f>
        <v>N100200500</v>
      </c>
      <c r="G10" t="s">
        <v>738</v>
      </c>
      <c r="H10" t="str">
        <f>IFERROR(_xlfn.XLOOKUP(F10,'CECOS Corporativos'!$K:$K,'CECOS Corporativos'!$D:$D,""),"")</f>
        <v>1002AD4503</v>
      </c>
      <c r="K10">
        <f t="shared" ref="K10:K73" si="2">J10-I10</f>
        <v>0</v>
      </c>
      <c r="N10">
        <f t="shared" ref="N10:N73" si="3">M10-L10</f>
        <v>0</v>
      </c>
      <c r="O10">
        <v>1619199</v>
      </c>
      <c r="P10">
        <v>1794121</v>
      </c>
      <c r="Q10">
        <f t="shared" ref="Q10:Q73" si="4">P10-O10</f>
        <v>174922</v>
      </c>
      <c r="R10">
        <v>1437573</v>
      </c>
      <c r="S10">
        <v>1508957.79</v>
      </c>
      <c r="T10">
        <f t="shared" ref="T10:T73" si="5">S10-R10</f>
        <v>71384.790000000037</v>
      </c>
    </row>
    <row r="11" spans="1:20" x14ac:dyDescent="0.3">
      <c r="A11" t="str">
        <f xml:space="preserve"> _xll.EPMOlapMemberO("[CECO].[PARENTH3].[AMSA1002AD0510]","","AMSA1002AD0510 - Proyectos Corporativ","","000")</f>
        <v>AMSA1002AD0510 - Proyectos Corporativ</v>
      </c>
      <c r="B11" t="str">
        <f t="shared" si="0"/>
        <v>1002AD0510</v>
      </c>
      <c r="C11" t="str">
        <f>IFERROR(_xlfn.XLOOKUP(B11,'CECOS Corporativos'!$D:$D,'CECOS Corporativos'!$E:$E,""),"")</f>
        <v>Proyectos Corporativo (HH Corporativo)</v>
      </c>
      <c r="D11" t="str">
        <f>IFERROR(_xlfn.XLOOKUP(B11,'CECOS Corporativos'!$D:$D,'CECOS Corporativos'!$J:$J,""),"")</f>
        <v>VP Proyectos</v>
      </c>
      <c r="E11" t="str">
        <f xml:space="preserve"> _xll.EPMOlapMemberO("[CLACO].[PARENTH7].[AMSASERV_CORP]","","Servicios Corporativ","","000")</f>
        <v>Servicios Corporativ</v>
      </c>
      <c r="F11" t="str">
        <f t="shared" si="1"/>
        <v>N100200500</v>
      </c>
      <c r="G11" t="s">
        <v>738</v>
      </c>
      <c r="H11" t="str">
        <f>IFERROR(_xlfn.XLOOKUP(F11,'CECOS Corporativos'!$K:$K,'CECOS Corporativos'!$D:$D,""),"")</f>
        <v>1002AD4503</v>
      </c>
      <c r="K11">
        <f t="shared" si="2"/>
        <v>0</v>
      </c>
      <c r="N11">
        <f t="shared" si="3"/>
        <v>0</v>
      </c>
      <c r="O11">
        <v>956728</v>
      </c>
      <c r="P11">
        <v>1060081</v>
      </c>
      <c r="Q11">
        <f t="shared" si="4"/>
        <v>103353</v>
      </c>
      <c r="R11">
        <v>1676413</v>
      </c>
      <c r="S11">
        <v>1759660.83</v>
      </c>
      <c r="T11">
        <f t="shared" si="5"/>
        <v>83247.830000000075</v>
      </c>
    </row>
    <row r="12" spans="1:20" x14ac:dyDescent="0.3">
      <c r="A12" t="str">
        <f xml:space="preserve"> _xll.EPMOlapMemberO("[CECO].[PARENTH3].[AMSA1002AD4503]","","AMSA1002AD4503 - Asunt Publ y Comunid","","000")</f>
        <v>AMSA1002AD4503 - Asunt Publ y Comunid</v>
      </c>
      <c r="B12" t="str">
        <f t="shared" si="0"/>
        <v>1002AD4503</v>
      </c>
      <c r="C12" t="str">
        <f>IFERROR(_xlfn.XLOOKUP(B12,'CECOS Corporativos'!$D:$D,'CECOS Corporativos'!$E:$E,""),"")</f>
        <v>Asuntos Públicos y Comunidades</v>
      </c>
      <c r="D12" t="str">
        <f>IFERROR(_xlfn.XLOOKUP(B12,'CECOS Corporativos'!$D:$D,'CECOS Corporativos'!$J:$J,""),"")</f>
        <v>VP Asuntos Corporativos</v>
      </c>
      <c r="E12" t="str">
        <f xml:space="preserve"> _xll.EPMOlapMemberO("[CLACO].[PARENTH7].[AMSAMAT_Y_REP.2]","","Materiales y repuest","","000")</f>
        <v>Materiales y repuest</v>
      </c>
      <c r="F12" t="str">
        <f t="shared" si="1"/>
        <v>N100200500</v>
      </c>
      <c r="G12" t="s">
        <v>738</v>
      </c>
      <c r="H12" t="str">
        <f>IFERROR(_xlfn.XLOOKUP(F12,'CECOS Corporativos'!$K:$K,'CECOS Corporativos'!$D:$D,""),"")</f>
        <v>1002AD4503</v>
      </c>
      <c r="I12">
        <v>6099.19</v>
      </c>
      <c r="K12">
        <f t="shared" si="2"/>
        <v>-6099.19</v>
      </c>
      <c r="L12">
        <v>411.8</v>
      </c>
      <c r="N12">
        <f t="shared" si="3"/>
        <v>-411.8</v>
      </c>
      <c r="O12">
        <v>30952.66</v>
      </c>
      <c r="Q12">
        <f t="shared" si="4"/>
        <v>-30952.66</v>
      </c>
      <c r="R12">
        <v>3866.85</v>
      </c>
      <c r="T12">
        <f t="shared" si="5"/>
        <v>-3866.85</v>
      </c>
    </row>
    <row r="13" spans="1:20" x14ac:dyDescent="0.3">
      <c r="A13" t="str">
        <f xml:space="preserve"> _xll.EPMOlapMemberO("[CECO].[PARENTH3].[AMSA1002AD4503]","","AMSA1002AD4503 - Asunt Publ y Comunid","","000")</f>
        <v>AMSA1002AD4503 - Asunt Publ y Comunid</v>
      </c>
      <c r="B13" t="str">
        <f t="shared" si="0"/>
        <v>1002AD4503</v>
      </c>
      <c r="C13" t="str">
        <f>IFERROR(_xlfn.XLOOKUP(B13,'CECOS Corporativos'!$D:$D,'CECOS Corporativos'!$E:$E,""),"")</f>
        <v>Asuntos Públicos y Comunidades</v>
      </c>
      <c r="D13" t="str">
        <f>IFERROR(_xlfn.XLOOKUP(B13,'CECOS Corporativos'!$D:$D,'CECOS Corporativos'!$J:$J,""),"")</f>
        <v>VP Asuntos Corporativos</v>
      </c>
      <c r="E13" t="str">
        <f xml:space="preserve"> _xll.EPMOlapMemberO("[CLACO].[PARENTH7].[AMSAADM_PERSON]","","Administración Perso","","000")</f>
        <v>Administración Perso</v>
      </c>
      <c r="F13" t="str">
        <f t="shared" si="1"/>
        <v>N100200500</v>
      </c>
      <c r="G13" t="s">
        <v>738</v>
      </c>
      <c r="H13" t="str">
        <f>IFERROR(_xlfn.XLOOKUP(F13,'CECOS Corporativos'!$K:$K,'CECOS Corporativos'!$D:$D,""),"")</f>
        <v>1002AD4503</v>
      </c>
      <c r="I13">
        <v>16184.98</v>
      </c>
      <c r="K13">
        <f t="shared" si="2"/>
        <v>-16184.98</v>
      </c>
      <c r="N13">
        <f t="shared" si="3"/>
        <v>0</v>
      </c>
      <c r="P13">
        <v>6020</v>
      </c>
      <c r="Q13">
        <f t="shared" si="4"/>
        <v>6020</v>
      </c>
      <c r="T13">
        <f t="shared" si="5"/>
        <v>0</v>
      </c>
    </row>
    <row r="14" spans="1:20" x14ac:dyDescent="0.3">
      <c r="A14" t="str">
        <f xml:space="preserve"> _xll.EPMOlapMemberO("[CECO].[PARENTH3].[AMSA1002AD4503]","","AMSA1002AD4503 - Asunt Publ y Comunid","","000")</f>
        <v>AMSA1002AD4503 - Asunt Publ y Comunid</v>
      </c>
      <c r="B14" t="str">
        <f t="shared" si="0"/>
        <v>1002AD4503</v>
      </c>
      <c r="C14" t="str">
        <f>IFERROR(_xlfn.XLOOKUP(B14,'CECOS Corporativos'!$D:$D,'CECOS Corporativos'!$E:$E,""),"")</f>
        <v>Asuntos Públicos y Comunidades</v>
      </c>
      <c r="D14" t="str">
        <f>IFERROR(_xlfn.XLOOKUP(B14,'CECOS Corporativos'!$D:$D,'CECOS Corporativos'!$J:$J,""),"")</f>
        <v>VP Asuntos Corporativos</v>
      </c>
      <c r="E14" t="str">
        <f xml:space="preserve"> _xll.EPMOlapMemberO("[CLACO].[PARENTH7].[AMSAENTRENAMI]","","Entrenamiento","","000")</f>
        <v>Entrenamiento</v>
      </c>
      <c r="F14" t="str">
        <f t="shared" si="1"/>
        <v>N100200500</v>
      </c>
      <c r="G14" t="s">
        <v>738</v>
      </c>
      <c r="H14" t="str">
        <f>IFERROR(_xlfn.XLOOKUP(F14,'CECOS Corporativos'!$K:$K,'CECOS Corporativos'!$D:$D,""),"")</f>
        <v>1002AD4503</v>
      </c>
      <c r="I14">
        <v>56972.36</v>
      </c>
      <c r="J14">
        <v>12805.59</v>
      </c>
      <c r="K14">
        <f t="shared" si="2"/>
        <v>-44166.770000000004</v>
      </c>
      <c r="L14">
        <v>-28553.15</v>
      </c>
      <c r="N14">
        <f t="shared" si="3"/>
        <v>28553.15</v>
      </c>
      <c r="Q14">
        <f t="shared" si="4"/>
        <v>0</v>
      </c>
      <c r="R14">
        <v>7432.24</v>
      </c>
      <c r="T14">
        <f t="shared" si="5"/>
        <v>-7432.24</v>
      </c>
    </row>
    <row r="15" spans="1:20" x14ac:dyDescent="0.3">
      <c r="A15" t="str">
        <f xml:space="preserve"> _xll.EPMOlapMemberO("[CECO].[PARENTH3].[AMSA1002AD4503]","","AMSA1002AD4503 - Asunt Publ y Comunid","","000")</f>
        <v>AMSA1002AD4503 - Asunt Publ y Comunid</v>
      </c>
      <c r="B15" t="str">
        <f t="shared" si="0"/>
        <v>1002AD4503</v>
      </c>
      <c r="C15" t="str">
        <f>IFERROR(_xlfn.XLOOKUP(B15,'CECOS Corporativos'!$D:$D,'CECOS Corporativos'!$E:$E,""),"")</f>
        <v>Asuntos Públicos y Comunidades</v>
      </c>
      <c r="D15" t="str">
        <f>IFERROR(_xlfn.XLOOKUP(B15,'CECOS Corporativos'!$D:$D,'CECOS Corporativos'!$J:$J,""),"")</f>
        <v>VP Asuntos Corporativos</v>
      </c>
      <c r="E15" t="str">
        <f xml:space="preserve"> _xll.EPMOlapMemberO("[CLACO].[PARENTH7].[AMSAASESORIAS]","","Asesorías y Consulto","","000")</f>
        <v>Asesorías y Consulto</v>
      </c>
      <c r="F15" t="str">
        <f t="shared" si="1"/>
        <v>N100200500</v>
      </c>
      <c r="G15" t="s">
        <v>738</v>
      </c>
      <c r="H15" t="str">
        <f>IFERROR(_xlfn.XLOOKUP(F15,'CECOS Corporativos'!$K:$K,'CECOS Corporativos'!$D:$D,""),"")</f>
        <v>1002AD4503</v>
      </c>
      <c r="I15">
        <v>-133414.95000000001</v>
      </c>
      <c r="J15">
        <v>249199.39</v>
      </c>
      <c r="K15">
        <f t="shared" si="2"/>
        <v>382614.34</v>
      </c>
      <c r="L15">
        <v>291807.59000000003</v>
      </c>
      <c r="M15">
        <v>74825.009999999995</v>
      </c>
      <c r="N15">
        <f t="shared" si="3"/>
        <v>-216982.58000000002</v>
      </c>
      <c r="O15">
        <v>195349.83</v>
      </c>
      <c r="Q15">
        <f t="shared" si="4"/>
        <v>-195349.83</v>
      </c>
      <c r="R15">
        <v>198513.33</v>
      </c>
      <c r="S15">
        <v>92005.46</v>
      </c>
      <c r="T15">
        <f t="shared" si="5"/>
        <v>-106507.86999999998</v>
      </c>
    </row>
    <row r="16" spans="1:20" x14ac:dyDescent="0.3">
      <c r="A16" t="str">
        <f xml:space="preserve"> _xll.EPMOlapMemberO("[CECO].[PARENTH3].[AMSA1002AD4503]","","AMSA1002AD4503 - Asunt Publ y Comunid","","000")</f>
        <v>AMSA1002AD4503 - Asunt Publ y Comunid</v>
      </c>
      <c r="B16" t="str">
        <f t="shared" si="0"/>
        <v>1002AD4503</v>
      </c>
      <c r="C16" t="str">
        <f>IFERROR(_xlfn.XLOOKUP(B16,'CECOS Corporativos'!$D:$D,'CECOS Corporativos'!$E:$E,""),"")</f>
        <v>Asuntos Públicos y Comunidades</v>
      </c>
      <c r="D16" t="str">
        <f>IFERROR(_xlfn.XLOOKUP(B16,'CECOS Corporativos'!$D:$D,'CECOS Corporativos'!$J:$J,""),"")</f>
        <v>VP Asuntos Corporativos</v>
      </c>
      <c r="E16" t="str">
        <f xml:space="preserve"> _xll.EPMOlapMemberO("[CLACO].[PARENTH7].[AMSAARRIENDOS]","","Arriendos","","000")</f>
        <v>Arriendos</v>
      </c>
      <c r="F16" t="str">
        <f t="shared" si="1"/>
        <v>N100200500</v>
      </c>
      <c r="G16" t="s">
        <v>738</v>
      </c>
      <c r="H16" t="str">
        <f>IFERROR(_xlfn.XLOOKUP(F16,'CECOS Corporativos'!$K:$K,'CECOS Corporativos'!$D:$D,""),"")</f>
        <v>1002AD4503</v>
      </c>
      <c r="I16">
        <v>3702.07</v>
      </c>
      <c r="J16">
        <v>10371.26</v>
      </c>
      <c r="K16">
        <f t="shared" si="2"/>
        <v>6669.1900000000005</v>
      </c>
      <c r="N16">
        <f t="shared" si="3"/>
        <v>0</v>
      </c>
      <c r="Q16">
        <f t="shared" si="4"/>
        <v>0</v>
      </c>
      <c r="T16">
        <f t="shared" si="5"/>
        <v>0</v>
      </c>
    </row>
    <row r="17" spans="1:20" x14ac:dyDescent="0.3">
      <c r="A17" t="str">
        <f xml:space="preserve"> _xll.EPMOlapMemberO("[CECO].[PARENTH3].[AMSA1002AD4503]","","AMSA1002AD4503 - Asunt Publ y Comunid","","000")</f>
        <v>AMSA1002AD4503 - Asunt Publ y Comunid</v>
      </c>
      <c r="B17" t="str">
        <f t="shared" si="0"/>
        <v>1002AD4503</v>
      </c>
      <c r="C17" t="str">
        <f>IFERROR(_xlfn.XLOOKUP(B17,'CECOS Corporativos'!$D:$D,'CECOS Corporativos'!$E:$E,""),"")</f>
        <v>Asuntos Públicos y Comunidades</v>
      </c>
      <c r="D17" t="str">
        <f>IFERROR(_xlfn.XLOOKUP(B17,'CECOS Corporativos'!$D:$D,'CECOS Corporativos'!$J:$J,""),"")</f>
        <v>VP Asuntos Corporativos</v>
      </c>
      <c r="E17" t="str">
        <f xml:space="preserve"> _xll.EPMOlapMemberO("[CLACO].[PARENTH7].[AMSASERVICIOS]","","Servicios","","000")</f>
        <v>Servicios</v>
      </c>
      <c r="F17" t="str">
        <f t="shared" si="1"/>
        <v>N100200500</v>
      </c>
      <c r="G17" t="s">
        <v>738</v>
      </c>
      <c r="H17" t="str">
        <f>IFERROR(_xlfn.XLOOKUP(F17,'CECOS Corporativos'!$K:$K,'CECOS Corporativos'!$D:$D,""),"")</f>
        <v>1002AD4503</v>
      </c>
      <c r="I17">
        <v>501737.25</v>
      </c>
      <c r="J17">
        <v>596701.4</v>
      </c>
      <c r="K17">
        <f t="shared" si="2"/>
        <v>94964.150000000023</v>
      </c>
      <c r="L17">
        <v>726458.72</v>
      </c>
      <c r="M17">
        <v>295618.96999999997</v>
      </c>
      <c r="N17">
        <f t="shared" si="3"/>
        <v>-430839.75</v>
      </c>
      <c r="O17">
        <v>411520.85</v>
      </c>
      <c r="P17">
        <v>269054</v>
      </c>
      <c r="Q17">
        <f t="shared" si="4"/>
        <v>-142466.84999999998</v>
      </c>
      <c r="R17">
        <v>-253680.99</v>
      </c>
      <c r="S17">
        <v>113015.86</v>
      </c>
      <c r="T17">
        <f t="shared" si="5"/>
        <v>366696.85</v>
      </c>
    </row>
    <row r="18" spans="1:20" x14ac:dyDescent="0.3">
      <c r="A18" t="str">
        <f xml:space="preserve"> _xll.EPMOlapMemberO("[CECO].[PARENTH3].[AMSA1002AD4503]","","AMSA1002AD4503 - Asunt Publ y Comunid","","000")</f>
        <v>AMSA1002AD4503 - Asunt Publ y Comunid</v>
      </c>
      <c r="B18" t="str">
        <f t="shared" si="0"/>
        <v>1002AD4503</v>
      </c>
      <c r="C18" t="str">
        <f>IFERROR(_xlfn.XLOOKUP(B18,'CECOS Corporativos'!$D:$D,'CECOS Corporativos'!$E:$E,""),"")</f>
        <v>Asuntos Públicos y Comunidades</v>
      </c>
      <c r="D18" t="str">
        <f>IFERROR(_xlfn.XLOOKUP(B18,'CECOS Corporativos'!$D:$D,'CECOS Corporativos'!$J:$J,""),"")</f>
        <v>VP Asuntos Corporativos</v>
      </c>
      <c r="E18" t="str">
        <f xml:space="preserve"> _xll.EPMOlapMemberO("[CLACO].[PARENTH7].[AMSAINFORMATIC]","","Informática y Comuni","","000")</f>
        <v>Informática y Comuni</v>
      </c>
      <c r="F18" t="str">
        <f t="shared" si="1"/>
        <v>N100200500</v>
      </c>
      <c r="G18" t="s">
        <v>738</v>
      </c>
      <c r="H18" t="str">
        <f>IFERROR(_xlfn.XLOOKUP(F18,'CECOS Corporativos'!$K:$K,'CECOS Corporativos'!$D:$D,""),"")</f>
        <v>1002AD4503</v>
      </c>
      <c r="I18">
        <v>-4887.59</v>
      </c>
      <c r="J18">
        <v>25628.9</v>
      </c>
      <c r="K18">
        <f t="shared" si="2"/>
        <v>30516.49</v>
      </c>
      <c r="L18">
        <v>14874.66</v>
      </c>
      <c r="N18">
        <f t="shared" si="3"/>
        <v>-14874.66</v>
      </c>
      <c r="O18">
        <v>113.31</v>
      </c>
      <c r="Q18">
        <f t="shared" si="4"/>
        <v>-113.31</v>
      </c>
      <c r="R18">
        <v>45</v>
      </c>
      <c r="T18">
        <f t="shared" si="5"/>
        <v>-45</v>
      </c>
    </row>
    <row r="19" spans="1:20" x14ac:dyDescent="0.3">
      <c r="A19" t="str">
        <f xml:space="preserve"> _xll.EPMOlapMemberO("[CECO].[PARENTH3].[AMSA1002AD4503]","","AMSA1002AD4503 - Asunt Publ y Comunid","","000")</f>
        <v>AMSA1002AD4503 - Asunt Publ y Comunid</v>
      </c>
      <c r="B19" t="str">
        <f t="shared" si="0"/>
        <v>1002AD4503</v>
      </c>
      <c r="C19" t="str">
        <f>IFERROR(_xlfn.XLOOKUP(B19,'CECOS Corporativos'!$D:$D,'CECOS Corporativos'!$E:$E,""),"")</f>
        <v>Asuntos Públicos y Comunidades</v>
      </c>
      <c r="D19" t="str">
        <f>IFERROR(_xlfn.XLOOKUP(B19,'CECOS Corporativos'!$D:$D,'CECOS Corporativos'!$J:$J,""),"")</f>
        <v>VP Asuntos Corporativos</v>
      </c>
      <c r="E19" t="str">
        <f xml:space="preserve"> _xll.EPMOlapMemberO("[CLACO].[PARENTH7].[AMSAG_VIAJES]","","Gastos de Viajes","","000")</f>
        <v>Gastos de Viajes</v>
      </c>
      <c r="F19" t="str">
        <f t="shared" si="1"/>
        <v>N100200500</v>
      </c>
      <c r="G19" t="s">
        <v>738</v>
      </c>
      <c r="H19" t="str">
        <f>IFERROR(_xlfn.XLOOKUP(F19,'CECOS Corporativos'!$K:$K,'CECOS Corporativos'!$D:$D,""),"")</f>
        <v>1002AD4503</v>
      </c>
      <c r="I19">
        <v>160310</v>
      </c>
      <c r="J19">
        <v>19629.73</v>
      </c>
      <c r="K19">
        <f t="shared" si="2"/>
        <v>-140680.26999999999</v>
      </c>
      <c r="L19">
        <v>11554.01</v>
      </c>
      <c r="N19">
        <f t="shared" si="3"/>
        <v>-11554.01</v>
      </c>
      <c r="O19">
        <v>2482.34</v>
      </c>
      <c r="Q19">
        <f t="shared" si="4"/>
        <v>-2482.34</v>
      </c>
      <c r="R19">
        <v>0</v>
      </c>
      <c r="T19">
        <f t="shared" si="5"/>
        <v>0</v>
      </c>
    </row>
    <row r="20" spans="1:20" x14ac:dyDescent="0.3">
      <c r="A20" t="str">
        <f xml:space="preserve"> _xll.EPMOlapMemberO("[CECO].[PARENTH3].[AMSA1002AD4503]","","AMSA1002AD4503 - Asunt Publ y Comunid","","000")</f>
        <v>AMSA1002AD4503 - Asunt Publ y Comunid</v>
      </c>
      <c r="B20" t="str">
        <f t="shared" si="0"/>
        <v>1002AD4503</v>
      </c>
      <c r="C20" t="str">
        <f>IFERROR(_xlfn.XLOOKUP(B20,'CECOS Corporativos'!$D:$D,'CECOS Corporativos'!$E:$E,""),"")</f>
        <v>Asuntos Públicos y Comunidades</v>
      </c>
      <c r="D20" t="str">
        <f>IFERROR(_xlfn.XLOOKUP(B20,'CECOS Corporativos'!$D:$D,'CECOS Corporativos'!$J:$J,""),"")</f>
        <v>VP Asuntos Corporativos</v>
      </c>
      <c r="E20" t="str">
        <f xml:space="preserve"> _xll.EPMOlapMemberO("[CLACO].[PARENTH7].[AMSASEGUROS]","","Seguros","","000")</f>
        <v>Seguros</v>
      </c>
      <c r="F20" t="str">
        <f t="shared" si="1"/>
        <v>N100200500</v>
      </c>
      <c r="G20" t="s">
        <v>738</v>
      </c>
      <c r="H20" t="str">
        <f>IFERROR(_xlfn.XLOOKUP(F20,'CECOS Corporativos'!$K:$K,'CECOS Corporativos'!$D:$D,""),"")</f>
        <v>1002AD4503</v>
      </c>
      <c r="K20">
        <f t="shared" si="2"/>
        <v>0</v>
      </c>
      <c r="L20">
        <v>3216.81</v>
      </c>
      <c r="N20">
        <f t="shared" si="3"/>
        <v>-3216.81</v>
      </c>
      <c r="O20">
        <v>0</v>
      </c>
      <c r="Q20">
        <f t="shared" si="4"/>
        <v>0</v>
      </c>
      <c r="T20">
        <f t="shared" si="5"/>
        <v>0</v>
      </c>
    </row>
    <row r="21" spans="1:20" x14ac:dyDescent="0.3">
      <c r="A21" t="str">
        <f xml:space="preserve"> _xll.EPMOlapMemberO("[CECO].[PARENTH3].[AMSA1002AD4503]","","AMSA1002AD4503 - Asunt Publ y Comunid","","000")</f>
        <v>AMSA1002AD4503 - Asunt Publ y Comunid</v>
      </c>
      <c r="B21" t="str">
        <f t="shared" si="0"/>
        <v>1002AD4503</v>
      </c>
      <c r="C21" t="str">
        <f>IFERROR(_xlfn.XLOOKUP(B21,'CECOS Corporativos'!$D:$D,'CECOS Corporativos'!$E:$E,""),"")</f>
        <v>Asuntos Públicos y Comunidades</v>
      </c>
      <c r="D21" t="str">
        <f>IFERROR(_xlfn.XLOOKUP(B21,'CECOS Corporativos'!$D:$D,'CECOS Corporativos'!$J:$J,""),"")</f>
        <v>VP Asuntos Corporativos</v>
      </c>
      <c r="E21" t="str">
        <f xml:space="preserve"> _xll.EPMOlapMemberO("[CLACO].[PARENTH7].[AMSAIMP_PATEN]","","Impuestos / Patentes","","000")</f>
        <v>Impuestos / Patentes</v>
      </c>
      <c r="F21" t="str">
        <f t="shared" si="1"/>
        <v>N100200500</v>
      </c>
      <c r="G21" t="s">
        <v>738</v>
      </c>
      <c r="H21" t="str">
        <f>IFERROR(_xlfn.XLOOKUP(F21,'CECOS Corporativos'!$K:$K,'CECOS Corporativos'!$D:$D,""),"")</f>
        <v>1002AD4503</v>
      </c>
      <c r="J21">
        <v>19125.53</v>
      </c>
      <c r="K21">
        <f t="shared" si="2"/>
        <v>19125.53</v>
      </c>
      <c r="N21">
        <f t="shared" si="3"/>
        <v>0</v>
      </c>
      <c r="Q21">
        <f t="shared" si="4"/>
        <v>0</v>
      </c>
      <c r="T21">
        <f t="shared" si="5"/>
        <v>0</v>
      </c>
    </row>
    <row r="22" spans="1:20" x14ac:dyDescent="0.3">
      <c r="A22" t="str">
        <f xml:space="preserve"> _xll.EPMOlapMemberO("[CECO].[PARENTH3].[AMSA1002AD4503]","","AMSA1002AD4503 - Asunt Publ y Comunid","","000")</f>
        <v>AMSA1002AD4503 - Asunt Publ y Comunid</v>
      </c>
      <c r="B22" t="str">
        <f t="shared" si="0"/>
        <v>1002AD4503</v>
      </c>
      <c r="C22" t="str">
        <f>IFERROR(_xlfn.XLOOKUP(B22,'CECOS Corporativos'!$D:$D,'CECOS Corporativos'!$E:$E,""),"")</f>
        <v>Asuntos Públicos y Comunidades</v>
      </c>
      <c r="D22" t="str">
        <f>IFERROR(_xlfn.XLOOKUP(B22,'CECOS Corporativos'!$D:$D,'CECOS Corporativos'!$J:$J,""),"")</f>
        <v>VP Asuntos Corporativos</v>
      </c>
      <c r="E22" t="str">
        <f xml:space="preserve"> _xll.EPMOlapMemberO("[CLACO].[PARENTH7].[AMSAGGENERALES.2]","","Otros Gastos","","000")</f>
        <v>Otros Gastos</v>
      </c>
      <c r="F22" t="str">
        <f t="shared" si="1"/>
        <v>N100200500</v>
      </c>
      <c r="G22" t="s">
        <v>738</v>
      </c>
      <c r="H22" t="str">
        <f>IFERROR(_xlfn.XLOOKUP(F22,'CECOS Corporativos'!$K:$K,'CECOS Corporativos'!$D:$D,""),"")</f>
        <v>1002AD4503</v>
      </c>
      <c r="I22">
        <v>359972.61</v>
      </c>
      <c r="J22">
        <v>228180.37</v>
      </c>
      <c r="K22">
        <f t="shared" si="2"/>
        <v>-131792.24</v>
      </c>
      <c r="L22">
        <v>83680.149999999994</v>
      </c>
      <c r="M22">
        <v>6872.64</v>
      </c>
      <c r="N22">
        <f t="shared" si="3"/>
        <v>-76807.509999999995</v>
      </c>
      <c r="O22">
        <v>174659.67</v>
      </c>
      <c r="P22">
        <v>109012</v>
      </c>
      <c r="Q22">
        <f t="shared" si="4"/>
        <v>-65647.670000000013</v>
      </c>
      <c r="R22">
        <v>45270.65</v>
      </c>
      <c r="S22">
        <v>73273.34</v>
      </c>
      <c r="T22">
        <f t="shared" si="5"/>
        <v>28002.689999999995</v>
      </c>
    </row>
    <row r="23" spans="1:20" x14ac:dyDescent="0.3">
      <c r="A23" t="str">
        <f xml:space="preserve"> _xll.EPMOlapMemberO("[CECO].[PARENTH3].[AMSA1002AD4503]","","AMSA1002AD4503 - Asunt Publ y Comunid","","000")</f>
        <v>AMSA1002AD4503 - Asunt Publ y Comunid</v>
      </c>
      <c r="B23" t="str">
        <f t="shared" si="0"/>
        <v>1002AD4503</v>
      </c>
      <c r="C23" t="str">
        <f>IFERROR(_xlfn.XLOOKUP(B23,'CECOS Corporativos'!$D:$D,'CECOS Corporativos'!$E:$E,""),"")</f>
        <v>Asuntos Públicos y Comunidades</v>
      </c>
      <c r="D23" t="str">
        <f>IFERROR(_xlfn.XLOOKUP(B23,'CECOS Corporativos'!$D:$D,'CECOS Corporativos'!$J:$J,""),"")</f>
        <v>VP Asuntos Corporativos</v>
      </c>
      <c r="E23" t="str">
        <f xml:space="preserve"> _xll.EPMOlapMemberO("[CLACO].[PARENTH7].[AMSALIQUIDACIO.SEC]","","Liquidación Interna","","000")</f>
        <v>Liquidación Interna</v>
      </c>
      <c r="F23" t="str">
        <f t="shared" si="1"/>
        <v>N100200500</v>
      </c>
      <c r="G23" t="s">
        <v>738</v>
      </c>
      <c r="H23" t="str">
        <f>IFERROR(_xlfn.XLOOKUP(F23,'CECOS Corporativos'!$K:$K,'CECOS Corporativos'!$D:$D,""),"")</f>
        <v>1002AD4503</v>
      </c>
      <c r="K23">
        <f t="shared" si="2"/>
        <v>0</v>
      </c>
      <c r="N23">
        <f t="shared" si="3"/>
        <v>0</v>
      </c>
      <c r="Q23">
        <f t="shared" si="4"/>
        <v>0</v>
      </c>
      <c r="R23">
        <v>79731.59</v>
      </c>
      <c r="T23">
        <f t="shared" si="5"/>
        <v>-79731.59</v>
      </c>
    </row>
    <row r="24" spans="1:20" x14ac:dyDescent="0.3">
      <c r="A24" t="str">
        <f xml:space="preserve"> _xll.EPMOlapMemberO("[CECO].[PARENTH3].[AMSA1002AD4503]","","AMSA1002AD4503 - Asunt Publ y Comunid","","000")</f>
        <v>AMSA1002AD4503 - Asunt Publ y Comunid</v>
      </c>
      <c r="B24" t="str">
        <f t="shared" si="0"/>
        <v>1002AD4503</v>
      </c>
      <c r="C24" t="str">
        <f>IFERROR(_xlfn.XLOOKUP(B24,'CECOS Corporativos'!$D:$D,'CECOS Corporativos'!$E:$E,""),"")</f>
        <v>Asuntos Públicos y Comunidades</v>
      </c>
      <c r="D24" t="str">
        <f>IFERROR(_xlfn.XLOOKUP(B24,'CECOS Corporativos'!$D:$D,'CECOS Corporativos'!$J:$J,""),"")</f>
        <v>VP Asuntos Corporativos</v>
      </c>
      <c r="E24" t="str">
        <f xml:space="preserve"> _xll.EPMOlapMemberO("[CLACO].[PARENTH7].[AMSASERV_CORP]","","Servicios Corporativ","","000")</f>
        <v>Servicios Corporativ</v>
      </c>
      <c r="F24" t="str">
        <f t="shared" si="1"/>
        <v>N100200500</v>
      </c>
      <c r="G24" t="s">
        <v>738</v>
      </c>
      <c r="H24" t="str">
        <f>IFERROR(_xlfn.XLOOKUP(F24,'CECOS Corporativos'!$K:$K,'CECOS Corporativos'!$D:$D,""),"")</f>
        <v>1002AD4503</v>
      </c>
      <c r="I24">
        <v>674324.87</v>
      </c>
      <c r="J24">
        <v>695156.69</v>
      </c>
      <c r="K24">
        <f t="shared" si="2"/>
        <v>20831.819999999949</v>
      </c>
      <c r="L24">
        <v>1061140.6200000001</v>
      </c>
      <c r="M24">
        <v>963261.93</v>
      </c>
      <c r="N24">
        <f t="shared" si="3"/>
        <v>-97878.690000000061</v>
      </c>
      <c r="O24">
        <v>-0.62</v>
      </c>
      <c r="Q24">
        <f t="shared" si="4"/>
        <v>0.62</v>
      </c>
      <c r="T24">
        <f t="shared" si="5"/>
        <v>0</v>
      </c>
    </row>
    <row r="25" spans="1:20" x14ac:dyDescent="0.3">
      <c r="A25" t="str">
        <f xml:space="preserve"> _xll.EPMOlapMemberO("[CECO].[PARENTH3].[AMSA1002AD4506]","","AMSA1002AD4506 - AAPP Corporativo","","000")</f>
        <v>AMSA1002AD4506 - AAPP Corporativo</v>
      </c>
      <c r="B25" t="str">
        <f t="shared" si="0"/>
        <v>1002AD4506</v>
      </c>
      <c r="C25" t="str">
        <f>IFERROR(_xlfn.XLOOKUP(B25,'CECOS Corporativos'!$D:$D,'CECOS Corporativos'!$E:$E,""),"")</f>
        <v>AAPP Corporativo</v>
      </c>
      <c r="D25" t="str">
        <f>IFERROR(_xlfn.XLOOKUP(B25,'CECOS Corporativos'!$D:$D,'CECOS Corporativos'!$J:$J,""),"")</f>
        <v>VP Asuntos Corporativos</v>
      </c>
      <c r="E25" t="str">
        <f xml:space="preserve"> _xll.EPMOlapMemberO("[CLACO].[PARENTH7].[AMSAASESORIAS]","","Asesorías y Consulto","","000")</f>
        <v>Asesorías y Consulto</v>
      </c>
      <c r="F25" t="str">
        <f t="shared" si="1"/>
        <v>N100200500</v>
      </c>
      <c r="G25" t="s">
        <v>738</v>
      </c>
      <c r="H25" t="str">
        <f>IFERROR(_xlfn.XLOOKUP(F25,'CECOS Corporativos'!$K:$K,'CECOS Corporativos'!$D:$D,""),"")</f>
        <v>1002AD4503</v>
      </c>
      <c r="K25">
        <f t="shared" si="2"/>
        <v>0</v>
      </c>
      <c r="L25">
        <v>35378.769999999997</v>
      </c>
      <c r="M25">
        <v>74155.03</v>
      </c>
      <c r="N25">
        <f t="shared" si="3"/>
        <v>38776.26</v>
      </c>
      <c r="O25">
        <v>77685.490000000005</v>
      </c>
      <c r="P25">
        <v>62355</v>
      </c>
      <c r="Q25">
        <f t="shared" si="4"/>
        <v>-15330.490000000005</v>
      </c>
      <c r="R25">
        <v>74003.820000000007</v>
      </c>
      <c r="S25">
        <v>60536.58</v>
      </c>
      <c r="T25">
        <f t="shared" si="5"/>
        <v>-13467.240000000005</v>
      </c>
    </row>
    <row r="26" spans="1:20" x14ac:dyDescent="0.3">
      <c r="A26" t="str">
        <f xml:space="preserve"> _xll.EPMOlapMemberO("[CECO].[PARENTH3].[AMSA1002AD4506]","","AMSA1002AD4506 - AAPP Corporativo","","000")</f>
        <v>AMSA1002AD4506 - AAPP Corporativo</v>
      </c>
      <c r="B26" t="str">
        <f t="shared" si="0"/>
        <v>1002AD4506</v>
      </c>
      <c r="C26" t="str">
        <f>IFERROR(_xlfn.XLOOKUP(B26,'CECOS Corporativos'!$D:$D,'CECOS Corporativos'!$E:$E,""),"")</f>
        <v>AAPP Corporativo</v>
      </c>
      <c r="D26" t="str">
        <f>IFERROR(_xlfn.XLOOKUP(B26,'CECOS Corporativos'!$D:$D,'CECOS Corporativos'!$J:$J,""),"")</f>
        <v>VP Asuntos Corporativos</v>
      </c>
      <c r="E26" t="str">
        <f xml:space="preserve"> _xll.EPMOlapMemberO("[CLACO].[PARENTH7].[AMSASERVICIOS]","","Servicios","","000")</f>
        <v>Servicios</v>
      </c>
      <c r="F26" t="str">
        <f t="shared" si="1"/>
        <v>N100200500</v>
      </c>
      <c r="G26" t="s">
        <v>738</v>
      </c>
      <c r="H26" t="str">
        <f>IFERROR(_xlfn.XLOOKUP(F26,'CECOS Corporativos'!$K:$K,'CECOS Corporativos'!$D:$D,""),"")</f>
        <v>1002AD4503</v>
      </c>
      <c r="K26">
        <f t="shared" si="2"/>
        <v>0</v>
      </c>
      <c r="L26">
        <v>29994.58</v>
      </c>
      <c r="M26">
        <v>66610.289999999994</v>
      </c>
      <c r="N26">
        <f t="shared" si="3"/>
        <v>36615.709999999992</v>
      </c>
      <c r="O26">
        <v>0</v>
      </c>
      <c r="Q26">
        <f t="shared" si="4"/>
        <v>0</v>
      </c>
      <c r="T26">
        <f t="shared" si="5"/>
        <v>0</v>
      </c>
    </row>
    <row r="27" spans="1:20" x14ac:dyDescent="0.3">
      <c r="A27" t="str">
        <f xml:space="preserve"> _xll.EPMOlapMemberO("[CECO].[PARENTH3].[AMSA1002AD4506]","","AMSA1002AD4506 - AAPP Corporativo","","000")</f>
        <v>AMSA1002AD4506 - AAPP Corporativo</v>
      </c>
      <c r="B27" t="str">
        <f t="shared" si="0"/>
        <v>1002AD4506</v>
      </c>
      <c r="C27" t="str">
        <f>IFERROR(_xlfn.XLOOKUP(B27,'CECOS Corporativos'!$D:$D,'CECOS Corporativos'!$E:$E,""),"")</f>
        <v>AAPP Corporativo</v>
      </c>
      <c r="D27" t="str">
        <f>IFERROR(_xlfn.XLOOKUP(B27,'CECOS Corporativos'!$D:$D,'CECOS Corporativos'!$J:$J,""),"")</f>
        <v>VP Asuntos Corporativos</v>
      </c>
      <c r="E27" t="str">
        <f xml:space="preserve"> _xll.EPMOlapMemberO("[CLACO].[PARENTH7].[AMSAINFORMATIC]","","Informática y Comuni","","000")</f>
        <v>Informática y Comuni</v>
      </c>
      <c r="F27" t="str">
        <f t="shared" si="1"/>
        <v>N100200500</v>
      </c>
      <c r="G27" t="s">
        <v>738</v>
      </c>
      <c r="H27" t="str">
        <f>IFERROR(_xlfn.XLOOKUP(F27,'CECOS Corporativos'!$K:$K,'CECOS Corporativos'!$D:$D,""),"")</f>
        <v>1002AD4503</v>
      </c>
      <c r="K27">
        <f t="shared" si="2"/>
        <v>0</v>
      </c>
      <c r="L27">
        <v>0</v>
      </c>
      <c r="M27">
        <v>4688.22</v>
      </c>
      <c r="N27">
        <f t="shared" si="3"/>
        <v>4688.22</v>
      </c>
      <c r="Q27">
        <f t="shared" si="4"/>
        <v>0</v>
      </c>
      <c r="T27">
        <f t="shared" si="5"/>
        <v>0</v>
      </c>
    </row>
    <row r="28" spans="1:20" x14ac:dyDescent="0.3">
      <c r="A28" t="str">
        <f xml:space="preserve"> _xll.EPMOlapMemberO("[CECO].[PARENTH3].[AMSA1002AD4506]","","AMSA1002AD4506 - AAPP Corporativo","","000")</f>
        <v>AMSA1002AD4506 - AAPP Corporativo</v>
      </c>
      <c r="B28" t="str">
        <f t="shared" si="0"/>
        <v>1002AD4506</v>
      </c>
      <c r="C28" t="str">
        <f>IFERROR(_xlfn.XLOOKUP(B28,'CECOS Corporativos'!$D:$D,'CECOS Corporativos'!$E:$E,""),"")</f>
        <v>AAPP Corporativo</v>
      </c>
      <c r="D28" t="str">
        <f>IFERROR(_xlfn.XLOOKUP(B28,'CECOS Corporativos'!$D:$D,'CECOS Corporativos'!$J:$J,""),"")</f>
        <v>VP Asuntos Corporativos</v>
      </c>
      <c r="E28" t="str">
        <f xml:space="preserve"> _xll.EPMOlapMemberO("[CLACO].[PARENTH7].[AMSAG_VIAJES]","","Gastos de Viajes","","000")</f>
        <v>Gastos de Viajes</v>
      </c>
      <c r="F28" t="str">
        <f t="shared" si="1"/>
        <v>N100200500</v>
      </c>
      <c r="G28" t="s">
        <v>738</v>
      </c>
      <c r="H28" t="str">
        <f>IFERROR(_xlfn.XLOOKUP(F28,'CECOS Corporativos'!$K:$K,'CECOS Corporativos'!$D:$D,""),"")</f>
        <v>1002AD4503</v>
      </c>
      <c r="K28">
        <f t="shared" si="2"/>
        <v>0</v>
      </c>
      <c r="L28">
        <v>137.79</v>
      </c>
      <c r="N28">
        <f t="shared" si="3"/>
        <v>-137.79</v>
      </c>
      <c r="Q28">
        <f t="shared" si="4"/>
        <v>0</v>
      </c>
      <c r="R28">
        <v>76.709999999999994</v>
      </c>
      <c r="T28">
        <f t="shared" si="5"/>
        <v>-76.709999999999994</v>
      </c>
    </row>
    <row r="29" spans="1:20" x14ac:dyDescent="0.3">
      <c r="A29" t="str">
        <f xml:space="preserve"> _xll.EPMOlapMemberO("[CECO].[PARENTH3].[AMSA1002AD4506]","","AMSA1002AD4506 - AAPP Corporativo","","000")</f>
        <v>AMSA1002AD4506 - AAPP Corporativo</v>
      </c>
      <c r="B29" t="str">
        <f t="shared" si="0"/>
        <v>1002AD4506</v>
      </c>
      <c r="C29" t="str">
        <f>IFERROR(_xlfn.XLOOKUP(B29,'CECOS Corporativos'!$D:$D,'CECOS Corporativos'!$E:$E,""),"")</f>
        <v>AAPP Corporativo</v>
      </c>
      <c r="D29" t="str">
        <f>IFERROR(_xlfn.XLOOKUP(B29,'CECOS Corporativos'!$D:$D,'CECOS Corporativos'!$J:$J,""),"")</f>
        <v>VP Asuntos Corporativos</v>
      </c>
      <c r="E29" t="str">
        <f xml:space="preserve"> _xll.EPMOlapMemberO("[CLACO].[PARENTH7].[AMSAGGENERALES.2]","","Otros Gastos","","000")</f>
        <v>Otros Gastos</v>
      </c>
      <c r="F29" t="str">
        <f t="shared" si="1"/>
        <v>N100200500</v>
      </c>
      <c r="G29" t="s">
        <v>738</v>
      </c>
      <c r="H29" t="str">
        <f>IFERROR(_xlfn.XLOOKUP(F29,'CECOS Corporativos'!$K:$K,'CECOS Corporativos'!$D:$D,""),"")</f>
        <v>1002AD4503</v>
      </c>
      <c r="K29">
        <f t="shared" si="2"/>
        <v>0</v>
      </c>
      <c r="L29">
        <v>87258.77</v>
      </c>
      <c r="M29">
        <v>86766.79</v>
      </c>
      <c r="N29">
        <f t="shared" si="3"/>
        <v>-491.98000000001048</v>
      </c>
      <c r="O29">
        <v>755.32</v>
      </c>
      <c r="Q29">
        <f t="shared" si="4"/>
        <v>-755.32</v>
      </c>
      <c r="R29">
        <v>12048.75</v>
      </c>
      <c r="S29">
        <v>21528.2</v>
      </c>
      <c r="T29">
        <f t="shared" si="5"/>
        <v>9479.4500000000007</v>
      </c>
    </row>
    <row r="30" spans="1:20" x14ac:dyDescent="0.3">
      <c r="A30" t="str">
        <f xml:space="preserve"> _xll.EPMOlapMemberO("[CECO].[PARENTH3].[AMSA1002AD4507]","","AMSA1002AD4507 - Comunica Corporativo","","000")</f>
        <v>AMSA1002AD4507 - Comunica Corporativo</v>
      </c>
      <c r="B30" t="str">
        <f t="shared" si="0"/>
        <v>1002AD4507</v>
      </c>
      <c r="C30" t="str">
        <f>IFERROR(_xlfn.XLOOKUP(B30,'CECOS Corporativos'!$D:$D,'CECOS Corporativos'!$E:$E,""),"")</f>
        <v>Comunicaciones Corporativo</v>
      </c>
      <c r="D30" t="str">
        <f>IFERROR(_xlfn.XLOOKUP(B30,'CECOS Corporativos'!$D:$D,'CECOS Corporativos'!$J:$J,""),"")</f>
        <v>VP Asuntos Corporativos</v>
      </c>
      <c r="E30" t="str">
        <f xml:space="preserve"> _xll.EPMOlapMemberO("[CLACO].[PARENTH7].[AMSAASESORIAS]","","Asesorías y Consulto","","000")</f>
        <v>Asesorías y Consulto</v>
      </c>
      <c r="F30" t="str">
        <f t="shared" si="1"/>
        <v>N100200500</v>
      </c>
      <c r="G30" t="s">
        <v>738</v>
      </c>
      <c r="H30" t="str">
        <f>IFERROR(_xlfn.XLOOKUP(F30,'CECOS Corporativos'!$K:$K,'CECOS Corporativos'!$D:$D,""),"")</f>
        <v>1002AD4503</v>
      </c>
      <c r="K30">
        <f t="shared" si="2"/>
        <v>0</v>
      </c>
      <c r="L30">
        <v>22211.97</v>
      </c>
      <c r="M30">
        <v>11850.89</v>
      </c>
      <c r="N30">
        <f t="shared" si="3"/>
        <v>-10361.080000000002</v>
      </c>
      <c r="O30">
        <v>40349.74</v>
      </c>
      <c r="P30">
        <v>21666</v>
      </c>
      <c r="Q30">
        <f t="shared" si="4"/>
        <v>-18683.739999999998</v>
      </c>
      <c r="R30">
        <v>1001.26</v>
      </c>
      <c r="T30">
        <f t="shared" si="5"/>
        <v>-1001.26</v>
      </c>
    </row>
    <row r="31" spans="1:20" x14ac:dyDescent="0.3">
      <c r="A31" t="str">
        <f xml:space="preserve"> _xll.EPMOlapMemberO("[CECO].[PARENTH3].[AMSA1002AD4507]","","AMSA1002AD4507 - Comunica Corporativo","","000")</f>
        <v>AMSA1002AD4507 - Comunica Corporativo</v>
      </c>
      <c r="B31" t="str">
        <f t="shared" si="0"/>
        <v>1002AD4507</v>
      </c>
      <c r="C31" t="str">
        <f>IFERROR(_xlfn.XLOOKUP(B31,'CECOS Corporativos'!$D:$D,'CECOS Corporativos'!$E:$E,""),"")</f>
        <v>Comunicaciones Corporativo</v>
      </c>
      <c r="D31" t="str">
        <f>IFERROR(_xlfn.XLOOKUP(B31,'CECOS Corporativos'!$D:$D,'CECOS Corporativos'!$J:$J,""),"")</f>
        <v>VP Asuntos Corporativos</v>
      </c>
      <c r="E31" t="str">
        <f xml:space="preserve"> _xll.EPMOlapMemberO("[CLACO].[PARENTH7].[AMSAINFORMATIC]","","Informática y Comuni","","000")</f>
        <v>Informática y Comuni</v>
      </c>
      <c r="F31" t="str">
        <f t="shared" si="1"/>
        <v>N100200500</v>
      </c>
      <c r="G31" t="s">
        <v>738</v>
      </c>
      <c r="H31" t="str">
        <f>IFERROR(_xlfn.XLOOKUP(F31,'CECOS Corporativos'!$K:$K,'CECOS Corporativos'!$D:$D,""),"")</f>
        <v>1002AD4503</v>
      </c>
      <c r="K31">
        <f t="shared" si="2"/>
        <v>0</v>
      </c>
      <c r="M31">
        <v>34349.83</v>
      </c>
      <c r="N31">
        <f t="shared" si="3"/>
        <v>34349.83</v>
      </c>
      <c r="P31">
        <v>22220</v>
      </c>
      <c r="Q31">
        <f t="shared" si="4"/>
        <v>22220</v>
      </c>
      <c r="R31">
        <v>4848.66</v>
      </c>
      <c r="S31">
        <v>49388.639999999999</v>
      </c>
      <c r="T31">
        <f t="shared" si="5"/>
        <v>44539.979999999996</v>
      </c>
    </row>
    <row r="32" spans="1:20" x14ac:dyDescent="0.3">
      <c r="A32" t="str">
        <f xml:space="preserve"> _xll.EPMOlapMemberO("[CECO].[PARENTH3].[AMSA1002AD4507]","","AMSA1002AD4507 - Comunica Corporativo","","000")</f>
        <v>AMSA1002AD4507 - Comunica Corporativo</v>
      </c>
      <c r="B32" t="str">
        <f t="shared" si="0"/>
        <v>1002AD4507</v>
      </c>
      <c r="C32" t="str">
        <f>IFERROR(_xlfn.XLOOKUP(B32,'CECOS Corporativos'!$D:$D,'CECOS Corporativos'!$E:$E,""),"")</f>
        <v>Comunicaciones Corporativo</v>
      </c>
      <c r="D32" t="str">
        <f>IFERROR(_xlfn.XLOOKUP(B32,'CECOS Corporativos'!$D:$D,'CECOS Corporativos'!$J:$J,""),"")</f>
        <v>VP Asuntos Corporativos</v>
      </c>
      <c r="E32" t="str">
        <f xml:space="preserve"> _xll.EPMOlapMemberO("[CLACO].[PARENTH7].[AMSAGGENERALES.2]","","Otros Gastos","","000")</f>
        <v>Otros Gastos</v>
      </c>
      <c r="F32" t="str">
        <f t="shared" si="1"/>
        <v>N100200500</v>
      </c>
      <c r="G32" t="s">
        <v>738</v>
      </c>
      <c r="H32" t="str">
        <f>IFERROR(_xlfn.XLOOKUP(F32,'CECOS Corporativos'!$K:$K,'CECOS Corporativos'!$D:$D,""),"")</f>
        <v>1002AD4503</v>
      </c>
      <c r="K32">
        <f t="shared" si="2"/>
        <v>0</v>
      </c>
      <c r="M32">
        <v>55781.81</v>
      </c>
      <c r="N32">
        <f t="shared" si="3"/>
        <v>55781.81</v>
      </c>
      <c r="O32">
        <v>95677.2</v>
      </c>
      <c r="P32">
        <v>114820</v>
      </c>
      <c r="Q32">
        <f t="shared" si="4"/>
        <v>19142.800000000003</v>
      </c>
      <c r="R32">
        <v>423094.47</v>
      </c>
      <c r="S32">
        <v>154757.54999999999</v>
      </c>
      <c r="T32">
        <f t="shared" si="5"/>
        <v>-268336.92</v>
      </c>
    </row>
    <row r="33" spans="1:20" x14ac:dyDescent="0.3">
      <c r="A33" t="str">
        <f xml:space="preserve"> _xll.EPMOlapMemberO("[CECO].[PARENTH3].[AMSA1002AD4509]","","AMSA1002AD4509 - AAPP y RRII","","000")</f>
        <v>AMSA1002AD4509 - AAPP y RRII</v>
      </c>
      <c r="B33" t="str">
        <f t="shared" si="0"/>
        <v>1002AD4509</v>
      </c>
      <c r="C33" t="str">
        <f>IFERROR(_xlfn.XLOOKUP(B33,'CECOS Corporativos'!$D:$D,'CECOS Corporativos'!$E:$E,""),"")</f>
        <v>AAPP y RRII</v>
      </c>
      <c r="D33" t="str">
        <f>IFERROR(_xlfn.XLOOKUP(B33,'CECOS Corporativos'!$D:$D,'CECOS Corporativos'!$J:$J,""),"")</f>
        <v>VP Asuntos Corporativos</v>
      </c>
      <c r="E33" t="str">
        <f xml:space="preserve"> _xll.EPMOlapMemberO("[CLACO].[PARENTH7].[AMSASERVICIOS]","","Servicios","","000")</f>
        <v>Servicios</v>
      </c>
      <c r="F33" t="str">
        <f t="shared" si="1"/>
        <v>N100200500</v>
      </c>
      <c r="G33" t="s">
        <v>738</v>
      </c>
      <c r="H33" t="str">
        <f>IFERROR(_xlfn.XLOOKUP(F33,'CECOS Corporativos'!$K:$K,'CECOS Corporativos'!$D:$D,""),"")</f>
        <v>1002AD4503</v>
      </c>
      <c r="K33">
        <f t="shared" si="2"/>
        <v>0</v>
      </c>
      <c r="M33">
        <v>34888.199999999997</v>
      </c>
      <c r="N33">
        <f t="shared" si="3"/>
        <v>34888.199999999997</v>
      </c>
      <c r="O33">
        <v>0</v>
      </c>
      <c r="P33">
        <v>101875</v>
      </c>
      <c r="Q33">
        <f t="shared" si="4"/>
        <v>101875</v>
      </c>
      <c r="R33">
        <v>1189.1300000000001</v>
      </c>
      <c r="S33">
        <v>4224.32</v>
      </c>
      <c r="T33">
        <f t="shared" si="5"/>
        <v>3035.1899999999996</v>
      </c>
    </row>
    <row r="34" spans="1:20" x14ac:dyDescent="0.3">
      <c r="A34" t="str">
        <f xml:space="preserve"> _xll.EPMOlapMemberO("[CECO].[PARENTH3].[AMSA1002AD4509]","","AMSA1002AD4509 - AAPP y RRII","","000")</f>
        <v>AMSA1002AD4509 - AAPP y RRII</v>
      </c>
      <c r="B34" t="str">
        <f t="shared" si="0"/>
        <v>1002AD4509</v>
      </c>
      <c r="C34" t="str">
        <f>IFERROR(_xlfn.XLOOKUP(B34,'CECOS Corporativos'!$D:$D,'CECOS Corporativos'!$E:$E,""),"")</f>
        <v>AAPP y RRII</v>
      </c>
      <c r="D34" t="str">
        <f>IFERROR(_xlfn.XLOOKUP(B34,'CECOS Corporativos'!$D:$D,'CECOS Corporativos'!$J:$J,""),"")</f>
        <v>VP Asuntos Corporativos</v>
      </c>
      <c r="E34" t="str">
        <f xml:space="preserve"> _xll.EPMOlapMemberO("[CLACO].[PARENTH7].[AMSAINFORMATIC]","","Informática y Comuni","","000")</f>
        <v>Informática y Comuni</v>
      </c>
      <c r="F34" t="str">
        <f t="shared" si="1"/>
        <v>N100200500</v>
      </c>
      <c r="G34" t="s">
        <v>738</v>
      </c>
      <c r="H34" t="str">
        <f>IFERROR(_xlfn.XLOOKUP(F34,'CECOS Corporativos'!$K:$K,'CECOS Corporativos'!$D:$D,""),"")</f>
        <v>1002AD4503</v>
      </c>
      <c r="K34">
        <f t="shared" si="2"/>
        <v>0</v>
      </c>
      <c r="N34">
        <f t="shared" si="3"/>
        <v>0</v>
      </c>
      <c r="O34">
        <v>813.11</v>
      </c>
      <c r="P34">
        <v>15144</v>
      </c>
      <c r="Q34">
        <f t="shared" si="4"/>
        <v>14330.89</v>
      </c>
      <c r="R34">
        <v>-813.11</v>
      </c>
      <c r="T34">
        <f t="shared" si="5"/>
        <v>813.11</v>
      </c>
    </row>
    <row r="35" spans="1:20" x14ac:dyDescent="0.3">
      <c r="A35" t="str">
        <f xml:space="preserve"> _xll.EPMOlapMemberO("[CECO].[PARENTH3].[AMSA1002AD4509]","","AMSA1002AD4509 - AAPP y RRII","","000")</f>
        <v>AMSA1002AD4509 - AAPP y RRII</v>
      </c>
      <c r="B35" t="str">
        <f t="shared" si="0"/>
        <v>1002AD4509</v>
      </c>
      <c r="C35" t="str">
        <f>IFERROR(_xlfn.XLOOKUP(B35,'CECOS Corporativos'!$D:$D,'CECOS Corporativos'!$E:$E,""),"")</f>
        <v>AAPP y RRII</v>
      </c>
      <c r="D35" t="str">
        <f>IFERROR(_xlfn.XLOOKUP(B35,'CECOS Corporativos'!$D:$D,'CECOS Corporativos'!$J:$J,""),"")</f>
        <v>VP Asuntos Corporativos</v>
      </c>
      <c r="E35" t="str">
        <f xml:space="preserve"> _xll.EPMOlapMemberO("[CLACO].[PARENTH7].[AMSAG_VIAJES]","","Gastos de Viajes","","000")</f>
        <v>Gastos de Viajes</v>
      </c>
      <c r="F35" t="str">
        <f t="shared" si="1"/>
        <v>N100200500</v>
      </c>
      <c r="G35" t="s">
        <v>738</v>
      </c>
      <c r="H35" t="str">
        <f>IFERROR(_xlfn.XLOOKUP(F35,'CECOS Corporativos'!$K:$K,'CECOS Corporativos'!$D:$D,""),"")</f>
        <v>1002AD4503</v>
      </c>
      <c r="K35">
        <f t="shared" si="2"/>
        <v>0</v>
      </c>
      <c r="L35">
        <v>61.46</v>
      </c>
      <c r="N35">
        <f t="shared" si="3"/>
        <v>-61.46</v>
      </c>
      <c r="Q35">
        <f t="shared" si="4"/>
        <v>0</v>
      </c>
      <c r="T35">
        <f t="shared" si="5"/>
        <v>0</v>
      </c>
    </row>
    <row r="36" spans="1:20" x14ac:dyDescent="0.3">
      <c r="A36" t="str">
        <f xml:space="preserve"> _xll.EPMOlapMemberO("[CECO].[PARENTH3].[AMSA1002AD4509]","","AMSA1002AD4509 - AAPP y RRII","","000")</f>
        <v>AMSA1002AD4509 - AAPP y RRII</v>
      </c>
      <c r="B36" t="str">
        <f t="shared" si="0"/>
        <v>1002AD4509</v>
      </c>
      <c r="C36" t="str">
        <f>IFERROR(_xlfn.XLOOKUP(B36,'CECOS Corporativos'!$D:$D,'CECOS Corporativos'!$E:$E,""),"")</f>
        <v>AAPP y RRII</v>
      </c>
      <c r="D36" t="str">
        <f>IFERROR(_xlfn.XLOOKUP(B36,'CECOS Corporativos'!$D:$D,'CECOS Corporativos'!$J:$J,""),"")</f>
        <v>VP Asuntos Corporativos</v>
      </c>
      <c r="E36" t="str">
        <f xml:space="preserve"> _xll.EPMOlapMemberO("[CLACO].[PARENTH7].[AMSAGGENERALES.2]","","Otros Gastos","","000")</f>
        <v>Otros Gastos</v>
      </c>
      <c r="F36" t="str">
        <f t="shared" si="1"/>
        <v>N100200500</v>
      </c>
      <c r="G36" t="s">
        <v>738</v>
      </c>
      <c r="H36" t="str">
        <f>IFERROR(_xlfn.XLOOKUP(F36,'CECOS Corporativos'!$K:$K,'CECOS Corporativos'!$D:$D,""),"")</f>
        <v>1002AD4503</v>
      </c>
      <c r="K36">
        <f t="shared" si="2"/>
        <v>0</v>
      </c>
      <c r="L36">
        <v>192821.59</v>
      </c>
      <c r="M36">
        <v>353748.37</v>
      </c>
      <c r="N36">
        <f t="shared" si="3"/>
        <v>160926.78</v>
      </c>
      <c r="O36">
        <v>54849.57</v>
      </c>
      <c r="P36">
        <v>203946.67</v>
      </c>
      <c r="Q36">
        <f t="shared" si="4"/>
        <v>149097.1</v>
      </c>
      <c r="R36">
        <v>95248.46</v>
      </c>
      <c r="S36">
        <v>153405.32999999999</v>
      </c>
      <c r="T36">
        <f t="shared" si="5"/>
        <v>58156.869999999981</v>
      </c>
    </row>
    <row r="37" spans="1:20" x14ac:dyDescent="0.3">
      <c r="A37" s="2" t="str">
        <f xml:space="preserve"> _xll.EPMOlapMemberO("[CECO].[PARENTH3].[AMSA1002AD4509]","","AMSA1002AD4509 - AAPP y RRII","","000")</f>
        <v>AMSA1002AD4509 - AAPP y RRII</v>
      </c>
      <c r="B37" t="str">
        <f t="shared" si="0"/>
        <v>1002AD4509</v>
      </c>
      <c r="C37" t="str">
        <f>IFERROR(_xlfn.XLOOKUP(B37,'CECOS Corporativos'!$D:$D,'CECOS Corporativos'!$E:$E,""),"")</f>
        <v>AAPP y RRII</v>
      </c>
      <c r="D37" t="str">
        <f>IFERROR(_xlfn.XLOOKUP(B37,'CECOS Corporativos'!$D:$D,'CECOS Corporativos'!$J:$J,""),"")</f>
        <v>VP Asuntos Corporativos</v>
      </c>
      <c r="E37" t="str">
        <f xml:space="preserve"> _xll.EPMOlapMemberO("[CLACO].[PARENTH7].[AMSALIQUIDACIO.SEC]","","Liquidación Interna","","000")</f>
        <v>Liquidación Interna</v>
      </c>
      <c r="F37" t="str">
        <f t="shared" si="1"/>
        <v>N100200500</v>
      </c>
      <c r="G37" t="s">
        <v>738</v>
      </c>
      <c r="H37" t="str">
        <f>IFERROR(_xlfn.XLOOKUP(F37,'CECOS Corporativos'!$K:$K,'CECOS Corporativos'!$D:$D,""),"")</f>
        <v>1002AD4503</v>
      </c>
      <c r="K37">
        <f t="shared" si="2"/>
        <v>0</v>
      </c>
      <c r="N37">
        <f t="shared" si="3"/>
        <v>0</v>
      </c>
      <c r="Q37">
        <f t="shared" si="4"/>
        <v>0</v>
      </c>
      <c r="R37">
        <v>-56233.19</v>
      </c>
      <c r="T37">
        <f t="shared" si="5"/>
        <v>56233.19</v>
      </c>
    </row>
    <row r="38" spans="1:20" x14ac:dyDescent="0.3">
      <c r="A38" s="4" t="str">
        <f xml:space="preserve"> _xll.EPMOlapMemberO("[CECO].[PARENTH3].[AMSA1002AD0503]","","AMSA1002AD0503 - Corporativo","","000")</f>
        <v>AMSA1002AD0503 - Corporativo</v>
      </c>
      <c r="B38" t="str">
        <f t="shared" si="0"/>
        <v>1002AD0503</v>
      </c>
      <c r="C38" t="str">
        <f>IFERROR(_xlfn.XLOOKUP(B38,'CECOS Corporativos'!$D:$D,'CECOS Corporativos'!$E:$E,""),"")</f>
        <v>Auditoría (HH Corporativo)</v>
      </c>
      <c r="D38" t="str">
        <f>IFERROR(_xlfn.XLOOKUP(B38,'CECOS Corporativos'!$D:$D,'CECOS Corporativos'!$J:$J,""),"")</f>
        <v>Auditoría (HH Corporativo)</v>
      </c>
      <c r="E38" t="str">
        <f xml:space="preserve"> _xll.EPMOlapMemberO("[CLACO].[PARENTH7].[AMSAMAT_Y_REP.2]","","Materiales y repuest","","000")</f>
        <v>Materiales y repuest</v>
      </c>
      <c r="F38" t="str">
        <f t="shared" si="1"/>
        <v>N1002AD050</v>
      </c>
      <c r="G38" t="s">
        <v>739</v>
      </c>
      <c r="H38" t="str">
        <f>IFERROR(_xlfn.XLOOKUP(F38,'CECOS Corporativos'!$K:$K,'CECOS Corporativos'!$D:$D,""),"")</f>
        <v>1002AD0508</v>
      </c>
      <c r="K38">
        <f t="shared" si="2"/>
        <v>0</v>
      </c>
      <c r="L38">
        <v>294.94</v>
      </c>
      <c r="N38">
        <f t="shared" si="3"/>
        <v>-294.94</v>
      </c>
      <c r="Q38">
        <f t="shared" si="4"/>
        <v>0</v>
      </c>
      <c r="T38">
        <f t="shared" si="5"/>
        <v>0</v>
      </c>
    </row>
    <row r="39" spans="1:20" x14ac:dyDescent="0.3">
      <c r="A39" s="4" t="str">
        <f xml:space="preserve"> _xll.EPMOlapMemberO("[CECO].[PARENTH3].[AMSA1002AD0503]","","AMSA1002AD0503 - Corporativo","","000")</f>
        <v>AMSA1002AD0503 - Corporativo</v>
      </c>
      <c r="B39" t="str">
        <f t="shared" si="0"/>
        <v>1002AD0503</v>
      </c>
      <c r="C39" t="str">
        <f>IFERROR(_xlfn.XLOOKUP(B39,'CECOS Corporativos'!$D:$D,'CECOS Corporativos'!$E:$E,""),"")</f>
        <v>Auditoría (HH Corporativo)</v>
      </c>
      <c r="D39" t="str">
        <f>IFERROR(_xlfn.XLOOKUP(B39,'CECOS Corporativos'!$D:$D,'CECOS Corporativos'!$J:$J,""),"")</f>
        <v>Auditoría (HH Corporativo)</v>
      </c>
      <c r="E39" t="str">
        <f xml:space="preserve"> _xll.EPMOlapMemberO("[CLACO].[PARENTH7].[AMSAASESORIAS]","","Asesorías y Consulto","","000")</f>
        <v>Asesorías y Consulto</v>
      </c>
      <c r="F39" t="str">
        <f t="shared" si="1"/>
        <v>N1002AD050</v>
      </c>
      <c r="G39" t="s">
        <v>739</v>
      </c>
      <c r="H39" t="str">
        <f>IFERROR(_xlfn.XLOOKUP(F39,'CECOS Corporativos'!$K:$K,'CECOS Corporativos'!$D:$D,""),"")</f>
        <v>1002AD0508</v>
      </c>
      <c r="I39">
        <v>-47756.01</v>
      </c>
      <c r="K39">
        <f t="shared" si="2"/>
        <v>47756.01</v>
      </c>
      <c r="L39">
        <v>127724.44</v>
      </c>
      <c r="N39">
        <f t="shared" si="3"/>
        <v>-127724.44</v>
      </c>
      <c r="O39">
        <v>0</v>
      </c>
      <c r="Q39">
        <f t="shared" si="4"/>
        <v>0</v>
      </c>
      <c r="T39">
        <f t="shared" si="5"/>
        <v>0</v>
      </c>
    </row>
    <row r="40" spans="1:20" x14ac:dyDescent="0.3">
      <c r="A40" s="4" t="str">
        <f xml:space="preserve"> _xll.EPMOlapMemberO("[CECO].[PARENTH3].[AMSA1002AD0503]","","AMSA1002AD0503 - Corporativo","","000")</f>
        <v>AMSA1002AD0503 - Corporativo</v>
      </c>
      <c r="B40" t="str">
        <f t="shared" si="0"/>
        <v>1002AD0503</v>
      </c>
      <c r="C40" t="str">
        <f>IFERROR(_xlfn.XLOOKUP(B40,'CECOS Corporativos'!$D:$D,'CECOS Corporativos'!$E:$E,""),"")</f>
        <v>Auditoría (HH Corporativo)</v>
      </c>
      <c r="D40" t="str">
        <f>IFERROR(_xlfn.XLOOKUP(B40,'CECOS Corporativos'!$D:$D,'CECOS Corporativos'!$J:$J,""),"")</f>
        <v>Auditoría (HH Corporativo)</v>
      </c>
      <c r="E40" t="str">
        <f xml:space="preserve"> _xll.EPMOlapMemberO("[CLACO].[PARENTH7].[AMSAARRIENDOS]","","Arriendos","","000")</f>
        <v>Arriendos</v>
      </c>
      <c r="F40" t="str">
        <f t="shared" si="1"/>
        <v>N1002AD050</v>
      </c>
      <c r="G40" t="s">
        <v>739</v>
      </c>
      <c r="H40" t="str">
        <f>IFERROR(_xlfn.XLOOKUP(F40,'CECOS Corporativos'!$K:$K,'CECOS Corporativos'!$D:$D,""),"")</f>
        <v>1002AD0508</v>
      </c>
      <c r="I40">
        <v>64411.08</v>
      </c>
      <c r="K40">
        <f t="shared" si="2"/>
        <v>-64411.08</v>
      </c>
      <c r="L40">
        <v>14777.58</v>
      </c>
      <c r="N40">
        <f t="shared" si="3"/>
        <v>-14777.58</v>
      </c>
      <c r="Q40">
        <f t="shared" si="4"/>
        <v>0</v>
      </c>
      <c r="T40">
        <f t="shared" si="5"/>
        <v>0</v>
      </c>
    </row>
    <row r="41" spans="1:20" x14ac:dyDescent="0.3">
      <c r="A41" s="4" t="str">
        <f xml:space="preserve"> _xll.EPMOlapMemberO("[CECO].[PARENTH3].[AMSA1002AD0503]","","AMSA1002AD0503 - Corporativo","","000")</f>
        <v>AMSA1002AD0503 - Corporativo</v>
      </c>
      <c r="B41" t="str">
        <f t="shared" si="0"/>
        <v>1002AD0503</v>
      </c>
      <c r="C41" t="str">
        <f>IFERROR(_xlfn.XLOOKUP(B41,'CECOS Corporativos'!$D:$D,'CECOS Corporativos'!$E:$E,""),"")</f>
        <v>Auditoría (HH Corporativo)</v>
      </c>
      <c r="D41" t="str">
        <f>IFERROR(_xlfn.XLOOKUP(B41,'CECOS Corporativos'!$D:$D,'CECOS Corporativos'!$J:$J,""),"")</f>
        <v>Auditoría (HH Corporativo)</v>
      </c>
      <c r="E41" t="str">
        <f xml:space="preserve"> _xll.EPMOlapMemberO("[CLACO].[PARENTH7].[AMSASERVICIOS]","","Servicios","","000")</f>
        <v>Servicios</v>
      </c>
      <c r="F41" t="str">
        <f t="shared" si="1"/>
        <v>N1002AD050</v>
      </c>
      <c r="G41" t="s">
        <v>739</v>
      </c>
      <c r="H41" t="str">
        <f>IFERROR(_xlfn.XLOOKUP(F41,'CECOS Corporativos'!$K:$K,'CECOS Corporativos'!$D:$D,""),"")</f>
        <v>1002AD0508</v>
      </c>
      <c r="I41">
        <v>159544.54999999999</v>
      </c>
      <c r="K41">
        <f t="shared" si="2"/>
        <v>-159544.54999999999</v>
      </c>
      <c r="L41">
        <v>205426.04</v>
      </c>
      <c r="N41">
        <f t="shared" si="3"/>
        <v>-205426.04</v>
      </c>
      <c r="O41">
        <v>14066.76</v>
      </c>
      <c r="P41">
        <v>5000.05</v>
      </c>
      <c r="Q41">
        <f t="shared" si="4"/>
        <v>-9066.7099999999991</v>
      </c>
      <c r="R41">
        <v>9680.7900000000009</v>
      </c>
      <c r="T41">
        <f t="shared" si="5"/>
        <v>-9680.7900000000009</v>
      </c>
    </row>
    <row r="42" spans="1:20" x14ac:dyDescent="0.3">
      <c r="A42" s="4" t="str">
        <f xml:space="preserve"> _xll.EPMOlapMemberO("[CECO].[PARENTH3].[AMSA1002AD0503]","","AMSA1002AD0503 - Corporativo","","000")</f>
        <v>AMSA1002AD0503 - Corporativo</v>
      </c>
      <c r="B42" t="str">
        <f t="shared" si="0"/>
        <v>1002AD0503</v>
      </c>
      <c r="C42" t="str">
        <f>IFERROR(_xlfn.XLOOKUP(B42,'CECOS Corporativos'!$D:$D,'CECOS Corporativos'!$E:$E,""),"")</f>
        <v>Auditoría (HH Corporativo)</v>
      </c>
      <c r="D42" t="str">
        <f>IFERROR(_xlfn.XLOOKUP(B42,'CECOS Corporativos'!$D:$D,'CECOS Corporativos'!$J:$J,""),"")</f>
        <v>Auditoría (HH Corporativo)</v>
      </c>
      <c r="E42" t="str">
        <f xml:space="preserve"> _xll.EPMOlapMemberO("[CLACO].[PARENTH7].[AMSAINFORMATIC]","","Informática y Comuni","","000")</f>
        <v>Informática y Comuni</v>
      </c>
      <c r="F42" t="str">
        <f t="shared" si="1"/>
        <v>N1002AD050</v>
      </c>
      <c r="G42" t="s">
        <v>739</v>
      </c>
      <c r="H42" t="str">
        <f>IFERROR(_xlfn.XLOOKUP(F42,'CECOS Corporativos'!$K:$K,'CECOS Corporativos'!$D:$D,""),"")</f>
        <v>1002AD0508</v>
      </c>
      <c r="I42">
        <v>2190</v>
      </c>
      <c r="K42">
        <f t="shared" si="2"/>
        <v>-2190</v>
      </c>
      <c r="N42">
        <f t="shared" si="3"/>
        <v>0</v>
      </c>
      <c r="Q42">
        <f t="shared" si="4"/>
        <v>0</v>
      </c>
      <c r="T42">
        <f t="shared" si="5"/>
        <v>0</v>
      </c>
    </row>
    <row r="43" spans="1:20" x14ac:dyDescent="0.3">
      <c r="A43" s="4" t="str">
        <f xml:space="preserve"> _xll.EPMOlapMemberO("[CECO].[PARENTH3].[AMSA1002AD0503]","","AMSA1002AD0503 - Corporativo","","000")</f>
        <v>AMSA1002AD0503 - Corporativo</v>
      </c>
      <c r="B43" t="str">
        <f t="shared" si="0"/>
        <v>1002AD0503</v>
      </c>
      <c r="C43" t="str">
        <f>IFERROR(_xlfn.XLOOKUP(B43,'CECOS Corporativos'!$D:$D,'CECOS Corporativos'!$E:$E,""),"")</f>
        <v>Auditoría (HH Corporativo)</v>
      </c>
      <c r="D43" t="str">
        <f>IFERROR(_xlfn.XLOOKUP(B43,'CECOS Corporativos'!$D:$D,'CECOS Corporativos'!$J:$J,""),"")</f>
        <v>Auditoría (HH Corporativo)</v>
      </c>
      <c r="E43" t="str">
        <f xml:space="preserve"> _xll.EPMOlapMemberO("[CLACO].[PARENTH7].[AMSAG_VIAJES]","","Gastos de Viajes","","000")</f>
        <v>Gastos de Viajes</v>
      </c>
      <c r="F43" t="str">
        <f t="shared" si="1"/>
        <v>N1002AD050</v>
      </c>
      <c r="G43" t="s">
        <v>739</v>
      </c>
      <c r="H43" t="str">
        <f>IFERROR(_xlfn.XLOOKUP(F43,'CECOS Corporativos'!$K:$K,'CECOS Corporativos'!$D:$D,""),"")</f>
        <v>1002AD0508</v>
      </c>
      <c r="I43">
        <v>0</v>
      </c>
      <c r="K43">
        <f t="shared" si="2"/>
        <v>0</v>
      </c>
      <c r="L43">
        <v>3492.36</v>
      </c>
      <c r="N43">
        <f t="shared" si="3"/>
        <v>-3492.36</v>
      </c>
      <c r="Q43">
        <f t="shared" si="4"/>
        <v>0</v>
      </c>
      <c r="R43">
        <v>723.66</v>
      </c>
      <c r="T43">
        <f t="shared" si="5"/>
        <v>-723.66</v>
      </c>
    </row>
    <row r="44" spans="1:20" x14ac:dyDescent="0.3">
      <c r="A44" s="4" t="str">
        <f xml:space="preserve"> _xll.EPMOlapMemberO("[CECO].[PARENTH3].[AMSA1002AD0503]","","AMSA1002AD0503 - Corporativo","","000")</f>
        <v>AMSA1002AD0503 - Corporativo</v>
      </c>
      <c r="B44" t="str">
        <f t="shared" si="0"/>
        <v>1002AD0503</v>
      </c>
      <c r="C44" t="str">
        <f>IFERROR(_xlfn.XLOOKUP(B44,'CECOS Corporativos'!$D:$D,'CECOS Corporativos'!$E:$E,""),"")</f>
        <v>Auditoría (HH Corporativo)</v>
      </c>
      <c r="D44" t="str">
        <f>IFERROR(_xlfn.XLOOKUP(B44,'CECOS Corporativos'!$D:$D,'CECOS Corporativos'!$J:$J,""),"")</f>
        <v>Auditoría (HH Corporativo)</v>
      </c>
      <c r="E44" t="str">
        <f xml:space="preserve"> _xll.EPMOlapMemberO("[CLACO].[PARENTH7].[AMSAIMP_PATEN]","","Impuestos / Patentes","","000")</f>
        <v>Impuestos / Patentes</v>
      </c>
      <c r="F44" t="str">
        <f t="shared" si="1"/>
        <v>N1002AD050</v>
      </c>
      <c r="G44" t="s">
        <v>739</v>
      </c>
      <c r="H44" t="str">
        <f>IFERROR(_xlfn.XLOOKUP(F44,'CECOS Corporativos'!$K:$K,'CECOS Corporativos'!$D:$D,""),"")</f>
        <v>1002AD0508</v>
      </c>
      <c r="K44">
        <f t="shared" si="2"/>
        <v>0</v>
      </c>
      <c r="L44">
        <v>3932.51</v>
      </c>
      <c r="N44">
        <f t="shared" si="3"/>
        <v>-3932.51</v>
      </c>
      <c r="O44">
        <v>0</v>
      </c>
      <c r="Q44">
        <f t="shared" si="4"/>
        <v>0</v>
      </c>
      <c r="T44">
        <f t="shared" si="5"/>
        <v>0</v>
      </c>
    </row>
    <row r="45" spans="1:20" x14ac:dyDescent="0.3">
      <c r="A45" s="4" t="str">
        <f xml:space="preserve"> _xll.EPMOlapMemberO("[CECO].[PARENTH3].[AMSA1002AD0503]","","AMSA1002AD0503 - Corporativo","","000")</f>
        <v>AMSA1002AD0503 - Corporativo</v>
      </c>
      <c r="B45" t="str">
        <f t="shared" si="0"/>
        <v>1002AD0503</v>
      </c>
      <c r="C45" t="str">
        <f>IFERROR(_xlfn.XLOOKUP(B45,'CECOS Corporativos'!$D:$D,'CECOS Corporativos'!$E:$E,""),"")</f>
        <v>Auditoría (HH Corporativo)</v>
      </c>
      <c r="D45" t="str">
        <f>IFERROR(_xlfn.XLOOKUP(B45,'CECOS Corporativos'!$D:$D,'CECOS Corporativos'!$J:$J,""),"")</f>
        <v>Auditoría (HH Corporativo)</v>
      </c>
      <c r="E45" t="str">
        <f xml:space="preserve"> _xll.EPMOlapMemberO("[CLACO].[PARENTH7].[AMSAGGENERALES.2]","","Otros Gastos","","000")</f>
        <v>Otros Gastos</v>
      </c>
      <c r="F45" t="str">
        <f t="shared" si="1"/>
        <v>N1002AD050</v>
      </c>
      <c r="G45" t="s">
        <v>739</v>
      </c>
      <c r="H45" t="str">
        <f>IFERROR(_xlfn.XLOOKUP(F45,'CECOS Corporativos'!$K:$K,'CECOS Corporativos'!$D:$D,""),"")</f>
        <v>1002AD0508</v>
      </c>
      <c r="I45">
        <v>17631.47</v>
      </c>
      <c r="K45">
        <f t="shared" si="2"/>
        <v>-17631.47</v>
      </c>
      <c r="L45">
        <v>-6888.79</v>
      </c>
      <c r="N45">
        <f t="shared" si="3"/>
        <v>6888.79</v>
      </c>
      <c r="O45">
        <v>190.67</v>
      </c>
      <c r="Q45">
        <f t="shared" si="4"/>
        <v>-190.67</v>
      </c>
      <c r="R45">
        <v>23.11</v>
      </c>
      <c r="T45">
        <f t="shared" si="5"/>
        <v>-23.11</v>
      </c>
    </row>
    <row r="46" spans="1:20" x14ac:dyDescent="0.3">
      <c r="A46" s="4" t="str">
        <f xml:space="preserve"> _xll.EPMOlapMemberO("[CECO].[PARENTH3].[AMSA1002AD0503]","","AMSA1002AD0503 - Corporativo","","000")</f>
        <v>AMSA1002AD0503 - Corporativo</v>
      </c>
      <c r="B46" t="str">
        <f t="shared" si="0"/>
        <v>1002AD0503</v>
      </c>
      <c r="C46" t="str">
        <f>IFERROR(_xlfn.XLOOKUP(B46,'CECOS Corporativos'!$D:$D,'CECOS Corporativos'!$E:$E,""),"")</f>
        <v>Auditoría (HH Corporativo)</v>
      </c>
      <c r="D46" t="str">
        <f>IFERROR(_xlfn.XLOOKUP(B46,'CECOS Corporativos'!$D:$D,'CECOS Corporativos'!$J:$J,""),"")</f>
        <v>Auditoría (HH Corporativo)</v>
      </c>
      <c r="E46" t="str">
        <f xml:space="preserve"> _xll.EPMOlapMemberO("[CLACO].[PARENTH7].[AMSASERV_CORP]","","Servicios Corporativ","","000")</f>
        <v>Servicios Corporativ</v>
      </c>
      <c r="F46" t="str">
        <f t="shared" si="1"/>
        <v>N1002AD050</v>
      </c>
      <c r="G46" t="s">
        <v>739</v>
      </c>
      <c r="H46" t="str">
        <f>IFERROR(_xlfn.XLOOKUP(F46,'CECOS Corporativos'!$K:$K,'CECOS Corporativos'!$D:$D,""),"")</f>
        <v>1002AD0508</v>
      </c>
      <c r="I46">
        <v>1833058.96</v>
      </c>
      <c r="J46">
        <v>1889687.42</v>
      </c>
      <c r="K46">
        <f t="shared" si="2"/>
        <v>56628.459999999963</v>
      </c>
      <c r="L46">
        <v>2072961.73</v>
      </c>
      <c r="M46">
        <v>1884550.2</v>
      </c>
      <c r="N46">
        <f t="shared" si="3"/>
        <v>-188411.53000000003</v>
      </c>
      <c r="O46">
        <v>314180.27</v>
      </c>
      <c r="P46">
        <v>409489.03</v>
      </c>
      <c r="Q46">
        <f t="shared" si="4"/>
        <v>95308.760000000009</v>
      </c>
      <c r="R46">
        <v>717817</v>
      </c>
      <c r="S46">
        <v>-746541.13</v>
      </c>
      <c r="T46">
        <f t="shared" si="5"/>
        <v>-1464358.13</v>
      </c>
    </row>
    <row r="47" spans="1:20" x14ac:dyDescent="0.3">
      <c r="A47" s="4" t="str">
        <f xml:space="preserve"> _xll.EPMOlapMemberO("[CECO].[PARENTH3].[AMSA1002AD0504]","","AMSA1002AD0504 - Desarrollo Corp","","000")</f>
        <v>AMSA1002AD0504 - Desarrollo Corp</v>
      </c>
      <c r="B47" t="str">
        <f t="shared" si="0"/>
        <v>1002AD0504</v>
      </c>
      <c r="C47" t="str">
        <f>IFERROR(_xlfn.XLOOKUP(B47,'CECOS Corporativos'!$D:$D,'CECOS Corporativos'!$E:$E,""),"")</f>
        <v>VP Desarrollo</v>
      </c>
      <c r="D47" t="str">
        <f>IFERROR(_xlfn.XLOOKUP(B47,'CECOS Corporativos'!$D:$D,'CECOS Corporativos'!$J:$J,""),"")</f>
        <v>VP Desarrollo</v>
      </c>
      <c r="E47" t="str">
        <f xml:space="preserve"> _xll.EPMOlapMemberO("[CLACO].[PARENTH7].[AMSAASESORIAS]","","Asesorías y Consulto","","000")</f>
        <v>Asesorías y Consulto</v>
      </c>
      <c r="F47" t="str">
        <f t="shared" si="1"/>
        <v>N1002AD050</v>
      </c>
      <c r="G47" t="s">
        <v>739</v>
      </c>
      <c r="H47" t="str">
        <f>IFERROR(_xlfn.XLOOKUP(F47,'CECOS Corporativos'!$K:$K,'CECOS Corporativos'!$D:$D,""),"")</f>
        <v>1002AD0508</v>
      </c>
      <c r="K47">
        <f t="shared" si="2"/>
        <v>0</v>
      </c>
      <c r="M47">
        <v>40784.51</v>
      </c>
      <c r="N47">
        <f t="shared" si="3"/>
        <v>40784.51</v>
      </c>
      <c r="O47">
        <v>-5087.7</v>
      </c>
      <c r="Q47">
        <f t="shared" si="4"/>
        <v>5087.7</v>
      </c>
      <c r="R47">
        <v>1879.58</v>
      </c>
      <c r="T47">
        <f t="shared" si="5"/>
        <v>-1879.58</v>
      </c>
    </row>
    <row r="48" spans="1:20" x14ac:dyDescent="0.3">
      <c r="A48" s="4" t="str">
        <f xml:space="preserve"> _xll.EPMOlapMemberO("[CECO].[PARENTH3].[AMSA1002AD0504]","","AMSA1002AD0504 - Desarrollo Corp","","000")</f>
        <v>AMSA1002AD0504 - Desarrollo Corp</v>
      </c>
      <c r="B48" t="str">
        <f t="shared" si="0"/>
        <v>1002AD0504</v>
      </c>
      <c r="C48" t="str">
        <f>IFERROR(_xlfn.XLOOKUP(B48,'CECOS Corporativos'!$D:$D,'CECOS Corporativos'!$E:$E,""),"")</f>
        <v>VP Desarrollo</v>
      </c>
      <c r="D48" t="str">
        <f>IFERROR(_xlfn.XLOOKUP(B48,'CECOS Corporativos'!$D:$D,'CECOS Corporativos'!$J:$J,""),"")</f>
        <v>VP Desarrollo</v>
      </c>
      <c r="E48" t="str">
        <f xml:space="preserve"> _xll.EPMOlapMemberO("[CLACO].[PARENTH7].[AMSAARRIENDOS]","","Arriendos","","000")</f>
        <v>Arriendos</v>
      </c>
      <c r="F48" t="str">
        <f t="shared" si="1"/>
        <v>N1002AD050</v>
      </c>
      <c r="G48" t="s">
        <v>739</v>
      </c>
      <c r="H48" t="str">
        <f>IFERROR(_xlfn.XLOOKUP(F48,'CECOS Corporativos'!$K:$K,'CECOS Corporativos'!$D:$D,""),"")</f>
        <v>1002AD0508</v>
      </c>
      <c r="K48">
        <f t="shared" si="2"/>
        <v>0</v>
      </c>
      <c r="L48">
        <v>428.78</v>
      </c>
      <c r="N48">
        <f t="shared" si="3"/>
        <v>-428.78</v>
      </c>
      <c r="O48">
        <v>0</v>
      </c>
      <c r="Q48">
        <f t="shared" si="4"/>
        <v>0</v>
      </c>
      <c r="T48">
        <f t="shared" si="5"/>
        <v>0</v>
      </c>
    </row>
    <row r="49" spans="1:20" x14ac:dyDescent="0.3">
      <c r="A49" s="4" t="str">
        <f xml:space="preserve"> _xll.EPMOlapMemberO("[CECO].[PARENTH3].[AMSA1002AD0504]","","AMSA1002AD0504 - Desarrollo Corp","","000")</f>
        <v>AMSA1002AD0504 - Desarrollo Corp</v>
      </c>
      <c r="B49" t="str">
        <f t="shared" si="0"/>
        <v>1002AD0504</v>
      </c>
      <c r="C49" t="str">
        <f>IFERROR(_xlfn.XLOOKUP(B49,'CECOS Corporativos'!$D:$D,'CECOS Corporativos'!$E:$E,""),"")</f>
        <v>VP Desarrollo</v>
      </c>
      <c r="D49" t="str">
        <f>IFERROR(_xlfn.XLOOKUP(B49,'CECOS Corporativos'!$D:$D,'CECOS Corporativos'!$J:$J,""),"")</f>
        <v>VP Desarrollo</v>
      </c>
      <c r="E49" t="str">
        <f xml:space="preserve"> _xll.EPMOlapMemberO("[CLACO].[PARENTH7].[AMSASERVICIOS]","","Servicios","","000")</f>
        <v>Servicios</v>
      </c>
      <c r="F49" t="str">
        <f t="shared" si="1"/>
        <v>N1002AD050</v>
      </c>
      <c r="G49" t="s">
        <v>739</v>
      </c>
      <c r="H49" t="str">
        <f>IFERROR(_xlfn.XLOOKUP(F49,'CECOS Corporativos'!$K:$K,'CECOS Corporativos'!$D:$D,""),"")</f>
        <v>1002AD0508</v>
      </c>
      <c r="K49">
        <f t="shared" si="2"/>
        <v>0</v>
      </c>
      <c r="N49">
        <f t="shared" si="3"/>
        <v>0</v>
      </c>
      <c r="O49">
        <v>125.04</v>
      </c>
      <c r="Q49">
        <f t="shared" si="4"/>
        <v>-125.04</v>
      </c>
      <c r="R49">
        <v>26043.69</v>
      </c>
      <c r="T49">
        <f t="shared" si="5"/>
        <v>-26043.69</v>
      </c>
    </row>
    <row r="50" spans="1:20" x14ac:dyDescent="0.3">
      <c r="A50" s="4" t="str">
        <f xml:space="preserve"> _xll.EPMOlapMemberO("[CECO].[PARENTH3].[AMSA1002AD0504]","","AMSA1002AD0504 - Desarrollo Corp","","000")</f>
        <v>AMSA1002AD0504 - Desarrollo Corp</v>
      </c>
      <c r="B50" t="str">
        <f t="shared" si="0"/>
        <v>1002AD0504</v>
      </c>
      <c r="C50" t="str">
        <f>IFERROR(_xlfn.XLOOKUP(B50,'CECOS Corporativos'!$D:$D,'CECOS Corporativos'!$E:$E,""),"")</f>
        <v>VP Desarrollo</v>
      </c>
      <c r="D50" t="str">
        <f>IFERROR(_xlfn.XLOOKUP(B50,'CECOS Corporativos'!$D:$D,'CECOS Corporativos'!$J:$J,""),"")</f>
        <v>VP Desarrollo</v>
      </c>
      <c r="E50" t="str">
        <f xml:space="preserve"> _xll.EPMOlapMemberO("[CLACO].[PARENTH7].[AMSAINFORMATIC]","","Informática y Comuni","","000")</f>
        <v>Informática y Comuni</v>
      </c>
      <c r="F50" t="str">
        <f t="shared" si="1"/>
        <v>N1002AD050</v>
      </c>
      <c r="G50" t="s">
        <v>739</v>
      </c>
      <c r="H50" t="str">
        <f>IFERROR(_xlfn.XLOOKUP(F50,'CECOS Corporativos'!$K:$K,'CECOS Corporativos'!$D:$D,""),"")</f>
        <v>1002AD0508</v>
      </c>
      <c r="K50">
        <f t="shared" si="2"/>
        <v>0</v>
      </c>
      <c r="N50">
        <f t="shared" si="3"/>
        <v>0</v>
      </c>
      <c r="O50">
        <v>7733.37</v>
      </c>
      <c r="Q50">
        <f t="shared" si="4"/>
        <v>-7733.37</v>
      </c>
      <c r="R50">
        <v>2158.67</v>
      </c>
      <c r="S50">
        <v>12523.96</v>
      </c>
      <c r="T50">
        <f t="shared" si="5"/>
        <v>10365.289999999999</v>
      </c>
    </row>
    <row r="51" spans="1:20" x14ac:dyDescent="0.3">
      <c r="A51" s="4" t="str">
        <f xml:space="preserve"> _xll.EPMOlapMemberO("[CECO].[PARENTH3].[AMSA1002AD0504]","","AMSA1002AD0504 - Desarrollo Corp","","000")</f>
        <v>AMSA1002AD0504 - Desarrollo Corp</v>
      </c>
      <c r="B51" t="str">
        <f t="shared" si="0"/>
        <v>1002AD0504</v>
      </c>
      <c r="C51" t="str">
        <f>IFERROR(_xlfn.XLOOKUP(B51,'CECOS Corporativos'!$D:$D,'CECOS Corporativos'!$E:$E,""),"")</f>
        <v>VP Desarrollo</v>
      </c>
      <c r="D51" t="str">
        <f>IFERROR(_xlfn.XLOOKUP(B51,'CECOS Corporativos'!$D:$D,'CECOS Corporativos'!$J:$J,""),"")</f>
        <v>VP Desarrollo</v>
      </c>
      <c r="E51" t="str">
        <f xml:space="preserve"> _xll.EPMOlapMemberO("[CLACO].[PARENTH7].[AMSAG_VIAJES]","","Gastos de Viajes","","000")</f>
        <v>Gastos de Viajes</v>
      </c>
      <c r="F51" t="str">
        <f t="shared" si="1"/>
        <v>N1002AD050</v>
      </c>
      <c r="G51" t="s">
        <v>739</v>
      </c>
      <c r="H51" t="str">
        <f>IFERROR(_xlfn.XLOOKUP(F51,'CECOS Corporativos'!$K:$K,'CECOS Corporativos'!$D:$D,""),"")</f>
        <v>1002AD0508</v>
      </c>
      <c r="I51">
        <v>3112.42</v>
      </c>
      <c r="J51">
        <v>13611.39</v>
      </c>
      <c r="K51">
        <f t="shared" si="2"/>
        <v>10498.97</v>
      </c>
      <c r="L51">
        <v>4658.04</v>
      </c>
      <c r="M51">
        <v>16846.2</v>
      </c>
      <c r="N51">
        <f t="shared" si="3"/>
        <v>12188.16</v>
      </c>
      <c r="O51">
        <v>1280.4000000000001</v>
      </c>
      <c r="P51">
        <v>17146.060000000001</v>
      </c>
      <c r="Q51">
        <f t="shared" si="4"/>
        <v>15865.660000000002</v>
      </c>
      <c r="R51">
        <v>185.42</v>
      </c>
      <c r="S51">
        <v>16127.75</v>
      </c>
      <c r="T51">
        <f t="shared" si="5"/>
        <v>15942.33</v>
      </c>
    </row>
    <row r="52" spans="1:20" x14ac:dyDescent="0.3">
      <c r="A52" s="4" t="str">
        <f xml:space="preserve"> _xll.EPMOlapMemberO("[CECO].[PARENTH3].[AMSA1002AD0504]","","AMSA1002AD0504 - Desarrollo Corp","","000")</f>
        <v>AMSA1002AD0504 - Desarrollo Corp</v>
      </c>
      <c r="B52" t="str">
        <f t="shared" si="0"/>
        <v>1002AD0504</v>
      </c>
      <c r="C52" t="str">
        <f>IFERROR(_xlfn.XLOOKUP(B52,'CECOS Corporativos'!$D:$D,'CECOS Corporativos'!$E:$E,""),"")</f>
        <v>VP Desarrollo</v>
      </c>
      <c r="D52" t="str">
        <f>IFERROR(_xlfn.XLOOKUP(B52,'CECOS Corporativos'!$D:$D,'CECOS Corporativos'!$J:$J,""),"")</f>
        <v>VP Desarrollo</v>
      </c>
      <c r="E52" t="str">
        <f xml:space="preserve"> _xll.EPMOlapMemberO("[CLACO].[PARENTH7].[AMSASERV_CORP]","","Servicios Corporativ","","000")</f>
        <v>Servicios Corporativ</v>
      </c>
      <c r="F52" t="str">
        <f t="shared" si="1"/>
        <v>N1002AD050</v>
      </c>
      <c r="G52" t="s">
        <v>739</v>
      </c>
      <c r="H52" t="str">
        <f>IFERROR(_xlfn.XLOOKUP(F52,'CECOS Corporativos'!$K:$K,'CECOS Corporativos'!$D:$D,""),"")</f>
        <v>1002AD0508</v>
      </c>
      <c r="K52">
        <f t="shared" si="2"/>
        <v>0</v>
      </c>
      <c r="N52">
        <f t="shared" si="3"/>
        <v>0</v>
      </c>
      <c r="O52">
        <v>528163</v>
      </c>
      <c r="P52">
        <v>585218.56000000006</v>
      </c>
      <c r="Q52">
        <f t="shared" si="4"/>
        <v>57055.560000000056</v>
      </c>
      <c r="R52">
        <v>730175</v>
      </c>
      <c r="S52">
        <v>766435.78</v>
      </c>
      <c r="T52">
        <f t="shared" si="5"/>
        <v>36260.780000000028</v>
      </c>
    </row>
    <row r="53" spans="1:20" x14ac:dyDescent="0.3">
      <c r="A53" s="4" t="str">
        <f xml:space="preserve"> _xll.EPMOlapMemberO("[CECO].[PARENTH3].[AMSA1002AD0505]","","AMSA1002AD0505 - Estrateg e Inn Corp","","000")</f>
        <v>AMSA1002AD0505 - Estrateg e Inn Corp</v>
      </c>
      <c r="B53" t="str">
        <f t="shared" si="0"/>
        <v>1002AD0505</v>
      </c>
      <c r="C53" t="str">
        <f>IFERROR(_xlfn.XLOOKUP(B53,'CECOS Corporativos'!$D:$D,'CECOS Corporativos'!$E:$E,""),"")</f>
        <v>Estrategia e Innovación Corp</v>
      </c>
      <c r="D53" t="str">
        <f>IFERROR(_xlfn.XLOOKUP(B53,'CECOS Corporativos'!$D:$D,'CECOS Corporativos'!$J:$J,""),"")</f>
        <v>VP Estrategia e Innovación</v>
      </c>
      <c r="E53" t="str">
        <f xml:space="preserve"> _xll.EPMOlapMemberO("[CLACO].[PARENTH7].[AMSAASESORIAS]","","Asesorías y Consulto","","000")</f>
        <v>Asesorías y Consulto</v>
      </c>
      <c r="F53" t="str">
        <f t="shared" si="1"/>
        <v>N1002AD050</v>
      </c>
      <c r="G53" t="s">
        <v>739</v>
      </c>
      <c r="H53" t="str">
        <f>IFERROR(_xlfn.XLOOKUP(F53,'CECOS Corporativos'!$K:$K,'CECOS Corporativos'!$D:$D,""),"")</f>
        <v>1002AD0508</v>
      </c>
      <c r="I53">
        <v>147717.57</v>
      </c>
      <c r="J53">
        <v>154703.57</v>
      </c>
      <c r="K53">
        <f t="shared" si="2"/>
        <v>6986</v>
      </c>
      <c r="L53">
        <v>39544.19</v>
      </c>
      <c r="M53">
        <v>148877.97</v>
      </c>
      <c r="N53">
        <f t="shared" si="3"/>
        <v>109333.78</v>
      </c>
      <c r="O53">
        <v>52563.61</v>
      </c>
      <c r="P53">
        <v>184590.62</v>
      </c>
      <c r="Q53">
        <f t="shared" si="4"/>
        <v>132027.01</v>
      </c>
      <c r="R53">
        <v>120589.73</v>
      </c>
      <c r="S53">
        <v>121725</v>
      </c>
      <c r="T53">
        <f t="shared" si="5"/>
        <v>1135.2700000000041</v>
      </c>
    </row>
    <row r="54" spans="1:20" x14ac:dyDescent="0.3">
      <c r="A54" s="4" t="str">
        <f xml:space="preserve"> _xll.EPMOlapMemberO("[CECO].[PARENTH3].[AMSA1002AD0505]","","AMSA1002AD0505 - Estrateg e Inn Corp","","000")</f>
        <v>AMSA1002AD0505 - Estrateg e Inn Corp</v>
      </c>
      <c r="B54" t="str">
        <f t="shared" si="0"/>
        <v>1002AD0505</v>
      </c>
      <c r="C54" t="str">
        <f>IFERROR(_xlfn.XLOOKUP(B54,'CECOS Corporativos'!$D:$D,'CECOS Corporativos'!$E:$E,""),"")</f>
        <v>Estrategia e Innovación Corp</v>
      </c>
      <c r="D54" t="str">
        <f>IFERROR(_xlfn.XLOOKUP(B54,'CECOS Corporativos'!$D:$D,'CECOS Corporativos'!$J:$J,""),"")</f>
        <v>VP Estrategia e Innovación</v>
      </c>
      <c r="E54" t="str">
        <f xml:space="preserve"> _xll.EPMOlapMemberO("[CLACO].[PARENTH7].[AMSASERVICIOS]","","Servicios","","000")</f>
        <v>Servicios</v>
      </c>
      <c r="F54" t="str">
        <f t="shared" si="1"/>
        <v>N1002AD050</v>
      </c>
      <c r="G54" t="s">
        <v>739</v>
      </c>
      <c r="H54" t="str">
        <f>IFERROR(_xlfn.XLOOKUP(F54,'CECOS Corporativos'!$K:$K,'CECOS Corporativos'!$D:$D,""),"")</f>
        <v>1002AD0508</v>
      </c>
      <c r="K54">
        <f t="shared" si="2"/>
        <v>0</v>
      </c>
      <c r="L54">
        <v>135332.26</v>
      </c>
      <c r="M54">
        <v>178344.43</v>
      </c>
      <c r="N54">
        <f t="shared" si="3"/>
        <v>43012.169999999984</v>
      </c>
      <c r="O54">
        <v>128938.42</v>
      </c>
      <c r="P54">
        <v>79594.86</v>
      </c>
      <c r="Q54">
        <f t="shared" si="4"/>
        <v>-49343.56</v>
      </c>
      <c r="R54">
        <v>65634.38</v>
      </c>
      <c r="S54">
        <v>64455.11</v>
      </c>
      <c r="T54">
        <f t="shared" si="5"/>
        <v>-1179.2700000000041</v>
      </c>
    </row>
    <row r="55" spans="1:20" x14ac:dyDescent="0.3">
      <c r="A55" s="4" t="str">
        <f xml:space="preserve"> _xll.EPMOlapMemberO("[CECO].[PARENTH3].[AMSA1002AD0505]","","AMSA1002AD0505 - Estrateg e Inn Corp","","000")</f>
        <v>AMSA1002AD0505 - Estrateg e Inn Corp</v>
      </c>
      <c r="B55" t="str">
        <f t="shared" si="0"/>
        <v>1002AD0505</v>
      </c>
      <c r="C55" t="str">
        <f>IFERROR(_xlfn.XLOOKUP(B55,'CECOS Corporativos'!$D:$D,'CECOS Corporativos'!$E:$E,""),"")</f>
        <v>Estrategia e Innovación Corp</v>
      </c>
      <c r="D55" t="str">
        <f>IFERROR(_xlfn.XLOOKUP(B55,'CECOS Corporativos'!$D:$D,'CECOS Corporativos'!$J:$J,""),"")</f>
        <v>VP Estrategia e Innovación</v>
      </c>
      <c r="E55" t="str">
        <f xml:space="preserve"> _xll.EPMOlapMemberO("[CLACO].[PARENTH7].[AMSAINFORMATIC]","","Informática y Comuni","","000")</f>
        <v>Informática y Comuni</v>
      </c>
      <c r="F55" t="str">
        <f t="shared" si="1"/>
        <v>N1002AD050</v>
      </c>
      <c r="G55" t="s">
        <v>739</v>
      </c>
      <c r="H55" t="str">
        <f>IFERROR(_xlfn.XLOOKUP(F55,'CECOS Corporativos'!$K:$K,'CECOS Corporativos'!$D:$D,""),"")</f>
        <v>1002AD0508</v>
      </c>
      <c r="K55">
        <f t="shared" si="2"/>
        <v>0</v>
      </c>
      <c r="L55">
        <v>715187.41</v>
      </c>
      <c r="M55">
        <v>506941.49</v>
      </c>
      <c r="N55">
        <f t="shared" si="3"/>
        <v>-208245.92000000004</v>
      </c>
      <c r="O55">
        <v>499012.27</v>
      </c>
      <c r="P55">
        <v>588702.67000000004</v>
      </c>
      <c r="Q55">
        <f t="shared" si="4"/>
        <v>89690.400000000023</v>
      </c>
      <c r="R55">
        <v>848603.8</v>
      </c>
      <c r="S55">
        <v>854872.26</v>
      </c>
      <c r="T55">
        <f t="shared" si="5"/>
        <v>6268.4599999999627</v>
      </c>
    </row>
    <row r="56" spans="1:20" x14ac:dyDescent="0.3">
      <c r="A56" s="4" t="str">
        <f xml:space="preserve"> _xll.EPMOlapMemberO("[CECO].[PARENTH3].[AMSA1002AD0505]","","AMSA1002AD0505 - Estrateg e Inn Corp","","000")</f>
        <v>AMSA1002AD0505 - Estrateg e Inn Corp</v>
      </c>
      <c r="B56" t="str">
        <f t="shared" si="0"/>
        <v>1002AD0505</v>
      </c>
      <c r="C56" t="str">
        <f>IFERROR(_xlfn.XLOOKUP(B56,'CECOS Corporativos'!$D:$D,'CECOS Corporativos'!$E:$E,""),"")</f>
        <v>Estrategia e Innovación Corp</v>
      </c>
      <c r="D56" t="str">
        <f>IFERROR(_xlfn.XLOOKUP(B56,'CECOS Corporativos'!$D:$D,'CECOS Corporativos'!$J:$J,""),"")</f>
        <v>VP Estrategia e Innovación</v>
      </c>
      <c r="E56" t="str">
        <f xml:space="preserve"> _xll.EPMOlapMemberO("[CLACO].[PARENTH7].[AMSAG_VIAJES]","","Gastos de Viajes","","000")</f>
        <v>Gastos de Viajes</v>
      </c>
      <c r="F56" t="str">
        <f t="shared" si="1"/>
        <v>N1002AD050</v>
      </c>
      <c r="G56" t="s">
        <v>739</v>
      </c>
      <c r="H56" t="str">
        <f>IFERROR(_xlfn.XLOOKUP(F56,'CECOS Corporativos'!$K:$K,'CECOS Corporativos'!$D:$D,""),"")</f>
        <v>1002AD0508</v>
      </c>
      <c r="K56">
        <f t="shared" si="2"/>
        <v>0</v>
      </c>
      <c r="N56">
        <f t="shared" si="3"/>
        <v>0</v>
      </c>
      <c r="O56">
        <v>12275.19</v>
      </c>
      <c r="Q56">
        <f t="shared" si="4"/>
        <v>-12275.19</v>
      </c>
      <c r="R56">
        <v>0</v>
      </c>
      <c r="T56">
        <f t="shared" si="5"/>
        <v>0</v>
      </c>
    </row>
    <row r="57" spans="1:20" x14ac:dyDescent="0.3">
      <c r="A57" s="4" t="str">
        <f xml:space="preserve"> _xll.EPMOlapMemberO("[CECO].[PARENTH3].[AMSA1002AD0505]","","AMSA1002AD0505 - Estrateg e Inn Corp","","000")</f>
        <v>AMSA1002AD0505 - Estrateg e Inn Corp</v>
      </c>
      <c r="B57" t="str">
        <f t="shared" si="0"/>
        <v>1002AD0505</v>
      </c>
      <c r="C57" t="str">
        <f>IFERROR(_xlfn.XLOOKUP(B57,'CECOS Corporativos'!$D:$D,'CECOS Corporativos'!$E:$E,""),"")</f>
        <v>Estrategia e Innovación Corp</v>
      </c>
      <c r="D57" t="str">
        <f>IFERROR(_xlfn.XLOOKUP(B57,'CECOS Corporativos'!$D:$D,'CECOS Corporativos'!$J:$J,""),"")</f>
        <v>VP Estrategia e Innovación</v>
      </c>
      <c r="E57" t="str">
        <f xml:space="preserve"> _xll.EPMOlapMemberO("[CLACO].[PARENTH7].[AMSAGGENERALES.2]","","Otros Gastos","","000")</f>
        <v>Otros Gastos</v>
      </c>
      <c r="F57" t="str">
        <f t="shared" si="1"/>
        <v>N1002AD050</v>
      </c>
      <c r="G57" t="s">
        <v>739</v>
      </c>
      <c r="H57" t="str">
        <f>IFERROR(_xlfn.XLOOKUP(F57,'CECOS Corporativos'!$K:$K,'CECOS Corporativos'!$D:$D,""),"")</f>
        <v>1002AD0508</v>
      </c>
      <c r="K57">
        <f t="shared" si="2"/>
        <v>0</v>
      </c>
      <c r="L57">
        <v>11228.29</v>
      </c>
      <c r="N57">
        <f t="shared" si="3"/>
        <v>-11228.29</v>
      </c>
      <c r="O57">
        <v>0</v>
      </c>
      <c r="Q57">
        <f t="shared" si="4"/>
        <v>0</v>
      </c>
      <c r="T57">
        <f t="shared" si="5"/>
        <v>0</v>
      </c>
    </row>
    <row r="58" spans="1:20" x14ac:dyDescent="0.3">
      <c r="A58" s="4" t="str">
        <f xml:space="preserve"> _xll.EPMOlapMemberO("[CECO].[PARENTH3].[AMSA1002AD0505]","","AMSA1002AD0505 - Estrateg e Inn Corp","","000")</f>
        <v>AMSA1002AD0505 - Estrateg e Inn Corp</v>
      </c>
      <c r="B58" t="str">
        <f t="shared" si="0"/>
        <v>1002AD0505</v>
      </c>
      <c r="C58" t="str">
        <f>IFERROR(_xlfn.XLOOKUP(B58,'CECOS Corporativos'!$D:$D,'CECOS Corporativos'!$E:$E,""),"")</f>
        <v>Estrategia e Innovación Corp</v>
      </c>
      <c r="D58" t="str">
        <f>IFERROR(_xlfn.XLOOKUP(B58,'CECOS Corporativos'!$D:$D,'CECOS Corporativos'!$J:$J,""),"")</f>
        <v>VP Estrategia e Innovación</v>
      </c>
      <c r="E58" t="str">
        <f xml:space="preserve"> _xll.EPMOlapMemberO("[CLACO].[PARENTH7].[AMSASERV_CORP]","","Servicios Corporativ","","000")</f>
        <v>Servicios Corporativ</v>
      </c>
      <c r="F58" t="str">
        <f t="shared" si="1"/>
        <v>N1002AD050</v>
      </c>
      <c r="G58" t="s">
        <v>739</v>
      </c>
      <c r="H58" t="str">
        <f>IFERROR(_xlfn.XLOOKUP(F58,'CECOS Corporativos'!$K:$K,'CECOS Corporativos'!$D:$D,""),"")</f>
        <v>1002AD0508</v>
      </c>
      <c r="I58">
        <v>60823</v>
      </c>
      <c r="J58">
        <v>62703.61</v>
      </c>
      <c r="K58">
        <f t="shared" si="2"/>
        <v>1880.6100000000006</v>
      </c>
      <c r="L58">
        <v>131159.31</v>
      </c>
      <c r="M58">
        <v>116268.06</v>
      </c>
      <c r="N58">
        <f t="shared" si="3"/>
        <v>-14891.25</v>
      </c>
      <c r="O58">
        <v>901613.69</v>
      </c>
      <c r="P58">
        <v>999016.32</v>
      </c>
      <c r="Q58">
        <f t="shared" si="4"/>
        <v>97402.63</v>
      </c>
      <c r="R58">
        <v>947197</v>
      </c>
      <c r="S58">
        <v>994229.62</v>
      </c>
      <c r="T58">
        <f t="shared" si="5"/>
        <v>47032.619999999995</v>
      </c>
    </row>
    <row r="59" spans="1:20" x14ac:dyDescent="0.3">
      <c r="A59" s="4" t="str">
        <f xml:space="preserve"> _xll.EPMOlapMemberO("[CECO].[PARENTH3].[AMSA1002AD0506]","","AMSA1002AD0506 - Operaciones Corp","","000")</f>
        <v>AMSA1002AD0506 - Operaciones Corp</v>
      </c>
      <c r="B59" t="str">
        <f t="shared" si="0"/>
        <v>1002AD0506</v>
      </c>
      <c r="C59" t="str">
        <f>IFERROR(_xlfn.XLOOKUP(B59,'CECOS Corporativos'!$D:$D,'CECOS Corporativos'!$E:$E,""),"")</f>
        <v>Operaciones Corp (Distribuibles)</v>
      </c>
      <c r="D59" t="str">
        <f>IFERROR(_xlfn.XLOOKUP(B59,'CECOS Corporativos'!$D:$D,'CECOS Corporativos'!$J:$J,""),"")</f>
        <v>VP Planificación y Servicios Técnicos</v>
      </c>
      <c r="E59" t="str">
        <f xml:space="preserve"> _xll.EPMOlapMemberO("[CLACO].[PARENTH7].[AMSAENTRENAMI]","","Entrenamiento","","000")</f>
        <v>Entrenamiento</v>
      </c>
      <c r="F59" t="str">
        <f t="shared" si="1"/>
        <v>N1002AD050</v>
      </c>
      <c r="G59" t="s">
        <v>739</v>
      </c>
      <c r="H59" t="str">
        <f>IFERROR(_xlfn.XLOOKUP(F59,'CECOS Corporativos'!$K:$K,'CECOS Corporativos'!$D:$D,""),"")</f>
        <v>1002AD0508</v>
      </c>
      <c r="I59">
        <v>106071.48</v>
      </c>
      <c r="K59">
        <f t="shared" si="2"/>
        <v>-106071.48</v>
      </c>
      <c r="N59">
        <f t="shared" si="3"/>
        <v>0</v>
      </c>
      <c r="O59">
        <v>98114</v>
      </c>
      <c r="P59">
        <v>28125</v>
      </c>
      <c r="Q59">
        <f t="shared" si="4"/>
        <v>-69989</v>
      </c>
      <c r="R59">
        <v>146228.01999999999</v>
      </c>
      <c r="T59">
        <f t="shared" si="5"/>
        <v>-146228.01999999999</v>
      </c>
    </row>
    <row r="60" spans="1:20" x14ac:dyDescent="0.3">
      <c r="A60" s="4" t="str">
        <f xml:space="preserve"> _xll.EPMOlapMemberO("[CECO].[PARENTH3].[AMSA1002AD0506]","","AMSA1002AD0506 - Operaciones Corp","","000")</f>
        <v>AMSA1002AD0506 - Operaciones Corp</v>
      </c>
      <c r="B60" t="str">
        <f t="shared" si="0"/>
        <v>1002AD0506</v>
      </c>
      <c r="C60" t="str">
        <f>IFERROR(_xlfn.XLOOKUP(B60,'CECOS Corporativos'!$D:$D,'CECOS Corporativos'!$E:$E,""),"")</f>
        <v>Operaciones Corp (Distribuibles)</v>
      </c>
      <c r="D60" t="str">
        <f>IFERROR(_xlfn.XLOOKUP(B60,'CECOS Corporativos'!$D:$D,'CECOS Corporativos'!$J:$J,""),"")</f>
        <v>VP Planificación y Servicios Técnicos</v>
      </c>
      <c r="E60" t="str">
        <f xml:space="preserve"> _xll.EPMOlapMemberO("[CLACO].[PARENTH7].[AMSAASESORIAS]","","Asesorías y Consulto","","000")</f>
        <v>Asesorías y Consulto</v>
      </c>
      <c r="F60" t="str">
        <f t="shared" si="1"/>
        <v>N1002AD050</v>
      </c>
      <c r="G60" t="s">
        <v>739</v>
      </c>
      <c r="H60" t="str">
        <f>IFERROR(_xlfn.XLOOKUP(F60,'CECOS Corporativos'!$K:$K,'CECOS Corporativos'!$D:$D,""),"")</f>
        <v>1002AD0508</v>
      </c>
      <c r="I60">
        <v>692456.38</v>
      </c>
      <c r="J60">
        <v>819066.75</v>
      </c>
      <c r="K60">
        <f t="shared" si="2"/>
        <v>126610.37</v>
      </c>
      <c r="L60">
        <v>700270.01</v>
      </c>
      <c r="M60">
        <v>1008280.02</v>
      </c>
      <c r="N60">
        <f t="shared" si="3"/>
        <v>308010.01</v>
      </c>
      <c r="O60">
        <v>615374.17000000004</v>
      </c>
      <c r="P60">
        <v>967742.01</v>
      </c>
      <c r="Q60">
        <f t="shared" si="4"/>
        <v>352367.83999999997</v>
      </c>
      <c r="R60">
        <v>749777.18</v>
      </c>
      <c r="S60">
        <v>1203005.8400000001</v>
      </c>
      <c r="T60">
        <f t="shared" si="5"/>
        <v>453228.66000000003</v>
      </c>
    </row>
    <row r="61" spans="1:20" x14ac:dyDescent="0.3">
      <c r="A61" s="4" t="str">
        <f xml:space="preserve"> _xll.EPMOlapMemberO("[CECO].[PARENTH3].[AMSA1002AD0506]","","AMSA1002AD0506 - Operaciones Corp","","000")</f>
        <v>AMSA1002AD0506 - Operaciones Corp</v>
      </c>
      <c r="B61" t="str">
        <f t="shared" si="0"/>
        <v>1002AD0506</v>
      </c>
      <c r="C61" t="str">
        <f>IFERROR(_xlfn.XLOOKUP(B61,'CECOS Corporativos'!$D:$D,'CECOS Corporativos'!$E:$E,""),"")</f>
        <v>Operaciones Corp (Distribuibles)</v>
      </c>
      <c r="D61" t="str">
        <f>IFERROR(_xlfn.XLOOKUP(B61,'CECOS Corporativos'!$D:$D,'CECOS Corporativos'!$J:$J,""),"")</f>
        <v>VP Planificación y Servicios Técnicos</v>
      </c>
      <c r="E61" t="str">
        <f xml:space="preserve"> _xll.EPMOlapMemberO("[CLACO].[PARENTH7].[AMSASERVICIOS]","","Servicios","","000")</f>
        <v>Servicios</v>
      </c>
      <c r="F61" t="str">
        <f t="shared" si="1"/>
        <v>N1002AD050</v>
      </c>
      <c r="G61" t="s">
        <v>739</v>
      </c>
      <c r="H61" t="str">
        <f>IFERROR(_xlfn.XLOOKUP(F61,'CECOS Corporativos'!$K:$K,'CECOS Corporativos'!$D:$D,""),"")</f>
        <v>1002AD0508</v>
      </c>
      <c r="K61">
        <f t="shared" si="2"/>
        <v>0</v>
      </c>
      <c r="N61">
        <f t="shared" si="3"/>
        <v>0</v>
      </c>
      <c r="O61">
        <v>427598.65</v>
      </c>
      <c r="P61">
        <v>176980.01</v>
      </c>
      <c r="Q61">
        <f t="shared" si="4"/>
        <v>-250618.64</v>
      </c>
      <c r="R61">
        <v>952221.48</v>
      </c>
      <c r="S61">
        <v>555963.22</v>
      </c>
      <c r="T61">
        <f t="shared" si="5"/>
        <v>-396258.26</v>
      </c>
    </row>
    <row r="62" spans="1:20" x14ac:dyDescent="0.3">
      <c r="A62" s="4" t="str">
        <f xml:space="preserve"> _xll.EPMOlapMemberO("[CECO].[PARENTH3].[AMSA1002AD0506]","","AMSA1002AD0506 - Operaciones Corp","","000")</f>
        <v>AMSA1002AD0506 - Operaciones Corp</v>
      </c>
      <c r="B62" t="str">
        <f t="shared" si="0"/>
        <v>1002AD0506</v>
      </c>
      <c r="C62" t="str">
        <f>IFERROR(_xlfn.XLOOKUP(B62,'CECOS Corporativos'!$D:$D,'CECOS Corporativos'!$E:$E,""),"")</f>
        <v>Operaciones Corp (Distribuibles)</v>
      </c>
      <c r="D62" t="str">
        <f>IFERROR(_xlfn.XLOOKUP(B62,'CECOS Corporativos'!$D:$D,'CECOS Corporativos'!$J:$J,""),"")</f>
        <v>VP Planificación y Servicios Técnicos</v>
      </c>
      <c r="E62" t="str">
        <f xml:space="preserve"> _xll.EPMOlapMemberO("[CLACO].[PARENTH7].[AMSAINFORMATIC]","","Informática y Comuni","","000")</f>
        <v>Informática y Comuni</v>
      </c>
      <c r="F62" t="str">
        <f t="shared" si="1"/>
        <v>N1002AD050</v>
      </c>
      <c r="G62" t="s">
        <v>739</v>
      </c>
      <c r="H62" t="str">
        <f>IFERROR(_xlfn.XLOOKUP(F62,'CECOS Corporativos'!$K:$K,'CECOS Corporativos'!$D:$D,""),"")</f>
        <v>1002AD0508</v>
      </c>
      <c r="I62">
        <v>59611.59</v>
      </c>
      <c r="J62">
        <v>72665.78</v>
      </c>
      <c r="K62">
        <f t="shared" si="2"/>
        <v>13054.190000000002</v>
      </c>
      <c r="L62">
        <v>5733.99</v>
      </c>
      <c r="M62">
        <v>15000.01</v>
      </c>
      <c r="N62">
        <f t="shared" si="3"/>
        <v>9266.02</v>
      </c>
      <c r="O62">
        <v>72065.47</v>
      </c>
      <c r="P62">
        <v>52500</v>
      </c>
      <c r="Q62">
        <f t="shared" si="4"/>
        <v>-19565.47</v>
      </c>
      <c r="R62">
        <v>166898.79</v>
      </c>
      <c r="T62">
        <f t="shared" si="5"/>
        <v>-166898.79</v>
      </c>
    </row>
    <row r="63" spans="1:20" x14ac:dyDescent="0.3">
      <c r="A63" s="4" t="str">
        <f xml:space="preserve"> _xll.EPMOlapMemberO("[CECO].[PARENTH3].[AMSA1002AD0506]","","AMSA1002AD0506 - Operaciones Corp","","000")</f>
        <v>AMSA1002AD0506 - Operaciones Corp</v>
      </c>
      <c r="B63" t="str">
        <f t="shared" si="0"/>
        <v>1002AD0506</v>
      </c>
      <c r="C63" t="str">
        <f>IFERROR(_xlfn.XLOOKUP(B63,'CECOS Corporativos'!$D:$D,'CECOS Corporativos'!$E:$E,""),"")</f>
        <v>Operaciones Corp (Distribuibles)</v>
      </c>
      <c r="D63" t="str">
        <f>IFERROR(_xlfn.XLOOKUP(B63,'CECOS Corporativos'!$D:$D,'CECOS Corporativos'!$J:$J,""),"")</f>
        <v>VP Planificación y Servicios Técnicos</v>
      </c>
      <c r="E63" t="str">
        <f xml:space="preserve"> _xll.EPMOlapMemberO("[CLACO].[PARENTH7].[AMSAG_VIAJES]","","Gastos de Viajes","","000")</f>
        <v>Gastos de Viajes</v>
      </c>
      <c r="F63" t="str">
        <f t="shared" si="1"/>
        <v>N1002AD050</v>
      </c>
      <c r="G63" t="s">
        <v>739</v>
      </c>
      <c r="H63" t="str">
        <f>IFERROR(_xlfn.XLOOKUP(F63,'CECOS Corporativos'!$K:$K,'CECOS Corporativos'!$D:$D,""),"")</f>
        <v>1002AD0508</v>
      </c>
      <c r="K63">
        <f t="shared" si="2"/>
        <v>0</v>
      </c>
      <c r="L63">
        <v>11145.77</v>
      </c>
      <c r="N63">
        <f t="shared" si="3"/>
        <v>-11145.77</v>
      </c>
      <c r="O63">
        <v>3128.24</v>
      </c>
      <c r="Q63">
        <f t="shared" si="4"/>
        <v>-3128.24</v>
      </c>
      <c r="R63">
        <v>13436.07</v>
      </c>
      <c r="T63">
        <f t="shared" si="5"/>
        <v>-13436.07</v>
      </c>
    </row>
    <row r="64" spans="1:20" x14ac:dyDescent="0.3">
      <c r="A64" s="4" t="str">
        <f xml:space="preserve"> _xll.EPMOlapMemberO("[CECO].[PARENTH3].[AMSA1002AD0506]","","AMSA1002AD0506 - Operaciones Corp","","000")</f>
        <v>AMSA1002AD0506 - Operaciones Corp</v>
      </c>
      <c r="B64" t="str">
        <f t="shared" si="0"/>
        <v>1002AD0506</v>
      </c>
      <c r="C64" t="str">
        <f>IFERROR(_xlfn.XLOOKUP(B64,'CECOS Corporativos'!$D:$D,'CECOS Corporativos'!$E:$E,""),"")</f>
        <v>Operaciones Corp (Distribuibles)</v>
      </c>
      <c r="D64" t="str">
        <f>IFERROR(_xlfn.XLOOKUP(B64,'CECOS Corporativos'!$D:$D,'CECOS Corporativos'!$J:$J,""),"")</f>
        <v>VP Planificación y Servicios Técnicos</v>
      </c>
      <c r="E64" t="str">
        <f xml:space="preserve"> _xll.EPMOlapMemberO("[CLACO].[PARENTH7].[AMSAGGENERALES.2]","","Otros Gastos","","000")</f>
        <v>Otros Gastos</v>
      </c>
      <c r="F64" t="str">
        <f t="shared" si="1"/>
        <v>N1002AD050</v>
      </c>
      <c r="G64" t="s">
        <v>739</v>
      </c>
      <c r="H64" t="str">
        <f>IFERROR(_xlfn.XLOOKUP(F64,'CECOS Corporativos'!$K:$K,'CECOS Corporativos'!$D:$D,""),"")</f>
        <v>1002AD0508</v>
      </c>
      <c r="K64">
        <f t="shared" si="2"/>
        <v>0</v>
      </c>
      <c r="N64">
        <f t="shared" si="3"/>
        <v>0</v>
      </c>
      <c r="Q64">
        <f t="shared" si="4"/>
        <v>0</v>
      </c>
      <c r="R64">
        <v>9619.75</v>
      </c>
      <c r="T64">
        <f t="shared" si="5"/>
        <v>-9619.75</v>
      </c>
    </row>
    <row r="65" spans="1:20" x14ac:dyDescent="0.3">
      <c r="A65" s="4" t="str">
        <f xml:space="preserve"> _xll.EPMOlapMemberO("[CECO].[PARENTH3].[AMSA1002AD0506]","","AMSA1002AD0506 - Operaciones Corp","","000")</f>
        <v>AMSA1002AD0506 - Operaciones Corp</v>
      </c>
      <c r="B65" t="str">
        <f t="shared" si="0"/>
        <v>1002AD0506</v>
      </c>
      <c r="C65" t="str">
        <f>IFERROR(_xlfn.XLOOKUP(B65,'CECOS Corporativos'!$D:$D,'CECOS Corporativos'!$E:$E,""),"")</f>
        <v>Operaciones Corp (Distribuibles)</v>
      </c>
      <c r="D65" t="str">
        <f>IFERROR(_xlfn.XLOOKUP(B65,'CECOS Corporativos'!$D:$D,'CECOS Corporativos'!$J:$J,""),"")</f>
        <v>VP Planificación y Servicios Técnicos</v>
      </c>
      <c r="E65" t="str">
        <f xml:space="preserve"> _xll.EPMOlapMemberO("[CLACO].[PARENTH7].[AMSASERV_CORP]","","Servicios Corporativ","","000")</f>
        <v>Servicios Corporativ</v>
      </c>
      <c r="F65" t="str">
        <f t="shared" si="1"/>
        <v>N1002AD050</v>
      </c>
      <c r="G65" t="s">
        <v>739</v>
      </c>
      <c r="H65" t="str">
        <f>IFERROR(_xlfn.XLOOKUP(F65,'CECOS Corporativos'!$K:$K,'CECOS Corporativos'!$D:$D,""),"")</f>
        <v>1002AD0508</v>
      </c>
      <c r="K65">
        <f t="shared" si="2"/>
        <v>0</v>
      </c>
      <c r="N65">
        <f t="shared" si="3"/>
        <v>0</v>
      </c>
      <c r="O65">
        <v>1269141</v>
      </c>
      <c r="P65">
        <v>1406250.19</v>
      </c>
      <c r="Q65">
        <f t="shared" si="4"/>
        <v>137109.18999999994</v>
      </c>
      <c r="R65">
        <v>1565329</v>
      </c>
      <c r="S65">
        <v>1643059.3</v>
      </c>
      <c r="T65">
        <f t="shared" si="5"/>
        <v>77730.300000000047</v>
      </c>
    </row>
    <row r="66" spans="1:20" x14ac:dyDescent="0.3">
      <c r="A66" s="4" t="str">
        <f xml:space="preserve"> _xll.EPMOlapMemberO("[CECO].[PARENTH3].[AMSA1002AD0508]","","AMSA1002AD0508 - Finanzas Corporativo","","000")</f>
        <v>AMSA1002AD0508 - Finanzas Corporativo</v>
      </c>
      <c r="B66" t="str">
        <f t="shared" si="0"/>
        <v>1002AD0508</v>
      </c>
      <c r="C66" t="str">
        <f>IFERROR(_xlfn.XLOOKUP(B66,'CECOS Corporativos'!$D:$D,'CECOS Corporativos'!$E:$E,""),"")</f>
        <v>Finanzas Corporativo (HH Corporativo)</v>
      </c>
      <c r="D66" t="str">
        <f>IFERROR(_xlfn.XLOOKUP(B66,'CECOS Corporativos'!$D:$D,'CECOS Corporativos'!$J:$J,""),"")</f>
        <v>VP Finanzas</v>
      </c>
      <c r="E66" t="str">
        <f xml:space="preserve"> _xll.EPMOlapMemberO("[CLACO].[PARENTH7].[AMSASERV_CORP]","","Servicios Corporativ","","000")</f>
        <v>Servicios Corporativ</v>
      </c>
      <c r="F66" t="str">
        <f t="shared" si="1"/>
        <v>N1002AD050</v>
      </c>
      <c r="G66" t="s">
        <v>739</v>
      </c>
      <c r="H66" t="str">
        <f>IFERROR(_xlfn.XLOOKUP(F66,'CECOS Corporativos'!$K:$K,'CECOS Corporativos'!$D:$D,""),"")</f>
        <v>1002AD0508</v>
      </c>
      <c r="K66">
        <f t="shared" si="2"/>
        <v>0</v>
      </c>
      <c r="N66">
        <f t="shared" si="3"/>
        <v>0</v>
      </c>
      <c r="O66">
        <v>3717716</v>
      </c>
      <c r="P66">
        <v>4119341.88</v>
      </c>
      <c r="Q66">
        <f t="shared" si="4"/>
        <v>401625.87999999989</v>
      </c>
      <c r="R66">
        <v>3868654</v>
      </c>
      <c r="S66">
        <v>4060760.9</v>
      </c>
      <c r="T66">
        <f t="shared" si="5"/>
        <v>192106.89999999991</v>
      </c>
    </row>
    <row r="67" spans="1:20" x14ac:dyDescent="0.3">
      <c r="A67" s="4" t="str">
        <f xml:space="preserve"> _xll.EPMOlapMemberO("[CECO].[PARENTH3].[AMSA1002AD0509]","","AMSA1002AD0509 - Legal Corporativo","","000")</f>
        <v>AMSA1002AD0509 - Legal Corporativo</v>
      </c>
      <c r="B67" t="str">
        <f t="shared" si="0"/>
        <v>1002AD0509</v>
      </c>
      <c r="C67" t="str">
        <f>IFERROR(_xlfn.XLOOKUP(B67,'CECOS Corporativos'!$D:$D,'CECOS Corporativos'!$E:$E,""),"")</f>
        <v>Legal Corporativo (HH Corporativo)</v>
      </c>
      <c r="D67" t="str">
        <f>IFERROR(_xlfn.XLOOKUP(B67,'CECOS Corporativos'!$D:$D,'CECOS Corporativos'!$J:$J,""),"")</f>
        <v>VP Legal</v>
      </c>
      <c r="E67" t="str">
        <f xml:space="preserve"> _xll.EPMOlapMemberO("[CLACO].[PARENTH7].[AMSASERV_CORP]","","Servicios Corporativ","","000")</f>
        <v>Servicios Corporativ</v>
      </c>
      <c r="F67" t="str">
        <f t="shared" si="1"/>
        <v>N1002AD050</v>
      </c>
      <c r="G67" t="s">
        <v>739</v>
      </c>
      <c r="H67" t="str">
        <f>IFERROR(_xlfn.XLOOKUP(F67,'CECOS Corporativos'!$K:$K,'CECOS Corporativos'!$D:$D,""),"")</f>
        <v>1002AD0508</v>
      </c>
      <c r="K67">
        <f t="shared" si="2"/>
        <v>0</v>
      </c>
      <c r="N67">
        <f t="shared" si="3"/>
        <v>0</v>
      </c>
      <c r="O67">
        <v>550253</v>
      </c>
      <c r="P67">
        <v>609696.65</v>
      </c>
      <c r="Q67">
        <f t="shared" si="4"/>
        <v>59443.650000000023</v>
      </c>
      <c r="R67">
        <v>673560</v>
      </c>
      <c r="S67">
        <v>707006.8</v>
      </c>
      <c r="T67">
        <f t="shared" si="5"/>
        <v>33446.800000000047</v>
      </c>
    </row>
    <row r="68" spans="1:20" x14ac:dyDescent="0.3">
      <c r="A68" s="4" t="str">
        <f xml:space="preserve"> _xll.EPMOlapMemberO("[CECO].[PARENTH3].[AMSA1002AD0511]","","AMSA1002AD0511 - Reporting VPACS Corp","","000")</f>
        <v>AMSA1002AD0511 - Reporting VPACS Corp</v>
      </c>
      <c r="B68" t="str">
        <f t="shared" si="0"/>
        <v>1002AD0511</v>
      </c>
      <c r="C68" t="str">
        <f>IFERROR(_xlfn.XLOOKUP(B68,'CECOS Corporativos'!$D:$D,'CECOS Corporativos'!$E:$E,""),"")</f>
        <v>Reporting VPACS Corporativo</v>
      </c>
      <c r="D68" t="str">
        <f>IFERROR(_xlfn.XLOOKUP(B68,'CECOS Corporativos'!$D:$D,'CECOS Corporativos'!$J:$J,""),"")</f>
        <v>VP Sustentabilidad</v>
      </c>
      <c r="E68" t="str">
        <f xml:space="preserve"> _xll.EPMOlapMemberO("[CLACO].[PARENTH7].[AMSAASESORIAS]","","Asesorías y Consulto","","000")</f>
        <v>Asesorías y Consulto</v>
      </c>
      <c r="F68" t="str">
        <f t="shared" si="1"/>
        <v>N1002AD050</v>
      </c>
      <c r="G68" t="s">
        <v>739</v>
      </c>
      <c r="H68" t="str">
        <f>IFERROR(_xlfn.XLOOKUP(F68,'CECOS Corporativos'!$K:$K,'CECOS Corporativos'!$D:$D,""),"")</f>
        <v>1002AD0508</v>
      </c>
      <c r="K68">
        <f t="shared" si="2"/>
        <v>0</v>
      </c>
      <c r="N68">
        <f t="shared" si="3"/>
        <v>0</v>
      </c>
      <c r="O68">
        <v>-77.709999999999994</v>
      </c>
      <c r="Q68">
        <f t="shared" si="4"/>
        <v>77.709999999999994</v>
      </c>
      <c r="T68">
        <f t="shared" si="5"/>
        <v>0</v>
      </c>
    </row>
    <row r="69" spans="1:20" x14ac:dyDescent="0.3">
      <c r="A69" s="4" t="str">
        <f xml:space="preserve"> _xll.EPMOlapMemberO("[CECO].[PARENTH3].[AMSA1002AD0511]","","AMSA1002AD0511 - Reporting VPACS Corp","","000")</f>
        <v>AMSA1002AD0511 - Reporting VPACS Corp</v>
      </c>
      <c r="B69" t="str">
        <f t="shared" si="0"/>
        <v>1002AD0511</v>
      </c>
      <c r="C69" t="str">
        <f>IFERROR(_xlfn.XLOOKUP(B69,'CECOS Corporativos'!$D:$D,'CECOS Corporativos'!$E:$E,""),"")</f>
        <v>Reporting VPACS Corporativo</v>
      </c>
      <c r="D69" t="str">
        <f>IFERROR(_xlfn.XLOOKUP(B69,'CECOS Corporativos'!$D:$D,'CECOS Corporativos'!$J:$J,""),"")</f>
        <v>VP Sustentabilidad</v>
      </c>
      <c r="E69" t="str">
        <f xml:space="preserve"> _xll.EPMOlapMemberO("[CLACO].[PARENTH7].[AMSASERVICIOS]","","Servicios","","000")</f>
        <v>Servicios</v>
      </c>
      <c r="F69" t="str">
        <f t="shared" si="1"/>
        <v>N1002AD050</v>
      </c>
      <c r="G69" t="s">
        <v>739</v>
      </c>
      <c r="H69" t="str">
        <f>IFERROR(_xlfn.XLOOKUP(F69,'CECOS Corporativos'!$K:$K,'CECOS Corporativos'!$D:$D,""),"")</f>
        <v>1002AD0508</v>
      </c>
      <c r="K69">
        <f t="shared" si="2"/>
        <v>0</v>
      </c>
      <c r="N69">
        <f t="shared" si="3"/>
        <v>0</v>
      </c>
      <c r="O69">
        <v>91578.84</v>
      </c>
      <c r="P69">
        <v>68276.990000000005</v>
      </c>
      <c r="Q69">
        <f t="shared" si="4"/>
        <v>-23301.849999999991</v>
      </c>
      <c r="R69">
        <v>51715.73</v>
      </c>
      <c r="S69">
        <v>69372.33</v>
      </c>
      <c r="T69">
        <f t="shared" si="5"/>
        <v>17656.599999999999</v>
      </c>
    </row>
    <row r="70" spans="1:20" x14ac:dyDescent="0.3">
      <c r="A70" s="4" t="str">
        <f xml:space="preserve"> _xll.EPMOlapMemberO("[CECO].[PARENTH3].[AMSA1002AD0511]","","AMSA1002AD0511 - Reporting VPACS Corp","","000")</f>
        <v>AMSA1002AD0511 - Reporting VPACS Corp</v>
      </c>
      <c r="B70" t="str">
        <f t="shared" si="0"/>
        <v>1002AD0511</v>
      </c>
      <c r="C70" t="str">
        <f>IFERROR(_xlfn.XLOOKUP(B70,'CECOS Corporativos'!$D:$D,'CECOS Corporativos'!$E:$E,""),"")</f>
        <v>Reporting VPACS Corporativo</v>
      </c>
      <c r="D70" t="str">
        <f>IFERROR(_xlfn.XLOOKUP(B70,'CECOS Corporativos'!$D:$D,'CECOS Corporativos'!$J:$J,""),"")</f>
        <v>VP Sustentabilidad</v>
      </c>
      <c r="E70" t="str">
        <f xml:space="preserve"> _xll.EPMOlapMemberO("[CLACO].[PARENTH7].[AMSAINFORMATIC]","","Informática y Comuni","","000")</f>
        <v>Informática y Comuni</v>
      </c>
      <c r="F70" t="str">
        <f t="shared" si="1"/>
        <v>N1002AD050</v>
      </c>
      <c r="G70" t="s">
        <v>739</v>
      </c>
      <c r="H70" t="str">
        <f>IFERROR(_xlfn.XLOOKUP(F70,'CECOS Corporativos'!$K:$K,'CECOS Corporativos'!$D:$D,""),"")</f>
        <v>1002AD0508</v>
      </c>
      <c r="K70">
        <f t="shared" si="2"/>
        <v>0</v>
      </c>
      <c r="N70">
        <f t="shared" si="3"/>
        <v>0</v>
      </c>
      <c r="O70">
        <v>1148.5</v>
      </c>
      <c r="P70">
        <v>7038.27</v>
      </c>
      <c r="Q70">
        <f t="shared" si="4"/>
        <v>5889.77</v>
      </c>
      <c r="S70">
        <v>10124.18</v>
      </c>
      <c r="T70">
        <f t="shared" si="5"/>
        <v>10124.18</v>
      </c>
    </row>
    <row r="71" spans="1:20" x14ac:dyDescent="0.3">
      <c r="A71" s="4" t="str">
        <f xml:space="preserve"> _xll.EPMOlapMemberO("[CECO].[PARENTH3].[AMSA1002AD0511]","","AMSA1002AD0511 - Reporting VPACS Corp","","000")</f>
        <v>AMSA1002AD0511 - Reporting VPACS Corp</v>
      </c>
      <c r="B71" t="str">
        <f t="shared" si="0"/>
        <v>1002AD0511</v>
      </c>
      <c r="C71" t="str">
        <f>IFERROR(_xlfn.XLOOKUP(B71,'CECOS Corporativos'!$D:$D,'CECOS Corporativos'!$E:$E,""),"")</f>
        <v>Reporting VPACS Corporativo</v>
      </c>
      <c r="D71" t="str">
        <f>IFERROR(_xlfn.XLOOKUP(B71,'CECOS Corporativos'!$D:$D,'CECOS Corporativos'!$J:$J,""),"")</f>
        <v>VP Sustentabilidad</v>
      </c>
      <c r="E71" t="str">
        <f xml:space="preserve"> _xll.EPMOlapMemberO("[CLACO].[PARENTH7].[AMSAG_VIAJES]","","Gastos de Viajes","","000")</f>
        <v>Gastos de Viajes</v>
      </c>
      <c r="F71" t="str">
        <f t="shared" si="1"/>
        <v>N1002AD050</v>
      </c>
      <c r="G71" t="s">
        <v>739</v>
      </c>
      <c r="H71" t="str">
        <f>IFERROR(_xlfn.XLOOKUP(F71,'CECOS Corporativos'!$K:$K,'CECOS Corporativos'!$D:$D,""),"")</f>
        <v>1002AD0508</v>
      </c>
      <c r="K71">
        <f t="shared" si="2"/>
        <v>0</v>
      </c>
      <c r="N71">
        <f t="shared" si="3"/>
        <v>0</v>
      </c>
      <c r="Q71">
        <f t="shared" si="4"/>
        <v>0</v>
      </c>
      <c r="R71">
        <v>108.41</v>
      </c>
      <c r="T71">
        <f t="shared" si="5"/>
        <v>-108.41</v>
      </c>
    </row>
    <row r="72" spans="1:20" x14ac:dyDescent="0.3">
      <c r="A72" s="4" t="str">
        <f xml:space="preserve"> _xll.EPMOlapMemberO("[CECO].[PARENTH3].[AMSA1002AD0511]","","AMSA1002AD0511 - Reporting VPACS Corp","","000")</f>
        <v>AMSA1002AD0511 - Reporting VPACS Corp</v>
      </c>
      <c r="B72" t="str">
        <f t="shared" si="0"/>
        <v>1002AD0511</v>
      </c>
      <c r="C72" t="str">
        <f>IFERROR(_xlfn.XLOOKUP(B72,'CECOS Corporativos'!$D:$D,'CECOS Corporativos'!$E:$E,""),"")</f>
        <v>Reporting VPACS Corporativo</v>
      </c>
      <c r="D72" t="str">
        <f>IFERROR(_xlfn.XLOOKUP(B72,'CECOS Corporativos'!$D:$D,'CECOS Corporativos'!$J:$J,""),"")</f>
        <v>VP Sustentabilidad</v>
      </c>
      <c r="E72" t="str">
        <f xml:space="preserve"> _xll.EPMOlapMemberO("[CLACO].[PARENTH7].[AMSAGGENERALES.2]","","Otros Gastos","","000")</f>
        <v>Otros Gastos</v>
      </c>
      <c r="F72" t="str">
        <f t="shared" si="1"/>
        <v>N1002AD050</v>
      </c>
      <c r="G72" t="s">
        <v>739</v>
      </c>
      <c r="H72" t="str">
        <f>IFERROR(_xlfn.XLOOKUP(F72,'CECOS Corporativos'!$K:$K,'CECOS Corporativos'!$D:$D,""),"")</f>
        <v>1002AD0508</v>
      </c>
      <c r="K72">
        <f t="shared" si="2"/>
        <v>0</v>
      </c>
      <c r="N72">
        <f t="shared" si="3"/>
        <v>0</v>
      </c>
      <c r="O72">
        <v>82663.95</v>
      </c>
      <c r="P72">
        <v>98956.65</v>
      </c>
      <c r="Q72">
        <f t="shared" si="4"/>
        <v>16292.699999999997</v>
      </c>
      <c r="R72">
        <v>108271.28</v>
      </c>
      <c r="S72">
        <v>103858.25</v>
      </c>
      <c r="T72">
        <f t="shared" si="5"/>
        <v>-4413.0299999999988</v>
      </c>
    </row>
    <row r="73" spans="1:20" x14ac:dyDescent="0.3">
      <c r="A73" s="4" t="str">
        <f xml:space="preserve"> _xll.EPMOlapMemberO("[CECO].[PARENTH3].[AMSA1002AD3502]","","AMSA1002AD3502 - Finanzas","","000")</f>
        <v>AMSA1002AD3502 - Finanzas</v>
      </c>
      <c r="B73" t="str">
        <f t="shared" si="0"/>
        <v>1002AD3502</v>
      </c>
      <c r="C73" t="str">
        <f>IFERROR(_xlfn.XLOOKUP(B73,'CECOS Corporativos'!$D:$D,'CECOS Corporativos'!$E:$E,""),"")</f>
        <v>Gerencia de Inversiones &amp; Finanzas</v>
      </c>
      <c r="D73" t="str">
        <f>IFERROR(_xlfn.XLOOKUP(B73,'CECOS Corporativos'!$D:$D,'CECOS Corporativos'!$J:$J,""),"")</f>
        <v>VP Finanzas</v>
      </c>
      <c r="E73" t="str">
        <f xml:space="preserve"> _xll.EPMOlapMemberO("[CLACO].[PARENTH7].[AMSAA_DESGASTE]","","Aceros de desgaste","","000")</f>
        <v>Aceros de desgaste</v>
      </c>
      <c r="F73" t="str">
        <f t="shared" si="1"/>
        <v>N1002AD350</v>
      </c>
      <c r="G73" t="s">
        <v>740</v>
      </c>
      <c r="H73" t="str">
        <f>IFERROR(_xlfn.XLOOKUP(F73,'CECOS Corporativos'!$K:$K,'CECOS Corporativos'!$D:$D,""),"")</f>
        <v/>
      </c>
      <c r="K73">
        <f t="shared" si="2"/>
        <v>0</v>
      </c>
      <c r="N73">
        <f t="shared" si="3"/>
        <v>0</v>
      </c>
      <c r="O73">
        <v>3.71</v>
      </c>
      <c r="Q73">
        <f t="shared" si="4"/>
        <v>-3.71</v>
      </c>
      <c r="T73">
        <f t="shared" si="5"/>
        <v>0</v>
      </c>
    </row>
    <row r="74" spans="1:20" x14ac:dyDescent="0.3">
      <c r="A74" s="4" t="str">
        <f xml:space="preserve"> _xll.EPMOlapMemberO("[CECO].[PARENTH3].[AMSA1002AD3502]","","AMSA1002AD3502 - Finanzas","","000")</f>
        <v>AMSA1002AD3502 - Finanzas</v>
      </c>
      <c r="B74" t="str">
        <f t="shared" ref="B74:B137" si="6">IFERROR(SUBSTITUTE(TRIM(LEFT(A74,FIND("-",A74)-1)),"AMSA",""),"")</f>
        <v>1002AD3502</v>
      </c>
      <c r="C74" t="str">
        <f>IFERROR(_xlfn.XLOOKUP(B74,'CECOS Corporativos'!$D:$D,'CECOS Corporativos'!$E:$E,""),"")</f>
        <v>Gerencia de Inversiones &amp; Finanzas</v>
      </c>
      <c r="D74" t="str">
        <f>IFERROR(_xlfn.XLOOKUP(B74,'CECOS Corporativos'!$D:$D,'CECOS Corporativos'!$J:$J,""),"")</f>
        <v>VP Finanzas</v>
      </c>
      <c r="E74" t="str">
        <f xml:space="preserve"> _xll.EPMOlapMemberO("[CLACO].[PARENTH7].[AMSAMAT_Y_REP.2]","","Materiales y repuest","","000")</f>
        <v>Materiales y repuest</v>
      </c>
      <c r="F74" t="str">
        <f t="shared" ref="F74:F137" si="7">IFERROR(TRIM(LEFT(G74,FIND("-",G74)-1)),"")</f>
        <v>N1002AD350</v>
      </c>
      <c r="G74" t="s">
        <v>740</v>
      </c>
      <c r="H74" t="str">
        <f>IFERROR(_xlfn.XLOOKUP(F74,'CECOS Corporativos'!$K:$K,'CECOS Corporativos'!$D:$D,""),"")</f>
        <v/>
      </c>
      <c r="K74">
        <f t="shared" ref="K74:K137" si="8">J74-I74</f>
        <v>0</v>
      </c>
      <c r="N74">
        <f t="shared" ref="N74:N137" si="9">M74-L74</f>
        <v>0</v>
      </c>
      <c r="Q74">
        <f t="shared" ref="Q74:Q137" si="10">P74-O74</f>
        <v>0</v>
      </c>
      <c r="R74">
        <v>0</v>
      </c>
      <c r="T74">
        <f t="shared" ref="T74:T137" si="11">S74-R74</f>
        <v>0</v>
      </c>
    </row>
    <row r="75" spans="1:20" x14ac:dyDescent="0.3">
      <c r="A75" s="4" t="str">
        <f xml:space="preserve"> _xll.EPMOlapMemberO("[CECO].[PARENTH3].[AMSA1002AD3502]","","AMSA1002AD3502 - Finanzas","","000")</f>
        <v>AMSA1002AD3502 - Finanzas</v>
      </c>
      <c r="B75" t="str">
        <f t="shared" si="6"/>
        <v>1002AD3502</v>
      </c>
      <c r="C75" t="str">
        <f>IFERROR(_xlfn.XLOOKUP(B75,'CECOS Corporativos'!$D:$D,'CECOS Corporativos'!$E:$E,""),"")</f>
        <v>Gerencia de Inversiones &amp; Finanzas</v>
      </c>
      <c r="D75" t="str">
        <f>IFERROR(_xlfn.XLOOKUP(B75,'CECOS Corporativos'!$D:$D,'CECOS Corporativos'!$J:$J,""),"")</f>
        <v>VP Finanzas</v>
      </c>
      <c r="E75" t="str">
        <f xml:space="preserve"> _xll.EPMOlapMemberO("[CLACO].[PARENTH7].[AMSAASESORIAS]","","Asesorías y Consulto","","000")</f>
        <v>Asesorías y Consulto</v>
      </c>
      <c r="F75" t="str">
        <f t="shared" si="7"/>
        <v>N1002AD350</v>
      </c>
      <c r="G75" t="s">
        <v>740</v>
      </c>
      <c r="H75" t="str">
        <f>IFERROR(_xlfn.XLOOKUP(F75,'CECOS Corporativos'!$K:$K,'CECOS Corporativos'!$D:$D,""),"")</f>
        <v/>
      </c>
      <c r="I75">
        <v>44640.9</v>
      </c>
      <c r="J75">
        <v>114295.27</v>
      </c>
      <c r="K75">
        <f t="shared" si="8"/>
        <v>69654.37</v>
      </c>
      <c r="L75">
        <v>5570.9</v>
      </c>
      <c r="M75">
        <v>1404.96</v>
      </c>
      <c r="N75">
        <f t="shared" si="9"/>
        <v>-4165.9399999999996</v>
      </c>
      <c r="O75">
        <v>1334.43</v>
      </c>
      <c r="P75">
        <v>1470.59</v>
      </c>
      <c r="Q75">
        <f t="shared" si="10"/>
        <v>136.15999999999985</v>
      </c>
      <c r="R75">
        <v>-0.48</v>
      </c>
      <c r="S75">
        <v>5422.24</v>
      </c>
      <c r="T75">
        <f t="shared" si="11"/>
        <v>5422.7199999999993</v>
      </c>
    </row>
    <row r="76" spans="1:20" x14ac:dyDescent="0.3">
      <c r="A76" s="4" t="str">
        <f xml:space="preserve"> _xll.EPMOlapMemberO("[CECO].[PARENTH3].[AMSA1002AD3502]","","AMSA1002AD3502 - Finanzas","","000")</f>
        <v>AMSA1002AD3502 - Finanzas</v>
      </c>
      <c r="B76" t="str">
        <f t="shared" si="6"/>
        <v>1002AD3502</v>
      </c>
      <c r="C76" t="str">
        <f>IFERROR(_xlfn.XLOOKUP(B76,'CECOS Corporativos'!$D:$D,'CECOS Corporativos'!$E:$E,""),"")</f>
        <v>Gerencia de Inversiones &amp; Finanzas</v>
      </c>
      <c r="D76" t="str">
        <f>IFERROR(_xlfn.XLOOKUP(B76,'CECOS Corporativos'!$D:$D,'CECOS Corporativos'!$J:$J,""),"")</f>
        <v>VP Finanzas</v>
      </c>
      <c r="E76" t="str">
        <f xml:space="preserve"> _xll.EPMOlapMemberO("[CLACO].[PARENTH7].[AMSAINFORMATIC]","","Informática y Comuni","","000")</f>
        <v>Informática y Comuni</v>
      </c>
      <c r="F76" t="str">
        <f t="shared" si="7"/>
        <v>N1002AD350</v>
      </c>
      <c r="G76" t="s">
        <v>740</v>
      </c>
      <c r="H76" t="str">
        <f>IFERROR(_xlfn.XLOOKUP(F76,'CECOS Corporativos'!$K:$K,'CECOS Corporativos'!$D:$D,""),"")</f>
        <v/>
      </c>
      <c r="I76">
        <v>950.11</v>
      </c>
      <c r="J76">
        <v>1544.18</v>
      </c>
      <c r="K76">
        <f t="shared" si="8"/>
        <v>594.07000000000005</v>
      </c>
      <c r="L76">
        <v>1103.97</v>
      </c>
      <c r="M76">
        <v>1561.48</v>
      </c>
      <c r="N76">
        <f t="shared" si="9"/>
        <v>457.51</v>
      </c>
      <c r="O76">
        <v>1433.31</v>
      </c>
      <c r="P76">
        <v>1500</v>
      </c>
      <c r="Q76">
        <f t="shared" si="10"/>
        <v>66.690000000000055</v>
      </c>
      <c r="R76">
        <v>15021</v>
      </c>
      <c r="S76">
        <v>1600</v>
      </c>
      <c r="T76">
        <f t="shared" si="11"/>
        <v>-13421</v>
      </c>
    </row>
    <row r="77" spans="1:20" x14ac:dyDescent="0.3">
      <c r="A77" s="4" t="str">
        <f xml:space="preserve"> _xll.EPMOlapMemberO("[CECO].[PARENTH3].[AMSA1002AD3502]","","AMSA1002AD3502 - Finanzas","","000")</f>
        <v>AMSA1002AD3502 - Finanzas</v>
      </c>
      <c r="B77" t="str">
        <f t="shared" si="6"/>
        <v>1002AD3502</v>
      </c>
      <c r="C77" t="str">
        <f>IFERROR(_xlfn.XLOOKUP(B77,'CECOS Corporativos'!$D:$D,'CECOS Corporativos'!$E:$E,""),"")</f>
        <v>Gerencia de Inversiones &amp; Finanzas</v>
      </c>
      <c r="D77" t="str">
        <f>IFERROR(_xlfn.XLOOKUP(B77,'CECOS Corporativos'!$D:$D,'CECOS Corporativos'!$J:$J,""),"")</f>
        <v>VP Finanzas</v>
      </c>
      <c r="E77" t="str">
        <f xml:space="preserve"> _xll.EPMOlapMemberO("[CLACO].[PARENTH7].[AMSAG_VIAJES]","","Gastos de Viajes","","000")</f>
        <v>Gastos de Viajes</v>
      </c>
      <c r="F77" t="str">
        <f t="shared" si="7"/>
        <v>N1002AD350</v>
      </c>
      <c r="G77" t="s">
        <v>740</v>
      </c>
      <c r="H77" t="str">
        <f>IFERROR(_xlfn.XLOOKUP(F77,'CECOS Corporativos'!$K:$K,'CECOS Corporativos'!$D:$D,""),"")</f>
        <v/>
      </c>
      <c r="I77">
        <v>0</v>
      </c>
      <c r="K77">
        <f t="shared" si="8"/>
        <v>0</v>
      </c>
      <c r="L77">
        <v>6.97</v>
      </c>
      <c r="N77">
        <f t="shared" si="9"/>
        <v>-6.97</v>
      </c>
      <c r="O77">
        <v>0.09</v>
      </c>
      <c r="Q77">
        <f t="shared" si="10"/>
        <v>-0.09</v>
      </c>
      <c r="T77">
        <f t="shared" si="11"/>
        <v>0</v>
      </c>
    </row>
    <row r="78" spans="1:20" x14ac:dyDescent="0.3">
      <c r="A78" s="4" t="str">
        <f xml:space="preserve"> _xll.EPMOlapMemberO("[CECO].[PARENTH3].[AMSA1002AD3502]","","AMSA1002AD3502 - Finanzas","","000")</f>
        <v>AMSA1002AD3502 - Finanzas</v>
      </c>
      <c r="B78" t="str">
        <f t="shared" si="6"/>
        <v>1002AD3502</v>
      </c>
      <c r="C78" t="str">
        <f>IFERROR(_xlfn.XLOOKUP(B78,'CECOS Corporativos'!$D:$D,'CECOS Corporativos'!$E:$E,""),"")</f>
        <v>Gerencia de Inversiones &amp; Finanzas</v>
      </c>
      <c r="D78" t="str">
        <f>IFERROR(_xlfn.XLOOKUP(B78,'CECOS Corporativos'!$D:$D,'CECOS Corporativos'!$J:$J,""),"")</f>
        <v>VP Finanzas</v>
      </c>
      <c r="E78" t="str">
        <f xml:space="preserve"> _xll.EPMOlapMemberO("[CLACO].[PARENTH7].[AMSAIMP_PATEN]","","Impuestos / Patentes","","000")</f>
        <v>Impuestos / Patentes</v>
      </c>
      <c r="F78" t="str">
        <f t="shared" si="7"/>
        <v>N1002AD350</v>
      </c>
      <c r="G78" t="s">
        <v>740</v>
      </c>
      <c r="H78" t="str">
        <f>IFERROR(_xlfn.XLOOKUP(F78,'CECOS Corporativos'!$K:$K,'CECOS Corporativos'!$D:$D,""),"")</f>
        <v/>
      </c>
      <c r="K78">
        <f t="shared" si="8"/>
        <v>0</v>
      </c>
      <c r="N78">
        <f t="shared" si="9"/>
        <v>0</v>
      </c>
      <c r="Q78">
        <f t="shared" si="10"/>
        <v>0</v>
      </c>
      <c r="R78">
        <v>209.26</v>
      </c>
      <c r="T78">
        <f t="shared" si="11"/>
        <v>-209.26</v>
      </c>
    </row>
    <row r="79" spans="1:20" x14ac:dyDescent="0.3">
      <c r="A79" s="4" t="str">
        <f xml:space="preserve"> _xll.EPMOlapMemberO("[CECO].[PARENTH3].[AMSA1002AD3502]","","AMSA1002AD3502 - Finanzas","","000")</f>
        <v>AMSA1002AD3502 - Finanzas</v>
      </c>
      <c r="B79" t="str">
        <f t="shared" si="6"/>
        <v>1002AD3502</v>
      </c>
      <c r="C79" t="str">
        <f>IFERROR(_xlfn.XLOOKUP(B79,'CECOS Corporativos'!$D:$D,'CECOS Corporativos'!$E:$E,""),"")</f>
        <v>Gerencia de Inversiones &amp; Finanzas</v>
      </c>
      <c r="D79" t="str">
        <f>IFERROR(_xlfn.XLOOKUP(B79,'CECOS Corporativos'!$D:$D,'CECOS Corporativos'!$J:$J,""),"")</f>
        <v>VP Finanzas</v>
      </c>
      <c r="E79" t="str">
        <f xml:space="preserve"> _xll.EPMOlapMemberO("[CLACO].[PARENTH7].[AMSAGGENERALES.2]","","Otros Gastos","","000")</f>
        <v>Otros Gastos</v>
      </c>
      <c r="F79" t="str">
        <f t="shared" si="7"/>
        <v>N1002AD350</v>
      </c>
      <c r="G79" t="s">
        <v>740</v>
      </c>
      <c r="H79" t="str">
        <f>IFERROR(_xlfn.XLOOKUP(F79,'CECOS Corporativos'!$K:$K,'CECOS Corporativos'!$D:$D,""),"")</f>
        <v/>
      </c>
      <c r="I79">
        <v>0</v>
      </c>
      <c r="J79">
        <v>3082.25</v>
      </c>
      <c r="K79">
        <f t="shared" si="8"/>
        <v>3082.25</v>
      </c>
      <c r="L79">
        <v>-0.91</v>
      </c>
      <c r="M79">
        <v>2736.31</v>
      </c>
      <c r="N79">
        <f t="shared" si="9"/>
        <v>2737.22</v>
      </c>
      <c r="O79">
        <v>0</v>
      </c>
      <c r="Q79">
        <f t="shared" si="10"/>
        <v>0</v>
      </c>
      <c r="T79">
        <f t="shared" si="11"/>
        <v>0</v>
      </c>
    </row>
    <row r="80" spans="1:20" x14ac:dyDescent="0.3">
      <c r="A80" s="4" t="str">
        <f xml:space="preserve"> _xll.EPMOlapMemberO("[CECO].[PARENTH3].[AMSA1002AD3502]","","AMSA1002AD3502 - Finanzas","","000")</f>
        <v>AMSA1002AD3502 - Finanzas</v>
      </c>
      <c r="B80" t="str">
        <f t="shared" si="6"/>
        <v>1002AD3502</v>
      </c>
      <c r="C80" t="str">
        <f>IFERROR(_xlfn.XLOOKUP(B80,'CECOS Corporativos'!$D:$D,'CECOS Corporativos'!$E:$E,""),"")</f>
        <v>Gerencia de Inversiones &amp; Finanzas</v>
      </c>
      <c r="D80" t="str">
        <f>IFERROR(_xlfn.XLOOKUP(B80,'CECOS Corporativos'!$D:$D,'CECOS Corporativos'!$J:$J,""),"")</f>
        <v>VP Finanzas</v>
      </c>
      <c r="E80" t="str">
        <f xml:space="preserve"> _xll.EPMOlapMemberO("[CLACO].[PARENTH7].[AMSAPCC_PROG]","","PCC Programa Competi","","000")</f>
        <v>PCC Programa Competi</v>
      </c>
      <c r="F80" t="str">
        <f t="shared" si="7"/>
        <v>N1002AD350</v>
      </c>
      <c r="G80" t="s">
        <v>740</v>
      </c>
      <c r="H80" t="str">
        <f>IFERROR(_xlfn.XLOOKUP(F80,'CECOS Corporativos'!$K:$K,'CECOS Corporativos'!$D:$D,""),"")</f>
        <v/>
      </c>
      <c r="K80">
        <f t="shared" si="8"/>
        <v>0</v>
      </c>
      <c r="N80">
        <f t="shared" si="9"/>
        <v>0</v>
      </c>
      <c r="P80">
        <v>-3810648.96</v>
      </c>
      <c r="Q80">
        <f t="shared" si="10"/>
        <v>-3810648.96</v>
      </c>
      <c r="T80">
        <f t="shared" si="11"/>
        <v>0</v>
      </c>
    </row>
    <row r="81" spans="1:20" x14ac:dyDescent="0.3">
      <c r="A81" s="4" t="str">
        <f xml:space="preserve"> _xll.EPMOlapMemberO("[CECO].[PARENTH3].[AMSA1002AD3502]","","AMSA1002AD3502 - Finanzas","","000")</f>
        <v>AMSA1002AD3502 - Finanzas</v>
      </c>
      <c r="B81" t="str">
        <f t="shared" si="6"/>
        <v>1002AD3502</v>
      </c>
      <c r="C81" t="str">
        <f>IFERROR(_xlfn.XLOOKUP(B81,'CECOS Corporativos'!$D:$D,'CECOS Corporativos'!$E:$E,""),"")</f>
        <v>Gerencia de Inversiones &amp; Finanzas</v>
      </c>
      <c r="D81" t="str">
        <f>IFERROR(_xlfn.XLOOKUP(B81,'CECOS Corporativos'!$D:$D,'CECOS Corporativos'!$J:$J,""),"")</f>
        <v>VP Finanzas</v>
      </c>
      <c r="E81" t="str">
        <f xml:space="preserve"> _xll.EPMOlapMemberO("[CLACO].[PARENTH7].[AMSASERV_CORP]","","Servicios Corporativ","","000")</f>
        <v>Servicios Corporativ</v>
      </c>
      <c r="F81" t="str">
        <f t="shared" si="7"/>
        <v>N1002AD350</v>
      </c>
      <c r="G81" t="s">
        <v>740</v>
      </c>
      <c r="H81" t="str">
        <f>IFERROR(_xlfn.XLOOKUP(F81,'CECOS Corporativos'!$K:$K,'CECOS Corporativos'!$D:$D,""),"")</f>
        <v/>
      </c>
      <c r="I81">
        <v>454614.52</v>
      </c>
      <c r="J81">
        <v>468658.41</v>
      </c>
      <c r="K81">
        <f t="shared" si="8"/>
        <v>14043.889999999956</v>
      </c>
      <c r="L81">
        <v>493882.66</v>
      </c>
      <c r="M81">
        <v>448325.79</v>
      </c>
      <c r="N81">
        <f t="shared" si="9"/>
        <v>-45556.869999999995</v>
      </c>
      <c r="O81">
        <v>-0.66</v>
      </c>
      <c r="Q81">
        <f t="shared" si="10"/>
        <v>0.66</v>
      </c>
      <c r="T81">
        <f t="shared" si="11"/>
        <v>0</v>
      </c>
    </row>
    <row r="82" spans="1:20" x14ac:dyDescent="0.3">
      <c r="A82" s="4" t="str">
        <f xml:space="preserve"> _xll.EPMOlapMemberO("[CECO].[PARENTH3].[AMSA1002AD3503]","","AMSA1002AD3503 - Contabilidad","","000")</f>
        <v>AMSA1002AD3503 - Contabilidad</v>
      </c>
      <c r="B82" t="str">
        <f t="shared" si="6"/>
        <v>1002AD3503</v>
      </c>
      <c r="C82" t="str">
        <f>IFERROR(_xlfn.XLOOKUP(B82,'CECOS Corporativos'!$D:$D,'CECOS Corporativos'!$E:$E,""),"")</f>
        <v>Gerencia Contabilidad Corporativa</v>
      </c>
      <c r="D82" t="str">
        <f>IFERROR(_xlfn.XLOOKUP(B82,'CECOS Corporativos'!$D:$D,'CECOS Corporativos'!$J:$J,""),"")</f>
        <v>VP Finanzas</v>
      </c>
      <c r="E82" t="str">
        <f xml:space="preserve"> _xll.EPMOlapMemberO("[CLACO].[PARENTH7].[AMSAMAT_Y_REP.2]","","Materiales y repuest","","000")</f>
        <v>Materiales y repuest</v>
      </c>
      <c r="F82" t="str">
        <f t="shared" si="7"/>
        <v>N1002AD350</v>
      </c>
      <c r="G82" t="s">
        <v>740</v>
      </c>
      <c r="H82" t="str">
        <f>IFERROR(_xlfn.XLOOKUP(F82,'CECOS Corporativos'!$K:$K,'CECOS Corporativos'!$D:$D,""),"")</f>
        <v/>
      </c>
      <c r="I82">
        <v>429.85</v>
      </c>
      <c r="J82">
        <v>204.95</v>
      </c>
      <c r="K82">
        <f t="shared" si="8"/>
        <v>-224.90000000000003</v>
      </c>
      <c r="M82">
        <v>245.91</v>
      </c>
      <c r="N82">
        <f t="shared" si="9"/>
        <v>245.91</v>
      </c>
      <c r="O82">
        <v>396.73</v>
      </c>
      <c r="P82">
        <v>243</v>
      </c>
      <c r="Q82">
        <f t="shared" si="10"/>
        <v>-153.73000000000002</v>
      </c>
      <c r="S82">
        <v>242.3</v>
      </c>
      <c r="T82">
        <f t="shared" si="11"/>
        <v>242.3</v>
      </c>
    </row>
    <row r="83" spans="1:20" x14ac:dyDescent="0.3">
      <c r="A83" s="4" t="str">
        <f xml:space="preserve"> _xll.EPMOlapMemberO("[CECO].[PARENTH3].[AMSA1002AD3503]","","AMSA1002AD3503 - Contabilidad","","000")</f>
        <v>AMSA1002AD3503 - Contabilidad</v>
      </c>
      <c r="B83" t="str">
        <f t="shared" si="6"/>
        <v>1002AD3503</v>
      </c>
      <c r="C83" t="str">
        <f>IFERROR(_xlfn.XLOOKUP(B83,'CECOS Corporativos'!$D:$D,'CECOS Corporativos'!$E:$E,""),"")</f>
        <v>Gerencia Contabilidad Corporativa</v>
      </c>
      <c r="D83" t="str">
        <f>IFERROR(_xlfn.XLOOKUP(B83,'CECOS Corporativos'!$D:$D,'CECOS Corporativos'!$J:$J,""),"")</f>
        <v>VP Finanzas</v>
      </c>
      <c r="E83" t="str">
        <f xml:space="preserve"> _xll.EPMOlapMemberO("[CLACO].[PARENTH7].[AMSAASESORIAS]","","Asesorías y Consulto","","000")</f>
        <v>Asesorías y Consulto</v>
      </c>
      <c r="F83" t="str">
        <f t="shared" si="7"/>
        <v>N1002AD350</v>
      </c>
      <c r="G83" t="s">
        <v>740</v>
      </c>
      <c r="H83" t="str">
        <f>IFERROR(_xlfn.XLOOKUP(F83,'CECOS Corporativos'!$K:$K,'CECOS Corporativos'!$D:$D,""),"")</f>
        <v/>
      </c>
      <c r="I83">
        <v>281535.64</v>
      </c>
      <c r="J83">
        <v>356497.06</v>
      </c>
      <c r="K83">
        <f t="shared" si="8"/>
        <v>74961.419999999984</v>
      </c>
      <c r="L83">
        <v>302805.62</v>
      </c>
      <c r="M83">
        <v>317684.64</v>
      </c>
      <c r="N83">
        <f t="shared" si="9"/>
        <v>14879.020000000019</v>
      </c>
      <c r="O83">
        <v>224762.73</v>
      </c>
      <c r="P83">
        <v>335440.08</v>
      </c>
      <c r="Q83">
        <f t="shared" si="10"/>
        <v>110677.35</v>
      </c>
      <c r="R83">
        <v>256956.38</v>
      </c>
      <c r="S83">
        <v>268574.36</v>
      </c>
      <c r="T83">
        <f t="shared" si="11"/>
        <v>11617.979999999981</v>
      </c>
    </row>
    <row r="84" spans="1:20" x14ac:dyDescent="0.3">
      <c r="A84" s="4" t="str">
        <f xml:space="preserve"> _xll.EPMOlapMemberO("[CECO].[PARENTH3].[AMSA1002AD3503]","","AMSA1002AD3503 - Contabilidad","","000")</f>
        <v>AMSA1002AD3503 - Contabilidad</v>
      </c>
      <c r="B84" t="str">
        <f t="shared" si="6"/>
        <v>1002AD3503</v>
      </c>
      <c r="C84" t="str">
        <f>IFERROR(_xlfn.XLOOKUP(B84,'CECOS Corporativos'!$D:$D,'CECOS Corporativos'!$E:$E,""),"")</f>
        <v>Gerencia Contabilidad Corporativa</v>
      </c>
      <c r="D84" t="str">
        <f>IFERROR(_xlfn.XLOOKUP(B84,'CECOS Corporativos'!$D:$D,'CECOS Corporativos'!$J:$J,""),"")</f>
        <v>VP Finanzas</v>
      </c>
      <c r="E84" t="str">
        <f xml:space="preserve"> _xll.EPMOlapMemberO("[CLACO].[PARENTH7].[AMSASERVICIOS]","","Servicios","","000")</f>
        <v>Servicios</v>
      </c>
      <c r="F84" t="str">
        <f t="shared" si="7"/>
        <v>N1002AD350</v>
      </c>
      <c r="G84" t="s">
        <v>740</v>
      </c>
      <c r="H84" t="str">
        <f>IFERROR(_xlfn.XLOOKUP(F84,'CECOS Corporativos'!$K:$K,'CECOS Corporativos'!$D:$D,""),"")</f>
        <v/>
      </c>
      <c r="I84">
        <v>969.41</v>
      </c>
      <c r="J84">
        <v>2492</v>
      </c>
      <c r="K84">
        <f t="shared" si="8"/>
        <v>1522.5900000000001</v>
      </c>
      <c r="L84">
        <v>106.35</v>
      </c>
      <c r="M84">
        <v>1406.46</v>
      </c>
      <c r="N84">
        <f t="shared" si="9"/>
        <v>1300.1100000000001</v>
      </c>
      <c r="O84">
        <v>3222.78</v>
      </c>
      <c r="P84">
        <v>1591.9</v>
      </c>
      <c r="Q84">
        <f t="shared" si="10"/>
        <v>-1630.88</v>
      </c>
      <c r="R84">
        <v>0</v>
      </c>
      <c r="S84">
        <v>2586.11</v>
      </c>
      <c r="T84">
        <f t="shared" si="11"/>
        <v>2586.11</v>
      </c>
    </row>
    <row r="85" spans="1:20" x14ac:dyDescent="0.3">
      <c r="A85" s="4" t="str">
        <f xml:space="preserve"> _xll.EPMOlapMemberO("[CECO].[PARENTH3].[AMSA1002AD3503]","","AMSA1002AD3503 - Contabilidad","","000")</f>
        <v>AMSA1002AD3503 - Contabilidad</v>
      </c>
      <c r="B85" t="str">
        <f t="shared" si="6"/>
        <v>1002AD3503</v>
      </c>
      <c r="C85" t="str">
        <f>IFERROR(_xlfn.XLOOKUP(B85,'CECOS Corporativos'!$D:$D,'CECOS Corporativos'!$E:$E,""),"")</f>
        <v>Gerencia Contabilidad Corporativa</v>
      </c>
      <c r="D85" t="str">
        <f>IFERROR(_xlfn.XLOOKUP(B85,'CECOS Corporativos'!$D:$D,'CECOS Corporativos'!$J:$J,""),"")</f>
        <v>VP Finanzas</v>
      </c>
      <c r="E85" t="str">
        <f xml:space="preserve"> _xll.EPMOlapMemberO("[CLACO].[PARENTH7].[AMSAINFORMATIC]","","Informática y Comuni","","000")</f>
        <v>Informática y Comuni</v>
      </c>
      <c r="F85" t="str">
        <f t="shared" si="7"/>
        <v>N1002AD350</v>
      </c>
      <c r="G85" t="s">
        <v>740</v>
      </c>
      <c r="H85" t="str">
        <f>IFERROR(_xlfn.XLOOKUP(F85,'CECOS Corporativos'!$K:$K,'CECOS Corporativos'!$D:$D,""),"")</f>
        <v/>
      </c>
      <c r="I85">
        <v>45115.15</v>
      </c>
      <c r="J85">
        <v>49615.75</v>
      </c>
      <c r="K85">
        <f t="shared" si="8"/>
        <v>4500.5999999999985</v>
      </c>
      <c r="L85">
        <v>62164.24</v>
      </c>
      <c r="M85">
        <v>54727.06</v>
      </c>
      <c r="N85">
        <f t="shared" si="9"/>
        <v>-7437.18</v>
      </c>
      <c r="O85">
        <v>69134.91</v>
      </c>
      <c r="P85">
        <v>57838.94</v>
      </c>
      <c r="Q85">
        <f t="shared" si="10"/>
        <v>-11295.970000000001</v>
      </c>
      <c r="R85">
        <v>60335</v>
      </c>
      <c r="S85">
        <v>72122.52</v>
      </c>
      <c r="T85">
        <f t="shared" si="11"/>
        <v>11787.520000000004</v>
      </c>
    </row>
    <row r="86" spans="1:20" x14ac:dyDescent="0.3">
      <c r="A86" s="4" t="str">
        <f xml:space="preserve"> _xll.EPMOlapMemberO("[CECO].[PARENTH3].[AMSA1002AD3503]","","AMSA1002AD3503 - Contabilidad","","000")</f>
        <v>AMSA1002AD3503 - Contabilidad</v>
      </c>
      <c r="B86" t="str">
        <f t="shared" si="6"/>
        <v>1002AD3503</v>
      </c>
      <c r="C86" t="str">
        <f>IFERROR(_xlfn.XLOOKUP(B86,'CECOS Corporativos'!$D:$D,'CECOS Corporativos'!$E:$E,""),"")</f>
        <v>Gerencia Contabilidad Corporativa</v>
      </c>
      <c r="D86" t="str">
        <f>IFERROR(_xlfn.XLOOKUP(B86,'CECOS Corporativos'!$D:$D,'CECOS Corporativos'!$J:$J,""),"")</f>
        <v>VP Finanzas</v>
      </c>
      <c r="E86" t="str">
        <f xml:space="preserve"> _xll.EPMOlapMemberO("[CLACO].[PARENTH7].[AMSAG_VIAJES]","","Gastos de Viajes","","000")</f>
        <v>Gastos de Viajes</v>
      </c>
      <c r="F86" t="str">
        <f t="shared" si="7"/>
        <v>N1002AD350</v>
      </c>
      <c r="G86" t="s">
        <v>740</v>
      </c>
      <c r="H86" t="str">
        <f>IFERROR(_xlfn.XLOOKUP(F86,'CECOS Corporativos'!$K:$K,'CECOS Corporativos'!$D:$D,""),"")</f>
        <v/>
      </c>
      <c r="I86">
        <v>6863.54</v>
      </c>
      <c r="J86">
        <v>14465.55</v>
      </c>
      <c r="K86">
        <f t="shared" si="8"/>
        <v>7602.0099999999993</v>
      </c>
      <c r="L86">
        <v>3254.12</v>
      </c>
      <c r="M86">
        <v>24164.880000000001</v>
      </c>
      <c r="N86">
        <f t="shared" si="9"/>
        <v>20910.760000000002</v>
      </c>
      <c r="O86">
        <v>7785.47</v>
      </c>
      <c r="P86">
        <v>19349.7</v>
      </c>
      <c r="Q86">
        <f t="shared" si="10"/>
        <v>11564.23</v>
      </c>
      <c r="R86">
        <v>6370.21</v>
      </c>
      <c r="S86">
        <v>15039.29</v>
      </c>
      <c r="T86">
        <f t="shared" si="11"/>
        <v>8669.0800000000017</v>
      </c>
    </row>
    <row r="87" spans="1:20" x14ac:dyDescent="0.3">
      <c r="A87" s="4" t="str">
        <f xml:space="preserve"> _xll.EPMOlapMemberO("[CECO].[PARENTH3].[AMSA1002AD3503]","","AMSA1002AD3503 - Contabilidad","","000")</f>
        <v>AMSA1002AD3503 - Contabilidad</v>
      </c>
      <c r="B87" t="str">
        <f t="shared" si="6"/>
        <v>1002AD3503</v>
      </c>
      <c r="C87" t="str">
        <f>IFERROR(_xlfn.XLOOKUP(B87,'CECOS Corporativos'!$D:$D,'CECOS Corporativos'!$E:$E,""),"")</f>
        <v>Gerencia Contabilidad Corporativa</v>
      </c>
      <c r="D87" t="str">
        <f>IFERROR(_xlfn.XLOOKUP(B87,'CECOS Corporativos'!$D:$D,'CECOS Corporativos'!$J:$J,""),"")</f>
        <v>VP Finanzas</v>
      </c>
      <c r="E87" t="str">
        <f xml:space="preserve"> _xll.EPMOlapMemberO("[CLACO].[PARENTH7].[AMSAGGENERALES.2]","","Otros Gastos","","000")</f>
        <v>Otros Gastos</v>
      </c>
      <c r="F87" t="str">
        <f t="shared" si="7"/>
        <v>N1002AD350</v>
      </c>
      <c r="G87" t="s">
        <v>740</v>
      </c>
      <c r="H87" t="str">
        <f>IFERROR(_xlfn.XLOOKUP(F87,'CECOS Corporativos'!$K:$K,'CECOS Corporativos'!$D:$D,""),"")</f>
        <v/>
      </c>
      <c r="I87">
        <v>-0.12</v>
      </c>
      <c r="K87">
        <f t="shared" si="8"/>
        <v>0.12</v>
      </c>
      <c r="N87">
        <f t="shared" si="9"/>
        <v>0</v>
      </c>
      <c r="Q87">
        <f t="shared" si="10"/>
        <v>0</v>
      </c>
      <c r="T87">
        <f t="shared" si="11"/>
        <v>0</v>
      </c>
    </row>
    <row r="88" spans="1:20" x14ac:dyDescent="0.3">
      <c r="A88" s="4" t="str">
        <f xml:space="preserve"> _xll.EPMOlapMemberO("[CECO].[PARENTH3].[AMSA1002AD3503]","","AMSA1002AD3503 - Contabilidad","","000")</f>
        <v>AMSA1002AD3503 - Contabilidad</v>
      </c>
      <c r="B88" t="str">
        <f t="shared" si="6"/>
        <v>1002AD3503</v>
      </c>
      <c r="C88" t="str">
        <f>IFERROR(_xlfn.XLOOKUP(B88,'CECOS Corporativos'!$D:$D,'CECOS Corporativos'!$E:$E,""),"")</f>
        <v>Gerencia Contabilidad Corporativa</v>
      </c>
      <c r="D88" t="str">
        <f>IFERROR(_xlfn.XLOOKUP(B88,'CECOS Corporativos'!$D:$D,'CECOS Corporativos'!$J:$J,""),"")</f>
        <v>VP Finanzas</v>
      </c>
      <c r="E88" t="str">
        <f xml:space="preserve"> _xll.EPMOlapMemberO("[CLACO].[PARENTH7].[AMSASERV_CORP]","","Servicios Corporativ","","000")</f>
        <v>Servicios Corporativ</v>
      </c>
      <c r="F88" t="str">
        <f t="shared" si="7"/>
        <v>N1002AD350</v>
      </c>
      <c r="G88" t="s">
        <v>740</v>
      </c>
      <c r="H88" t="str">
        <f>IFERROR(_xlfn.XLOOKUP(F88,'CECOS Corporativos'!$K:$K,'CECOS Corporativos'!$D:$D,""),"")</f>
        <v/>
      </c>
      <c r="I88">
        <v>817900.81</v>
      </c>
      <c r="J88">
        <v>847179.67</v>
      </c>
      <c r="K88">
        <f t="shared" si="8"/>
        <v>29278.859999999986</v>
      </c>
      <c r="L88">
        <v>955461.28</v>
      </c>
      <c r="M88">
        <v>876259.28</v>
      </c>
      <c r="N88">
        <f t="shared" si="9"/>
        <v>-79202</v>
      </c>
      <c r="O88">
        <v>91302.98</v>
      </c>
      <c r="P88">
        <v>104782.08</v>
      </c>
      <c r="Q88">
        <f t="shared" si="10"/>
        <v>13479.100000000006</v>
      </c>
      <c r="R88">
        <v>93713.93</v>
      </c>
      <c r="S88">
        <v>103526.84</v>
      </c>
      <c r="T88">
        <f t="shared" si="11"/>
        <v>9812.9100000000035</v>
      </c>
    </row>
    <row r="89" spans="1:20" x14ac:dyDescent="0.3">
      <c r="A89" s="4" t="str">
        <f xml:space="preserve"> _xll.EPMOlapMemberO("[CECO].[PARENTH3].[AMSA1002AD3520]","","AMSA1002AD3520 - Gestión de Seguros","","000")</f>
        <v>AMSA1002AD3520 - Gestión de Seguros</v>
      </c>
      <c r="B89" t="str">
        <f t="shared" si="6"/>
        <v>1002AD3520</v>
      </c>
      <c r="C89" t="str">
        <f>IFERROR(_xlfn.XLOOKUP(B89,'CECOS Corporativos'!$D:$D,'CECOS Corporativos'!$E:$E,""),"")</f>
        <v>Seguros Corporativos</v>
      </c>
      <c r="D89" t="str">
        <f>IFERROR(_xlfn.XLOOKUP(B89,'CECOS Corporativos'!$D:$D,'CECOS Corporativos'!$J:$J,""),"")</f>
        <v>VP Finanzas</v>
      </c>
      <c r="E89" t="str">
        <f xml:space="preserve"> _xll.EPMOlapMemberO("[CLACO].[PARENTH7].[AMSAG_VIAJES]","","Gastos de Viajes","","000")</f>
        <v>Gastos de Viajes</v>
      </c>
      <c r="F89" t="str">
        <f t="shared" si="7"/>
        <v>N1002AD350</v>
      </c>
      <c r="G89" t="s">
        <v>740</v>
      </c>
      <c r="H89" t="str">
        <f>IFERROR(_xlfn.XLOOKUP(F89,'CECOS Corporativos'!$K:$K,'CECOS Corporativos'!$D:$D,""),"")</f>
        <v/>
      </c>
      <c r="I89">
        <v>1488.68</v>
      </c>
      <c r="J89">
        <v>545.69000000000005</v>
      </c>
      <c r="K89">
        <f t="shared" si="8"/>
        <v>-942.99</v>
      </c>
      <c r="L89">
        <v>5669.74</v>
      </c>
      <c r="M89">
        <v>6003.25</v>
      </c>
      <c r="N89">
        <f t="shared" si="9"/>
        <v>333.51000000000022</v>
      </c>
      <c r="O89">
        <v>4750.92</v>
      </c>
      <c r="P89">
        <v>12754</v>
      </c>
      <c r="Q89">
        <f t="shared" si="10"/>
        <v>8003.08</v>
      </c>
      <c r="R89">
        <v>1105.1500000000001</v>
      </c>
      <c r="S89">
        <v>726.6</v>
      </c>
      <c r="T89">
        <f t="shared" si="11"/>
        <v>-378.55000000000007</v>
      </c>
    </row>
    <row r="90" spans="1:20" x14ac:dyDescent="0.3">
      <c r="A90" s="4" t="str">
        <f xml:space="preserve"> _xll.EPMOlapMemberO("[CECO].[PARENTH3].[AMSA1002AD3520]","","AMSA1002AD3520 - Gestión de Seguros","","000")</f>
        <v>AMSA1002AD3520 - Gestión de Seguros</v>
      </c>
      <c r="B90" t="str">
        <f t="shared" si="6"/>
        <v>1002AD3520</v>
      </c>
      <c r="C90" t="str">
        <f>IFERROR(_xlfn.XLOOKUP(B90,'CECOS Corporativos'!$D:$D,'CECOS Corporativos'!$E:$E,""),"")</f>
        <v>Seguros Corporativos</v>
      </c>
      <c r="D90" t="str">
        <f>IFERROR(_xlfn.XLOOKUP(B90,'CECOS Corporativos'!$D:$D,'CECOS Corporativos'!$J:$J,""),"")</f>
        <v>VP Finanzas</v>
      </c>
      <c r="E90" t="str">
        <f xml:space="preserve"> _xll.EPMOlapMemberO("[CLACO].[PARENTH7].[AMSASEGUROS]","","Seguros","","000")</f>
        <v>Seguros</v>
      </c>
      <c r="F90" t="str">
        <f t="shared" si="7"/>
        <v>N1002AD350</v>
      </c>
      <c r="G90" t="s">
        <v>740</v>
      </c>
      <c r="H90" t="str">
        <f>IFERROR(_xlfn.XLOOKUP(F90,'CECOS Corporativos'!$K:$K,'CECOS Corporativos'!$D:$D,""),"")</f>
        <v/>
      </c>
      <c r="I90">
        <v>9705840.4600000009</v>
      </c>
      <c r="J90">
        <v>10747595.49</v>
      </c>
      <c r="K90">
        <f t="shared" si="8"/>
        <v>1041755.0299999993</v>
      </c>
      <c r="L90">
        <v>9832807.2100000009</v>
      </c>
      <c r="M90">
        <v>9625115.75</v>
      </c>
      <c r="N90">
        <f t="shared" si="9"/>
        <v>-207691.46000000089</v>
      </c>
      <c r="O90">
        <v>9548825.0500000007</v>
      </c>
      <c r="P90">
        <v>11265087.77</v>
      </c>
      <c r="Q90">
        <f t="shared" si="10"/>
        <v>1716262.7199999988</v>
      </c>
      <c r="R90">
        <v>10819344.16</v>
      </c>
      <c r="S90">
        <v>10969603.640000001</v>
      </c>
      <c r="T90">
        <f t="shared" si="11"/>
        <v>150259.48000000045</v>
      </c>
    </row>
    <row r="91" spans="1:20" x14ac:dyDescent="0.3">
      <c r="A91" s="4" t="str">
        <f xml:space="preserve"> _xll.EPMOlapMemberO("[CECO].[PARENTH3].[AMSA1002AD3520]","","AMSA1002AD3520 - Gestión de Seguros","","000")</f>
        <v>AMSA1002AD3520 - Gestión de Seguros</v>
      </c>
      <c r="B91" t="str">
        <f t="shared" si="6"/>
        <v>1002AD3520</v>
      </c>
      <c r="C91" t="str">
        <f>IFERROR(_xlfn.XLOOKUP(B91,'CECOS Corporativos'!$D:$D,'CECOS Corporativos'!$E:$E,""),"")</f>
        <v>Seguros Corporativos</v>
      </c>
      <c r="D91" t="str">
        <f>IFERROR(_xlfn.XLOOKUP(B91,'CECOS Corporativos'!$D:$D,'CECOS Corporativos'!$J:$J,""),"")</f>
        <v>VP Finanzas</v>
      </c>
      <c r="E91" t="str">
        <f xml:space="preserve"> _xll.EPMOlapMemberO("[CLACO].[PARENTH7].[AMSASERV_CORP]","","Servicios Corporativ","","000")</f>
        <v>Servicios Corporativ</v>
      </c>
      <c r="F91" t="str">
        <f t="shared" si="7"/>
        <v>N1002AD350</v>
      </c>
      <c r="G91" t="s">
        <v>740</v>
      </c>
      <c r="H91" t="str">
        <f>IFERROR(_xlfn.XLOOKUP(F91,'CECOS Corporativos'!$K:$K,'CECOS Corporativos'!$D:$D,""),"")</f>
        <v/>
      </c>
      <c r="I91">
        <v>39969</v>
      </c>
      <c r="J91">
        <v>41203.620000000003</v>
      </c>
      <c r="K91">
        <f t="shared" si="8"/>
        <v>1234.6200000000026</v>
      </c>
      <c r="L91">
        <v>61622.95</v>
      </c>
      <c r="M91">
        <v>55939.92</v>
      </c>
      <c r="N91">
        <f t="shared" si="9"/>
        <v>-5683.0299999999988</v>
      </c>
      <c r="O91">
        <v>0.05</v>
      </c>
      <c r="Q91">
        <f t="shared" si="10"/>
        <v>-0.05</v>
      </c>
      <c r="T91">
        <f t="shared" si="11"/>
        <v>0</v>
      </c>
    </row>
    <row r="92" spans="1:20" x14ac:dyDescent="0.3">
      <c r="A92" s="4" t="str">
        <f xml:space="preserve"> _xll.EPMOlapMemberO("[CECO].[PARENTH3].[AMSA1002AD3521]","","AMSA1002AD3521 - Gestión de Impuestos","","000")</f>
        <v>AMSA1002AD3521 - Gestión de Impuestos</v>
      </c>
      <c r="B92" t="str">
        <f t="shared" si="6"/>
        <v>1002AD3521</v>
      </c>
      <c r="C92" t="str">
        <f>IFERROR(_xlfn.XLOOKUP(B92,'CECOS Corporativos'!$D:$D,'CECOS Corporativos'!$E:$E,""),"")</f>
        <v>Gerencia de Impuestos</v>
      </c>
      <c r="D92" t="str">
        <f>IFERROR(_xlfn.XLOOKUP(B92,'CECOS Corporativos'!$D:$D,'CECOS Corporativos'!$J:$J,""),"")</f>
        <v>VP Finanzas</v>
      </c>
      <c r="E92" t="str">
        <f xml:space="preserve"> _xll.EPMOlapMemberO("[CLACO].[PARENTH7].[AMSAENTRENAMI]","","Entrenamiento","","000")</f>
        <v>Entrenamiento</v>
      </c>
      <c r="F92" t="str">
        <f t="shared" si="7"/>
        <v>N1002AD350</v>
      </c>
      <c r="G92" t="s">
        <v>740</v>
      </c>
      <c r="H92" t="str">
        <f>IFERROR(_xlfn.XLOOKUP(F92,'CECOS Corporativos'!$K:$K,'CECOS Corporativos'!$D:$D,""),"")</f>
        <v/>
      </c>
      <c r="I92">
        <v>-519.48</v>
      </c>
      <c r="J92">
        <v>1027.08</v>
      </c>
      <c r="K92">
        <f t="shared" si="8"/>
        <v>1546.56</v>
      </c>
      <c r="M92">
        <v>1000</v>
      </c>
      <c r="N92">
        <f t="shared" si="9"/>
        <v>1000</v>
      </c>
      <c r="P92">
        <v>1015</v>
      </c>
      <c r="Q92">
        <f t="shared" si="10"/>
        <v>1015</v>
      </c>
      <c r="S92">
        <v>1000</v>
      </c>
      <c r="T92">
        <f t="shared" si="11"/>
        <v>1000</v>
      </c>
    </row>
    <row r="93" spans="1:20" x14ac:dyDescent="0.3">
      <c r="A93" s="4" t="str">
        <f xml:space="preserve"> _xll.EPMOlapMemberO("[CECO].[PARENTH3].[AMSA1002AD3521]","","AMSA1002AD3521 - Gestión de Impuestos","","000")</f>
        <v>AMSA1002AD3521 - Gestión de Impuestos</v>
      </c>
      <c r="B93" t="str">
        <f t="shared" si="6"/>
        <v>1002AD3521</v>
      </c>
      <c r="C93" t="str">
        <f>IFERROR(_xlfn.XLOOKUP(B93,'CECOS Corporativos'!$D:$D,'CECOS Corporativos'!$E:$E,""),"")</f>
        <v>Gerencia de Impuestos</v>
      </c>
      <c r="D93" t="str">
        <f>IFERROR(_xlfn.XLOOKUP(B93,'CECOS Corporativos'!$D:$D,'CECOS Corporativos'!$J:$J,""),"")</f>
        <v>VP Finanzas</v>
      </c>
      <c r="E93" t="str">
        <f xml:space="preserve"> _xll.EPMOlapMemberO("[CLACO].[PARENTH7].[AMSAASESORIAS]","","Asesorías y Consulto","","000")</f>
        <v>Asesorías y Consulto</v>
      </c>
      <c r="F93" t="str">
        <f t="shared" si="7"/>
        <v>N1002AD350</v>
      </c>
      <c r="G93" t="s">
        <v>740</v>
      </c>
      <c r="H93" t="str">
        <f>IFERROR(_xlfn.XLOOKUP(F93,'CECOS Corporativos'!$K:$K,'CECOS Corporativos'!$D:$D,""),"")</f>
        <v/>
      </c>
      <c r="I93">
        <v>41419.410000000003</v>
      </c>
      <c r="J93">
        <v>91177.66</v>
      </c>
      <c r="K93">
        <f t="shared" si="8"/>
        <v>49758.25</v>
      </c>
      <c r="L93">
        <v>72993.16</v>
      </c>
      <c r="M93">
        <v>68978.97</v>
      </c>
      <c r="N93">
        <f t="shared" si="9"/>
        <v>-4014.1900000000023</v>
      </c>
      <c r="O93">
        <v>238858.19</v>
      </c>
      <c r="P93">
        <v>39101.519999999997</v>
      </c>
      <c r="Q93">
        <f t="shared" si="10"/>
        <v>-199756.67</v>
      </c>
      <c r="R93">
        <v>279760.95</v>
      </c>
      <c r="S93">
        <v>36268.35</v>
      </c>
      <c r="T93">
        <f t="shared" si="11"/>
        <v>-243492.6</v>
      </c>
    </row>
    <row r="94" spans="1:20" x14ac:dyDescent="0.3">
      <c r="A94" s="4" t="str">
        <f xml:space="preserve"> _xll.EPMOlapMemberO("[CECO].[PARENTH3].[AMSA1002AD3521]","","AMSA1002AD3521 - Gestión de Impuestos","","000")</f>
        <v>AMSA1002AD3521 - Gestión de Impuestos</v>
      </c>
      <c r="B94" t="str">
        <f t="shared" si="6"/>
        <v>1002AD3521</v>
      </c>
      <c r="C94" t="str">
        <f>IFERROR(_xlfn.XLOOKUP(B94,'CECOS Corporativos'!$D:$D,'CECOS Corporativos'!$E:$E,""),"")</f>
        <v>Gerencia de Impuestos</v>
      </c>
      <c r="D94" t="str">
        <f>IFERROR(_xlfn.XLOOKUP(B94,'CECOS Corporativos'!$D:$D,'CECOS Corporativos'!$J:$J,""),"")</f>
        <v>VP Finanzas</v>
      </c>
      <c r="E94" t="str">
        <f xml:space="preserve"> _xll.EPMOlapMemberO("[CLACO].[PARENTH7].[AMSAINFORMATIC]","","Informática y Comuni","","000")</f>
        <v>Informática y Comuni</v>
      </c>
      <c r="F94" t="str">
        <f t="shared" si="7"/>
        <v>N1002AD350</v>
      </c>
      <c r="G94" t="s">
        <v>740</v>
      </c>
      <c r="H94" t="str">
        <f>IFERROR(_xlfn.XLOOKUP(F94,'CECOS Corporativos'!$K:$K,'CECOS Corporativos'!$D:$D,""),"")</f>
        <v/>
      </c>
      <c r="I94">
        <v>192.68</v>
      </c>
      <c r="K94">
        <f t="shared" si="8"/>
        <v>-192.68</v>
      </c>
      <c r="N94">
        <f t="shared" si="9"/>
        <v>0</v>
      </c>
      <c r="Q94">
        <f t="shared" si="10"/>
        <v>0</v>
      </c>
      <c r="T94">
        <f t="shared" si="11"/>
        <v>0</v>
      </c>
    </row>
    <row r="95" spans="1:20" x14ac:dyDescent="0.3">
      <c r="A95" s="4" t="str">
        <f xml:space="preserve"> _xll.EPMOlapMemberO("[CECO].[PARENTH3].[AMSA1002AD3521]","","AMSA1002AD3521 - Gestión de Impuestos","","000")</f>
        <v>AMSA1002AD3521 - Gestión de Impuestos</v>
      </c>
      <c r="B95" t="str">
        <f t="shared" si="6"/>
        <v>1002AD3521</v>
      </c>
      <c r="C95" t="str">
        <f>IFERROR(_xlfn.XLOOKUP(B95,'CECOS Corporativos'!$D:$D,'CECOS Corporativos'!$E:$E,""),"")</f>
        <v>Gerencia de Impuestos</v>
      </c>
      <c r="D95" t="str">
        <f>IFERROR(_xlfn.XLOOKUP(B95,'CECOS Corporativos'!$D:$D,'CECOS Corporativos'!$J:$J,""),"")</f>
        <v>VP Finanzas</v>
      </c>
      <c r="E95" t="str">
        <f xml:space="preserve"> _xll.EPMOlapMemberO("[CLACO].[PARENTH7].[AMSAG_VIAJES]","","Gastos de Viajes","","000")</f>
        <v>Gastos de Viajes</v>
      </c>
      <c r="F95" t="str">
        <f t="shared" si="7"/>
        <v>N1002AD350</v>
      </c>
      <c r="G95" t="s">
        <v>740</v>
      </c>
      <c r="H95" t="str">
        <f>IFERROR(_xlfn.XLOOKUP(F95,'CECOS Corporativos'!$K:$K,'CECOS Corporativos'!$D:$D,""),"")</f>
        <v/>
      </c>
      <c r="J95">
        <v>3666.76</v>
      </c>
      <c r="K95">
        <f t="shared" si="8"/>
        <v>3666.76</v>
      </c>
      <c r="N95">
        <f t="shared" si="9"/>
        <v>0</v>
      </c>
      <c r="P95">
        <v>3126.2</v>
      </c>
      <c r="Q95">
        <f t="shared" si="10"/>
        <v>3126.2</v>
      </c>
      <c r="S95">
        <v>2300</v>
      </c>
      <c r="T95">
        <f t="shared" si="11"/>
        <v>2300</v>
      </c>
    </row>
    <row r="96" spans="1:20" x14ac:dyDescent="0.3">
      <c r="A96" s="4" t="str">
        <f xml:space="preserve"> _xll.EPMOlapMemberO("[CECO].[PARENTH3].[AMSA1002AD3521]","","AMSA1002AD3521 - Gestión de Impuestos","","000")</f>
        <v>AMSA1002AD3521 - Gestión de Impuestos</v>
      </c>
      <c r="B96" t="str">
        <f t="shared" si="6"/>
        <v>1002AD3521</v>
      </c>
      <c r="C96" t="str">
        <f>IFERROR(_xlfn.XLOOKUP(B96,'CECOS Corporativos'!$D:$D,'CECOS Corporativos'!$E:$E,""),"")</f>
        <v>Gerencia de Impuestos</v>
      </c>
      <c r="D96" t="str">
        <f>IFERROR(_xlfn.XLOOKUP(B96,'CECOS Corporativos'!$D:$D,'CECOS Corporativos'!$J:$J,""),"")</f>
        <v>VP Finanzas</v>
      </c>
      <c r="E96" t="str">
        <f xml:space="preserve"> _xll.EPMOlapMemberO("[CLACO].[PARENTH7].[AMSAIMP_PATEN]","","Impuestos / Patentes","","000")</f>
        <v>Impuestos / Patentes</v>
      </c>
      <c r="F96" t="str">
        <f t="shared" si="7"/>
        <v>N1002AD350</v>
      </c>
      <c r="G96" t="s">
        <v>740</v>
      </c>
      <c r="H96" t="str">
        <f>IFERROR(_xlfn.XLOOKUP(F96,'CECOS Corporativos'!$K:$K,'CECOS Corporativos'!$D:$D,""),"")</f>
        <v/>
      </c>
      <c r="I96">
        <v>1066419.96</v>
      </c>
      <c r="J96">
        <v>1071248.9099999999</v>
      </c>
      <c r="K96">
        <f t="shared" si="8"/>
        <v>4828.9499999999534</v>
      </c>
      <c r="L96">
        <v>1515968.47</v>
      </c>
      <c r="M96">
        <v>1498239.09</v>
      </c>
      <c r="N96">
        <f t="shared" si="9"/>
        <v>-17729.379999999888</v>
      </c>
      <c r="O96">
        <v>1843679.41</v>
      </c>
      <c r="P96">
        <v>1384640.85</v>
      </c>
      <c r="Q96">
        <f t="shared" si="10"/>
        <v>-459038.55999999982</v>
      </c>
      <c r="R96">
        <v>1997977.31</v>
      </c>
      <c r="S96">
        <v>2187398.2999999998</v>
      </c>
      <c r="T96">
        <f t="shared" si="11"/>
        <v>189420.98999999976</v>
      </c>
    </row>
    <row r="97" spans="1:20" x14ac:dyDescent="0.3">
      <c r="A97" s="4" t="str">
        <f xml:space="preserve"> _xll.EPMOlapMemberO("[CECO].[PARENTH3].[AMSA1002AD3523]","","AMSA1002AD3523 - TICA Corporativo","","000")</f>
        <v>AMSA1002AD3523 - TICA Corporativo</v>
      </c>
      <c r="B97" t="str">
        <f t="shared" si="6"/>
        <v>1002AD3523</v>
      </c>
      <c r="C97" t="str">
        <f>IFERROR(_xlfn.XLOOKUP(B97,'CECOS Corporativos'!$D:$D,'CECOS Corporativos'!$E:$E,""),"")</f>
        <v>TICA Distribuible</v>
      </c>
      <c r="D97" t="str">
        <f>IFERROR(_xlfn.XLOOKUP(B97,'CECOS Corporativos'!$D:$D,'CECOS Corporativos'!$J:$J,""),"")</f>
        <v>VP Estrategia e Innovación</v>
      </c>
      <c r="E97" t="str">
        <f xml:space="preserve"> _xll.EPMOlapMemberO("[CLACO].[PARENTH7].[AMSAMAT_Y_REP.2]","","Materiales y repuest","","000")</f>
        <v>Materiales y repuest</v>
      </c>
      <c r="F97" t="str">
        <f t="shared" si="7"/>
        <v>N1002AD350</v>
      </c>
      <c r="G97" t="s">
        <v>740</v>
      </c>
      <c r="H97" t="str">
        <f>IFERROR(_xlfn.XLOOKUP(F97,'CECOS Corporativos'!$K:$K,'CECOS Corporativos'!$D:$D,""),"")</f>
        <v/>
      </c>
      <c r="I97">
        <v>677140.61</v>
      </c>
      <c r="J97">
        <v>641979.06000000006</v>
      </c>
      <c r="K97">
        <f t="shared" si="8"/>
        <v>-35161.54999999993</v>
      </c>
      <c r="L97">
        <v>604511.69999999995</v>
      </c>
      <c r="M97">
        <v>695070.57</v>
      </c>
      <c r="N97">
        <f t="shared" si="9"/>
        <v>90558.87</v>
      </c>
      <c r="O97">
        <v>640426.59</v>
      </c>
      <c r="P97">
        <v>672942.94</v>
      </c>
      <c r="Q97">
        <f t="shared" si="10"/>
        <v>32516.349999999977</v>
      </c>
      <c r="R97">
        <v>679858.27</v>
      </c>
      <c r="S97">
        <v>669683.99</v>
      </c>
      <c r="T97">
        <f t="shared" si="11"/>
        <v>-10174.280000000028</v>
      </c>
    </row>
    <row r="98" spans="1:20" x14ac:dyDescent="0.3">
      <c r="A98" s="4" t="str">
        <f xml:space="preserve"> _xll.EPMOlapMemberO("[CECO].[PARENTH3].[AMSA1002AD3523]","","AMSA1002AD3523 - TICA Corporativo","","000")</f>
        <v>AMSA1002AD3523 - TICA Corporativo</v>
      </c>
      <c r="B98" t="str">
        <f t="shared" si="6"/>
        <v>1002AD3523</v>
      </c>
      <c r="C98" t="str">
        <f>IFERROR(_xlfn.XLOOKUP(B98,'CECOS Corporativos'!$D:$D,'CECOS Corporativos'!$E:$E,""),"")</f>
        <v>TICA Distribuible</v>
      </c>
      <c r="D98" t="str">
        <f>IFERROR(_xlfn.XLOOKUP(B98,'CECOS Corporativos'!$D:$D,'CECOS Corporativos'!$J:$J,""),"")</f>
        <v>VP Estrategia e Innovación</v>
      </c>
      <c r="E98" t="str">
        <f xml:space="preserve"> _xll.EPMOlapMemberO("[CLACO].[PARENTH7].[AMSACOMBUSTIBL]","","Combustibles  / Lubr","","000")</f>
        <v>Combustibles  / Lubr</v>
      </c>
      <c r="F98" t="str">
        <f t="shared" si="7"/>
        <v>N1002AD350</v>
      </c>
      <c r="G98" t="s">
        <v>740</v>
      </c>
      <c r="H98" t="str">
        <f>IFERROR(_xlfn.XLOOKUP(F98,'CECOS Corporativos'!$K:$K,'CECOS Corporativos'!$D:$D,""),"")</f>
        <v/>
      </c>
      <c r="I98">
        <v>42745.32</v>
      </c>
      <c r="J98">
        <v>22562.59</v>
      </c>
      <c r="K98">
        <f t="shared" si="8"/>
        <v>-20182.73</v>
      </c>
      <c r="L98">
        <v>42155.3</v>
      </c>
      <c r="M98">
        <v>23258.79</v>
      </c>
      <c r="N98">
        <f t="shared" si="9"/>
        <v>-18896.510000000002</v>
      </c>
      <c r="O98">
        <v>53055.33</v>
      </c>
      <c r="P98">
        <v>43270.59</v>
      </c>
      <c r="Q98">
        <f t="shared" si="10"/>
        <v>-9784.7400000000052</v>
      </c>
      <c r="R98">
        <v>124093.83</v>
      </c>
      <c r="S98">
        <v>49868.89</v>
      </c>
      <c r="T98">
        <f t="shared" si="11"/>
        <v>-74224.94</v>
      </c>
    </row>
    <row r="99" spans="1:20" x14ac:dyDescent="0.3">
      <c r="A99" s="4" t="str">
        <f xml:space="preserve"> _xll.EPMOlapMemberO("[CECO].[PARENTH3].[AMSA1002AD3523]","","AMSA1002AD3523 - TICA Corporativo","","000")</f>
        <v>AMSA1002AD3523 - TICA Corporativo</v>
      </c>
      <c r="B99" t="str">
        <f t="shared" si="6"/>
        <v>1002AD3523</v>
      </c>
      <c r="C99" t="str">
        <f>IFERROR(_xlfn.XLOOKUP(B99,'CECOS Corporativos'!$D:$D,'CECOS Corporativos'!$E:$E,""),"")</f>
        <v>TICA Distribuible</v>
      </c>
      <c r="D99" t="str">
        <f>IFERROR(_xlfn.XLOOKUP(B99,'CECOS Corporativos'!$D:$D,'CECOS Corporativos'!$J:$J,""),"")</f>
        <v>VP Estrategia e Innovación</v>
      </c>
      <c r="E99" t="str">
        <f xml:space="preserve"> _xll.EPMOlapMemberO("[CLACO].[PARENTH7].[AMSAENERGIA]","","Energía","","000")</f>
        <v>Energía</v>
      </c>
      <c r="F99" t="str">
        <f t="shared" si="7"/>
        <v>N1002AD350</v>
      </c>
      <c r="G99" t="s">
        <v>740</v>
      </c>
      <c r="H99" t="str">
        <f>IFERROR(_xlfn.XLOOKUP(F99,'CECOS Corporativos'!$K:$K,'CECOS Corporativos'!$D:$D,""),"")</f>
        <v/>
      </c>
      <c r="I99">
        <v>-2092.2800000000002</v>
      </c>
      <c r="K99">
        <f t="shared" si="8"/>
        <v>2092.2800000000002</v>
      </c>
      <c r="N99">
        <f t="shared" si="9"/>
        <v>0</v>
      </c>
      <c r="Q99">
        <f t="shared" si="10"/>
        <v>0</v>
      </c>
      <c r="T99">
        <f t="shared" si="11"/>
        <v>0</v>
      </c>
    </row>
    <row r="100" spans="1:20" x14ac:dyDescent="0.3">
      <c r="A100" s="4" t="str">
        <f xml:space="preserve"> _xll.EPMOlapMemberO("[CECO].[PARENTH3].[AMSA1002AD3523]","","AMSA1002AD3523 - TICA Corporativo","","000")</f>
        <v>AMSA1002AD3523 - TICA Corporativo</v>
      </c>
      <c r="B100" t="str">
        <f t="shared" si="6"/>
        <v>1002AD3523</v>
      </c>
      <c r="C100" t="str">
        <f>IFERROR(_xlfn.XLOOKUP(B100,'CECOS Corporativos'!$D:$D,'CECOS Corporativos'!$E:$E,""),"")</f>
        <v>TICA Distribuible</v>
      </c>
      <c r="D100" t="str">
        <f>IFERROR(_xlfn.XLOOKUP(B100,'CECOS Corporativos'!$D:$D,'CECOS Corporativos'!$J:$J,""),"")</f>
        <v>VP Estrategia e Innovación</v>
      </c>
      <c r="E100" t="str">
        <f xml:space="preserve"> _xll.EPMOlapMemberO("[CLACO].[PARENTH7].[AMSAADM_PERSON]","","Administración Perso","","000")</f>
        <v>Administración Perso</v>
      </c>
      <c r="F100" t="str">
        <f t="shared" si="7"/>
        <v>N1002AD350</v>
      </c>
      <c r="G100" t="s">
        <v>740</v>
      </c>
      <c r="H100" t="str">
        <f>IFERROR(_xlfn.XLOOKUP(F100,'CECOS Corporativos'!$K:$K,'CECOS Corporativos'!$D:$D,""),"")</f>
        <v/>
      </c>
      <c r="K100">
        <f t="shared" si="8"/>
        <v>0</v>
      </c>
      <c r="N100">
        <f t="shared" si="9"/>
        <v>0</v>
      </c>
      <c r="Q100">
        <f t="shared" si="10"/>
        <v>0</v>
      </c>
      <c r="R100">
        <v>413.63</v>
      </c>
      <c r="T100">
        <f t="shared" si="11"/>
        <v>-413.63</v>
      </c>
    </row>
    <row r="101" spans="1:20" x14ac:dyDescent="0.3">
      <c r="A101" s="4" t="str">
        <f xml:space="preserve"> _xll.EPMOlapMemberO("[CECO].[PARENTH3].[AMSA1002AD3523]","","AMSA1002AD3523 - TICA Corporativo","","000")</f>
        <v>AMSA1002AD3523 - TICA Corporativo</v>
      </c>
      <c r="B101" t="str">
        <f t="shared" si="6"/>
        <v>1002AD3523</v>
      </c>
      <c r="C101" t="str">
        <f>IFERROR(_xlfn.XLOOKUP(B101,'CECOS Corporativos'!$D:$D,'CECOS Corporativos'!$E:$E,""),"")</f>
        <v>TICA Distribuible</v>
      </c>
      <c r="D101" t="str">
        <f>IFERROR(_xlfn.XLOOKUP(B101,'CECOS Corporativos'!$D:$D,'CECOS Corporativos'!$J:$J,""),"")</f>
        <v>VP Estrategia e Innovación</v>
      </c>
      <c r="E101" t="str">
        <f xml:space="preserve"> _xll.EPMOlapMemberO("[CLACO].[PARENTH7].[AMSAENTRENAMI]","","Entrenamiento","","000")</f>
        <v>Entrenamiento</v>
      </c>
      <c r="F101" t="str">
        <f t="shared" si="7"/>
        <v>N1002AD350</v>
      </c>
      <c r="G101" t="s">
        <v>740</v>
      </c>
      <c r="H101" t="str">
        <f>IFERROR(_xlfn.XLOOKUP(F101,'CECOS Corporativos'!$K:$K,'CECOS Corporativos'!$D:$D,""),"")</f>
        <v/>
      </c>
      <c r="I101">
        <v>0</v>
      </c>
      <c r="K101">
        <f t="shared" si="8"/>
        <v>0</v>
      </c>
      <c r="N101">
        <f t="shared" si="9"/>
        <v>0</v>
      </c>
      <c r="Q101">
        <f t="shared" si="10"/>
        <v>0</v>
      </c>
      <c r="T101">
        <f t="shared" si="11"/>
        <v>0</v>
      </c>
    </row>
    <row r="102" spans="1:20" x14ac:dyDescent="0.3">
      <c r="A102" s="4" t="str">
        <f xml:space="preserve"> _xll.EPMOlapMemberO("[CECO].[PARENTH3].[AMSA1002AD3523]","","AMSA1002AD3523 - TICA Corporativo","","000")</f>
        <v>AMSA1002AD3523 - TICA Corporativo</v>
      </c>
      <c r="B102" t="str">
        <f t="shared" si="6"/>
        <v>1002AD3523</v>
      </c>
      <c r="C102" t="str">
        <f>IFERROR(_xlfn.XLOOKUP(B102,'CECOS Corporativos'!$D:$D,'CECOS Corporativos'!$E:$E,""),"")</f>
        <v>TICA Distribuible</v>
      </c>
      <c r="D102" t="str">
        <f>IFERROR(_xlfn.XLOOKUP(B102,'CECOS Corporativos'!$D:$D,'CECOS Corporativos'!$J:$J,""),"")</f>
        <v>VP Estrategia e Innovación</v>
      </c>
      <c r="E102" t="str">
        <f xml:space="preserve"> _xll.EPMOlapMemberO("[CLACO].[PARENTH7].[AMSAASESORIAS]","","Asesorías y Consulto","","000")</f>
        <v>Asesorías y Consulto</v>
      </c>
      <c r="F102" t="str">
        <f t="shared" si="7"/>
        <v>N1002AD350</v>
      </c>
      <c r="G102" t="s">
        <v>740</v>
      </c>
      <c r="H102" t="str">
        <f>IFERROR(_xlfn.XLOOKUP(F102,'CECOS Corporativos'!$K:$K,'CECOS Corporativos'!$D:$D,""),"")</f>
        <v/>
      </c>
      <c r="K102">
        <f t="shared" si="8"/>
        <v>0</v>
      </c>
      <c r="L102">
        <v>48960.07</v>
      </c>
      <c r="N102">
        <f t="shared" si="9"/>
        <v>-48960.07</v>
      </c>
      <c r="Q102">
        <f t="shared" si="10"/>
        <v>0</v>
      </c>
      <c r="T102">
        <f t="shared" si="11"/>
        <v>0</v>
      </c>
    </row>
    <row r="103" spans="1:20" x14ac:dyDescent="0.3">
      <c r="A103" s="4" t="str">
        <f xml:space="preserve"> _xll.EPMOlapMemberO("[CECO].[PARENTH3].[AMSA1002AD3523]","","AMSA1002AD3523 - TICA Corporativo","","000")</f>
        <v>AMSA1002AD3523 - TICA Corporativo</v>
      </c>
      <c r="B103" t="str">
        <f t="shared" si="6"/>
        <v>1002AD3523</v>
      </c>
      <c r="C103" t="str">
        <f>IFERROR(_xlfn.XLOOKUP(B103,'CECOS Corporativos'!$D:$D,'CECOS Corporativos'!$E:$E,""),"")</f>
        <v>TICA Distribuible</v>
      </c>
      <c r="D103" t="str">
        <f>IFERROR(_xlfn.XLOOKUP(B103,'CECOS Corporativos'!$D:$D,'CECOS Corporativos'!$J:$J,""),"")</f>
        <v>VP Estrategia e Innovación</v>
      </c>
      <c r="E103" t="str">
        <f xml:space="preserve"> _xll.EPMOlapMemberO("[CLACO].[PARENTH7].[AMSAARRIENDOS]","","Arriendos","","000")</f>
        <v>Arriendos</v>
      </c>
      <c r="F103" t="str">
        <f t="shared" si="7"/>
        <v>N1002AD350</v>
      </c>
      <c r="G103" t="s">
        <v>740</v>
      </c>
      <c r="H103" t="str">
        <f>IFERROR(_xlfn.XLOOKUP(F103,'CECOS Corporativos'!$K:$K,'CECOS Corporativos'!$D:$D,""),"")</f>
        <v/>
      </c>
      <c r="K103">
        <f t="shared" si="8"/>
        <v>0</v>
      </c>
      <c r="L103">
        <v>649.9</v>
      </c>
      <c r="N103">
        <f t="shared" si="9"/>
        <v>-649.9</v>
      </c>
      <c r="Q103">
        <f t="shared" si="10"/>
        <v>0</v>
      </c>
      <c r="R103">
        <v>8115.08</v>
      </c>
      <c r="S103">
        <v>20670.84</v>
      </c>
      <c r="T103">
        <f t="shared" si="11"/>
        <v>12555.76</v>
      </c>
    </row>
    <row r="104" spans="1:20" x14ac:dyDescent="0.3">
      <c r="A104" s="4" t="str">
        <f xml:space="preserve"> _xll.EPMOlapMemberO("[CECO].[PARENTH3].[AMSA1002AD3523]","","AMSA1002AD3523 - TICA Corporativo","","000")</f>
        <v>AMSA1002AD3523 - TICA Corporativo</v>
      </c>
      <c r="B104" t="str">
        <f t="shared" si="6"/>
        <v>1002AD3523</v>
      </c>
      <c r="C104" t="str">
        <f>IFERROR(_xlfn.XLOOKUP(B104,'CECOS Corporativos'!$D:$D,'CECOS Corporativos'!$E:$E,""),"")</f>
        <v>TICA Distribuible</v>
      </c>
      <c r="D104" t="str">
        <f>IFERROR(_xlfn.XLOOKUP(B104,'CECOS Corporativos'!$D:$D,'CECOS Corporativos'!$J:$J,""),"")</f>
        <v>VP Estrategia e Innovación</v>
      </c>
      <c r="E104" t="str">
        <f xml:space="preserve"> _xll.EPMOlapMemberO("[CLACO].[PARENTH7].[AMSASERVICIOS]","","Servicios","","000")</f>
        <v>Servicios</v>
      </c>
      <c r="F104" t="str">
        <f t="shared" si="7"/>
        <v>N1002AD350</v>
      </c>
      <c r="G104" t="s">
        <v>740</v>
      </c>
      <c r="H104" t="str">
        <f>IFERROR(_xlfn.XLOOKUP(F104,'CECOS Corporativos'!$K:$K,'CECOS Corporativos'!$D:$D,""),"")</f>
        <v/>
      </c>
      <c r="I104">
        <v>120772.66</v>
      </c>
      <c r="J104">
        <v>140681.98000000001</v>
      </c>
      <c r="K104">
        <f t="shared" si="8"/>
        <v>19909.320000000007</v>
      </c>
      <c r="L104">
        <v>41900.14</v>
      </c>
      <c r="M104">
        <v>0</v>
      </c>
      <c r="N104">
        <f t="shared" si="9"/>
        <v>-41900.14</v>
      </c>
      <c r="O104">
        <v>1371.95</v>
      </c>
      <c r="Q104">
        <f t="shared" si="10"/>
        <v>-1371.95</v>
      </c>
      <c r="R104">
        <v>1108.6500000000001</v>
      </c>
      <c r="T104">
        <f t="shared" si="11"/>
        <v>-1108.6500000000001</v>
      </c>
    </row>
    <row r="105" spans="1:20" x14ac:dyDescent="0.3">
      <c r="A105" s="4" t="str">
        <f xml:space="preserve"> _xll.EPMOlapMemberO("[CECO].[PARENTH3].[AMSA1002AD3523]","","AMSA1002AD3523 - TICA Corporativo","","000")</f>
        <v>AMSA1002AD3523 - TICA Corporativo</v>
      </c>
      <c r="B105" t="str">
        <f t="shared" si="6"/>
        <v>1002AD3523</v>
      </c>
      <c r="C105" t="str">
        <f>IFERROR(_xlfn.XLOOKUP(B105,'CECOS Corporativos'!$D:$D,'CECOS Corporativos'!$E:$E,""),"")</f>
        <v>TICA Distribuible</v>
      </c>
      <c r="D105" t="str">
        <f>IFERROR(_xlfn.XLOOKUP(B105,'CECOS Corporativos'!$D:$D,'CECOS Corporativos'!$J:$J,""),"")</f>
        <v>VP Estrategia e Innovación</v>
      </c>
      <c r="E105" t="str">
        <f xml:space="preserve"> _xll.EPMOlapMemberO("[CLACO].[PARENTH7].[AMSASERMANTO.REPA]","","Servicios Mantenimie","","000")</f>
        <v>Servicios Mantenimie</v>
      </c>
      <c r="F105" t="str">
        <f t="shared" si="7"/>
        <v>N1002AD350</v>
      </c>
      <c r="G105" t="s">
        <v>740</v>
      </c>
      <c r="H105" t="str">
        <f>IFERROR(_xlfn.XLOOKUP(F105,'CECOS Corporativos'!$K:$K,'CECOS Corporativos'!$D:$D,""),"")</f>
        <v/>
      </c>
      <c r="I105">
        <v>0</v>
      </c>
      <c r="K105">
        <f t="shared" si="8"/>
        <v>0</v>
      </c>
      <c r="N105">
        <f t="shared" si="9"/>
        <v>0</v>
      </c>
      <c r="Q105">
        <f t="shared" si="10"/>
        <v>0</v>
      </c>
      <c r="T105">
        <f t="shared" si="11"/>
        <v>0</v>
      </c>
    </row>
    <row r="106" spans="1:20" x14ac:dyDescent="0.3">
      <c r="A106" s="4" t="str">
        <f xml:space="preserve"> _xll.EPMOlapMemberO("[CECO].[PARENTH3].[AMSA1002AD3523]","","AMSA1002AD3523 - TICA Corporativo","","000")</f>
        <v>AMSA1002AD3523 - TICA Corporativo</v>
      </c>
      <c r="B106" t="str">
        <f t="shared" si="6"/>
        <v>1002AD3523</v>
      </c>
      <c r="C106" t="str">
        <f>IFERROR(_xlfn.XLOOKUP(B106,'CECOS Corporativos'!$D:$D,'CECOS Corporativos'!$E:$E,""),"")</f>
        <v>TICA Distribuible</v>
      </c>
      <c r="D106" t="str">
        <f>IFERROR(_xlfn.XLOOKUP(B106,'CECOS Corporativos'!$D:$D,'CECOS Corporativos'!$J:$J,""),"")</f>
        <v>VP Estrategia e Innovación</v>
      </c>
      <c r="E106" t="str">
        <f xml:space="preserve"> _xll.EPMOlapMemberO("[CLACO].[PARENTH7].[AMSAINFORMATIC]","","Informática y Comuni","","000")</f>
        <v>Informática y Comuni</v>
      </c>
      <c r="F106" t="str">
        <f t="shared" si="7"/>
        <v>N1002AD350</v>
      </c>
      <c r="G106" t="s">
        <v>740</v>
      </c>
      <c r="H106" t="str">
        <f>IFERROR(_xlfn.XLOOKUP(F106,'CECOS Corporativos'!$K:$K,'CECOS Corporativos'!$D:$D,""),"")</f>
        <v/>
      </c>
      <c r="I106">
        <v>9695519.1899999995</v>
      </c>
      <c r="J106">
        <v>9979856.5800000001</v>
      </c>
      <c r="K106">
        <f t="shared" si="8"/>
        <v>284337.3900000006</v>
      </c>
      <c r="L106">
        <v>10635847.82</v>
      </c>
      <c r="M106">
        <v>10770224.390000001</v>
      </c>
      <c r="N106">
        <f t="shared" si="9"/>
        <v>134376.5700000003</v>
      </c>
      <c r="O106">
        <v>9621841.3499999996</v>
      </c>
      <c r="P106">
        <v>10149969.470000001</v>
      </c>
      <c r="Q106">
        <f t="shared" si="10"/>
        <v>528128.12000000104</v>
      </c>
      <c r="R106">
        <v>10118403.300000001</v>
      </c>
      <c r="S106">
        <v>10371429.449999999</v>
      </c>
      <c r="T106">
        <f t="shared" si="11"/>
        <v>253026.14999999851</v>
      </c>
    </row>
    <row r="107" spans="1:20" x14ac:dyDescent="0.3">
      <c r="A107" s="4" t="str">
        <f xml:space="preserve"> _xll.EPMOlapMemberO("[CECO].[PARENTH3].[AMSA1002AD3523]","","AMSA1002AD3523 - TICA Corporativo","","000")</f>
        <v>AMSA1002AD3523 - TICA Corporativo</v>
      </c>
      <c r="B107" t="str">
        <f t="shared" si="6"/>
        <v>1002AD3523</v>
      </c>
      <c r="C107" t="str">
        <f>IFERROR(_xlfn.XLOOKUP(B107,'CECOS Corporativos'!$D:$D,'CECOS Corporativos'!$E:$E,""),"")</f>
        <v>TICA Distribuible</v>
      </c>
      <c r="D107" t="str">
        <f>IFERROR(_xlfn.XLOOKUP(B107,'CECOS Corporativos'!$D:$D,'CECOS Corporativos'!$J:$J,""),"")</f>
        <v>VP Estrategia e Innovación</v>
      </c>
      <c r="E107" t="str">
        <f xml:space="preserve"> _xll.EPMOlapMemberO("[CLACO].[PARENTH7].[AMSAG_VIAJES]","","Gastos de Viajes","","000")</f>
        <v>Gastos de Viajes</v>
      </c>
      <c r="F107" t="str">
        <f t="shared" si="7"/>
        <v>N1002AD350</v>
      </c>
      <c r="G107" t="s">
        <v>740</v>
      </c>
      <c r="H107" t="str">
        <f>IFERROR(_xlfn.XLOOKUP(F107,'CECOS Corporativos'!$K:$K,'CECOS Corporativos'!$D:$D,""),"")</f>
        <v/>
      </c>
      <c r="I107">
        <v>25527.17</v>
      </c>
      <c r="J107">
        <v>30987.82</v>
      </c>
      <c r="K107">
        <f t="shared" si="8"/>
        <v>5460.6500000000015</v>
      </c>
      <c r="L107">
        <v>30422.73</v>
      </c>
      <c r="M107">
        <v>43076.95</v>
      </c>
      <c r="N107">
        <f t="shared" si="9"/>
        <v>12654.219999999998</v>
      </c>
      <c r="O107">
        <v>24152.560000000001</v>
      </c>
      <c r="P107">
        <v>43950.44</v>
      </c>
      <c r="Q107">
        <f t="shared" si="10"/>
        <v>19797.88</v>
      </c>
      <c r="R107">
        <v>29374.35</v>
      </c>
      <c r="S107">
        <v>39583.11</v>
      </c>
      <c r="T107">
        <f t="shared" si="11"/>
        <v>10208.760000000002</v>
      </c>
    </row>
    <row r="108" spans="1:20" x14ac:dyDescent="0.3">
      <c r="A108" s="4" t="str">
        <f xml:space="preserve"> _xll.EPMOlapMemberO("[CECO].[PARENTH3].[AMSA1002AD3523]","","AMSA1002AD3523 - TICA Corporativo","","000")</f>
        <v>AMSA1002AD3523 - TICA Corporativo</v>
      </c>
      <c r="B108" t="str">
        <f t="shared" si="6"/>
        <v>1002AD3523</v>
      </c>
      <c r="C108" t="str">
        <f>IFERROR(_xlfn.XLOOKUP(B108,'CECOS Corporativos'!$D:$D,'CECOS Corporativos'!$E:$E,""),"")</f>
        <v>TICA Distribuible</v>
      </c>
      <c r="D108" t="str">
        <f>IFERROR(_xlfn.XLOOKUP(B108,'CECOS Corporativos'!$D:$D,'CECOS Corporativos'!$J:$J,""),"")</f>
        <v>VP Estrategia e Innovación</v>
      </c>
      <c r="E108" t="str">
        <f xml:space="preserve"> _xll.EPMOlapMemberO("[CLACO].[PARENTH7].[AMSAGGENERALES.2]","","Otros Gastos","","000")</f>
        <v>Otros Gastos</v>
      </c>
      <c r="F108" t="str">
        <f t="shared" si="7"/>
        <v>N1002AD350</v>
      </c>
      <c r="G108" t="s">
        <v>740</v>
      </c>
      <c r="H108" t="str">
        <f>IFERROR(_xlfn.XLOOKUP(F108,'CECOS Corporativos'!$K:$K,'CECOS Corporativos'!$D:$D,""),"")</f>
        <v/>
      </c>
      <c r="I108">
        <v>35890.58</v>
      </c>
      <c r="J108">
        <v>40646.14</v>
      </c>
      <c r="K108">
        <f t="shared" si="8"/>
        <v>4755.5599999999977</v>
      </c>
      <c r="L108">
        <v>170489.97</v>
      </c>
      <c r="M108">
        <v>176056.51</v>
      </c>
      <c r="N108">
        <f t="shared" si="9"/>
        <v>5566.5400000000081</v>
      </c>
      <c r="O108">
        <v>107267.18</v>
      </c>
      <c r="P108">
        <v>139072.24</v>
      </c>
      <c r="Q108">
        <f t="shared" si="10"/>
        <v>31805.059999999998</v>
      </c>
      <c r="R108">
        <v>-2675.36</v>
      </c>
      <c r="T108">
        <f t="shared" si="11"/>
        <v>2675.36</v>
      </c>
    </row>
    <row r="109" spans="1:20" x14ac:dyDescent="0.3">
      <c r="A109" s="4" t="str">
        <f xml:space="preserve"> _xll.EPMOlapMemberO("[CECO].[PARENTH3].[AMSA1002AD3523]","","AMSA1002AD3523 - TICA Corporativo","","000")</f>
        <v>AMSA1002AD3523 - TICA Corporativo</v>
      </c>
      <c r="B109" t="str">
        <f t="shared" si="6"/>
        <v>1002AD3523</v>
      </c>
      <c r="C109" t="str">
        <f>IFERROR(_xlfn.XLOOKUP(B109,'CECOS Corporativos'!$D:$D,'CECOS Corporativos'!$E:$E,""),"")</f>
        <v>TICA Distribuible</v>
      </c>
      <c r="D109" t="str">
        <f>IFERROR(_xlfn.XLOOKUP(B109,'CECOS Corporativos'!$D:$D,'CECOS Corporativos'!$J:$J,""),"")</f>
        <v>VP Estrategia e Innovación</v>
      </c>
      <c r="E109" t="str">
        <f xml:space="preserve"> _xll.EPMOlapMemberO("[CLACO].[PARENTH7].[AMSASUBREPARTO.SEC]","","Subrepartos","","000")</f>
        <v>Subrepartos</v>
      </c>
      <c r="F109" t="str">
        <f t="shared" si="7"/>
        <v>N1002AD350</v>
      </c>
      <c r="G109" t="s">
        <v>740</v>
      </c>
      <c r="H109" t="str">
        <f>IFERROR(_xlfn.XLOOKUP(F109,'CECOS Corporativos'!$K:$K,'CECOS Corporativos'!$D:$D,""),"")</f>
        <v/>
      </c>
      <c r="K109">
        <f t="shared" si="8"/>
        <v>0</v>
      </c>
      <c r="L109">
        <v>616683.15</v>
      </c>
      <c r="M109">
        <v>568404.34</v>
      </c>
      <c r="N109">
        <f t="shared" si="9"/>
        <v>-48278.810000000056</v>
      </c>
      <c r="O109">
        <v>661038.48</v>
      </c>
      <c r="P109">
        <v>662972.62</v>
      </c>
      <c r="Q109">
        <f t="shared" si="10"/>
        <v>1934.140000000014</v>
      </c>
      <c r="T109">
        <f t="shared" si="11"/>
        <v>0</v>
      </c>
    </row>
    <row r="110" spans="1:20" x14ac:dyDescent="0.3">
      <c r="A110" s="4" t="str">
        <f xml:space="preserve"> _xll.EPMOlapMemberO("[CECO].[PARENTH3].[AMSA1002AD3523]","","AMSA1002AD3523 - TICA Corporativo","","000")</f>
        <v>AMSA1002AD3523 - TICA Corporativo</v>
      </c>
      <c r="B110" t="str">
        <f t="shared" si="6"/>
        <v>1002AD3523</v>
      </c>
      <c r="C110" t="str">
        <f>IFERROR(_xlfn.XLOOKUP(B110,'CECOS Corporativos'!$D:$D,'CECOS Corporativos'!$E:$E,""),"")</f>
        <v>TICA Distribuible</v>
      </c>
      <c r="D110" t="str">
        <f>IFERROR(_xlfn.XLOOKUP(B110,'CECOS Corporativos'!$D:$D,'CECOS Corporativos'!$J:$J,""),"")</f>
        <v>VP Estrategia e Innovación</v>
      </c>
      <c r="E110" t="str">
        <f xml:space="preserve"> _xll.EPMOlapMemberO("[CLACO].[PARENTH7].[AMSASERV_CORP]","","Servicios Corporativ","","000")</f>
        <v>Servicios Corporativ</v>
      </c>
      <c r="F110" t="str">
        <f t="shared" si="7"/>
        <v>N1002AD350</v>
      </c>
      <c r="G110" t="s">
        <v>740</v>
      </c>
      <c r="H110" t="str">
        <f>IFERROR(_xlfn.XLOOKUP(F110,'CECOS Corporativos'!$K:$K,'CECOS Corporativos'!$D:$D,""),"")</f>
        <v/>
      </c>
      <c r="I110">
        <v>1842895.32</v>
      </c>
      <c r="J110">
        <v>1822053.36</v>
      </c>
      <c r="K110">
        <f t="shared" si="8"/>
        <v>-20841.959999999963</v>
      </c>
      <c r="L110">
        <v>1798670.64</v>
      </c>
      <c r="M110">
        <v>1828856.38</v>
      </c>
      <c r="N110">
        <f t="shared" si="9"/>
        <v>30185.739999999991</v>
      </c>
      <c r="O110">
        <v>1779998.05</v>
      </c>
      <c r="P110">
        <v>1798669.07</v>
      </c>
      <c r="Q110">
        <f t="shared" si="10"/>
        <v>18671.020000000019</v>
      </c>
      <c r="R110">
        <v>1910372.38</v>
      </c>
      <c r="S110">
        <v>1955045.9</v>
      </c>
      <c r="T110">
        <f t="shared" si="11"/>
        <v>44673.520000000019</v>
      </c>
    </row>
    <row r="111" spans="1:20" x14ac:dyDescent="0.3">
      <c r="A111" s="4" t="str">
        <f xml:space="preserve"> _xll.EPMOlapMemberO("[CECO].[PARENTH3].[AMSA1002AD3524]","","AMSA1002AD3524 - Abaste. Corporativos","","000")</f>
        <v>AMSA1002AD3524 - Abaste. Corporativos</v>
      </c>
      <c r="B111" t="str">
        <f t="shared" si="6"/>
        <v>1002AD3524</v>
      </c>
      <c r="C111" t="str">
        <f>IFERROR(_xlfn.XLOOKUP(B111,'CECOS Corporativos'!$D:$D,'CECOS Corporativos'!$E:$E,""),"")</f>
        <v>Gerencia de Abastecimiento Corporativo</v>
      </c>
      <c r="D111" t="str">
        <f>IFERROR(_xlfn.XLOOKUP(B111,'CECOS Corporativos'!$D:$D,'CECOS Corporativos'!$J:$J,""),"")</f>
        <v>VP Finanzas</v>
      </c>
      <c r="E111" t="str">
        <f xml:space="preserve"> _xll.EPMOlapMemberO("[CLACO].[PARENTH7].[AMSAEXPLOSIVOS]","","Explosivos y Accesor","","000")</f>
        <v>Explosivos y Accesor</v>
      </c>
      <c r="F111" t="str">
        <f t="shared" si="7"/>
        <v>N1002AD350</v>
      </c>
      <c r="G111" t="s">
        <v>740</v>
      </c>
      <c r="H111" t="str">
        <f>IFERROR(_xlfn.XLOOKUP(F111,'CECOS Corporativos'!$K:$K,'CECOS Corporativos'!$D:$D,""),"")</f>
        <v/>
      </c>
      <c r="I111">
        <v>49239.75</v>
      </c>
      <c r="K111">
        <f t="shared" si="8"/>
        <v>-49239.75</v>
      </c>
      <c r="L111">
        <v>0</v>
      </c>
      <c r="N111">
        <f t="shared" si="9"/>
        <v>0</v>
      </c>
      <c r="O111">
        <v>0</v>
      </c>
      <c r="Q111">
        <f t="shared" si="10"/>
        <v>0</v>
      </c>
      <c r="T111">
        <f t="shared" si="11"/>
        <v>0</v>
      </c>
    </row>
    <row r="112" spans="1:20" x14ac:dyDescent="0.3">
      <c r="A112" s="4" t="str">
        <f xml:space="preserve"> _xll.EPMOlapMemberO("[CECO].[PARENTH3].[AMSA1002AD3524]","","AMSA1002AD3524 - Abaste. Corporativos","","000")</f>
        <v>AMSA1002AD3524 - Abaste. Corporativos</v>
      </c>
      <c r="B112" t="str">
        <f t="shared" si="6"/>
        <v>1002AD3524</v>
      </c>
      <c r="C112" t="str">
        <f>IFERROR(_xlfn.XLOOKUP(B112,'CECOS Corporativos'!$D:$D,'CECOS Corporativos'!$E:$E,""),"")</f>
        <v>Gerencia de Abastecimiento Corporativo</v>
      </c>
      <c r="D112" t="str">
        <f>IFERROR(_xlfn.XLOOKUP(B112,'CECOS Corporativos'!$D:$D,'CECOS Corporativos'!$J:$J,""),"")</f>
        <v>VP Finanzas</v>
      </c>
      <c r="E112" t="str">
        <f xml:space="preserve"> _xll.EPMOlapMemberO("[CLACO].[PARENTH7].[AMSAADM_PERSON]","","Administración Perso","","000")</f>
        <v>Administración Perso</v>
      </c>
      <c r="F112" t="str">
        <f t="shared" si="7"/>
        <v>N1002AD350</v>
      </c>
      <c r="G112" t="s">
        <v>740</v>
      </c>
      <c r="H112" t="str">
        <f>IFERROR(_xlfn.XLOOKUP(F112,'CECOS Corporativos'!$K:$K,'CECOS Corporativos'!$D:$D,""),"")</f>
        <v/>
      </c>
      <c r="K112">
        <f t="shared" si="8"/>
        <v>0</v>
      </c>
      <c r="L112">
        <v>43128.36</v>
      </c>
      <c r="N112">
        <f t="shared" si="9"/>
        <v>-43128.36</v>
      </c>
      <c r="O112">
        <v>0</v>
      </c>
      <c r="Q112">
        <f t="shared" si="10"/>
        <v>0</v>
      </c>
      <c r="R112">
        <v>19057.36</v>
      </c>
      <c r="T112">
        <f t="shared" si="11"/>
        <v>-19057.36</v>
      </c>
    </row>
    <row r="113" spans="1:20" x14ac:dyDescent="0.3">
      <c r="A113" s="4" t="str">
        <f xml:space="preserve"> _xll.EPMOlapMemberO("[CECO].[PARENTH3].[AMSA1002AD3524]","","AMSA1002AD3524 - Abaste. Corporativos","","000")</f>
        <v>AMSA1002AD3524 - Abaste. Corporativos</v>
      </c>
      <c r="B113" t="str">
        <f t="shared" si="6"/>
        <v>1002AD3524</v>
      </c>
      <c r="C113" t="str">
        <f>IFERROR(_xlfn.XLOOKUP(B113,'CECOS Corporativos'!$D:$D,'CECOS Corporativos'!$E:$E,""),"")</f>
        <v>Gerencia de Abastecimiento Corporativo</v>
      </c>
      <c r="D113" t="str">
        <f>IFERROR(_xlfn.XLOOKUP(B113,'CECOS Corporativos'!$D:$D,'CECOS Corporativos'!$J:$J,""),"")</f>
        <v>VP Finanzas</v>
      </c>
      <c r="E113" t="str">
        <f xml:space="preserve"> _xll.EPMOlapMemberO("[CLACO].[PARENTH7].[AMSAENTRENAMI]","","Entrenamiento","","000")</f>
        <v>Entrenamiento</v>
      </c>
      <c r="F113" t="str">
        <f t="shared" si="7"/>
        <v>N1002AD350</v>
      </c>
      <c r="G113" t="s">
        <v>740</v>
      </c>
      <c r="H113" t="str">
        <f>IFERROR(_xlfn.XLOOKUP(F113,'CECOS Corporativos'!$K:$K,'CECOS Corporativos'!$D:$D,""),"")</f>
        <v/>
      </c>
      <c r="J113">
        <v>8945.7199999999993</v>
      </c>
      <c r="K113">
        <f t="shared" si="8"/>
        <v>8945.7199999999993</v>
      </c>
      <c r="L113">
        <v>1429</v>
      </c>
      <c r="M113">
        <v>6093.76</v>
      </c>
      <c r="N113">
        <f t="shared" si="9"/>
        <v>4664.76</v>
      </c>
      <c r="Q113">
        <f t="shared" si="10"/>
        <v>0</v>
      </c>
      <c r="R113">
        <v>62079.29</v>
      </c>
      <c r="S113">
        <v>53179.34</v>
      </c>
      <c r="T113">
        <f t="shared" si="11"/>
        <v>-8899.9500000000044</v>
      </c>
    </row>
    <row r="114" spans="1:20" x14ac:dyDescent="0.3">
      <c r="A114" s="4" t="str">
        <f xml:space="preserve"> _xll.EPMOlapMemberO("[CECO].[PARENTH3].[AMSA1002AD3524]","","AMSA1002AD3524 - Abaste. Corporativos","","000")</f>
        <v>AMSA1002AD3524 - Abaste. Corporativos</v>
      </c>
      <c r="B114" t="str">
        <f t="shared" si="6"/>
        <v>1002AD3524</v>
      </c>
      <c r="C114" t="str">
        <f>IFERROR(_xlfn.XLOOKUP(B114,'CECOS Corporativos'!$D:$D,'CECOS Corporativos'!$E:$E,""),"")</f>
        <v>Gerencia de Abastecimiento Corporativo</v>
      </c>
      <c r="D114" t="str">
        <f>IFERROR(_xlfn.XLOOKUP(B114,'CECOS Corporativos'!$D:$D,'CECOS Corporativos'!$J:$J,""),"")</f>
        <v>VP Finanzas</v>
      </c>
      <c r="E114" t="str">
        <f xml:space="preserve"> _xll.EPMOlapMemberO("[CLACO].[PARENTH7].[AMSAASESORIAS]","","Asesorías y Consulto","","000")</f>
        <v>Asesorías y Consulto</v>
      </c>
      <c r="F114" t="str">
        <f t="shared" si="7"/>
        <v>N1002AD350</v>
      </c>
      <c r="G114" t="s">
        <v>740</v>
      </c>
      <c r="H114" t="str">
        <f>IFERROR(_xlfn.XLOOKUP(F114,'CECOS Corporativos'!$K:$K,'CECOS Corporativos'!$D:$D,""),"")</f>
        <v/>
      </c>
      <c r="I114">
        <v>5382.21</v>
      </c>
      <c r="J114">
        <v>10282.950000000001</v>
      </c>
      <c r="K114">
        <f t="shared" si="8"/>
        <v>4900.7400000000007</v>
      </c>
      <c r="L114">
        <v>8997.41</v>
      </c>
      <c r="M114">
        <v>72260.56</v>
      </c>
      <c r="N114">
        <f t="shared" si="9"/>
        <v>63263.149999999994</v>
      </c>
      <c r="O114">
        <v>60815.99</v>
      </c>
      <c r="P114">
        <v>7017.27</v>
      </c>
      <c r="Q114">
        <f t="shared" si="10"/>
        <v>-53798.720000000001</v>
      </c>
      <c r="R114">
        <v>0</v>
      </c>
      <c r="T114">
        <f t="shared" si="11"/>
        <v>0</v>
      </c>
    </row>
    <row r="115" spans="1:20" x14ac:dyDescent="0.3">
      <c r="A115" s="4" t="str">
        <f xml:space="preserve"> _xll.EPMOlapMemberO("[CECO].[PARENTH3].[AMSA1002AD3524]","","AMSA1002AD3524 - Abaste. Corporativos","","000")</f>
        <v>AMSA1002AD3524 - Abaste. Corporativos</v>
      </c>
      <c r="B115" t="str">
        <f t="shared" si="6"/>
        <v>1002AD3524</v>
      </c>
      <c r="C115" t="str">
        <f>IFERROR(_xlfn.XLOOKUP(B115,'CECOS Corporativos'!$D:$D,'CECOS Corporativos'!$E:$E,""),"")</f>
        <v>Gerencia de Abastecimiento Corporativo</v>
      </c>
      <c r="D115" t="str">
        <f>IFERROR(_xlfn.XLOOKUP(B115,'CECOS Corporativos'!$D:$D,'CECOS Corporativos'!$J:$J,""),"")</f>
        <v>VP Finanzas</v>
      </c>
      <c r="E115" t="str">
        <f xml:space="preserve"> _xll.EPMOlapMemberO("[CLACO].[PARENTH7].[AMSASERVICIOS]","","Servicios","","000")</f>
        <v>Servicios</v>
      </c>
      <c r="F115" t="str">
        <f t="shared" si="7"/>
        <v>N1002AD350</v>
      </c>
      <c r="G115" t="s">
        <v>740</v>
      </c>
      <c r="H115" t="str">
        <f>IFERROR(_xlfn.XLOOKUP(F115,'CECOS Corporativos'!$K:$K,'CECOS Corporativos'!$D:$D,""),"")</f>
        <v/>
      </c>
      <c r="I115">
        <v>511044.69</v>
      </c>
      <c r="J115">
        <v>705259.08</v>
      </c>
      <c r="K115">
        <f t="shared" si="8"/>
        <v>194214.38999999996</v>
      </c>
      <c r="L115">
        <v>129452.41</v>
      </c>
      <c r="M115">
        <v>480215.33</v>
      </c>
      <c r="N115">
        <f t="shared" si="9"/>
        <v>350762.92000000004</v>
      </c>
      <c r="O115">
        <v>414209.79</v>
      </c>
      <c r="P115">
        <v>366123.97</v>
      </c>
      <c r="Q115">
        <f t="shared" si="10"/>
        <v>-48085.820000000007</v>
      </c>
      <c r="R115">
        <v>356712.59</v>
      </c>
      <c r="S115">
        <v>377847.99</v>
      </c>
      <c r="T115">
        <f t="shared" si="11"/>
        <v>21135.399999999965</v>
      </c>
    </row>
    <row r="116" spans="1:20" x14ac:dyDescent="0.3">
      <c r="A116" s="4" t="str">
        <f xml:space="preserve"> _xll.EPMOlapMemberO("[CECO].[PARENTH3].[AMSA1002AD3524]","","AMSA1002AD3524 - Abaste. Corporativos","","000")</f>
        <v>AMSA1002AD3524 - Abaste. Corporativos</v>
      </c>
      <c r="B116" t="str">
        <f t="shared" si="6"/>
        <v>1002AD3524</v>
      </c>
      <c r="C116" t="str">
        <f>IFERROR(_xlfn.XLOOKUP(B116,'CECOS Corporativos'!$D:$D,'CECOS Corporativos'!$E:$E,""),"")</f>
        <v>Gerencia de Abastecimiento Corporativo</v>
      </c>
      <c r="D116" t="str">
        <f>IFERROR(_xlfn.XLOOKUP(B116,'CECOS Corporativos'!$D:$D,'CECOS Corporativos'!$J:$J,""),"")</f>
        <v>VP Finanzas</v>
      </c>
      <c r="E116" t="str">
        <f xml:space="preserve"> _xll.EPMOlapMemberO("[CLACO].[PARENTH7].[AMSAINFORMATIC]","","Informática y Comuni","","000")</f>
        <v>Informática y Comuni</v>
      </c>
      <c r="F116" t="str">
        <f t="shared" si="7"/>
        <v>N1002AD350</v>
      </c>
      <c r="G116" t="s">
        <v>740</v>
      </c>
      <c r="H116" t="str">
        <f>IFERROR(_xlfn.XLOOKUP(F116,'CECOS Corporativos'!$K:$K,'CECOS Corporativos'!$D:$D,""),"")</f>
        <v/>
      </c>
      <c r="I116">
        <v>52333.32</v>
      </c>
      <c r="K116">
        <f t="shared" si="8"/>
        <v>-52333.32</v>
      </c>
      <c r="L116">
        <v>197008.75</v>
      </c>
      <c r="M116">
        <v>215115.6</v>
      </c>
      <c r="N116">
        <f t="shared" si="9"/>
        <v>18106.850000000006</v>
      </c>
      <c r="O116">
        <v>266778.73</v>
      </c>
      <c r="P116">
        <v>184099.97</v>
      </c>
      <c r="Q116">
        <f t="shared" si="10"/>
        <v>-82678.75999999998</v>
      </c>
      <c r="R116">
        <v>200185.51</v>
      </c>
      <c r="S116">
        <v>177733.49</v>
      </c>
      <c r="T116">
        <f t="shared" si="11"/>
        <v>-22452.020000000019</v>
      </c>
    </row>
    <row r="117" spans="1:20" x14ac:dyDescent="0.3">
      <c r="A117" s="4" t="str">
        <f xml:space="preserve"> _xll.EPMOlapMemberO("[CECO].[PARENTH3].[AMSA1002AD3524]","","AMSA1002AD3524 - Abaste. Corporativos","","000")</f>
        <v>AMSA1002AD3524 - Abaste. Corporativos</v>
      </c>
      <c r="B117" t="str">
        <f t="shared" si="6"/>
        <v>1002AD3524</v>
      </c>
      <c r="C117" t="str">
        <f>IFERROR(_xlfn.XLOOKUP(B117,'CECOS Corporativos'!$D:$D,'CECOS Corporativos'!$E:$E,""),"")</f>
        <v>Gerencia de Abastecimiento Corporativo</v>
      </c>
      <c r="D117" t="str">
        <f>IFERROR(_xlfn.XLOOKUP(B117,'CECOS Corporativos'!$D:$D,'CECOS Corporativos'!$J:$J,""),"")</f>
        <v>VP Finanzas</v>
      </c>
      <c r="E117" t="str">
        <f xml:space="preserve"> _xll.EPMOlapMemberO("[CLACO].[PARENTH7].[AMSAG_VIAJES]","","Gastos de Viajes","","000")</f>
        <v>Gastos de Viajes</v>
      </c>
      <c r="F117" t="str">
        <f t="shared" si="7"/>
        <v>N1002AD350</v>
      </c>
      <c r="G117" t="s">
        <v>740</v>
      </c>
      <c r="H117" t="str">
        <f>IFERROR(_xlfn.XLOOKUP(F117,'CECOS Corporativos'!$K:$K,'CECOS Corporativos'!$D:$D,""),"")</f>
        <v/>
      </c>
      <c r="K117">
        <f t="shared" si="8"/>
        <v>0</v>
      </c>
      <c r="L117">
        <v>8750</v>
      </c>
      <c r="N117">
        <f t="shared" si="9"/>
        <v>-8750</v>
      </c>
      <c r="O117">
        <v>0</v>
      </c>
      <c r="Q117">
        <f t="shared" si="10"/>
        <v>0</v>
      </c>
      <c r="T117">
        <f t="shared" si="11"/>
        <v>0</v>
      </c>
    </row>
    <row r="118" spans="1:20" x14ac:dyDescent="0.3">
      <c r="A118" s="4" t="str">
        <f xml:space="preserve"> _xll.EPMOlapMemberO("[CECO].[PARENTH3].[AMSA1002AD3524]","","AMSA1002AD3524 - Abaste. Corporativos","","000")</f>
        <v>AMSA1002AD3524 - Abaste. Corporativos</v>
      </c>
      <c r="B118" t="str">
        <f t="shared" si="6"/>
        <v>1002AD3524</v>
      </c>
      <c r="C118" t="str">
        <f>IFERROR(_xlfn.XLOOKUP(B118,'CECOS Corporativos'!$D:$D,'CECOS Corporativos'!$E:$E,""),"")</f>
        <v>Gerencia de Abastecimiento Corporativo</v>
      </c>
      <c r="D118" t="str">
        <f>IFERROR(_xlfn.XLOOKUP(B118,'CECOS Corporativos'!$D:$D,'CECOS Corporativos'!$J:$J,""),"")</f>
        <v>VP Finanzas</v>
      </c>
      <c r="E118" t="str">
        <f xml:space="preserve"> _xll.EPMOlapMemberO("[CLACO].[PARENTH7].[AMSAGGENERALES.2]","","Otros Gastos","","000")</f>
        <v>Otros Gastos</v>
      </c>
      <c r="F118" t="str">
        <f t="shared" si="7"/>
        <v>N1002AD350</v>
      </c>
      <c r="G118" t="s">
        <v>740</v>
      </c>
      <c r="H118" t="str">
        <f>IFERROR(_xlfn.XLOOKUP(F118,'CECOS Corporativos'!$K:$K,'CECOS Corporativos'!$D:$D,""),"")</f>
        <v/>
      </c>
      <c r="K118">
        <f t="shared" si="8"/>
        <v>0</v>
      </c>
      <c r="L118">
        <v>1310</v>
      </c>
      <c r="N118">
        <f t="shared" si="9"/>
        <v>-1310</v>
      </c>
      <c r="Q118">
        <f t="shared" si="10"/>
        <v>0</v>
      </c>
      <c r="T118">
        <f t="shared" si="11"/>
        <v>0</v>
      </c>
    </row>
    <row r="119" spans="1:20" x14ac:dyDescent="0.3">
      <c r="A119" s="4" t="str">
        <f xml:space="preserve"> _xll.EPMOlapMemberO("[CECO].[PARENTH3].[AMSA1002AD3524]","","AMSA1002AD3524 - Abaste. Corporativos","","000")</f>
        <v>AMSA1002AD3524 - Abaste. Corporativos</v>
      </c>
      <c r="B119" t="str">
        <f t="shared" si="6"/>
        <v>1002AD3524</v>
      </c>
      <c r="C119" t="str">
        <f>IFERROR(_xlfn.XLOOKUP(B119,'CECOS Corporativos'!$D:$D,'CECOS Corporativos'!$E:$E,""),"")</f>
        <v>Gerencia de Abastecimiento Corporativo</v>
      </c>
      <c r="D119" t="str">
        <f>IFERROR(_xlfn.XLOOKUP(B119,'CECOS Corporativos'!$D:$D,'CECOS Corporativos'!$J:$J,""),"")</f>
        <v>VP Finanzas</v>
      </c>
      <c r="E119" t="str">
        <f xml:space="preserve"> _xll.EPMOlapMemberO("[CLACO].[PARENTH7].[AMSASERV_CORP]","","Servicios Corporativ","","000")</f>
        <v>Servicios Corporativ</v>
      </c>
      <c r="F119" t="str">
        <f t="shared" si="7"/>
        <v>N1002AD350</v>
      </c>
      <c r="G119" t="s">
        <v>740</v>
      </c>
      <c r="H119" t="str">
        <f>IFERROR(_xlfn.XLOOKUP(F119,'CECOS Corporativos'!$K:$K,'CECOS Corporativos'!$D:$D,""),"")</f>
        <v/>
      </c>
      <c r="I119">
        <v>1283053.03</v>
      </c>
      <c r="J119">
        <v>1322693.22</v>
      </c>
      <c r="K119">
        <f t="shared" si="8"/>
        <v>39640.189999999944</v>
      </c>
      <c r="L119">
        <v>1351813.24</v>
      </c>
      <c r="M119">
        <v>1227120.06</v>
      </c>
      <c r="N119">
        <f t="shared" si="9"/>
        <v>-124693.17999999993</v>
      </c>
      <c r="O119">
        <v>-0.24</v>
      </c>
      <c r="Q119">
        <f t="shared" si="10"/>
        <v>0.24</v>
      </c>
      <c r="T119">
        <f t="shared" si="11"/>
        <v>0</v>
      </c>
    </row>
    <row r="120" spans="1:20" x14ac:dyDescent="0.3">
      <c r="A120" s="4" t="str">
        <f xml:space="preserve"> _xll.EPMOlapMemberO("[CECO].[PARENTH3].[AMSA1002AD3526]","","AMSA1002AD3526 - Riesg y Compl Corpor","","000")</f>
        <v>AMSA1002AD3526 - Riesg y Compl Corpor</v>
      </c>
      <c r="B120" t="str">
        <f t="shared" si="6"/>
        <v>1002AD3526</v>
      </c>
      <c r="C120" t="str">
        <f>IFERROR(_xlfn.XLOOKUP(B120,'CECOS Corporativos'!$D:$D,'CECOS Corporativos'!$E:$E,""),"")</f>
        <v>Grcia. Riesgos, Compliance y Control Interno</v>
      </c>
      <c r="D120" t="str">
        <f>IFERROR(_xlfn.XLOOKUP(B120,'CECOS Corporativos'!$D:$D,'CECOS Corporativos'!$J:$J,""),"")</f>
        <v>VP Finanzas</v>
      </c>
      <c r="E120" t="str">
        <f xml:space="preserve"> _xll.EPMOlapMemberO("[CLACO].[PARENTH7].[AMSAADM_PERSON]","","Administración Perso","","000")</f>
        <v>Administración Perso</v>
      </c>
      <c r="F120" t="str">
        <f t="shared" si="7"/>
        <v>N1002AD350</v>
      </c>
      <c r="G120" t="s">
        <v>740</v>
      </c>
      <c r="H120" t="str">
        <f>IFERROR(_xlfn.XLOOKUP(F120,'CECOS Corporativos'!$K:$K,'CECOS Corporativos'!$D:$D,""),"")</f>
        <v/>
      </c>
      <c r="K120">
        <f t="shared" si="8"/>
        <v>0</v>
      </c>
      <c r="N120">
        <f t="shared" si="9"/>
        <v>0</v>
      </c>
      <c r="Q120">
        <f t="shared" si="10"/>
        <v>0</v>
      </c>
      <c r="R120">
        <v>33.82</v>
      </c>
      <c r="T120">
        <f t="shared" si="11"/>
        <v>-33.82</v>
      </c>
    </row>
    <row r="121" spans="1:20" x14ac:dyDescent="0.3">
      <c r="A121" s="4" t="str">
        <f xml:space="preserve"> _xll.EPMOlapMemberO("[CECO].[PARENTH3].[AMSA1002AD3526]","","AMSA1002AD3526 - Riesg y Compl Corpor","","000")</f>
        <v>AMSA1002AD3526 - Riesg y Compl Corpor</v>
      </c>
      <c r="B121" t="str">
        <f t="shared" si="6"/>
        <v>1002AD3526</v>
      </c>
      <c r="C121" t="str">
        <f>IFERROR(_xlfn.XLOOKUP(B121,'CECOS Corporativos'!$D:$D,'CECOS Corporativos'!$E:$E,""),"")</f>
        <v>Grcia. Riesgos, Compliance y Control Interno</v>
      </c>
      <c r="D121" t="str">
        <f>IFERROR(_xlfn.XLOOKUP(B121,'CECOS Corporativos'!$D:$D,'CECOS Corporativos'!$J:$J,""),"")</f>
        <v>VP Finanzas</v>
      </c>
      <c r="E121" t="str">
        <f xml:space="preserve"> _xll.EPMOlapMemberO("[CLACO].[PARENTH7].[AMSAENTRENAMI]","","Entrenamiento","","000")</f>
        <v>Entrenamiento</v>
      </c>
      <c r="F121" t="str">
        <f t="shared" si="7"/>
        <v>N1002AD350</v>
      </c>
      <c r="G121" t="s">
        <v>740</v>
      </c>
      <c r="H121" t="str">
        <f>IFERROR(_xlfn.XLOOKUP(F121,'CECOS Corporativos'!$K:$K,'CECOS Corporativos'!$D:$D,""),"")</f>
        <v/>
      </c>
      <c r="I121">
        <v>4812.58</v>
      </c>
      <c r="J121">
        <v>9629.6</v>
      </c>
      <c r="K121">
        <f t="shared" si="8"/>
        <v>4817.0200000000004</v>
      </c>
      <c r="M121">
        <v>5833.34</v>
      </c>
      <c r="N121">
        <f t="shared" si="9"/>
        <v>5833.34</v>
      </c>
      <c r="O121">
        <v>518.35</v>
      </c>
      <c r="P121">
        <v>4240.6099999999997</v>
      </c>
      <c r="Q121">
        <f t="shared" si="10"/>
        <v>3722.2599999999998</v>
      </c>
      <c r="S121">
        <v>1076.55</v>
      </c>
      <c r="T121">
        <f t="shared" si="11"/>
        <v>1076.55</v>
      </c>
    </row>
    <row r="122" spans="1:20" x14ac:dyDescent="0.3">
      <c r="A122" s="4" t="str">
        <f xml:space="preserve"> _xll.EPMOlapMemberO("[CECO].[PARENTH3].[AMSA1002AD3526]","","AMSA1002AD3526 - Riesg y Compl Corpor","","000")</f>
        <v>AMSA1002AD3526 - Riesg y Compl Corpor</v>
      </c>
      <c r="B122" t="str">
        <f t="shared" si="6"/>
        <v>1002AD3526</v>
      </c>
      <c r="C122" t="str">
        <f>IFERROR(_xlfn.XLOOKUP(B122,'CECOS Corporativos'!$D:$D,'CECOS Corporativos'!$E:$E,""),"")</f>
        <v>Grcia. Riesgos, Compliance y Control Interno</v>
      </c>
      <c r="D122" t="str">
        <f>IFERROR(_xlfn.XLOOKUP(B122,'CECOS Corporativos'!$D:$D,'CECOS Corporativos'!$J:$J,""),"")</f>
        <v>VP Finanzas</v>
      </c>
      <c r="E122" t="str">
        <f xml:space="preserve"> _xll.EPMOlapMemberO("[CLACO].[PARENTH7].[AMSAASESORIAS]","","Asesorías y Consulto","","000")</f>
        <v>Asesorías y Consulto</v>
      </c>
      <c r="F122" t="str">
        <f t="shared" si="7"/>
        <v>N1002AD350</v>
      </c>
      <c r="G122" t="s">
        <v>740</v>
      </c>
      <c r="H122" t="str">
        <f>IFERROR(_xlfn.XLOOKUP(F122,'CECOS Corporativos'!$K:$K,'CECOS Corporativos'!$D:$D,""),"")</f>
        <v/>
      </c>
      <c r="I122">
        <v>19638.04</v>
      </c>
      <c r="J122">
        <v>5135.42</v>
      </c>
      <c r="K122">
        <f t="shared" si="8"/>
        <v>-14502.62</v>
      </c>
      <c r="L122">
        <v>30605.51</v>
      </c>
      <c r="M122">
        <v>24999.99</v>
      </c>
      <c r="N122">
        <f t="shared" si="9"/>
        <v>-5605.5199999999968</v>
      </c>
      <c r="O122">
        <v>2272.1799999999998</v>
      </c>
      <c r="P122">
        <v>13978.19</v>
      </c>
      <c r="Q122">
        <f t="shared" si="10"/>
        <v>11706.01</v>
      </c>
      <c r="R122">
        <v>12998.73</v>
      </c>
      <c r="S122">
        <v>23304.01</v>
      </c>
      <c r="T122">
        <f t="shared" si="11"/>
        <v>10305.279999999999</v>
      </c>
    </row>
    <row r="123" spans="1:20" x14ac:dyDescent="0.3">
      <c r="A123" s="4" t="str">
        <f xml:space="preserve"> _xll.EPMOlapMemberO("[CECO].[PARENTH3].[AMSA1002AD3526]","","AMSA1002AD3526 - Riesg y Compl Corpor","","000")</f>
        <v>AMSA1002AD3526 - Riesg y Compl Corpor</v>
      </c>
      <c r="B123" t="str">
        <f t="shared" si="6"/>
        <v>1002AD3526</v>
      </c>
      <c r="C123" t="str">
        <f>IFERROR(_xlfn.XLOOKUP(B123,'CECOS Corporativos'!$D:$D,'CECOS Corporativos'!$E:$E,""),"")</f>
        <v>Grcia. Riesgos, Compliance y Control Interno</v>
      </c>
      <c r="D123" t="str">
        <f>IFERROR(_xlfn.XLOOKUP(B123,'CECOS Corporativos'!$D:$D,'CECOS Corporativos'!$J:$J,""),"")</f>
        <v>VP Finanzas</v>
      </c>
      <c r="E123" t="str">
        <f xml:space="preserve"> _xll.EPMOlapMemberO("[CLACO].[PARENTH7].[AMSASERVICIOS]","","Servicios","","000")</f>
        <v>Servicios</v>
      </c>
      <c r="F123" t="str">
        <f t="shared" si="7"/>
        <v>N1002AD350</v>
      </c>
      <c r="G123" t="s">
        <v>740</v>
      </c>
      <c r="H123" t="str">
        <f>IFERROR(_xlfn.XLOOKUP(F123,'CECOS Corporativos'!$K:$K,'CECOS Corporativos'!$D:$D,""),"")</f>
        <v/>
      </c>
      <c r="I123">
        <v>67375.22</v>
      </c>
      <c r="J123">
        <v>87535.78</v>
      </c>
      <c r="K123">
        <f t="shared" si="8"/>
        <v>20160.559999999998</v>
      </c>
      <c r="L123">
        <v>193225.15</v>
      </c>
      <c r="M123">
        <v>82991.039999999994</v>
      </c>
      <c r="N123">
        <f t="shared" si="9"/>
        <v>-110234.11</v>
      </c>
      <c r="O123">
        <v>134927.10999999999</v>
      </c>
      <c r="P123">
        <v>150294.56</v>
      </c>
      <c r="Q123">
        <f t="shared" si="10"/>
        <v>15367.450000000012</v>
      </c>
      <c r="R123">
        <v>129279.49</v>
      </c>
      <c r="S123">
        <v>134409.60000000001</v>
      </c>
      <c r="T123">
        <f t="shared" si="11"/>
        <v>5130.1100000000006</v>
      </c>
    </row>
    <row r="124" spans="1:20" x14ac:dyDescent="0.3">
      <c r="A124" s="4" t="str">
        <f xml:space="preserve"> _xll.EPMOlapMemberO("[CECO].[PARENTH3].[AMSA1002AD3526]","","AMSA1002AD3526 - Riesg y Compl Corpor","","000")</f>
        <v>AMSA1002AD3526 - Riesg y Compl Corpor</v>
      </c>
      <c r="B124" t="str">
        <f t="shared" si="6"/>
        <v>1002AD3526</v>
      </c>
      <c r="C124" t="str">
        <f>IFERROR(_xlfn.XLOOKUP(B124,'CECOS Corporativos'!$D:$D,'CECOS Corporativos'!$E:$E,""),"")</f>
        <v>Grcia. Riesgos, Compliance y Control Interno</v>
      </c>
      <c r="D124" t="str">
        <f>IFERROR(_xlfn.XLOOKUP(B124,'CECOS Corporativos'!$D:$D,'CECOS Corporativos'!$J:$J,""),"")</f>
        <v>VP Finanzas</v>
      </c>
      <c r="E124" t="str">
        <f xml:space="preserve"> _xll.EPMOlapMemberO("[CLACO].[PARENTH7].[AMSAINFORMATIC]","","Informática y Comuni","","000")</f>
        <v>Informática y Comuni</v>
      </c>
      <c r="F124" t="str">
        <f t="shared" si="7"/>
        <v>N1002AD350</v>
      </c>
      <c r="G124" t="s">
        <v>740</v>
      </c>
      <c r="H124" t="str">
        <f>IFERROR(_xlfn.XLOOKUP(F124,'CECOS Corporativos'!$K:$K,'CECOS Corporativos'!$D:$D,""),"")</f>
        <v/>
      </c>
      <c r="I124">
        <v>46637.66</v>
      </c>
      <c r="J124">
        <v>50435.199999999997</v>
      </c>
      <c r="K124">
        <f t="shared" si="8"/>
        <v>3797.5399999999936</v>
      </c>
      <c r="L124">
        <v>44679.85</v>
      </c>
      <c r="M124">
        <v>67043.210000000006</v>
      </c>
      <c r="N124">
        <f t="shared" si="9"/>
        <v>22363.360000000008</v>
      </c>
      <c r="O124">
        <v>68909.850000000006</v>
      </c>
      <c r="P124">
        <v>50589.94</v>
      </c>
      <c r="Q124">
        <f t="shared" si="10"/>
        <v>-18319.910000000003</v>
      </c>
      <c r="R124">
        <v>75242.17</v>
      </c>
      <c r="S124">
        <v>89064.88</v>
      </c>
      <c r="T124">
        <f t="shared" si="11"/>
        <v>13822.710000000006</v>
      </c>
    </row>
    <row r="125" spans="1:20" x14ac:dyDescent="0.3">
      <c r="A125" s="4" t="str">
        <f xml:space="preserve"> _xll.EPMOlapMemberO("[CECO].[PARENTH3].[AMSA1002AD3526]","","AMSA1002AD3526 - Riesg y Compl Corpor","","000")</f>
        <v>AMSA1002AD3526 - Riesg y Compl Corpor</v>
      </c>
      <c r="B125" t="str">
        <f t="shared" si="6"/>
        <v>1002AD3526</v>
      </c>
      <c r="C125" t="str">
        <f>IFERROR(_xlfn.XLOOKUP(B125,'CECOS Corporativos'!$D:$D,'CECOS Corporativos'!$E:$E,""),"")</f>
        <v>Grcia. Riesgos, Compliance y Control Interno</v>
      </c>
      <c r="D125" t="str">
        <f>IFERROR(_xlfn.XLOOKUP(B125,'CECOS Corporativos'!$D:$D,'CECOS Corporativos'!$J:$J,""),"")</f>
        <v>VP Finanzas</v>
      </c>
      <c r="E125" t="str">
        <f xml:space="preserve"> _xll.EPMOlapMemberO("[CLACO].[PARENTH7].[AMSAGGENERALES.2]","","Otros Gastos","","000")</f>
        <v>Otros Gastos</v>
      </c>
      <c r="F125" t="str">
        <f t="shared" si="7"/>
        <v>N1002AD350</v>
      </c>
      <c r="G125" t="s">
        <v>740</v>
      </c>
      <c r="H125" t="str">
        <f>IFERROR(_xlfn.XLOOKUP(F125,'CECOS Corporativos'!$K:$K,'CECOS Corporativos'!$D:$D,""),"")</f>
        <v/>
      </c>
      <c r="I125">
        <v>5449.19</v>
      </c>
      <c r="J125">
        <v>4829.45</v>
      </c>
      <c r="K125">
        <f t="shared" si="8"/>
        <v>-619.73999999999978</v>
      </c>
      <c r="L125">
        <v>2558.69</v>
      </c>
      <c r="M125">
        <v>3381.06</v>
      </c>
      <c r="N125">
        <f t="shared" si="9"/>
        <v>822.36999999999989</v>
      </c>
      <c r="O125">
        <v>694.94</v>
      </c>
      <c r="P125">
        <v>3648.29</v>
      </c>
      <c r="Q125">
        <f t="shared" si="10"/>
        <v>2953.35</v>
      </c>
      <c r="R125">
        <v>3078.72</v>
      </c>
      <c r="S125">
        <v>2910.97</v>
      </c>
      <c r="T125">
        <f t="shared" si="11"/>
        <v>-167.75</v>
      </c>
    </row>
    <row r="126" spans="1:20" x14ac:dyDescent="0.3">
      <c r="A126" s="4" t="str">
        <f xml:space="preserve"> _xll.EPMOlapMemberO("[CECO].[PARENTH3].[AMSA1002AD3526]","","AMSA1002AD3526 - Riesg y Compl Corpor","","000")</f>
        <v>AMSA1002AD3526 - Riesg y Compl Corpor</v>
      </c>
      <c r="B126" t="str">
        <f t="shared" si="6"/>
        <v>1002AD3526</v>
      </c>
      <c r="C126" t="str">
        <f>IFERROR(_xlfn.XLOOKUP(B126,'CECOS Corporativos'!$D:$D,'CECOS Corporativos'!$E:$E,""),"")</f>
        <v>Grcia. Riesgos, Compliance y Control Interno</v>
      </c>
      <c r="D126" t="str">
        <f>IFERROR(_xlfn.XLOOKUP(B126,'CECOS Corporativos'!$D:$D,'CECOS Corporativos'!$J:$J,""),"")</f>
        <v>VP Finanzas</v>
      </c>
      <c r="E126" t="str">
        <f xml:space="preserve"> _xll.EPMOlapMemberO("[CLACO].[PARENTH7].[AMSASERV_CORP]","","Servicios Corporativ","","000")</f>
        <v>Servicios Corporativ</v>
      </c>
      <c r="F126" t="str">
        <f t="shared" si="7"/>
        <v>N1002AD350</v>
      </c>
      <c r="G126" t="s">
        <v>740</v>
      </c>
      <c r="H126" t="str">
        <f>IFERROR(_xlfn.XLOOKUP(F126,'CECOS Corporativos'!$K:$K,'CECOS Corporativos'!$D:$D,""),"")</f>
        <v/>
      </c>
      <c r="I126">
        <v>235181</v>
      </c>
      <c r="J126">
        <v>242445.5</v>
      </c>
      <c r="K126">
        <f t="shared" si="8"/>
        <v>7264.5</v>
      </c>
      <c r="L126">
        <v>415927.07</v>
      </c>
      <c r="M126">
        <v>377561.71</v>
      </c>
      <c r="N126">
        <f t="shared" si="9"/>
        <v>-38365.359999999986</v>
      </c>
      <c r="O126">
        <v>-7.0000000000000007E-2</v>
      </c>
      <c r="Q126">
        <f t="shared" si="10"/>
        <v>7.0000000000000007E-2</v>
      </c>
      <c r="T126">
        <f t="shared" si="11"/>
        <v>0</v>
      </c>
    </row>
    <row r="127" spans="1:20" x14ac:dyDescent="0.3">
      <c r="A127" s="4" t="str">
        <f xml:space="preserve"> _xll.EPMOlapMemberO("[CECO].[PARENTH3].[AMSA1002AD3522]","","AMSA1002AD3522 - Servicios Generales","","000")</f>
        <v>AMSA1002AD3522 - Servicios Generales</v>
      </c>
      <c r="B127" t="str">
        <f t="shared" si="6"/>
        <v>1002AD3522</v>
      </c>
      <c r="C127" t="str">
        <f>IFERROR(_xlfn.XLOOKUP(B127,'CECOS Corporativos'!$D:$D,'CECOS Corporativos'!$E:$E,""),"")</f>
        <v>Servicios Generales</v>
      </c>
      <c r="D127" t="str">
        <f>IFERROR(_xlfn.XLOOKUP(B127,'CECOS Corporativos'!$D:$D,'CECOS Corporativos'!$J:$J,""),"")</f>
        <v>VP Personas y Organización</v>
      </c>
      <c r="E127" t="str">
        <f xml:space="preserve"> _xll.EPMOlapMemberO("[CLACO].[PARENTH7].[AMSAENERGIA]","","Energía","","000")</f>
        <v>Energía</v>
      </c>
      <c r="F127" t="str">
        <f t="shared" si="7"/>
        <v>N1002AD400</v>
      </c>
      <c r="G127" t="s">
        <v>741</v>
      </c>
      <c r="H127" t="str">
        <f>IFERROR(_xlfn.XLOOKUP(F127,'CECOS Corporativos'!$K:$K,'CECOS Corporativos'!$D:$D,""),"")</f>
        <v/>
      </c>
      <c r="I127">
        <v>28878.21</v>
      </c>
      <c r="J127">
        <v>24205.17</v>
      </c>
      <c r="K127">
        <f t="shared" si="8"/>
        <v>-4673.0400000000009</v>
      </c>
      <c r="L127">
        <v>20356.59</v>
      </c>
      <c r="M127">
        <v>26373.599999999999</v>
      </c>
      <c r="N127">
        <f t="shared" si="9"/>
        <v>6017.0099999999984</v>
      </c>
      <c r="O127">
        <v>22728.639999999999</v>
      </c>
      <c r="P127">
        <v>28235.279999999999</v>
      </c>
      <c r="Q127">
        <f t="shared" si="10"/>
        <v>5506.6399999999994</v>
      </c>
      <c r="R127">
        <v>22110.18</v>
      </c>
      <c r="S127">
        <v>25254.240000000002</v>
      </c>
      <c r="T127">
        <f t="shared" si="11"/>
        <v>3144.0600000000013</v>
      </c>
    </row>
    <row r="128" spans="1:20" x14ac:dyDescent="0.3">
      <c r="A128" s="4" t="str">
        <f xml:space="preserve"> _xll.EPMOlapMemberO("[CECO].[PARENTH3].[AMSA1002AD3522]","","AMSA1002AD3522 - Servicios Generales","","000")</f>
        <v>AMSA1002AD3522 - Servicios Generales</v>
      </c>
      <c r="B128" t="str">
        <f t="shared" si="6"/>
        <v>1002AD3522</v>
      </c>
      <c r="C128" t="str">
        <f>IFERROR(_xlfn.XLOOKUP(B128,'CECOS Corporativos'!$D:$D,'CECOS Corporativos'!$E:$E,""),"")</f>
        <v>Servicios Generales</v>
      </c>
      <c r="D128" t="str">
        <f>IFERROR(_xlfn.XLOOKUP(B128,'CECOS Corporativos'!$D:$D,'CECOS Corporativos'!$J:$J,""),"")</f>
        <v>VP Personas y Organización</v>
      </c>
      <c r="E128" t="str">
        <f xml:space="preserve"> _xll.EPMOlapMemberO("[CLACO].[PARENTH7].[AMSAARRIENDOS]","","Arriendos","","000")</f>
        <v>Arriendos</v>
      </c>
      <c r="F128" t="str">
        <f t="shared" si="7"/>
        <v>N1002AD400</v>
      </c>
      <c r="G128" t="s">
        <v>741</v>
      </c>
      <c r="H128" t="str">
        <f>IFERROR(_xlfn.XLOOKUP(F128,'CECOS Corporativos'!$K:$K,'CECOS Corporativos'!$D:$D,""),"")</f>
        <v/>
      </c>
      <c r="I128">
        <v>618883.25</v>
      </c>
      <c r="J128">
        <v>731354.87</v>
      </c>
      <c r="K128">
        <f t="shared" si="8"/>
        <v>112471.62</v>
      </c>
      <c r="L128">
        <v>802250.1</v>
      </c>
      <c r="M128">
        <v>710254.79</v>
      </c>
      <c r="N128">
        <f t="shared" si="9"/>
        <v>-91995.309999999939</v>
      </c>
      <c r="O128">
        <v>750635.87</v>
      </c>
      <c r="P128">
        <v>829378.46</v>
      </c>
      <c r="Q128">
        <f t="shared" si="10"/>
        <v>78742.589999999967</v>
      </c>
      <c r="R128">
        <v>754052.96</v>
      </c>
      <c r="S128">
        <v>808560.5</v>
      </c>
      <c r="T128">
        <f t="shared" si="11"/>
        <v>54507.540000000037</v>
      </c>
    </row>
    <row r="129" spans="1:20" x14ac:dyDescent="0.3">
      <c r="A129" s="4" t="str">
        <f xml:space="preserve"> _xll.EPMOlapMemberO("[CECO].[PARENTH3].[AMSA1002AD3522]","","AMSA1002AD3522 - Servicios Generales","","000")</f>
        <v>AMSA1002AD3522 - Servicios Generales</v>
      </c>
      <c r="B129" t="str">
        <f t="shared" si="6"/>
        <v>1002AD3522</v>
      </c>
      <c r="C129" t="str">
        <f>IFERROR(_xlfn.XLOOKUP(B129,'CECOS Corporativos'!$D:$D,'CECOS Corporativos'!$E:$E,""),"")</f>
        <v>Servicios Generales</v>
      </c>
      <c r="D129" t="str">
        <f>IFERROR(_xlfn.XLOOKUP(B129,'CECOS Corporativos'!$D:$D,'CECOS Corporativos'!$J:$J,""),"")</f>
        <v>VP Personas y Organización</v>
      </c>
      <c r="E129" t="str">
        <f xml:space="preserve"> _xll.EPMOlapMemberO("[CLACO].[PARENTH7].[AMSASERVICIOS]","","Servicios","","000")</f>
        <v>Servicios</v>
      </c>
      <c r="F129" t="str">
        <f t="shared" si="7"/>
        <v>N1002AD400</v>
      </c>
      <c r="G129" t="s">
        <v>741</v>
      </c>
      <c r="H129" t="str">
        <f>IFERROR(_xlfn.XLOOKUP(F129,'CECOS Corporativos'!$K:$K,'CECOS Corporativos'!$D:$D,""),"")</f>
        <v/>
      </c>
      <c r="I129">
        <v>1529.31</v>
      </c>
      <c r="J129">
        <v>26070</v>
      </c>
      <c r="K129">
        <f t="shared" si="8"/>
        <v>24540.69</v>
      </c>
      <c r="N129">
        <f t="shared" si="9"/>
        <v>0</v>
      </c>
      <c r="Q129">
        <f t="shared" si="10"/>
        <v>0</v>
      </c>
      <c r="T129">
        <f t="shared" si="11"/>
        <v>0</v>
      </c>
    </row>
    <row r="130" spans="1:20" x14ac:dyDescent="0.3">
      <c r="A130" s="4" t="str">
        <f xml:space="preserve"> _xll.EPMOlapMemberO("[CECO].[PARENTH3].[AMSA1002AD3522]","","AMSA1002AD3522 - Servicios Generales","","000")</f>
        <v>AMSA1002AD3522 - Servicios Generales</v>
      </c>
      <c r="B130" t="str">
        <f t="shared" si="6"/>
        <v>1002AD3522</v>
      </c>
      <c r="C130" t="str">
        <f>IFERROR(_xlfn.XLOOKUP(B130,'CECOS Corporativos'!$D:$D,'CECOS Corporativos'!$E:$E,""),"")</f>
        <v>Servicios Generales</v>
      </c>
      <c r="D130" t="str">
        <f>IFERROR(_xlfn.XLOOKUP(B130,'CECOS Corporativos'!$D:$D,'CECOS Corporativos'!$J:$J,""),"")</f>
        <v>VP Personas y Organización</v>
      </c>
      <c r="E130" t="str">
        <f xml:space="preserve"> _xll.EPMOlapMemberO("[CLACO].[PARENTH7].[AMSASERMANTO.REPA]","","Servicios Mantenimie","","000")</f>
        <v>Servicios Mantenimie</v>
      </c>
      <c r="F130" t="str">
        <f t="shared" si="7"/>
        <v>N1002AD400</v>
      </c>
      <c r="G130" t="s">
        <v>741</v>
      </c>
      <c r="H130" t="str">
        <f>IFERROR(_xlfn.XLOOKUP(F130,'CECOS Corporativos'!$K:$K,'CECOS Corporativos'!$D:$D,""),"")</f>
        <v/>
      </c>
      <c r="I130">
        <v>95551.51</v>
      </c>
      <c r="J130">
        <v>101026.98</v>
      </c>
      <c r="K130">
        <f t="shared" si="8"/>
        <v>5475.4700000000012</v>
      </c>
      <c r="L130">
        <v>85207.84</v>
      </c>
      <c r="M130">
        <v>79875.94</v>
      </c>
      <c r="N130">
        <f t="shared" si="9"/>
        <v>-5331.8999999999942</v>
      </c>
      <c r="O130">
        <v>70829.5</v>
      </c>
      <c r="P130">
        <v>91017.24</v>
      </c>
      <c r="Q130">
        <f t="shared" si="10"/>
        <v>20187.740000000005</v>
      </c>
      <c r="R130">
        <v>100874.35</v>
      </c>
      <c r="S130">
        <v>99973.93</v>
      </c>
      <c r="T130">
        <f t="shared" si="11"/>
        <v>-900.42000000001281</v>
      </c>
    </row>
    <row r="131" spans="1:20" x14ac:dyDescent="0.3">
      <c r="A131" s="4" t="str">
        <f xml:space="preserve"> _xll.EPMOlapMemberO("[CECO].[PARENTH3].[AMSA1002AD3522]","","AMSA1002AD3522 - Servicios Generales","","000")</f>
        <v>AMSA1002AD3522 - Servicios Generales</v>
      </c>
      <c r="B131" t="str">
        <f t="shared" si="6"/>
        <v>1002AD3522</v>
      </c>
      <c r="C131" t="str">
        <f>IFERROR(_xlfn.XLOOKUP(B131,'CECOS Corporativos'!$D:$D,'CECOS Corporativos'!$E:$E,""),"")</f>
        <v>Servicios Generales</v>
      </c>
      <c r="D131" t="str">
        <f>IFERROR(_xlfn.XLOOKUP(B131,'CECOS Corporativos'!$D:$D,'CECOS Corporativos'!$J:$J,""),"")</f>
        <v>VP Personas y Organización</v>
      </c>
      <c r="E131" t="str">
        <f xml:space="preserve"> _xll.EPMOlapMemberO("[CLACO].[PARENTH7].[AMSAGGENERALES.2]","","Otros Gastos","","000")</f>
        <v>Otros Gastos</v>
      </c>
      <c r="F131" t="str">
        <f t="shared" si="7"/>
        <v>N1002AD400</v>
      </c>
      <c r="G131" t="s">
        <v>741</v>
      </c>
      <c r="H131" t="str">
        <f>IFERROR(_xlfn.XLOOKUP(F131,'CECOS Corporativos'!$K:$K,'CECOS Corporativos'!$D:$D,""),"")</f>
        <v/>
      </c>
      <c r="I131">
        <v>96537.58</v>
      </c>
      <c r="J131">
        <v>107363.44</v>
      </c>
      <c r="K131">
        <f t="shared" si="8"/>
        <v>10825.86</v>
      </c>
      <c r="L131">
        <v>119031.88</v>
      </c>
      <c r="M131">
        <v>123593.7</v>
      </c>
      <c r="N131">
        <f t="shared" si="9"/>
        <v>4561.8199999999924</v>
      </c>
      <c r="O131">
        <v>133290.32999999999</v>
      </c>
      <c r="P131">
        <v>132170.9</v>
      </c>
      <c r="Q131">
        <f t="shared" si="10"/>
        <v>-1119.429999999993</v>
      </c>
      <c r="R131">
        <v>103475.77</v>
      </c>
      <c r="S131">
        <v>126954.82</v>
      </c>
      <c r="T131">
        <f t="shared" si="11"/>
        <v>23479.050000000003</v>
      </c>
    </row>
    <row r="132" spans="1:20" x14ac:dyDescent="0.3">
      <c r="A132" s="4" t="str">
        <f xml:space="preserve"> _xll.EPMOlapMemberO("[CECO].[PARENTH3].[AMSA1002AD4020]","","AMSA1002AD4020 - RRHH  Corporativo","","000")</f>
        <v>AMSA1002AD4020 - RRHH  Corporativo</v>
      </c>
      <c r="B132" t="str">
        <f t="shared" si="6"/>
        <v>1002AD4020</v>
      </c>
      <c r="C132" t="str">
        <f>IFERROR(_xlfn.XLOOKUP(B132,'CECOS Corporativos'!$D:$D,'CECOS Corporativos'!$E:$E,""),"")</f>
        <v>RRHH Corporativo</v>
      </c>
      <c r="D132" t="str">
        <f>IFERROR(_xlfn.XLOOKUP(B132,'CECOS Corporativos'!$D:$D,'CECOS Corporativos'!$J:$J,""),"")</f>
        <v>VP Personas y Organización</v>
      </c>
      <c r="E132" t="str">
        <f xml:space="preserve"> _xll.EPMOlapMemberO("[CLACO].[PARENTH7].[AMSAADM_PERSON]","","Administración Perso","","000")</f>
        <v>Administración Perso</v>
      </c>
      <c r="F132" t="str">
        <f t="shared" si="7"/>
        <v>N1002AD400</v>
      </c>
      <c r="G132" t="s">
        <v>741</v>
      </c>
      <c r="H132" t="str">
        <f>IFERROR(_xlfn.XLOOKUP(F132,'CECOS Corporativos'!$K:$K,'CECOS Corporativos'!$D:$D,""),"")</f>
        <v/>
      </c>
      <c r="I132">
        <v>134614.07</v>
      </c>
      <c r="J132">
        <v>203191.85</v>
      </c>
      <c r="K132">
        <f t="shared" si="8"/>
        <v>68577.78</v>
      </c>
      <c r="L132">
        <v>324731.38</v>
      </c>
      <c r="M132">
        <v>592611.12</v>
      </c>
      <c r="N132">
        <f t="shared" si="9"/>
        <v>267879.74</v>
      </c>
      <c r="O132">
        <v>557061.86</v>
      </c>
      <c r="P132">
        <v>689358.57</v>
      </c>
      <c r="Q132">
        <f t="shared" si="10"/>
        <v>132296.70999999996</v>
      </c>
      <c r="R132">
        <v>932518.08</v>
      </c>
      <c r="S132">
        <v>828467.36</v>
      </c>
      <c r="T132">
        <f t="shared" si="11"/>
        <v>-104050.71999999997</v>
      </c>
    </row>
    <row r="133" spans="1:20" x14ac:dyDescent="0.3">
      <c r="A133" s="4" t="str">
        <f xml:space="preserve"> _xll.EPMOlapMemberO("[CECO].[PARENTH3].[AMSA1002AD4020]","","AMSA1002AD4020 - RRHH  Corporativo","","000")</f>
        <v>AMSA1002AD4020 - RRHH  Corporativo</v>
      </c>
      <c r="B133" t="str">
        <f t="shared" si="6"/>
        <v>1002AD4020</v>
      </c>
      <c r="C133" t="str">
        <f>IFERROR(_xlfn.XLOOKUP(B133,'CECOS Corporativos'!$D:$D,'CECOS Corporativos'!$E:$E,""),"")</f>
        <v>RRHH Corporativo</v>
      </c>
      <c r="D133" t="str">
        <f>IFERROR(_xlfn.XLOOKUP(B133,'CECOS Corporativos'!$D:$D,'CECOS Corporativos'!$J:$J,""),"")</f>
        <v>VP Personas y Organización</v>
      </c>
      <c r="E133" t="str">
        <f xml:space="preserve"> _xll.EPMOlapMemberO("[CLACO].[PARENTH7].[AMSAENTRENAMI]","","Entrenamiento","","000")</f>
        <v>Entrenamiento</v>
      </c>
      <c r="F133" t="str">
        <f t="shared" si="7"/>
        <v>N1002AD400</v>
      </c>
      <c r="G133" t="s">
        <v>741</v>
      </c>
      <c r="H133" t="str">
        <f>IFERROR(_xlfn.XLOOKUP(F133,'CECOS Corporativos'!$K:$K,'CECOS Corporativos'!$D:$D,""),"")</f>
        <v/>
      </c>
      <c r="I133">
        <v>329206.25</v>
      </c>
      <c r="J133">
        <v>369679.97</v>
      </c>
      <c r="K133">
        <f t="shared" si="8"/>
        <v>40473.719999999972</v>
      </c>
      <c r="L133">
        <v>637577.4</v>
      </c>
      <c r="M133">
        <v>401168.34</v>
      </c>
      <c r="N133">
        <f t="shared" si="9"/>
        <v>-236409.06</v>
      </c>
      <c r="O133">
        <v>243730.3</v>
      </c>
      <c r="P133">
        <v>397643.42</v>
      </c>
      <c r="Q133">
        <f t="shared" si="10"/>
        <v>153913.12</v>
      </c>
      <c r="R133">
        <v>221772.75</v>
      </c>
      <c r="S133">
        <v>248760.38</v>
      </c>
      <c r="T133">
        <f t="shared" si="11"/>
        <v>26987.630000000005</v>
      </c>
    </row>
    <row r="134" spans="1:20" x14ac:dyDescent="0.3">
      <c r="A134" s="4" t="str">
        <f xml:space="preserve"> _xll.EPMOlapMemberO("[CECO].[PARENTH3].[AMSA1002AD4020]","","AMSA1002AD4020 - RRHH  Corporativo","","000")</f>
        <v>AMSA1002AD4020 - RRHH  Corporativo</v>
      </c>
      <c r="B134" t="str">
        <f t="shared" si="6"/>
        <v>1002AD4020</v>
      </c>
      <c r="C134" t="str">
        <f>IFERROR(_xlfn.XLOOKUP(B134,'CECOS Corporativos'!$D:$D,'CECOS Corporativos'!$E:$E,""),"")</f>
        <v>RRHH Corporativo</v>
      </c>
      <c r="D134" t="str">
        <f>IFERROR(_xlfn.XLOOKUP(B134,'CECOS Corporativos'!$D:$D,'CECOS Corporativos'!$J:$J,""),"")</f>
        <v>VP Personas y Organización</v>
      </c>
      <c r="E134" t="str">
        <f xml:space="preserve"> _xll.EPMOlapMemberO("[CLACO].[PARENTH7].[AMSAASESORIAS]","","Asesorías y Consulto","","000")</f>
        <v>Asesorías y Consulto</v>
      </c>
      <c r="F134" t="str">
        <f t="shared" si="7"/>
        <v>N1002AD400</v>
      </c>
      <c r="G134" t="s">
        <v>741</v>
      </c>
      <c r="H134" t="str">
        <f>IFERROR(_xlfn.XLOOKUP(F134,'CECOS Corporativos'!$K:$K,'CECOS Corporativos'!$D:$D,""),"")</f>
        <v/>
      </c>
      <c r="I134">
        <v>427409.9</v>
      </c>
      <c r="J134">
        <v>614602.28</v>
      </c>
      <c r="K134">
        <f t="shared" si="8"/>
        <v>187192.38</v>
      </c>
      <c r="L134">
        <v>131593.96</v>
      </c>
      <c r="M134">
        <v>482256.76</v>
      </c>
      <c r="N134">
        <f t="shared" si="9"/>
        <v>350662.80000000005</v>
      </c>
      <c r="O134">
        <v>246889</v>
      </c>
      <c r="P134">
        <v>257715.26</v>
      </c>
      <c r="Q134">
        <f t="shared" si="10"/>
        <v>10826.260000000009</v>
      </c>
      <c r="R134">
        <v>332891.09000000003</v>
      </c>
      <c r="S134">
        <v>182573.64</v>
      </c>
      <c r="T134">
        <f t="shared" si="11"/>
        <v>-150317.45000000001</v>
      </c>
    </row>
    <row r="135" spans="1:20" x14ac:dyDescent="0.3">
      <c r="A135" s="4" t="str">
        <f xml:space="preserve"> _xll.EPMOlapMemberO("[CECO].[PARENTH3].[AMSA1002AD4020]","","AMSA1002AD4020 - RRHH  Corporativo","","000")</f>
        <v>AMSA1002AD4020 - RRHH  Corporativo</v>
      </c>
      <c r="B135" t="str">
        <f t="shared" si="6"/>
        <v>1002AD4020</v>
      </c>
      <c r="C135" t="str">
        <f>IFERROR(_xlfn.XLOOKUP(B135,'CECOS Corporativos'!$D:$D,'CECOS Corporativos'!$E:$E,""),"")</f>
        <v>RRHH Corporativo</v>
      </c>
      <c r="D135" t="str">
        <f>IFERROR(_xlfn.XLOOKUP(B135,'CECOS Corporativos'!$D:$D,'CECOS Corporativos'!$J:$J,""),"")</f>
        <v>VP Personas y Organización</v>
      </c>
      <c r="E135" t="str">
        <f xml:space="preserve"> _xll.EPMOlapMemberO("[CLACO].[PARENTH7].[AMSASERVICIOS]","","Servicios","","000")</f>
        <v>Servicios</v>
      </c>
      <c r="F135" t="str">
        <f t="shared" si="7"/>
        <v>N1002AD400</v>
      </c>
      <c r="G135" t="s">
        <v>741</v>
      </c>
      <c r="H135" t="str">
        <f>IFERROR(_xlfn.XLOOKUP(F135,'CECOS Corporativos'!$K:$K,'CECOS Corporativos'!$D:$D,""),"")</f>
        <v/>
      </c>
      <c r="I135">
        <v>96256.09</v>
      </c>
      <c r="J135">
        <v>98967.29</v>
      </c>
      <c r="K135">
        <f t="shared" si="8"/>
        <v>2711.1999999999971</v>
      </c>
      <c r="L135">
        <v>65078.02</v>
      </c>
      <c r="N135">
        <f t="shared" si="9"/>
        <v>-65078.02</v>
      </c>
      <c r="O135">
        <v>23820.95</v>
      </c>
      <c r="Q135">
        <f t="shared" si="10"/>
        <v>-23820.95</v>
      </c>
      <c r="R135">
        <v>0</v>
      </c>
      <c r="T135">
        <f t="shared" si="11"/>
        <v>0</v>
      </c>
    </row>
    <row r="136" spans="1:20" x14ac:dyDescent="0.3">
      <c r="A136" s="4" t="str">
        <f xml:space="preserve"> _xll.EPMOlapMemberO("[CECO].[PARENTH3].[AMSA1002AD4020]","","AMSA1002AD4020 - RRHH  Corporativo","","000")</f>
        <v>AMSA1002AD4020 - RRHH  Corporativo</v>
      </c>
      <c r="B136" t="str">
        <f t="shared" si="6"/>
        <v>1002AD4020</v>
      </c>
      <c r="C136" t="str">
        <f>IFERROR(_xlfn.XLOOKUP(B136,'CECOS Corporativos'!$D:$D,'CECOS Corporativos'!$E:$E,""),"")</f>
        <v>RRHH Corporativo</v>
      </c>
      <c r="D136" t="str">
        <f>IFERROR(_xlfn.XLOOKUP(B136,'CECOS Corporativos'!$D:$D,'CECOS Corporativos'!$J:$J,""),"")</f>
        <v>VP Personas y Organización</v>
      </c>
      <c r="E136" t="str">
        <f xml:space="preserve"> _xll.EPMOlapMemberO("[CLACO].[PARENTH7].[AMSAINFORMATIC]","","Informática y Comuni","","000")</f>
        <v>Informática y Comuni</v>
      </c>
      <c r="F136" t="str">
        <f t="shared" si="7"/>
        <v>N1002AD400</v>
      </c>
      <c r="G136" t="s">
        <v>741</v>
      </c>
      <c r="H136" t="str">
        <f>IFERROR(_xlfn.XLOOKUP(F136,'CECOS Corporativos'!$K:$K,'CECOS Corporativos'!$D:$D,""),"")</f>
        <v/>
      </c>
      <c r="I136">
        <v>650107.36</v>
      </c>
      <c r="J136">
        <v>1353988.04</v>
      </c>
      <c r="K136">
        <f t="shared" si="8"/>
        <v>703880.68</v>
      </c>
      <c r="L136">
        <v>1162073.18</v>
      </c>
      <c r="M136">
        <v>1316689.6399999999</v>
      </c>
      <c r="N136">
        <f t="shared" si="9"/>
        <v>154616.45999999996</v>
      </c>
      <c r="O136">
        <v>950295.05</v>
      </c>
      <c r="P136">
        <v>982223.96</v>
      </c>
      <c r="Q136">
        <f t="shared" si="10"/>
        <v>31928.909999999916</v>
      </c>
      <c r="R136">
        <v>974061.19</v>
      </c>
      <c r="S136">
        <v>899021.96</v>
      </c>
      <c r="T136">
        <f t="shared" si="11"/>
        <v>-75039.229999999981</v>
      </c>
    </row>
    <row r="137" spans="1:20" x14ac:dyDescent="0.3">
      <c r="A137" s="4" t="str">
        <f xml:space="preserve"> _xll.EPMOlapMemberO("[CECO].[PARENTH3].[AMSA1002AD4020]","","AMSA1002AD4020 - RRHH  Corporativo","","000")</f>
        <v>AMSA1002AD4020 - RRHH  Corporativo</v>
      </c>
      <c r="B137" t="str">
        <f t="shared" si="6"/>
        <v>1002AD4020</v>
      </c>
      <c r="C137" t="str">
        <f>IFERROR(_xlfn.XLOOKUP(B137,'CECOS Corporativos'!$D:$D,'CECOS Corporativos'!$E:$E,""),"")</f>
        <v>RRHH Corporativo</v>
      </c>
      <c r="D137" t="str">
        <f>IFERROR(_xlfn.XLOOKUP(B137,'CECOS Corporativos'!$D:$D,'CECOS Corporativos'!$J:$J,""),"")</f>
        <v>VP Personas y Organización</v>
      </c>
      <c r="E137" t="str">
        <f xml:space="preserve"> _xll.EPMOlapMemberO("[CLACO].[PARENTH7].[AMSAG_VIAJES]","","Gastos de Viajes","","000")</f>
        <v>Gastos de Viajes</v>
      </c>
      <c r="F137" t="str">
        <f t="shared" si="7"/>
        <v>N1002AD400</v>
      </c>
      <c r="G137" t="s">
        <v>741</v>
      </c>
      <c r="H137" t="str">
        <f>IFERROR(_xlfn.XLOOKUP(F137,'CECOS Corporativos'!$K:$K,'CECOS Corporativos'!$D:$D,""),"")</f>
        <v/>
      </c>
      <c r="I137">
        <v>209.53</v>
      </c>
      <c r="K137">
        <f t="shared" si="8"/>
        <v>-209.53</v>
      </c>
      <c r="N137">
        <f t="shared" si="9"/>
        <v>0</v>
      </c>
      <c r="O137">
        <v>987.99</v>
      </c>
      <c r="Q137">
        <f t="shared" si="10"/>
        <v>-987.99</v>
      </c>
      <c r="R137">
        <v>663.23</v>
      </c>
      <c r="T137">
        <f t="shared" si="11"/>
        <v>-663.23</v>
      </c>
    </row>
    <row r="138" spans="1:20" x14ac:dyDescent="0.3">
      <c r="A138" s="4" t="str">
        <f xml:space="preserve"> _xll.EPMOlapMemberO("[CECO].[PARENTH3].[AMSA1002AD4020]","","AMSA1002AD4020 - RRHH  Corporativo","","000")</f>
        <v>AMSA1002AD4020 - RRHH  Corporativo</v>
      </c>
      <c r="B138" t="str">
        <f t="shared" ref="B138:B182" si="12">IFERROR(SUBSTITUTE(TRIM(LEFT(A138,FIND("-",A138)-1)),"AMSA",""),"")</f>
        <v>1002AD4020</v>
      </c>
      <c r="C138" t="str">
        <f>IFERROR(_xlfn.XLOOKUP(B138,'CECOS Corporativos'!$D:$D,'CECOS Corporativos'!$E:$E,""),"")</f>
        <v>RRHH Corporativo</v>
      </c>
      <c r="D138" t="str">
        <f>IFERROR(_xlfn.XLOOKUP(B138,'CECOS Corporativos'!$D:$D,'CECOS Corporativos'!$J:$J,""),"")</f>
        <v>VP Personas y Organización</v>
      </c>
      <c r="E138" t="str">
        <f xml:space="preserve"> _xll.EPMOlapMemberO("[CLACO].[PARENTH7].[AMSAGGENERALES.2]","","Otros Gastos","","000")</f>
        <v>Otros Gastos</v>
      </c>
      <c r="F138" t="str">
        <f t="shared" ref="F138:F182" si="13">IFERROR(TRIM(LEFT(G138,FIND("-",G138)-1)),"")</f>
        <v>N1002AD400</v>
      </c>
      <c r="G138" t="s">
        <v>741</v>
      </c>
      <c r="H138" t="str">
        <f>IFERROR(_xlfn.XLOOKUP(F138,'CECOS Corporativos'!$K:$K,'CECOS Corporativos'!$D:$D,""),"")</f>
        <v/>
      </c>
      <c r="I138">
        <v>43579.01</v>
      </c>
      <c r="J138">
        <v>53335.66</v>
      </c>
      <c r="K138">
        <f t="shared" ref="K138:K182" si="14">J138-I138</f>
        <v>9756.6500000000015</v>
      </c>
      <c r="L138">
        <v>27012.87</v>
      </c>
      <c r="M138">
        <v>46052.800000000003</v>
      </c>
      <c r="N138">
        <f t="shared" ref="N138:N182" si="15">M138-L138</f>
        <v>19039.930000000004</v>
      </c>
      <c r="O138">
        <v>58326.21</v>
      </c>
      <c r="P138">
        <v>63716.61</v>
      </c>
      <c r="Q138">
        <f t="shared" ref="Q138:Q182" si="16">P138-O138</f>
        <v>5390.4000000000015</v>
      </c>
      <c r="R138">
        <v>80836.37</v>
      </c>
      <c r="S138">
        <v>63608.95</v>
      </c>
      <c r="T138">
        <f t="shared" ref="T138:T182" si="17">S138-R138</f>
        <v>-17227.419999999998</v>
      </c>
    </row>
    <row r="139" spans="1:20" x14ac:dyDescent="0.3">
      <c r="A139" s="4" t="str">
        <f xml:space="preserve"> _xll.EPMOlapMemberO("[CECO].[PARENTH3].[AMSA1002AD4020]","","AMSA1002AD4020 - RRHH  Corporativo","","000")</f>
        <v>AMSA1002AD4020 - RRHH  Corporativo</v>
      </c>
      <c r="B139" t="str">
        <f t="shared" si="12"/>
        <v>1002AD4020</v>
      </c>
      <c r="C139" t="str">
        <f>IFERROR(_xlfn.XLOOKUP(B139,'CECOS Corporativos'!$D:$D,'CECOS Corporativos'!$E:$E,""),"")</f>
        <v>RRHH Corporativo</v>
      </c>
      <c r="D139" t="str">
        <f>IFERROR(_xlfn.XLOOKUP(B139,'CECOS Corporativos'!$D:$D,'CECOS Corporativos'!$J:$J,""),"")</f>
        <v>VP Personas y Organización</v>
      </c>
      <c r="E139" t="str">
        <f xml:space="preserve"> _xll.EPMOlapMemberO("[CLACO].[PARENTH7].[AMSASERV_CORP]","","Servicios Corporativ","","000")</f>
        <v>Servicios Corporativ</v>
      </c>
      <c r="F139" t="str">
        <f t="shared" si="13"/>
        <v>N1002AD400</v>
      </c>
      <c r="G139" t="s">
        <v>741</v>
      </c>
      <c r="H139" t="str">
        <f>IFERROR(_xlfn.XLOOKUP(F139,'CECOS Corporativos'!$K:$K,'CECOS Corporativos'!$D:$D,""),"")</f>
        <v/>
      </c>
      <c r="I139">
        <v>991522.61</v>
      </c>
      <c r="J139">
        <v>1022156.63</v>
      </c>
      <c r="K139">
        <f t="shared" si="14"/>
        <v>30634.020000000019</v>
      </c>
      <c r="L139">
        <v>1081608.1200000001</v>
      </c>
      <c r="M139">
        <v>981841.39</v>
      </c>
      <c r="N139">
        <f t="shared" si="15"/>
        <v>-99766.730000000098</v>
      </c>
      <c r="O139">
        <v>971328.88</v>
      </c>
      <c r="P139">
        <v>1076260.5</v>
      </c>
      <c r="Q139">
        <f t="shared" si="16"/>
        <v>104931.62</v>
      </c>
      <c r="R139">
        <v>1055086</v>
      </c>
      <c r="S139">
        <v>1107477.43</v>
      </c>
      <c r="T139">
        <f t="shared" si="17"/>
        <v>52391.429999999935</v>
      </c>
    </row>
    <row r="140" spans="1:20" x14ac:dyDescent="0.3">
      <c r="A140" s="4" t="str">
        <f xml:space="preserve"> _xll.EPMOlapMemberO("[CECO].[PARENTH3].[AMSA1002AD4502]","","AMSA1002AD4502 - Com Internas","","000")</f>
        <v>AMSA1002AD4502 - Com Internas</v>
      </c>
      <c r="B140" t="str">
        <f t="shared" si="12"/>
        <v>1002AD4502</v>
      </c>
      <c r="C140" t="str">
        <f>IFERROR(_xlfn.XLOOKUP(B140,'CECOS Corporativos'!$D:$D,'CECOS Corporativos'!$E:$E,""),"")</f>
        <v>Comunicaciones Internas</v>
      </c>
      <c r="D140" t="str">
        <f>IFERROR(_xlfn.XLOOKUP(B140,'CECOS Corporativos'!$D:$D,'CECOS Corporativos'!$J:$J,""),"")</f>
        <v>VP Asuntos Corporativos</v>
      </c>
      <c r="E140" t="str">
        <f xml:space="preserve"> _xll.EPMOlapMemberO("[CLACO].[PARENTH7].[AMSAMAT_Y_REP.2]","","Materiales y repuest","","000")</f>
        <v>Materiales y repuest</v>
      </c>
      <c r="F140" t="str">
        <f t="shared" si="13"/>
        <v>N1002AD450</v>
      </c>
      <c r="G140" t="s">
        <v>742</v>
      </c>
      <c r="H140" t="str">
        <f>IFERROR(_xlfn.XLOOKUP(F140,'CECOS Corporativos'!$K:$K,'CECOS Corporativos'!$D:$D,""),"")</f>
        <v/>
      </c>
      <c r="I140">
        <v>31652.46</v>
      </c>
      <c r="K140">
        <f t="shared" si="14"/>
        <v>-31652.46</v>
      </c>
      <c r="N140">
        <f t="shared" si="15"/>
        <v>0</v>
      </c>
      <c r="O140">
        <v>716.77</v>
      </c>
      <c r="Q140">
        <f t="shared" si="16"/>
        <v>-716.77</v>
      </c>
      <c r="T140">
        <f t="shared" si="17"/>
        <v>0</v>
      </c>
    </row>
    <row r="141" spans="1:20" x14ac:dyDescent="0.3">
      <c r="A141" s="4" t="str">
        <f xml:space="preserve"> _xll.EPMOlapMemberO("[CECO].[PARENTH3].[AMSA1002AD4502]","","AMSA1002AD4502 - Com Internas","","000")</f>
        <v>AMSA1002AD4502 - Com Internas</v>
      </c>
      <c r="B141" t="str">
        <f t="shared" si="12"/>
        <v>1002AD4502</v>
      </c>
      <c r="C141" t="str">
        <f>IFERROR(_xlfn.XLOOKUP(B141,'CECOS Corporativos'!$D:$D,'CECOS Corporativos'!$E:$E,""),"")</f>
        <v>Comunicaciones Internas</v>
      </c>
      <c r="D141" t="str">
        <f>IFERROR(_xlfn.XLOOKUP(B141,'CECOS Corporativos'!$D:$D,'CECOS Corporativos'!$J:$J,""),"")</f>
        <v>VP Asuntos Corporativos</v>
      </c>
      <c r="E141" t="str">
        <f xml:space="preserve"> _xll.EPMOlapMemberO("[CLACO].[PARENTH7].[AMSAADM_PERSON]","","Administración Perso","","000")</f>
        <v>Administración Perso</v>
      </c>
      <c r="F141" t="str">
        <f t="shared" si="13"/>
        <v>N1002AD450</v>
      </c>
      <c r="G141" t="s">
        <v>742</v>
      </c>
      <c r="H141" t="str">
        <f>IFERROR(_xlfn.XLOOKUP(F141,'CECOS Corporativos'!$K:$K,'CECOS Corporativos'!$D:$D,""),"")</f>
        <v/>
      </c>
      <c r="K141">
        <f t="shared" si="14"/>
        <v>0</v>
      </c>
      <c r="L141">
        <v>6439.3</v>
      </c>
      <c r="N141">
        <f t="shared" si="15"/>
        <v>-6439.3</v>
      </c>
      <c r="Q141">
        <f t="shared" si="16"/>
        <v>0</v>
      </c>
      <c r="R141">
        <v>82.57</v>
      </c>
      <c r="T141">
        <f t="shared" si="17"/>
        <v>-82.57</v>
      </c>
    </row>
    <row r="142" spans="1:20" x14ac:dyDescent="0.3">
      <c r="A142" s="4" t="str">
        <f xml:space="preserve"> _xll.EPMOlapMemberO("[CECO].[PARENTH3].[AMSA1002AD4502]","","AMSA1002AD4502 - Com Internas","","000")</f>
        <v>AMSA1002AD4502 - Com Internas</v>
      </c>
      <c r="B142" t="str">
        <f t="shared" si="12"/>
        <v>1002AD4502</v>
      </c>
      <c r="C142" t="str">
        <f>IFERROR(_xlfn.XLOOKUP(B142,'CECOS Corporativos'!$D:$D,'CECOS Corporativos'!$E:$E,""),"")</f>
        <v>Comunicaciones Internas</v>
      </c>
      <c r="D142" t="str">
        <f>IFERROR(_xlfn.XLOOKUP(B142,'CECOS Corporativos'!$D:$D,'CECOS Corporativos'!$J:$J,""),"")</f>
        <v>VP Asuntos Corporativos</v>
      </c>
      <c r="E142" t="str">
        <f xml:space="preserve"> _xll.EPMOlapMemberO("[CLACO].[PARENTH7].[AMSAENTRENAMI]","","Entrenamiento","","000")</f>
        <v>Entrenamiento</v>
      </c>
      <c r="F142" t="str">
        <f t="shared" si="13"/>
        <v>N1002AD450</v>
      </c>
      <c r="G142" t="s">
        <v>742</v>
      </c>
      <c r="H142" t="str">
        <f>IFERROR(_xlfn.XLOOKUP(F142,'CECOS Corporativos'!$K:$K,'CECOS Corporativos'!$D:$D,""),"")</f>
        <v/>
      </c>
      <c r="I142">
        <v>11888.1</v>
      </c>
      <c r="K142">
        <f t="shared" si="14"/>
        <v>-11888.1</v>
      </c>
      <c r="N142">
        <f t="shared" si="15"/>
        <v>0</v>
      </c>
      <c r="Q142">
        <f t="shared" si="16"/>
        <v>0</v>
      </c>
      <c r="T142">
        <f t="shared" si="17"/>
        <v>0</v>
      </c>
    </row>
    <row r="143" spans="1:20" x14ac:dyDescent="0.3">
      <c r="A143" s="4" t="str">
        <f xml:space="preserve"> _xll.EPMOlapMemberO("[CECO].[PARENTH3].[AMSA1002AD4502]","","AMSA1002AD4502 - Com Internas","","000")</f>
        <v>AMSA1002AD4502 - Com Internas</v>
      </c>
      <c r="B143" t="str">
        <f t="shared" si="12"/>
        <v>1002AD4502</v>
      </c>
      <c r="C143" t="str">
        <f>IFERROR(_xlfn.XLOOKUP(B143,'CECOS Corporativos'!$D:$D,'CECOS Corporativos'!$E:$E,""),"")</f>
        <v>Comunicaciones Internas</v>
      </c>
      <c r="D143" t="str">
        <f>IFERROR(_xlfn.XLOOKUP(B143,'CECOS Corporativos'!$D:$D,'CECOS Corporativos'!$J:$J,""),"")</f>
        <v>VP Asuntos Corporativos</v>
      </c>
      <c r="E143" t="str">
        <f xml:space="preserve"> _xll.EPMOlapMemberO("[CLACO].[PARENTH7].[AMSAASESORIAS]","","Asesorías y Consulto","","000")</f>
        <v>Asesorías y Consulto</v>
      </c>
      <c r="F143" t="str">
        <f t="shared" si="13"/>
        <v>N1002AD450</v>
      </c>
      <c r="G143" t="s">
        <v>742</v>
      </c>
      <c r="H143" t="str">
        <f>IFERROR(_xlfn.XLOOKUP(F143,'CECOS Corporativos'!$K:$K,'CECOS Corporativos'!$D:$D,""),"")</f>
        <v/>
      </c>
      <c r="I143">
        <v>34931.08</v>
      </c>
      <c r="J143">
        <v>31833.99</v>
      </c>
      <c r="K143">
        <f t="shared" si="14"/>
        <v>-3097.09</v>
      </c>
      <c r="L143">
        <v>53651.38</v>
      </c>
      <c r="N143">
        <f t="shared" si="15"/>
        <v>-53651.38</v>
      </c>
      <c r="O143">
        <v>14506</v>
      </c>
      <c r="Q143">
        <f t="shared" si="16"/>
        <v>-14506</v>
      </c>
      <c r="R143">
        <v>18063.52</v>
      </c>
      <c r="T143">
        <f t="shared" si="17"/>
        <v>-18063.52</v>
      </c>
    </row>
    <row r="144" spans="1:20" x14ac:dyDescent="0.3">
      <c r="A144" s="4" t="str">
        <f xml:space="preserve"> _xll.EPMOlapMemberO("[CECO].[PARENTH3].[AMSA1002AD4502]","","AMSA1002AD4502 - Com Internas","","000")</f>
        <v>AMSA1002AD4502 - Com Internas</v>
      </c>
      <c r="B144" t="str">
        <f t="shared" si="12"/>
        <v>1002AD4502</v>
      </c>
      <c r="C144" t="str">
        <f>IFERROR(_xlfn.XLOOKUP(B144,'CECOS Corporativos'!$D:$D,'CECOS Corporativos'!$E:$E,""),"")</f>
        <v>Comunicaciones Internas</v>
      </c>
      <c r="D144" t="str">
        <f>IFERROR(_xlfn.XLOOKUP(B144,'CECOS Corporativos'!$D:$D,'CECOS Corporativos'!$J:$J,""),"")</f>
        <v>VP Asuntos Corporativos</v>
      </c>
      <c r="E144" t="str">
        <f xml:space="preserve"> _xll.EPMOlapMemberO("[CLACO].[PARENTH7].[AMSAARRIENDOS]","","Arriendos","","000")</f>
        <v>Arriendos</v>
      </c>
      <c r="F144" t="str">
        <f t="shared" si="13"/>
        <v>N1002AD450</v>
      </c>
      <c r="G144" t="s">
        <v>742</v>
      </c>
      <c r="H144" t="str">
        <f>IFERROR(_xlfn.XLOOKUP(F144,'CECOS Corporativos'!$K:$K,'CECOS Corporativos'!$D:$D,""),"")</f>
        <v/>
      </c>
      <c r="K144">
        <f t="shared" si="14"/>
        <v>0</v>
      </c>
      <c r="N144">
        <f t="shared" si="15"/>
        <v>0</v>
      </c>
      <c r="P144">
        <v>12046.84</v>
      </c>
      <c r="Q144">
        <f t="shared" si="16"/>
        <v>12046.84</v>
      </c>
      <c r="T144">
        <f t="shared" si="17"/>
        <v>0</v>
      </c>
    </row>
    <row r="145" spans="1:20" x14ac:dyDescent="0.3">
      <c r="A145" s="4" t="str">
        <f xml:space="preserve"> _xll.EPMOlapMemberO("[CECO].[PARENTH3].[AMSA1002AD4502]","","AMSA1002AD4502 - Com Internas","","000")</f>
        <v>AMSA1002AD4502 - Com Internas</v>
      </c>
      <c r="B145" t="str">
        <f t="shared" si="12"/>
        <v>1002AD4502</v>
      </c>
      <c r="C145" t="str">
        <f>IFERROR(_xlfn.XLOOKUP(B145,'CECOS Corporativos'!$D:$D,'CECOS Corporativos'!$E:$E,""),"")</f>
        <v>Comunicaciones Internas</v>
      </c>
      <c r="D145" t="str">
        <f>IFERROR(_xlfn.XLOOKUP(B145,'CECOS Corporativos'!$D:$D,'CECOS Corporativos'!$J:$J,""),"")</f>
        <v>VP Asuntos Corporativos</v>
      </c>
      <c r="E145" t="str">
        <f xml:space="preserve"> _xll.EPMOlapMemberO("[CLACO].[PARENTH7].[AMSASERVICIOS]","","Servicios","","000")</f>
        <v>Servicios</v>
      </c>
      <c r="F145" t="str">
        <f t="shared" si="13"/>
        <v>N1002AD450</v>
      </c>
      <c r="G145" t="s">
        <v>742</v>
      </c>
      <c r="H145" t="str">
        <f>IFERROR(_xlfn.XLOOKUP(F145,'CECOS Corporativos'!$K:$K,'CECOS Corporativos'!$D:$D,""),"")</f>
        <v/>
      </c>
      <c r="I145">
        <v>2825.71</v>
      </c>
      <c r="K145">
        <f t="shared" si="14"/>
        <v>-2825.71</v>
      </c>
      <c r="L145">
        <v>923.15</v>
      </c>
      <c r="N145">
        <f t="shared" si="15"/>
        <v>-923.15</v>
      </c>
      <c r="Q145">
        <f t="shared" si="16"/>
        <v>0</v>
      </c>
      <c r="S145">
        <v>16866.669999999998</v>
      </c>
      <c r="T145">
        <f t="shared" si="17"/>
        <v>16866.669999999998</v>
      </c>
    </row>
    <row r="146" spans="1:20" x14ac:dyDescent="0.3">
      <c r="A146" s="4" t="str">
        <f xml:space="preserve"> _xll.EPMOlapMemberO("[CECO].[PARENTH3].[AMSA1002AD4502]","","AMSA1002AD4502 - Com Internas","","000")</f>
        <v>AMSA1002AD4502 - Com Internas</v>
      </c>
      <c r="B146" t="str">
        <f t="shared" si="12"/>
        <v>1002AD4502</v>
      </c>
      <c r="C146" t="str">
        <f>IFERROR(_xlfn.XLOOKUP(B146,'CECOS Corporativos'!$D:$D,'CECOS Corporativos'!$E:$E,""),"")</f>
        <v>Comunicaciones Internas</v>
      </c>
      <c r="D146" t="str">
        <f>IFERROR(_xlfn.XLOOKUP(B146,'CECOS Corporativos'!$D:$D,'CECOS Corporativos'!$J:$J,""),"")</f>
        <v>VP Asuntos Corporativos</v>
      </c>
      <c r="E146" t="str">
        <f xml:space="preserve"> _xll.EPMOlapMemberO("[CLACO].[PARENTH7].[AMSASERMANTO.REPA]","","Servicios Mantenimie","","000")</f>
        <v>Servicios Mantenimie</v>
      </c>
      <c r="F146" t="str">
        <f t="shared" si="13"/>
        <v>N1002AD450</v>
      </c>
      <c r="G146" t="s">
        <v>742</v>
      </c>
      <c r="H146" t="str">
        <f>IFERROR(_xlfn.XLOOKUP(F146,'CECOS Corporativos'!$K:$K,'CECOS Corporativos'!$D:$D,""),"")</f>
        <v/>
      </c>
      <c r="I146">
        <v>5779.41</v>
      </c>
      <c r="K146">
        <f t="shared" si="14"/>
        <v>-5779.41</v>
      </c>
      <c r="L146">
        <v>7827.93</v>
      </c>
      <c r="M146">
        <v>10061.66</v>
      </c>
      <c r="N146">
        <f t="shared" si="15"/>
        <v>2233.7299999999996</v>
      </c>
      <c r="Q146">
        <f t="shared" si="16"/>
        <v>0</v>
      </c>
      <c r="T146">
        <f t="shared" si="17"/>
        <v>0</v>
      </c>
    </row>
    <row r="147" spans="1:20" x14ac:dyDescent="0.3">
      <c r="A147" s="4" t="str">
        <f xml:space="preserve"> _xll.EPMOlapMemberO("[CECO].[PARENTH3].[AMSA1002AD4502]","","AMSA1002AD4502 - Com Internas","","000")</f>
        <v>AMSA1002AD4502 - Com Internas</v>
      </c>
      <c r="B147" t="str">
        <f t="shared" si="12"/>
        <v>1002AD4502</v>
      </c>
      <c r="C147" t="str">
        <f>IFERROR(_xlfn.XLOOKUP(B147,'CECOS Corporativos'!$D:$D,'CECOS Corporativos'!$E:$E,""),"")</f>
        <v>Comunicaciones Internas</v>
      </c>
      <c r="D147" t="str">
        <f>IFERROR(_xlfn.XLOOKUP(B147,'CECOS Corporativos'!$D:$D,'CECOS Corporativos'!$J:$J,""),"")</f>
        <v>VP Asuntos Corporativos</v>
      </c>
      <c r="E147" t="str">
        <f xml:space="preserve"> _xll.EPMOlapMemberO("[CLACO].[PARENTH7].[AMSAINFORMATIC]","","Informática y Comuni","","000")</f>
        <v>Informática y Comuni</v>
      </c>
      <c r="F147" t="str">
        <f t="shared" si="13"/>
        <v>N1002AD450</v>
      </c>
      <c r="G147" t="s">
        <v>742</v>
      </c>
      <c r="H147" t="str">
        <f>IFERROR(_xlfn.XLOOKUP(F147,'CECOS Corporativos'!$K:$K,'CECOS Corporativos'!$D:$D,""),"")</f>
        <v/>
      </c>
      <c r="I147">
        <v>376217.7</v>
      </c>
      <c r="J147">
        <v>421080.48</v>
      </c>
      <c r="K147">
        <f t="shared" si="14"/>
        <v>44862.77999999997</v>
      </c>
      <c r="L147">
        <v>411178.04</v>
      </c>
      <c r="M147">
        <v>403907.69</v>
      </c>
      <c r="N147">
        <f t="shared" si="15"/>
        <v>-7270.3499999999767</v>
      </c>
      <c r="O147">
        <v>364509.71</v>
      </c>
      <c r="P147">
        <v>463256.07</v>
      </c>
      <c r="Q147">
        <f t="shared" si="16"/>
        <v>98746.359999999986</v>
      </c>
      <c r="R147">
        <v>320296.32000000001</v>
      </c>
      <c r="S147">
        <v>352819.43</v>
      </c>
      <c r="T147">
        <f t="shared" si="17"/>
        <v>32523.109999999986</v>
      </c>
    </row>
    <row r="148" spans="1:20" x14ac:dyDescent="0.3">
      <c r="A148" s="4" t="str">
        <f xml:space="preserve"> _xll.EPMOlapMemberO("[CECO].[PARENTH3].[AMSA1002AD4502]","","AMSA1002AD4502 - Com Internas","","000")</f>
        <v>AMSA1002AD4502 - Com Internas</v>
      </c>
      <c r="B148" t="str">
        <f t="shared" si="12"/>
        <v>1002AD4502</v>
      </c>
      <c r="C148" t="str">
        <f>IFERROR(_xlfn.XLOOKUP(B148,'CECOS Corporativos'!$D:$D,'CECOS Corporativos'!$E:$E,""),"")</f>
        <v>Comunicaciones Internas</v>
      </c>
      <c r="D148" t="str">
        <f>IFERROR(_xlfn.XLOOKUP(B148,'CECOS Corporativos'!$D:$D,'CECOS Corporativos'!$J:$J,""),"")</f>
        <v>VP Asuntos Corporativos</v>
      </c>
      <c r="E148" t="str">
        <f xml:space="preserve"> _xll.EPMOlapMemberO("[CLACO].[PARENTH7].[AMSAG_VIAJES]","","Gastos de Viajes","","000")</f>
        <v>Gastos de Viajes</v>
      </c>
      <c r="F148" t="str">
        <f t="shared" si="13"/>
        <v>N1002AD450</v>
      </c>
      <c r="G148" t="s">
        <v>742</v>
      </c>
      <c r="H148" t="str">
        <f>IFERROR(_xlfn.XLOOKUP(F148,'CECOS Corporativos'!$K:$K,'CECOS Corporativos'!$D:$D,""),"")</f>
        <v/>
      </c>
      <c r="I148">
        <v>37070.35</v>
      </c>
      <c r="J148">
        <v>9926.08</v>
      </c>
      <c r="K148">
        <f t="shared" si="14"/>
        <v>-27144.269999999997</v>
      </c>
      <c r="L148">
        <v>328.55</v>
      </c>
      <c r="N148">
        <f t="shared" si="15"/>
        <v>-328.55</v>
      </c>
      <c r="O148">
        <v>1994.39</v>
      </c>
      <c r="Q148">
        <f t="shared" si="16"/>
        <v>-1994.39</v>
      </c>
      <c r="R148">
        <v>633.45000000000005</v>
      </c>
      <c r="T148">
        <f t="shared" si="17"/>
        <v>-633.45000000000005</v>
      </c>
    </row>
    <row r="149" spans="1:20" x14ac:dyDescent="0.3">
      <c r="A149" s="4" t="str">
        <f xml:space="preserve"> _xll.EPMOlapMemberO("[CECO].[PARENTH3].[AMSA1002AD4502]","","AMSA1002AD4502 - Com Internas","","000")</f>
        <v>AMSA1002AD4502 - Com Internas</v>
      </c>
      <c r="B149" t="str">
        <f t="shared" si="12"/>
        <v>1002AD4502</v>
      </c>
      <c r="C149" t="str">
        <f>IFERROR(_xlfn.XLOOKUP(B149,'CECOS Corporativos'!$D:$D,'CECOS Corporativos'!$E:$E,""),"")</f>
        <v>Comunicaciones Internas</v>
      </c>
      <c r="D149" t="str">
        <f>IFERROR(_xlfn.XLOOKUP(B149,'CECOS Corporativos'!$D:$D,'CECOS Corporativos'!$J:$J,""),"")</f>
        <v>VP Asuntos Corporativos</v>
      </c>
      <c r="E149" t="str">
        <f xml:space="preserve"> _xll.EPMOlapMemberO("[CLACO].[PARENTH7].[AMSAGGENERALES.2]","","Otros Gastos","","000")</f>
        <v>Otros Gastos</v>
      </c>
      <c r="F149" t="str">
        <f t="shared" si="13"/>
        <v>N1002AD450</v>
      </c>
      <c r="G149" t="s">
        <v>742</v>
      </c>
      <c r="H149" t="str">
        <f>IFERROR(_xlfn.XLOOKUP(F149,'CECOS Corporativos'!$K:$K,'CECOS Corporativos'!$D:$D,""),"")</f>
        <v/>
      </c>
      <c r="I149">
        <v>247251.68</v>
      </c>
      <c r="J149">
        <v>305098.39</v>
      </c>
      <c r="K149">
        <f t="shared" si="14"/>
        <v>57846.710000000021</v>
      </c>
      <c r="L149">
        <v>355214.77</v>
      </c>
      <c r="M149">
        <v>247746.6</v>
      </c>
      <c r="N149">
        <f t="shared" si="15"/>
        <v>-107468.17000000001</v>
      </c>
      <c r="O149">
        <v>340042.26</v>
      </c>
      <c r="P149">
        <v>409490.2</v>
      </c>
      <c r="Q149">
        <f t="shared" si="16"/>
        <v>69447.94</v>
      </c>
      <c r="R149">
        <v>519027.13</v>
      </c>
      <c r="S149">
        <v>280180.55</v>
      </c>
      <c r="T149">
        <f t="shared" si="17"/>
        <v>-238846.58000000002</v>
      </c>
    </row>
    <row r="150" spans="1:20" x14ac:dyDescent="0.3">
      <c r="A150" s="4" t="str">
        <f xml:space="preserve"> _xll.EPMOlapMemberO("[CECO].[PARENTH3].[AMSA1002AD4502]","","AMSA1002AD4502 - Com Internas","","000")</f>
        <v>AMSA1002AD4502 - Com Internas</v>
      </c>
      <c r="B150" t="str">
        <f t="shared" si="12"/>
        <v>1002AD4502</v>
      </c>
      <c r="C150" t="str">
        <f>IFERROR(_xlfn.XLOOKUP(B150,'CECOS Corporativos'!$D:$D,'CECOS Corporativos'!$E:$E,""),"")</f>
        <v>Comunicaciones Internas</v>
      </c>
      <c r="D150" t="str">
        <f>IFERROR(_xlfn.XLOOKUP(B150,'CECOS Corporativos'!$D:$D,'CECOS Corporativos'!$J:$J,""),"")</f>
        <v>VP Asuntos Corporativos</v>
      </c>
      <c r="E150" t="str">
        <f xml:space="preserve"> _xll.EPMOlapMemberO("[CLACO].[PARENTH7].[AMSASERV_CORP]","","Servicios Corporativ","","000")</f>
        <v>Servicios Corporativ</v>
      </c>
      <c r="F150" t="str">
        <f t="shared" si="13"/>
        <v>N1002AD450</v>
      </c>
      <c r="G150" t="s">
        <v>742</v>
      </c>
      <c r="H150" t="str">
        <f>IFERROR(_xlfn.XLOOKUP(F150,'CECOS Corporativos'!$K:$K,'CECOS Corporativos'!$D:$D,""),"")</f>
        <v/>
      </c>
      <c r="I150">
        <v>226493.66</v>
      </c>
      <c r="J150">
        <v>233491.86</v>
      </c>
      <c r="K150">
        <f t="shared" si="14"/>
        <v>6998.1999999999825</v>
      </c>
      <c r="L150">
        <v>200906.45</v>
      </c>
      <c r="M150">
        <v>182376.73</v>
      </c>
      <c r="N150">
        <f t="shared" si="15"/>
        <v>-18529.72</v>
      </c>
      <c r="O150">
        <v>-0.45</v>
      </c>
      <c r="Q150">
        <f t="shared" si="16"/>
        <v>0.45</v>
      </c>
      <c r="T150">
        <f t="shared" si="17"/>
        <v>0</v>
      </c>
    </row>
    <row r="151" spans="1:20" x14ac:dyDescent="0.3">
      <c r="A151" s="4" t="str">
        <f xml:space="preserve"> _xll.EPMOlapMemberO("[CECO].[PARENTH3].[AMSA1002AD4505]","","AMSA1002AD4505 - Med.Ambte Corporativ","","000")</f>
        <v>AMSA1002AD4505 - Med.Ambte Corporativ</v>
      </c>
      <c r="B151" t="str">
        <f t="shared" si="12"/>
        <v>1002AD4505</v>
      </c>
      <c r="C151" t="str">
        <f>IFERROR(_xlfn.XLOOKUP(B151,'CECOS Corporativos'!$D:$D,'CECOS Corporativos'!$E:$E,""),"")</f>
        <v>Medio Ambiente Corporativo</v>
      </c>
      <c r="D151" t="str">
        <f>IFERROR(_xlfn.XLOOKUP(B151,'CECOS Corporativos'!$D:$D,'CECOS Corporativos'!$J:$J,""),"")</f>
        <v>VP Sustentabilidad</v>
      </c>
      <c r="E151" t="str">
        <f xml:space="preserve"> _xll.EPMOlapMemberO("[CLACO].[PARENTH7].[AMSAASESORIAS]","","Asesorías y Consulto","","000")</f>
        <v>Asesorías y Consulto</v>
      </c>
      <c r="F151" t="str">
        <f t="shared" si="13"/>
        <v>N1002AD450</v>
      </c>
      <c r="G151" t="s">
        <v>742</v>
      </c>
      <c r="H151" t="str">
        <f>IFERROR(_xlfn.XLOOKUP(F151,'CECOS Corporativos'!$K:$K,'CECOS Corporativos'!$D:$D,""),"")</f>
        <v/>
      </c>
      <c r="I151">
        <v>-103.37</v>
      </c>
      <c r="J151">
        <v>117835.22</v>
      </c>
      <c r="K151">
        <f t="shared" si="14"/>
        <v>117938.59</v>
      </c>
      <c r="L151">
        <v>57012.2</v>
      </c>
      <c r="M151">
        <v>145239.24</v>
      </c>
      <c r="N151">
        <f t="shared" si="15"/>
        <v>88227.04</v>
      </c>
      <c r="O151">
        <v>31260.86</v>
      </c>
      <c r="P151">
        <v>68063.91</v>
      </c>
      <c r="Q151">
        <f t="shared" si="16"/>
        <v>36803.050000000003</v>
      </c>
      <c r="R151">
        <v>26570.54</v>
      </c>
      <c r="S151">
        <v>56387.21</v>
      </c>
      <c r="T151">
        <f t="shared" si="17"/>
        <v>29816.67</v>
      </c>
    </row>
    <row r="152" spans="1:20" x14ac:dyDescent="0.3">
      <c r="A152" s="4" t="str">
        <f xml:space="preserve"> _xll.EPMOlapMemberO("[CECO].[PARENTH3].[AMSA1002AD4505]","","AMSA1002AD4505 - Med.Ambte Corporativ","","000")</f>
        <v>AMSA1002AD4505 - Med.Ambte Corporativ</v>
      </c>
      <c r="B152" t="str">
        <f t="shared" si="12"/>
        <v>1002AD4505</v>
      </c>
      <c r="C152" t="str">
        <f>IFERROR(_xlfn.XLOOKUP(B152,'CECOS Corporativos'!$D:$D,'CECOS Corporativos'!$E:$E,""),"")</f>
        <v>Medio Ambiente Corporativo</v>
      </c>
      <c r="D152" t="str">
        <f>IFERROR(_xlfn.XLOOKUP(B152,'CECOS Corporativos'!$D:$D,'CECOS Corporativos'!$J:$J,""),"")</f>
        <v>VP Sustentabilidad</v>
      </c>
      <c r="E152" t="str">
        <f xml:space="preserve"> _xll.EPMOlapMemberO("[CLACO].[PARENTH7].[AMSAINFORMATIC]","","Informática y Comuni","","000")</f>
        <v>Informática y Comuni</v>
      </c>
      <c r="F152" t="str">
        <f t="shared" si="13"/>
        <v>N1002AD450</v>
      </c>
      <c r="G152" t="s">
        <v>742</v>
      </c>
      <c r="H152" t="str">
        <f>IFERROR(_xlfn.XLOOKUP(F152,'CECOS Corporativos'!$K:$K,'CECOS Corporativos'!$D:$D,""),"")</f>
        <v/>
      </c>
      <c r="K152">
        <f t="shared" si="14"/>
        <v>0</v>
      </c>
      <c r="L152">
        <v>20435.669999999998</v>
      </c>
      <c r="N152">
        <f t="shared" si="15"/>
        <v>-20435.669999999998</v>
      </c>
      <c r="O152">
        <v>51139.42</v>
      </c>
      <c r="P152">
        <v>91462.5</v>
      </c>
      <c r="Q152">
        <f t="shared" si="16"/>
        <v>40323.08</v>
      </c>
      <c r="R152">
        <v>88399.32</v>
      </c>
      <c r="S152">
        <v>91121.26</v>
      </c>
      <c r="T152">
        <f t="shared" si="17"/>
        <v>2721.9399999999878</v>
      </c>
    </row>
    <row r="153" spans="1:20" x14ac:dyDescent="0.3">
      <c r="A153" s="4" t="str">
        <f xml:space="preserve"> _xll.EPMOlapMemberO("[CECO].[PARENTH3].[AMSA1002AD4505]","","AMSA1002AD4505 - Med.Ambte Corporativ","","000")</f>
        <v>AMSA1002AD4505 - Med.Ambte Corporativ</v>
      </c>
      <c r="B153" t="str">
        <f t="shared" si="12"/>
        <v>1002AD4505</v>
      </c>
      <c r="C153" t="str">
        <f>IFERROR(_xlfn.XLOOKUP(B153,'CECOS Corporativos'!$D:$D,'CECOS Corporativos'!$E:$E,""),"")</f>
        <v>Medio Ambiente Corporativo</v>
      </c>
      <c r="D153" t="str">
        <f>IFERROR(_xlfn.XLOOKUP(B153,'CECOS Corporativos'!$D:$D,'CECOS Corporativos'!$J:$J,""),"")</f>
        <v>VP Sustentabilidad</v>
      </c>
      <c r="E153" t="str">
        <f xml:space="preserve"> _xll.EPMOlapMemberO("[CLACO].[PARENTH7].[AMSAG_VIAJES]","","Gastos de Viajes","","000")</f>
        <v>Gastos de Viajes</v>
      </c>
      <c r="F153" t="str">
        <f t="shared" si="13"/>
        <v>N1002AD450</v>
      </c>
      <c r="G153" t="s">
        <v>742</v>
      </c>
      <c r="H153" t="str">
        <f>IFERROR(_xlfn.XLOOKUP(F153,'CECOS Corporativos'!$K:$K,'CECOS Corporativos'!$D:$D,""),"")</f>
        <v/>
      </c>
      <c r="I153">
        <v>709.73</v>
      </c>
      <c r="K153">
        <f t="shared" si="14"/>
        <v>-709.73</v>
      </c>
      <c r="L153">
        <v>231.77</v>
      </c>
      <c r="N153">
        <f t="shared" si="15"/>
        <v>-231.77</v>
      </c>
      <c r="Q153">
        <f t="shared" si="16"/>
        <v>0</v>
      </c>
      <c r="T153">
        <f t="shared" si="17"/>
        <v>0</v>
      </c>
    </row>
    <row r="154" spans="1:20" x14ac:dyDescent="0.3">
      <c r="A154" s="4" t="str">
        <f xml:space="preserve"> _xll.EPMOlapMemberO("[CECO].[PARENTH3].[AMSA1002AD4505]","","AMSA1002AD4505 - Med.Ambte Corporativ","","000")</f>
        <v>AMSA1002AD4505 - Med.Ambte Corporativ</v>
      </c>
      <c r="B154" t="str">
        <f t="shared" si="12"/>
        <v>1002AD4505</v>
      </c>
      <c r="C154" t="str">
        <f>IFERROR(_xlfn.XLOOKUP(B154,'CECOS Corporativos'!$D:$D,'CECOS Corporativos'!$E:$E,""),"")</f>
        <v>Medio Ambiente Corporativo</v>
      </c>
      <c r="D154" t="str">
        <f>IFERROR(_xlfn.XLOOKUP(B154,'CECOS Corporativos'!$D:$D,'CECOS Corporativos'!$J:$J,""),"")</f>
        <v>VP Sustentabilidad</v>
      </c>
      <c r="E154" t="str">
        <f xml:space="preserve"> _xll.EPMOlapMemberO("[CLACO].[PARENTH7].[AMSAGGENERALES.2]","","Otros Gastos","","000")</f>
        <v>Otros Gastos</v>
      </c>
      <c r="F154" t="str">
        <f t="shared" si="13"/>
        <v>N1002AD450</v>
      </c>
      <c r="G154" t="s">
        <v>742</v>
      </c>
      <c r="H154" t="str">
        <f>IFERROR(_xlfn.XLOOKUP(F154,'CECOS Corporativos'!$K:$K,'CECOS Corporativos'!$D:$D,""),"")</f>
        <v/>
      </c>
      <c r="K154">
        <f t="shared" si="14"/>
        <v>0</v>
      </c>
      <c r="N154">
        <f t="shared" si="15"/>
        <v>0</v>
      </c>
      <c r="O154">
        <v>2204.2199999999998</v>
      </c>
      <c r="Q154">
        <f t="shared" si="16"/>
        <v>-2204.2199999999998</v>
      </c>
      <c r="R154">
        <v>0</v>
      </c>
      <c r="T154">
        <f t="shared" si="17"/>
        <v>0</v>
      </c>
    </row>
    <row r="155" spans="1:20" x14ac:dyDescent="0.3">
      <c r="A155" s="4" t="str">
        <f xml:space="preserve"> _xll.EPMOlapMemberO("[CECO].[PARENTH3].[AMSA1002AD4505]","","AMSA1002AD4505 - Med.Ambte Corporativ","","000")</f>
        <v>AMSA1002AD4505 - Med.Ambte Corporativ</v>
      </c>
      <c r="B155" t="str">
        <f t="shared" si="12"/>
        <v>1002AD4505</v>
      </c>
      <c r="C155" t="str">
        <f>IFERROR(_xlfn.XLOOKUP(B155,'CECOS Corporativos'!$D:$D,'CECOS Corporativos'!$E:$E,""),"")</f>
        <v>Medio Ambiente Corporativo</v>
      </c>
      <c r="D155" t="str">
        <f>IFERROR(_xlfn.XLOOKUP(B155,'CECOS Corporativos'!$D:$D,'CECOS Corporativos'!$J:$J,""),"")</f>
        <v>VP Sustentabilidad</v>
      </c>
      <c r="E155" t="str">
        <f xml:space="preserve"> _xll.EPMOlapMemberO("[CLACO].[PARENTH7].[AMSASERV_CORP]","","Servicios Corporativ","","000")</f>
        <v>Servicios Corporativ</v>
      </c>
      <c r="F155" t="str">
        <f t="shared" si="13"/>
        <v>N1002AD450</v>
      </c>
      <c r="G155" t="s">
        <v>742</v>
      </c>
      <c r="H155" t="str">
        <f>IFERROR(_xlfn.XLOOKUP(F155,'CECOS Corporativos'!$K:$K,'CECOS Corporativos'!$D:$D,""),"")</f>
        <v/>
      </c>
      <c r="I155">
        <v>58695.72</v>
      </c>
      <c r="J155">
        <v>60509.63</v>
      </c>
      <c r="K155">
        <f t="shared" si="14"/>
        <v>1813.9099999999962</v>
      </c>
      <c r="L155">
        <v>80462.929999999993</v>
      </c>
      <c r="M155">
        <v>73042.600000000006</v>
      </c>
      <c r="N155">
        <f t="shared" si="15"/>
        <v>-7420.3299999999872</v>
      </c>
      <c r="O155">
        <v>7.0000000000000007E-2</v>
      </c>
      <c r="Q155">
        <f t="shared" si="16"/>
        <v>-7.0000000000000007E-2</v>
      </c>
      <c r="T155">
        <f t="shared" si="17"/>
        <v>0</v>
      </c>
    </row>
    <row r="156" spans="1:20" x14ac:dyDescent="0.3">
      <c r="A156" s="4" t="str">
        <f xml:space="preserve"> _xll.EPMOlapMemberO("[CECO].[PARENTH3].[AMSA1002AD4508]","","AMSA1002AD4508 - Adm y gastos operac","","000")</f>
        <v>AMSA1002AD4508 - Adm y gastos operac</v>
      </c>
      <c r="B156" t="str">
        <f t="shared" si="12"/>
        <v>1002AD4508</v>
      </c>
      <c r="C156" t="str">
        <f>IFERROR(_xlfn.XLOOKUP(B156,'CECOS Corporativos'!$D:$D,'CECOS Corporativos'!$E:$E,""),"")</f>
        <v>Administración y Gastos Operacionales</v>
      </c>
      <c r="D156" t="str">
        <f>IFERROR(_xlfn.XLOOKUP(B156,'CECOS Corporativos'!$D:$D,'CECOS Corporativos'!$J:$J,""),"")</f>
        <v>VP Asuntos Corporativos</v>
      </c>
      <c r="E156" t="str">
        <f xml:space="preserve"> _xll.EPMOlapMemberO("[CLACO].[PARENTH7].[AMSAMAT_Y_REP.2]","","Materiales y repuest","","000")</f>
        <v>Materiales y repuest</v>
      </c>
      <c r="F156" t="str">
        <f t="shared" si="13"/>
        <v>N1002AD450</v>
      </c>
      <c r="G156" t="s">
        <v>742</v>
      </c>
      <c r="H156" t="str">
        <f>IFERROR(_xlfn.XLOOKUP(F156,'CECOS Corporativos'!$K:$K,'CECOS Corporativos'!$D:$D,""),"")</f>
        <v/>
      </c>
      <c r="K156">
        <f t="shared" si="14"/>
        <v>0</v>
      </c>
      <c r="L156">
        <v>7071.8</v>
      </c>
      <c r="M156">
        <v>4178.3500000000004</v>
      </c>
      <c r="N156">
        <f t="shared" si="15"/>
        <v>-2893.45</v>
      </c>
      <c r="O156">
        <v>1002.51</v>
      </c>
      <c r="P156">
        <v>3005.88</v>
      </c>
      <c r="Q156">
        <f t="shared" si="16"/>
        <v>2003.3700000000001</v>
      </c>
      <c r="R156">
        <v>1127.6199999999999</v>
      </c>
      <c r="S156">
        <v>1699.18</v>
      </c>
      <c r="T156">
        <f t="shared" si="17"/>
        <v>571.56000000000017</v>
      </c>
    </row>
    <row r="157" spans="1:20" x14ac:dyDescent="0.3">
      <c r="A157" s="4" t="str">
        <f xml:space="preserve"> _xll.EPMOlapMemberO("[CECO].[PARENTH3].[AMSA1002AD4508]","","AMSA1002AD4508 - Adm y gastos operac","","000")</f>
        <v>AMSA1002AD4508 - Adm y gastos operac</v>
      </c>
      <c r="B157" t="str">
        <f t="shared" si="12"/>
        <v>1002AD4508</v>
      </c>
      <c r="C157" t="str">
        <f>IFERROR(_xlfn.XLOOKUP(B157,'CECOS Corporativos'!$D:$D,'CECOS Corporativos'!$E:$E,""),"")</f>
        <v>Administración y Gastos Operacionales</v>
      </c>
      <c r="D157" t="str">
        <f>IFERROR(_xlfn.XLOOKUP(B157,'CECOS Corporativos'!$D:$D,'CECOS Corporativos'!$J:$J,""),"")</f>
        <v>VP Asuntos Corporativos</v>
      </c>
      <c r="E157" t="str">
        <f xml:space="preserve"> _xll.EPMOlapMemberO("[CLACO].[PARENTH7].[AMSAENTRENAMI]","","Entrenamiento","","000")</f>
        <v>Entrenamiento</v>
      </c>
      <c r="F157" t="str">
        <f t="shared" si="13"/>
        <v>N1002AD450</v>
      </c>
      <c r="G157" t="s">
        <v>742</v>
      </c>
      <c r="H157" t="str">
        <f>IFERROR(_xlfn.XLOOKUP(F157,'CECOS Corporativos'!$K:$K,'CECOS Corporativos'!$D:$D,""),"")</f>
        <v/>
      </c>
      <c r="K157">
        <f t="shared" si="14"/>
        <v>0</v>
      </c>
      <c r="N157">
        <f t="shared" si="15"/>
        <v>0</v>
      </c>
      <c r="O157">
        <v>6505.96</v>
      </c>
      <c r="P157">
        <v>6132</v>
      </c>
      <c r="Q157">
        <f t="shared" si="16"/>
        <v>-373.96000000000004</v>
      </c>
      <c r="T157">
        <f t="shared" si="17"/>
        <v>0</v>
      </c>
    </row>
    <row r="158" spans="1:20" x14ac:dyDescent="0.3">
      <c r="A158" s="4" t="str">
        <f xml:space="preserve"> _xll.EPMOlapMemberO("[CECO].[PARENTH3].[AMSA1002AD4508]","","AMSA1002AD4508 - Adm y gastos operac","","000")</f>
        <v>AMSA1002AD4508 - Adm y gastos operac</v>
      </c>
      <c r="B158" t="str">
        <f t="shared" si="12"/>
        <v>1002AD4508</v>
      </c>
      <c r="C158" t="str">
        <f>IFERROR(_xlfn.XLOOKUP(B158,'CECOS Corporativos'!$D:$D,'CECOS Corporativos'!$E:$E,""),"")</f>
        <v>Administración y Gastos Operacionales</v>
      </c>
      <c r="D158" t="str">
        <f>IFERROR(_xlfn.XLOOKUP(B158,'CECOS Corporativos'!$D:$D,'CECOS Corporativos'!$J:$J,""),"")</f>
        <v>VP Asuntos Corporativos</v>
      </c>
      <c r="E158" t="str">
        <f xml:space="preserve"> _xll.EPMOlapMemberO("[CLACO].[PARENTH7].[AMSAASESORIAS]","","Asesorías y Consulto","","000")</f>
        <v>Asesorías y Consulto</v>
      </c>
      <c r="F158" t="str">
        <f t="shared" si="13"/>
        <v>N1002AD450</v>
      </c>
      <c r="G158" t="s">
        <v>742</v>
      </c>
      <c r="H158" t="str">
        <f>IFERROR(_xlfn.XLOOKUP(F158,'CECOS Corporativos'!$K:$K,'CECOS Corporativos'!$D:$D,""),"")</f>
        <v/>
      </c>
      <c r="K158">
        <f t="shared" si="14"/>
        <v>0</v>
      </c>
      <c r="L158">
        <v>0</v>
      </c>
      <c r="M158">
        <v>22147.16</v>
      </c>
      <c r="N158">
        <f t="shared" si="15"/>
        <v>22147.16</v>
      </c>
      <c r="O158">
        <v>64267.3</v>
      </c>
      <c r="Q158">
        <f t="shared" si="16"/>
        <v>-64267.3</v>
      </c>
      <c r="R158">
        <v>3961.3</v>
      </c>
      <c r="T158">
        <f t="shared" si="17"/>
        <v>-3961.3</v>
      </c>
    </row>
    <row r="159" spans="1:20" x14ac:dyDescent="0.3">
      <c r="A159" s="4" t="str">
        <f xml:space="preserve"> _xll.EPMOlapMemberO("[CECO].[PARENTH3].[AMSA1002AD4508]","","AMSA1002AD4508 - Adm y gastos operac","","000")</f>
        <v>AMSA1002AD4508 - Adm y gastos operac</v>
      </c>
      <c r="B159" t="str">
        <f t="shared" si="12"/>
        <v>1002AD4508</v>
      </c>
      <c r="C159" t="str">
        <f>IFERROR(_xlfn.XLOOKUP(B159,'CECOS Corporativos'!$D:$D,'CECOS Corporativos'!$E:$E,""),"")</f>
        <v>Administración y Gastos Operacionales</v>
      </c>
      <c r="D159" t="str">
        <f>IFERROR(_xlfn.XLOOKUP(B159,'CECOS Corporativos'!$D:$D,'CECOS Corporativos'!$J:$J,""),"")</f>
        <v>VP Asuntos Corporativos</v>
      </c>
      <c r="E159" t="str">
        <f xml:space="preserve"> _xll.EPMOlapMemberO("[CLACO].[PARENTH7].[AMSASERVICIOS]","","Servicios","","000")</f>
        <v>Servicios</v>
      </c>
      <c r="F159" t="str">
        <f t="shared" si="13"/>
        <v>N1002AD450</v>
      </c>
      <c r="G159" t="s">
        <v>742</v>
      </c>
      <c r="H159" t="str">
        <f>IFERROR(_xlfn.XLOOKUP(F159,'CECOS Corporativos'!$K:$K,'CECOS Corporativos'!$D:$D,""),"")</f>
        <v/>
      </c>
      <c r="K159">
        <f t="shared" si="14"/>
        <v>0</v>
      </c>
      <c r="L159">
        <v>48488.45</v>
      </c>
      <c r="M159">
        <v>429983.56</v>
      </c>
      <c r="N159">
        <f t="shared" si="15"/>
        <v>381495.11</v>
      </c>
      <c r="O159">
        <v>111878.14</v>
      </c>
      <c r="P159">
        <v>517724.61</v>
      </c>
      <c r="Q159">
        <f t="shared" si="16"/>
        <v>405846.47</v>
      </c>
      <c r="R159">
        <v>331281.46000000002</v>
      </c>
      <c r="S159">
        <v>570176.48</v>
      </c>
      <c r="T159">
        <f t="shared" si="17"/>
        <v>238895.01999999996</v>
      </c>
    </row>
    <row r="160" spans="1:20" x14ac:dyDescent="0.3">
      <c r="A160" s="4" t="str">
        <f xml:space="preserve"> _xll.EPMOlapMemberO("[CECO].[PARENTH3].[AMSA1002AD4508]","","AMSA1002AD4508 - Adm y gastos operac","","000")</f>
        <v>AMSA1002AD4508 - Adm y gastos operac</v>
      </c>
      <c r="B160" t="str">
        <f t="shared" si="12"/>
        <v>1002AD4508</v>
      </c>
      <c r="C160" t="str">
        <f>IFERROR(_xlfn.XLOOKUP(B160,'CECOS Corporativos'!$D:$D,'CECOS Corporativos'!$E:$E,""),"")</f>
        <v>Administración y Gastos Operacionales</v>
      </c>
      <c r="D160" t="str">
        <f>IFERROR(_xlfn.XLOOKUP(B160,'CECOS Corporativos'!$D:$D,'CECOS Corporativos'!$J:$J,""),"")</f>
        <v>VP Asuntos Corporativos</v>
      </c>
      <c r="E160" t="str">
        <f xml:space="preserve"> _xll.EPMOlapMemberO("[CLACO].[PARENTH7].[AMSAINFORMATIC]","","Informática y Comuni","","000")</f>
        <v>Informática y Comuni</v>
      </c>
      <c r="F160" t="str">
        <f t="shared" si="13"/>
        <v>N1002AD450</v>
      </c>
      <c r="G160" t="s">
        <v>742</v>
      </c>
      <c r="H160" t="str">
        <f>IFERROR(_xlfn.XLOOKUP(F160,'CECOS Corporativos'!$K:$K,'CECOS Corporativos'!$D:$D,""),"")</f>
        <v/>
      </c>
      <c r="K160">
        <f t="shared" si="14"/>
        <v>0</v>
      </c>
      <c r="L160">
        <v>0</v>
      </c>
      <c r="M160">
        <v>570.07000000000005</v>
      </c>
      <c r="N160">
        <f t="shared" si="15"/>
        <v>570.07000000000005</v>
      </c>
      <c r="O160">
        <v>12347.12</v>
      </c>
      <c r="P160">
        <v>5480.94</v>
      </c>
      <c r="Q160">
        <f t="shared" si="16"/>
        <v>-6866.1800000000012</v>
      </c>
      <c r="R160">
        <v>11123.33</v>
      </c>
      <c r="T160">
        <f t="shared" si="17"/>
        <v>-11123.33</v>
      </c>
    </row>
    <row r="161" spans="1:20" x14ac:dyDescent="0.3">
      <c r="A161" s="4" t="str">
        <f xml:space="preserve"> _xll.EPMOlapMemberO("[CECO].[PARENTH3].[AMSA1002AD4508]","","AMSA1002AD4508 - Adm y gastos operac","","000")</f>
        <v>AMSA1002AD4508 - Adm y gastos operac</v>
      </c>
      <c r="B161" t="str">
        <f t="shared" si="12"/>
        <v>1002AD4508</v>
      </c>
      <c r="C161" t="str">
        <f>IFERROR(_xlfn.XLOOKUP(B161,'CECOS Corporativos'!$D:$D,'CECOS Corporativos'!$E:$E,""),"")</f>
        <v>Administración y Gastos Operacionales</v>
      </c>
      <c r="D161" t="str">
        <f>IFERROR(_xlfn.XLOOKUP(B161,'CECOS Corporativos'!$D:$D,'CECOS Corporativos'!$J:$J,""),"")</f>
        <v>VP Asuntos Corporativos</v>
      </c>
      <c r="E161" t="str">
        <f xml:space="preserve"> _xll.EPMOlapMemberO("[CLACO].[PARENTH7].[AMSAG_VIAJES]","","Gastos de Viajes","","000")</f>
        <v>Gastos de Viajes</v>
      </c>
      <c r="F161" t="str">
        <f t="shared" si="13"/>
        <v>N1002AD450</v>
      </c>
      <c r="G161" t="s">
        <v>742</v>
      </c>
      <c r="H161" t="str">
        <f>IFERROR(_xlfn.XLOOKUP(F161,'CECOS Corporativos'!$K:$K,'CECOS Corporativos'!$D:$D,""),"")</f>
        <v/>
      </c>
      <c r="K161">
        <f t="shared" si="14"/>
        <v>0</v>
      </c>
      <c r="L161">
        <v>300822.96999999997</v>
      </c>
      <c r="M161">
        <v>100021.97</v>
      </c>
      <c r="N161">
        <f t="shared" si="15"/>
        <v>-200800.99999999997</v>
      </c>
      <c r="O161">
        <v>271026.49</v>
      </c>
      <c r="P161">
        <v>128909.44</v>
      </c>
      <c r="Q161">
        <f t="shared" si="16"/>
        <v>-142117.04999999999</v>
      </c>
      <c r="R161">
        <v>221944.73</v>
      </c>
      <c r="S161">
        <v>161444.28</v>
      </c>
      <c r="T161">
        <f t="shared" si="17"/>
        <v>-60500.450000000012</v>
      </c>
    </row>
    <row r="162" spans="1:20" x14ac:dyDescent="0.3">
      <c r="A162" s="4" t="str">
        <f xml:space="preserve"> _xll.EPMOlapMemberO("[CECO].[PARENTH3].[AMSA1002AD4508]","","AMSA1002AD4508 - Adm y gastos operac","","000")</f>
        <v>AMSA1002AD4508 - Adm y gastos operac</v>
      </c>
      <c r="B162" t="str">
        <f t="shared" si="12"/>
        <v>1002AD4508</v>
      </c>
      <c r="C162" t="str">
        <f>IFERROR(_xlfn.XLOOKUP(B162,'CECOS Corporativos'!$D:$D,'CECOS Corporativos'!$E:$E,""),"")</f>
        <v>Administración y Gastos Operacionales</v>
      </c>
      <c r="D162" t="str">
        <f>IFERROR(_xlfn.XLOOKUP(B162,'CECOS Corporativos'!$D:$D,'CECOS Corporativos'!$J:$J,""),"")</f>
        <v>VP Asuntos Corporativos</v>
      </c>
      <c r="E162" t="str">
        <f xml:space="preserve"> _xll.EPMOlapMemberO("[CLACO].[PARENTH7].[AMSAGGENERALES.2]","","Otros Gastos","","000")</f>
        <v>Otros Gastos</v>
      </c>
      <c r="F162" t="str">
        <f t="shared" si="13"/>
        <v>N1002AD450</v>
      </c>
      <c r="G162" t="s">
        <v>742</v>
      </c>
      <c r="H162" t="str">
        <f>IFERROR(_xlfn.XLOOKUP(F162,'CECOS Corporativos'!$K:$K,'CECOS Corporativos'!$D:$D,""),"")</f>
        <v/>
      </c>
      <c r="K162">
        <f t="shared" si="14"/>
        <v>0</v>
      </c>
      <c r="L162">
        <v>2859.04</v>
      </c>
      <c r="M162">
        <v>1140.0899999999999</v>
      </c>
      <c r="N162">
        <f t="shared" si="15"/>
        <v>-1718.95</v>
      </c>
      <c r="O162">
        <v>50635.71</v>
      </c>
      <c r="Q162">
        <f t="shared" si="16"/>
        <v>-50635.71</v>
      </c>
      <c r="R162">
        <v>14389.77</v>
      </c>
      <c r="T162">
        <f t="shared" si="17"/>
        <v>-14389.77</v>
      </c>
    </row>
    <row r="163" spans="1:20" x14ac:dyDescent="0.3">
      <c r="A163" s="4" t="str">
        <f xml:space="preserve"> _xll.EPMOlapMemberO("[CECO].[PARENTH3].[AMSA1002AD5005]","","AMSA1002AD5005 - SSO Corporativo","","000")</f>
        <v>AMSA1002AD5005 - SSO Corporativo</v>
      </c>
      <c r="B163" t="str">
        <f t="shared" si="12"/>
        <v>1002AD5005</v>
      </c>
      <c r="C163" t="str">
        <f>IFERROR(_xlfn.XLOOKUP(B163,'CECOS Corporativos'!$D:$D,'CECOS Corporativos'!$E:$E,""),"")</f>
        <v>SSO Corporativo</v>
      </c>
      <c r="D163" t="str">
        <f>IFERROR(_xlfn.XLOOKUP(B163,'CECOS Corporativos'!$D:$D,'CECOS Corporativos'!$J:$J,""),"")</f>
        <v>VP Sustentabilidad</v>
      </c>
      <c r="E163" t="str">
        <f xml:space="preserve"> _xll.EPMOlapMemberO("[CLACO].[PARENTH7].[AMSAADM_PERSON]","","Administración Perso","","000")</f>
        <v>Administración Perso</v>
      </c>
      <c r="F163" t="str">
        <f t="shared" si="13"/>
        <v>N1002AD500</v>
      </c>
      <c r="G163" t="s">
        <v>743</v>
      </c>
      <c r="H163" t="str">
        <f>IFERROR(_xlfn.XLOOKUP(F163,'CECOS Corporativos'!$K:$K,'CECOS Corporativos'!$D:$D,""),"")</f>
        <v/>
      </c>
      <c r="K163">
        <f t="shared" si="14"/>
        <v>0</v>
      </c>
      <c r="N163">
        <f t="shared" si="15"/>
        <v>0</v>
      </c>
      <c r="Q163">
        <f t="shared" si="16"/>
        <v>0</v>
      </c>
      <c r="R163">
        <v>40.35</v>
      </c>
      <c r="T163">
        <f t="shared" si="17"/>
        <v>-40.35</v>
      </c>
    </row>
    <row r="164" spans="1:20" x14ac:dyDescent="0.3">
      <c r="A164" s="4" t="str">
        <f xml:space="preserve"> _xll.EPMOlapMemberO("[CECO].[PARENTH3].[AMSA1002AD5005]","","AMSA1002AD5005 - SSO Corporativo","","000")</f>
        <v>AMSA1002AD5005 - SSO Corporativo</v>
      </c>
      <c r="B164" t="str">
        <f t="shared" si="12"/>
        <v>1002AD5005</v>
      </c>
      <c r="C164" t="str">
        <f>IFERROR(_xlfn.XLOOKUP(B164,'CECOS Corporativos'!$D:$D,'CECOS Corporativos'!$E:$E,""),"")</f>
        <v>SSO Corporativo</v>
      </c>
      <c r="D164" t="str">
        <f>IFERROR(_xlfn.XLOOKUP(B164,'CECOS Corporativos'!$D:$D,'CECOS Corporativos'!$J:$J,""),"")</f>
        <v>VP Sustentabilidad</v>
      </c>
      <c r="E164" t="str">
        <f xml:space="preserve"> _xll.EPMOlapMemberO("[CLACO].[PARENTH7].[AMSAASESORIAS]","","Asesorías y Consulto","","000")</f>
        <v>Asesorías y Consulto</v>
      </c>
      <c r="F164" t="str">
        <f t="shared" si="13"/>
        <v>N1002AD500</v>
      </c>
      <c r="G164" t="s">
        <v>743</v>
      </c>
      <c r="H164" t="str">
        <f>IFERROR(_xlfn.XLOOKUP(F164,'CECOS Corporativos'!$K:$K,'CECOS Corporativos'!$D:$D,""),"")</f>
        <v/>
      </c>
      <c r="I164">
        <v>334630.31</v>
      </c>
      <c r="J164">
        <v>424078.87</v>
      </c>
      <c r="K164">
        <f t="shared" si="14"/>
        <v>89448.56</v>
      </c>
      <c r="L164">
        <v>401174.22</v>
      </c>
      <c r="M164">
        <v>441339.47</v>
      </c>
      <c r="N164">
        <f t="shared" si="15"/>
        <v>40165.25</v>
      </c>
      <c r="O164">
        <v>223465.72</v>
      </c>
      <c r="Q164">
        <f t="shared" si="16"/>
        <v>-223465.72</v>
      </c>
      <c r="R164">
        <v>211325.72</v>
      </c>
      <c r="T164">
        <f t="shared" si="17"/>
        <v>-211325.72</v>
      </c>
    </row>
    <row r="165" spans="1:20" x14ac:dyDescent="0.3">
      <c r="A165" s="4" t="str">
        <f xml:space="preserve"> _xll.EPMOlapMemberO("[CECO].[PARENTH3].[AMSA1002AD5005]","","AMSA1002AD5005 - SSO Corporativo","","000")</f>
        <v>AMSA1002AD5005 - SSO Corporativo</v>
      </c>
      <c r="B165" t="str">
        <f t="shared" si="12"/>
        <v>1002AD5005</v>
      </c>
      <c r="C165" t="str">
        <f>IFERROR(_xlfn.XLOOKUP(B165,'CECOS Corporativos'!$D:$D,'CECOS Corporativos'!$E:$E,""),"")</f>
        <v>SSO Corporativo</v>
      </c>
      <c r="D165" t="str">
        <f>IFERROR(_xlfn.XLOOKUP(B165,'CECOS Corporativos'!$D:$D,'CECOS Corporativos'!$J:$J,""),"")</f>
        <v>VP Sustentabilidad</v>
      </c>
      <c r="E165" t="str">
        <f xml:space="preserve"> _xll.EPMOlapMemberO("[CLACO].[PARENTH7].[AMSASERVICIOS]","","Servicios","","000")</f>
        <v>Servicios</v>
      </c>
      <c r="F165" t="str">
        <f t="shared" si="13"/>
        <v>N1002AD500</v>
      </c>
      <c r="G165" t="s">
        <v>743</v>
      </c>
      <c r="H165" t="str">
        <f>IFERROR(_xlfn.XLOOKUP(F165,'CECOS Corporativos'!$K:$K,'CECOS Corporativos'!$D:$D,""),"")</f>
        <v/>
      </c>
      <c r="I165">
        <v>5130</v>
      </c>
      <c r="K165">
        <f t="shared" si="14"/>
        <v>-5130</v>
      </c>
      <c r="N165">
        <f t="shared" si="15"/>
        <v>0</v>
      </c>
      <c r="O165">
        <v>4207.5200000000004</v>
      </c>
      <c r="P165">
        <v>274674.90000000002</v>
      </c>
      <c r="Q165">
        <f t="shared" si="16"/>
        <v>270467.38</v>
      </c>
      <c r="R165">
        <v>1811.4</v>
      </c>
      <c r="S165">
        <v>266169.90000000002</v>
      </c>
      <c r="T165">
        <f t="shared" si="17"/>
        <v>264358.5</v>
      </c>
    </row>
    <row r="166" spans="1:20" x14ac:dyDescent="0.3">
      <c r="A166" s="4" t="str">
        <f xml:space="preserve"> _xll.EPMOlapMemberO("[CECO].[PARENTH3].[AMSA1002AD5005]","","AMSA1002AD5005 - SSO Corporativo","","000")</f>
        <v>AMSA1002AD5005 - SSO Corporativo</v>
      </c>
      <c r="B166" t="str">
        <f t="shared" si="12"/>
        <v>1002AD5005</v>
      </c>
      <c r="C166" t="str">
        <f>IFERROR(_xlfn.XLOOKUP(B166,'CECOS Corporativos'!$D:$D,'CECOS Corporativos'!$E:$E,""),"")</f>
        <v>SSO Corporativo</v>
      </c>
      <c r="D166" t="str">
        <f>IFERROR(_xlfn.XLOOKUP(B166,'CECOS Corporativos'!$D:$D,'CECOS Corporativos'!$J:$J,""),"")</f>
        <v>VP Sustentabilidad</v>
      </c>
      <c r="E166" t="str">
        <f xml:space="preserve"> _xll.EPMOlapMemberO("[CLACO].[PARENTH7].[AMSAINFORMATIC]","","Informática y Comuni","","000")</f>
        <v>Informática y Comuni</v>
      </c>
      <c r="F166" t="str">
        <f t="shared" si="13"/>
        <v>N1002AD500</v>
      </c>
      <c r="G166" t="s">
        <v>743</v>
      </c>
      <c r="H166" t="str">
        <f>IFERROR(_xlfn.XLOOKUP(F166,'CECOS Corporativos'!$K:$K,'CECOS Corporativos'!$D:$D,""),"")</f>
        <v/>
      </c>
      <c r="K166">
        <f t="shared" si="14"/>
        <v>0</v>
      </c>
      <c r="L166">
        <v>7206.33</v>
      </c>
      <c r="N166">
        <f t="shared" si="15"/>
        <v>-7206.33</v>
      </c>
      <c r="O166">
        <v>0</v>
      </c>
      <c r="P166">
        <v>75900</v>
      </c>
      <c r="Q166">
        <f t="shared" si="16"/>
        <v>75900</v>
      </c>
      <c r="R166">
        <v>22837.84</v>
      </c>
      <c r="S166">
        <v>75689.990000000005</v>
      </c>
      <c r="T166">
        <f t="shared" si="17"/>
        <v>52852.150000000009</v>
      </c>
    </row>
    <row r="167" spans="1:20" x14ac:dyDescent="0.3">
      <c r="A167" s="4" t="str">
        <f xml:space="preserve"> _xll.EPMOlapMemberO("[CECO].[PARENTH3].[AMSA1002AD5005]","","AMSA1002AD5005 - SSO Corporativo","","000")</f>
        <v>AMSA1002AD5005 - SSO Corporativo</v>
      </c>
      <c r="B167" t="str">
        <f t="shared" si="12"/>
        <v>1002AD5005</v>
      </c>
      <c r="C167" t="str">
        <f>IFERROR(_xlfn.XLOOKUP(B167,'CECOS Corporativos'!$D:$D,'CECOS Corporativos'!$E:$E,""),"")</f>
        <v>SSO Corporativo</v>
      </c>
      <c r="D167" t="str">
        <f>IFERROR(_xlfn.XLOOKUP(B167,'CECOS Corporativos'!$D:$D,'CECOS Corporativos'!$J:$J,""),"")</f>
        <v>VP Sustentabilidad</v>
      </c>
      <c r="E167" t="str">
        <f xml:space="preserve"> _xll.EPMOlapMemberO("[CLACO].[PARENTH7].[AMSAG_VIAJES]","","Gastos de Viajes","","000")</f>
        <v>Gastos de Viajes</v>
      </c>
      <c r="F167" t="str">
        <f t="shared" si="13"/>
        <v>N1002AD500</v>
      </c>
      <c r="G167" t="s">
        <v>743</v>
      </c>
      <c r="H167" t="str">
        <f>IFERROR(_xlfn.XLOOKUP(F167,'CECOS Corporativos'!$K:$K,'CECOS Corporativos'!$D:$D,""),"")</f>
        <v/>
      </c>
      <c r="K167">
        <f t="shared" si="14"/>
        <v>0</v>
      </c>
      <c r="L167">
        <v>216.08</v>
      </c>
      <c r="N167">
        <f t="shared" si="15"/>
        <v>-216.08</v>
      </c>
      <c r="O167">
        <v>2493.89</v>
      </c>
      <c r="Q167">
        <f t="shared" si="16"/>
        <v>-2493.89</v>
      </c>
      <c r="R167">
        <v>2558.0300000000002</v>
      </c>
      <c r="T167">
        <f t="shared" si="17"/>
        <v>-2558.0300000000002</v>
      </c>
    </row>
    <row r="168" spans="1:20" x14ac:dyDescent="0.3">
      <c r="A168" s="4" t="str">
        <f xml:space="preserve"> _xll.EPMOlapMemberO("[CECO].[PARENTH3].[AMSA1002AD5005]","","AMSA1002AD5005 - SSO Corporativo","","000")</f>
        <v>AMSA1002AD5005 - SSO Corporativo</v>
      </c>
      <c r="B168" t="str">
        <f t="shared" si="12"/>
        <v>1002AD5005</v>
      </c>
      <c r="C168" t="str">
        <f>IFERROR(_xlfn.XLOOKUP(B168,'CECOS Corporativos'!$D:$D,'CECOS Corporativos'!$E:$E,""),"")</f>
        <v>SSO Corporativo</v>
      </c>
      <c r="D168" t="str">
        <f>IFERROR(_xlfn.XLOOKUP(B168,'CECOS Corporativos'!$D:$D,'CECOS Corporativos'!$J:$J,""),"")</f>
        <v>VP Sustentabilidad</v>
      </c>
      <c r="E168" t="str">
        <f xml:space="preserve"> _xll.EPMOlapMemberO("[CLACO].[PARENTH7].[AMSASERV_CORP]","","Servicios Corporativ","","000")</f>
        <v>Servicios Corporativ</v>
      </c>
      <c r="F168" t="str">
        <f t="shared" si="13"/>
        <v>N1002AD500</v>
      </c>
      <c r="G168" t="s">
        <v>743</v>
      </c>
      <c r="H168" t="str">
        <f>IFERROR(_xlfn.XLOOKUP(F168,'CECOS Corporativos'!$K:$K,'CECOS Corporativos'!$D:$D,""),"")</f>
        <v/>
      </c>
      <c r="I168">
        <v>121935.17</v>
      </c>
      <c r="J168">
        <v>125701.9</v>
      </c>
      <c r="K168">
        <f t="shared" si="14"/>
        <v>3766.7299999999959</v>
      </c>
      <c r="L168">
        <v>147000.89000000001</v>
      </c>
      <c r="M168">
        <v>133441.01999999999</v>
      </c>
      <c r="N168">
        <f t="shared" si="15"/>
        <v>-13559.870000000024</v>
      </c>
      <c r="O168">
        <v>0.11</v>
      </c>
      <c r="Q168">
        <f t="shared" si="16"/>
        <v>-0.11</v>
      </c>
      <c r="T168">
        <f t="shared" si="17"/>
        <v>0</v>
      </c>
    </row>
    <row r="169" spans="1:20" x14ac:dyDescent="0.3">
      <c r="A169" s="4" t="str">
        <f xml:space="preserve"> _xll.EPMOlapMemberO("[CECO].[PARENTH3].[AMSA1002AD5500]","","AMSA1002AD5500 - Admin Legal","","000")</f>
        <v>AMSA1002AD5500 - Admin Legal</v>
      </c>
      <c r="B169" t="str">
        <f t="shared" si="12"/>
        <v>1002AD5500</v>
      </c>
      <c r="C169" t="str">
        <f>IFERROR(_xlfn.XLOOKUP(B169,'CECOS Corporativos'!$D:$D,'CECOS Corporativos'!$E:$E,""),"")</f>
        <v>Legal CEN</v>
      </c>
      <c r="D169" t="str">
        <f>IFERROR(_xlfn.XLOOKUP(B169,'CECOS Corporativos'!$D:$D,'CECOS Corporativos'!$J:$J,""),"")</f>
        <v>VP Legal</v>
      </c>
      <c r="E169" t="str">
        <f xml:space="preserve"> _xll.EPMOlapMemberO("[CLACO].[PARENTH7].[AMSAASESORIAS]","","Asesorías y Consulto","","000")</f>
        <v>Asesorías y Consulto</v>
      </c>
      <c r="F169" t="str">
        <f t="shared" si="13"/>
        <v>N1002AD550</v>
      </c>
      <c r="G169" t="s">
        <v>744</v>
      </c>
      <c r="H169" t="str">
        <f>IFERROR(_xlfn.XLOOKUP(F169,'CECOS Corporativos'!$K:$K,'CECOS Corporativos'!$D:$D,""),"")</f>
        <v/>
      </c>
      <c r="I169">
        <v>294609.34999999998</v>
      </c>
      <c r="J169">
        <v>315763.36</v>
      </c>
      <c r="K169">
        <f t="shared" si="14"/>
        <v>21154.010000000009</v>
      </c>
      <c r="L169">
        <v>335633.22</v>
      </c>
      <c r="M169">
        <v>301921.87</v>
      </c>
      <c r="N169">
        <f t="shared" si="15"/>
        <v>-33711.349999999977</v>
      </c>
      <c r="O169">
        <v>344565.78</v>
      </c>
      <c r="P169">
        <v>341727.36</v>
      </c>
      <c r="Q169">
        <f t="shared" si="16"/>
        <v>-2838.4200000000419</v>
      </c>
      <c r="R169">
        <v>388994.85</v>
      </c>
      <c r="S169">
        <v>333051.49</v>
      </c>
      <c r="T169">
        <f t="shared" si="17"/>
        <v>-55943.359999999986</v>
      </c>
    </row>
    <row r="170" spans="1:20" x14ac:dyDescent="0.3">
      <c r="A170" s="4" t="str">
        <f xml:space="preserve"> _xll.EPMOlapMemberO("[CECO].[PARENTH3].[AMSA1002AD5500]","","AMSA1002AD5500 - Admin Legal","","000")</f>
        <v>AMSA1002AD5500 - Admin Legal</v>
      </c>
      <c r="B170" t="str">
        <f t="shared" si="12"/>
        <v>1002AD5500</v>
      </c>
      <c r="C170" t="str">
        <f>IFERROR(_xlfn.XLOOKUP(B170,'CECOS Corporativos'!$D:$D,'CECOS Corporativos'!$E:$E,""),"")</f>
        <v>Legal CEN</v>
      </c>
      <c r="D170" t="str">
        <f>IFERROR(_xlfn.XLOOKUP(B170,'CECOS Corporativos'!$D:$D,'CECOS Corporativos'!$J:$J,""),"")</f>
        <v>VP Legal</v>
      </c>
      <c r="E170" t="str">
        <f xml:space="preserve"> _xll.EPMOlapMemberO("[CLACO].[PARENTH7].[AMSASERVICIOS]","","Servicios","","000")</f>
        <v>Servicios</v>
      </c>
      <c r="F170" t="str">
        <f t="shared" si="13"/>
        <v>N1002AD550</v>
      </c>
      <c r="G170" t="s">
        <v>744</v>
      </c>
      <c r="H170" t="str">
        <f>IFERROR(_xlfn.XLOOKUP(F170,'CECOS Corporativos'!$K:$K,'CECOS Corporativos'!$D:$D,""),"")</f>
        <v/>
      </c>
      <c r="I170">
        <v>12250.32</v>
      </c>
      <c r="J170">
        <v>37473.4</v>
      </c>
      <c r="K170">
        <f t="shared" si="14"/>
        <v>25223.08</v>
      </c>
      <c r="L170">
        <v>8056.82</v>
      </c>
      <c r="M170">
        <v>22540.49</v>
      </c>
      <c r="N170">
        <f t="shared" si="15"/>
        <v>14483.670000000002</v>
      </c>
      <c r="O170">
        <v>10673.85</v>
      </c>
      <c r="P170">
        <v>9212.98</v>
      </c>
      <c r="Q170">
        <f t="shared" si="16"/>
        <v>-1460.8700000000008</v>
      </c>
      <c r="R170">
        <v>11621.02</v>
      </c>
      <c r="S170">
        <v>9572.91</v>
      </c>
      <c r="T170">
        <f t="shared" si="17"/>
        <v>-2048.1100000000006</v>
      </c>
    </row>
    <row r="171" spans="1:20" x14ac:dyDescent="0.3">
      <c r="A171" s="4" t="str">
        <f xml:space="preserve"> _xll.EPMOlapMemberO("[CECO].[PARENTH3].[AMSA1002AD5500]","","AMSA1002AD5500 - Admin Legal","","000")</f>
        <v>AMSA1002AD5500 - Admin Legal</v>
      </c>
      <c r="B171" t="str">
        <f t="shared" si="12"/>
        <v>1002AD5500</v>
      </c>
      <c r="C171" t="str">
        <f>IFERROR(_xlfn.XLOOKUP(B171,'CECOS Corporativos'!$D:$D,'CECOS Corporativos'!$E:$E,""),"")</f>
        <v>Legal CEN</v>
      </c>
      <c r="D171" t="str">
        <f>IFERROR(_xlfn.XLOOKUP(B171,'CECOS Corporativos'!$D:$D,'CECOS Corporativos'!$J:$J,""),"")</f>
        <v>VP Legal</v>
      </c>
      <c r="E171" t="str">
        <f xml:space="preserve"> _xll.EPMOlapMemberO("[CLACO].[PARENTH7].[AMSAINFORMATIC]","","Informática y Comuni","","000")</f>
        <v>Informática y Comuni</v>
      </c>
      <c r="F171" t="str">
        <f t="shared" si="13"/>
        <v>N1002AD550</v>
      </c>
      <c r="G171" t="s">
        <v>744</v>
      </c>
      <c r="H171" t="str">
        <f>IFERROR(_xlfn.XLOOKUP(F171,'CECOS Corporativos'!$K:$K,'CECOS Corporativos'!$D:$D,""),"")</f>
        <v/>
      </c>
      <c r="K171">
        <f t="shared" si="14"/>
        <v>0</v>
      </c>
      <c r="N171">
        <f t="shared" si="15"/>
        <v>0</v>
      </c>
      <c r="Q171">
        <f t="shared" si="16"/>
        <v>0</v>
      </c>
      <c r="R171">
        <v>2053.6799999999998</v>
      </c>
      <c r="T171">
        <f t="shared" si="17"/>
        <v>-2053.6799999999998</v>
      </c>
    </row>
    <row r="172" spans="1:20" x14ac:dyDescent="0.3">
      <c r="A172" s="4" t="str">
        <f xml:space="preserve"> _xll.EPMOlapMemberO("[CECO].[PARENTH3].[AMSA1002AD5500]","","AMSA1002AD5500 - Admin Legal","","000")</f>
        <v>AMSA1002AD5500 - Admin Legal</v>
      </c>
      <c r="B172" t="str">
        <f t="shared" si="12"/>
        <v>1002AD5500</v>
      </c>
      <c r="C172" t="str">
        <f>IFERROR(_xlfn.XLOOKUP(B172,'CECOS Corporativos'!$D:$D,'CECOS Corporativos'!$E:$E,""),"")</f>
        <v>Legal CEN</v>
      </c>
      <c r="D172" t="str">
        <f>IFERROR(_xlfn.XLOOKUP(B172,'CECOS Corporativos'!$D:$D,'CECOS Corporativos'!$J:$J,""),"")</f>
        <v>VP Legal</v>
      </c>
      <c r="E172" t="str">
        <f xml:space="preserve"> _xll.EPMOlapMemberO("[CLACO].[PARENTH7].[AMSAG_VIAJES]","","Gastos de Viajes","","000")</f>
        <v>Gastos de Viajes</v>
      </c>
      <c r="F172" t="str">
        <f t="shared" si="13"/>
        <v>N1002AD550</v>
      </c>
      <c r="G172" t="s">
        <v>744</v>
      </c>
      <c r="H172" t="str">
        <f>IFERROR(_xlfn.XLOOKUP(F172,'CECOS Corporativos'!$K:$K,'CECOS Corporativos'!$D:$D,""),"")</f>
        <v/>
      </c>
      <c r="I172">
        <v>7825.4</v>
      </c>
      <c r="J172">
        <v>5705.78</v>
      </c>
      <c r="K172">
        <f t="shared" si="14"/>
        <v>-2119.62</v>
      </c>
      <c r="L172">
        <v>8540.57</v>
      </c>
      <c r="M172">
        <v>6237.85</v>
      </c>
      <c r="N172">
        <f t="shared" si="15"/>
        <v>-2302.7199999999993</v>
      </c>
      <c r="O172">
        <v>4716.8999999999996</v>
      </c>
      <c r="P172">
        <v>7595.74</v>
      </c>
      <c r="Q172">
        <f t="shared" si="16"/>
        <v>2878.84</v>
      </c>
      <c r="R172">
        <v>9109.0400000000009</v>
      </c>
      <c r="S172">
        <v>8232.85</v>
      </c>
      <c r="T172">
        <f t="shared" si="17"/>
        <v>-876.19000000000051</v>
      </c>
    </row>
    <row r="173" spans="1:20" x14ac:dyDescent="0.3">
      <c r="A173" s="4" t="str">
        <f xml:space="preserve"> _xll.EPMOlapMemberO("[CECO].[PARENTH3].[AMSA1002AD5500]","","AMSA1002AD5500 - Admin Legal","","000")</f>
        <v>AMSA1002AD5500 - Admin Legal</v>
      </c>
      <c r="B173" t="str">
        <f t="shared" si="12"/>
        <v>1002AD5500</v>
      </c>
      <c r="C173" t="str">
        <f>IFERROR(_xlfn.XLOOKUP(B173,'CECOS Corporativos'!$D:$D,'CECOS Corporativos'!$E:$E,""),"")</f>
        <v>Legal CEN</v>
      </c>
      <c r="D173" t="str">
        <f>IFERROR(_xlfn.XLOOKUP(B173,'CECOS Corporativos'!$D:$D,'CECOS Corporativos'!$J:$J,""),"")</f>
        <v>VP Legal</v>
      </c>
      <c r="E173" t="str">
        <f xml:space="preserve"> _xll.EPMOlapMemberO("[CLACO].[PARENTH7].[AMSAIMP_PATEN]","","Impuestos / Patentes","","000")</f>
        <v>Impuestos / Patentes</v>
      </c>
      <c r="F173" t="str">
        <f t="shared" si="13"/>
        <v>N1002AD550</v>
      </c>
      <c r="G173" t="s">
        <v>744</v>
      </c>
      <c r="H173" t="str">
        <f>IFERROR(_xlfn.XLOOKUP(F173,'CECOS Corporativos'!$K:$K,'CECOS Corporativos'!$D:$D,""),"")</f>
        <v/>
      </c>
      <c r="I173">
        <v>1668046.76</v>
      </c>
      <c r="J173">
        <v>1698915.8</v>
      </c>
      <c r="K173">
        <f t="shared" si="14"/>
        <v>30869.040000000037</v>
      </c>
      <c r="L173">
        <v>1791333.35</v>
      </c>
      <c r="M173">
        <v>1948819.26</v>
      </c>
      <c r="N173">
        <f t="shared" si="15"/>
        <v>157485.90999999992</v>
      </c>
      <c r="O173">
        <v>1960012.81</v>
      </c>
      <c r="P173">
        <v>2353739.52</v>
      </c>
      <c r="Q173">
        <f t="shared" si="16"/>
        <v>393726.70999999996</v>
      </c>
      <c r="R173">
        <v>2967743.18</v>
      </c>
      <c r="S173">
        <v>3584083.64</v>
      </c>
      <c r="T173">
        <f t="shared" si="17"/>
        <v>616340.46</v>
      </c>
    </row>
    <row r="174" spans="1:20" x14ac:dyDescent="0.3">
      <c r="A174" s="4" t="str">
        <f xml:space="preserve"> _xll.EPMOlapMemberO("[CECO].[PARENTH3].[AMSA1002AD5500]","","AMSA1002AD5500 - Admin Legal","","000")</f>
        <v>AMSA1002AD5500 - Admin Legal</v>
      </c>
      <c r="B174" t="str">
        <f t="shared" si="12"/>
        <v>1002AD5500</v>
      </c>
      <c r="C174" t="str">
        <f>IFERROR(_xlfn.XLOOKUP(B174,'CECOS Corporativos'!$D:$D,'CECOS Corporativos'!$E:$E,""),"")</f>
        <v>Legal CEN</v>
      </c>
      <c r="D174" t="str">
        <f>IFERROR(_xlfn.XLOOKUP(B174,'CECOS Corporativos'!$D:$D,'CECOS Corporativos'!$J:$J,""),"")</f>
        <v>VP Legal</v>
      </c>
      <c r="E174" t="str">
        <f xml:space="preserve"> _xll.EPMOlapMemberO("[CLACO].[PARENTH7].[AMSAGGENERALES.2]","","Otros Gastos","","000")</f>
        <v>Otros Gastos</v>
      </c>
      <c r="F174" t="str">
        <f t="shared" si="13"/>
        <v>N1002AD550</v>
      </c>
      <c r="G174" t="s">
        <v>744</v>
      </c>
      <c r="H174" t="str">
        <f>IFERROR(_xlfn.XLOOKUP(F174,'CECOS Corporativos'!$K:$K,'CECOS Corporativos'!$D:$D,""),"")</f>
        <v/>
      </c>
      <c r="I174">
        <v>3098.25</v>
      </c>
      <c r="J174">
        <v>6945.46</v>
      </c>
      <c r="K174">
        <f t="shared" si="14"/>
        <v>3847.21</v>
      </c>
      <c r="L174">
        <v>5512.58</v>
      </c>
      <c r="M174">
        <v>3899.63</v>
      </c>
      <c r="N174">
        <f t="shared" si="15"/>
        <v>-1612.9499999999998</v>
      </c>
      <c r="O174">
        <v>1609.44</v>
      </c>
      <c r="P174">
        <v>3896.58</v>
      </c>
      <c r="Q174">
        <f t="shared" si="16"/>
        <v>2287.14</v>
      </c>
      <c r="R174">
        <v>1299.9000000000001</v>
      </c>
      <c r="S174">
        <v>3674.1</v>
      </c>
      <c r="T174">
        <f t="shared" si="17"/>
        <v>2374.1999999999998</v>
      </c>
    </row>
    <row r="175" spans="1:20" x14ac:dyDescent="0.3">
      <c r="A175" s="4" t="str">
        <f xml:space="preserve"> _xll.EPMOlapMemberO("[CECO].[PARENTH3].[AMSA1002AD5500]","","AMSA1002AD5500 - Admin Legal","","000")</f>
        <v>AMSA1002AD5500 - Admin Legal</v>
      </c>
      <c r="B175" t="str">
        <f t="shared" si="12"/>
        <v>1002AD5500</v>
      </c>
      <c r="C175" t="str">
        <f>IFERROR(_xlfn.XLOOKUP(B175,'CECOS Corporativos'!$D:$D,'CECOS Corporativos'!$E:$E,""),"")</f>
        <v>Legal CEN</v>
      </c>
      <c r="D175" t="str">
        <f>IFERROR(_xlfn.XLOOKUP(B175,'CECOS Corporativos'!$D:$D,'CECOS Corporativos'!$J:$J,""),"")</f>
        <v>VP Legal</v>
      </c>
      <c r="E175" t="str">
        <f xml:space="preserve"> _xll.EPMOlapMemberO("[CLACO].[PARENTH7].[AMSASERV_CORP]","","Servicios Corporativ","","000")</f>
        <v>Servicios Corporativ</v>
      </c>
      <c r="F175" t="str">
        <f t="shared" si="13"/>
        <v>N1002AD550</v>
      </c>
      <c r="G175" t="s">
        <v>744</v>
      </c>
      <c r="H175" t="str">
        <f>IFERROR(_xlfn.XLOOKUP(F175,'CECOS Corporativos'!$K:$K,'CECOS Corporativos'!$D:$D,""),"")</f>
        <v/>
      </c>
      <c r="I175">
        <v>602833.46</v>
      </c>
      <c r="J175">
        <v>621459.85</v>
      </c>
      <c r="K175">
        <f t="shared" si="14"/>
        <v>18626.390000000014</v>
      </c>
      <c r="L175">
        <v>557132.18999999994</v>
      </c>
      <c r="M175">
        <v>505742.52</v>
      </c>
      <c r="N175">
        <f t="shared" si="15"/>
        <v>-51389.669999999925</v>
      </c>
      <c r="O175">
        <v>55382.81</v>
      </c>
      <c r="Q175">
        <f t="shared" si="16"/>
        <v>-55382.81</v>
      </c>
      <c r="T175">
        <f t="shared" si="17"/>
        <v>0</v>
      </c>
    </row>
    <row r="176" spans="1:20" x14ac:dyDescent="0.3">
      <c r="A176" s="4" t="str">
        <f xml:space="preserve"> _xll.EPMOlapMemberO("[CECO].[PARENTH3].[AMSA1002AD6000]","","AMSA1002AD6000 - Adm Comercialización","","000")</f>
        <v>AMSA1002AD6000 - Adm Comercialización</v>
      </c>
      <c r="B176" t="str">
        <f t="shared" si="12"/>
        <v>1002AD6000</v>
      </c>
      <c r="C176" t="str">
        <f>IFERROR(_xlfn.XLOOKUP(B176,'CECOS Corporativos'!$D:$D,'CECOS Corporativos'!$E:$E,""),"")</f>
        <v>VP Comercialización</v>
      </c>
      <c r="D176" t="str">
        <f>IFERROR(_xlfn.XLOOKUP(B176,'CECOS Corporativos'!$D:$D,'CECOS Corporativos'!$J:$J,""),"")</f>
        <v>VP Comercialización</v>
      </c>
      <c r="E176" t="str">
        <f xml:space="preserve"> _xll.EPMOlapMemberO("[CLACO].[PARENTH7].[AMSAASESORIAS]","","Asesorías y Consulto","","000")</f>
        <v>Asesorías y Consulto</v>
      </c>
      <c r="F176" t="str">
        <f t="shared" si="13"/>
        <v>N1002AD610</v>
      </c>
      <c r="G176" t="s">
        <v>745</v>
      </c>
      <c r="H176" t="str">
        <f>IFERROR(_xlfn.XLOOKUP(F176,'CECOS Corporativos'!$K:$K,'CECOS Corporativos'!$D:$D,""),"")</f>
        <v>1002AD6000</v>
      </c>
      <c r="I176">
        <v>144123.31</v>
      </c>
      <c r="J176">
        <v>10234.89</v>
      </c>
      <c r="K176">
        <f t="shared" si="14"/>
        <v>-133888.41999999998</v>
      </c>
      <c r="L176">
        <v>2463.58</v>
      </c>
      <c r="M176">
        <v>29373.94</v>
      </c>
      <c r="N176">
        <f t="shared" si="15"/>
        <v>26910.36</v>
      </c>
      <c r="O176">
        <v>2710.33</v>
      </c>
      <c r="P176">
        <v>28877.58</v>
      </c>
      <c r="Q176">
        <f t="shared" si="16"/>
        <v>26167.25</v>
      </c>
      <c r="S176">
        <v>17436.009999999998</v>
      </c>
      <c r="T176">
        <f t="shared" si="17"/>
        <v>17436.009999999998</v>
      </c>
    </row>
    <row r="177" spans="1:20" x14ac:dyDescent="0.3">
      <c r="A177" s="4" t="str">
        <f xml:space="preserve"> _xll.EPMOlapMemberO("[CECO].[PARENTH3].[AMSA1002AD6000]","","AMSA1002AD6000 - Adm Comercialización","","000")</f>
        <v>AMSA1002AD6000 - Adm Comercialización</v>
      </c>
      <c r="B177" t="str">
        <f t="shared" si="12"/>
        <v>1002AD6000</v>
      </c>
      <c r="C177" t="str">
        <f>IFERROR(_xlfn.XLOOKUP(B177,'CECOS Corporativos'!$D:$D,'CECOS Corporativos'!$E:$E,""),"")</f>
        <v>VP Comercialización</v>
      </c>
      <c r="D177" t="str">
        <f>IFERROR(_xlfn.XLOOKUP(B177,'CECOS Corporativos'!$D:$D,'CECOS Corporativos'!$J:$J,""),"")</f>
        <v>VP Comercialización</v>
      </c>
      <c r="E177" t="str">
        <f xml:space="preserve"> _xll.EPMOlapMemberO("[CLACO].[PARENTH7].[AMSASERVICIOS]","","Servicios","","000")</f>
        <v>Servicios</v>
      </c>
      <c r="F177" t="str">
        <f t="shared" si="13"/>
        <v>N1002AD610</v>
      </c>
      <c r="G177" t="s">
        <v>745</v>
      </c>
      <c r="H177" t="str">
        <f>IFERROR(_xlfn.XLOOKUP(F177,'CECOS Corporativos'!$K:$K,'CECOS Corporativos'!$D:$D,""),"")</f>
        <v>1002AD6000</v>
      </c>
      <c r="K177">
        <f t="shared" si="14"/>
        <v>0</v>
      </c>
      <c r="L177">
        <v>1768.73</v>
      </c>
      <c r="N177">
        <f t="shared" si="15"/>
        <v>-1768.73</v>
      </c>
      <c r="Q177">
        <f t="shared" si="16"/>
        <v>0</v>
      </c>
      <c r="T177">
        <f t="shared" si="17"/>
        <v>0</v>
      </c>
    </row>
    <row r="178" spans="1:20" x14ac:dyDescent="0.3">
      <c r="A178" s="4" t="str">
        <f xml:space="preserve"> _xll.EPMOlapMemberO("[CECO].[PARENTH3].[AMSA1002AD6000]","","AMSA1002AD6000 - Adm Comercialización","","000")</f>
        <v>AMSA1002AD6000 - Adm Comercialización</v>
      </c>
      <c r="B178" t="str">
        <f t="shared" si="12"/>
        <v>1002AD6000</v>
      </c>
      <c r="C178" t="str">
        <f>IFERROR(_xlfn.XLOOKUP(B178,'CECOS Corporativos'!$D:$D,'CECOS Corporativos'!$E:$E,""),"")</f>
        <v>VP Comercialización</v>
      </c>
      <c r="D178" t="str">
        <f>IFERROR(_xlfn.XLOOKUP(B178,'CECOS Corporativos'!$D:$D,'CECOS Corporativos'!$J:$J,""),"")</f>
        <v>VP Comercialización</v>
      </c>
      <c r="E178" t="str">
        <f xml:space="preserve"> _xll.EPMOlapMemberO("[CLACO].[PARENTH7].[AMSAINFORMATIC]","","Informática y Comuni","","000")</f>
        <v>Informática y Comuni</v>
      </c>
      <c r="F178" t="str">
        <f t="shared" si="13"/>
        <v>N1002AD610</v>
      </c>
      <c r="G178" t="s">
        <v>745</v>
      </c>
      <c r="H178" t="str">
        <f>IFERROR(_xlfn.XLOOKUP(F178,'CECOS Corporativos'!$K:$K,'CECOS Corporativos'!$D:$D,""),"")</f>
        <v>1002AD6000</v>
      </c>
      <c r="I178">
        <v>24</v>
      </c>
      <c r="K178">
        <f t="shared" si="14"/>
        <v>-24</v>
      </c>
      <c r="L178">
        <v>132</v>
      </c>
      <c r="N178">
        <f t="shared" si="15"/>
        <v>-132</v>
      </c>
      <c r="O178">
        <v>11340</v>
      </c>
      <c r="P178">
        <v>11004.75</v>
      </c>
      <c r="Q178">
        <f t="shared" si="16"/>
        <v>-335.25</v>
      </c>
      <c r="R178">
        <v>13077</v>
      </c>
      <c r="S178">
        <v>11448.67</v>
      </c>
      <c r="T178">
        <f t="shared" si="17"/>
        <v>-1628.33</v>
      </c>
    </row>
    <row r="179" spans="1:20" x14ac:dyDescent="0.3">
      <c r="A179" s="4" t="str">
        <f xml:space="preserve"> _xll.EPMOlapMemberO("[CECO].[PARENTH3].[AMSA1002AD6000]","","AMSA1002AD6000 - Adm Comercialización","","000")</f>
        <v>AMSA1002AD6000 - Adm Comercialización</v>
      </c>
      <c r="B179" t="str">
        <f t="shared" si="12"/>
        <v>1002AD6000</v>
      </c>
      <c r="C179" t="str">
        <f>IFERROR(_xlfn.XLOOKUP(B179,'CECOS Corporativos'!$D:$D,'CECOS Corporativos'!$E:$E,""),"")</f>
        <v>VP Comercialización</v>
      </c>
      <c r="D179" t="str">
        <f>IFERROR(_xlfn.XLOOKUP(B179,'CECOS Corporativos'!$D:$D,'CECOS Corporativos'!$J:$J,""),"")</f>
        <v>VP Comercialización</v>
      </c>
      <c r="E179" t="str">
        <f xml:space="preserve"> _xll.EPMOlapMemberO("[CLACO].[PARENTH7].[AMSAG_VIAJES]","","Gastos de Viajes","","000")</f>
        <v>Gastos de Viajes</v>
      </c>
      <c r="F179" t="str">
        <f t="shared" si="13"/>
        <v>N1002AD610</v>
      </c>
      <c r="G179" t="s">
        <v>745</v>
      </c>
      <c r="H179" t="str">
        <f>IFERROR(_xlfn.XLOOKUP(F179,'CECOS Corporativos'!$K:$K,'CECOS Corporativos'!$D:$D,""),"")</f>
        <v>1002AD6000</v>
      </c>
      <c r="I179">
        <v>65162.86</v>
      </c>
      <c r="J179">
        <v>292288.96000000002</v>
      </c>
      <c r="K179">
        <f t="shared" si="14"/>
        <v>227126.10000000003</v>
      </c>
      <c r="L179">
        <v>136708.43</v>
      </c>
      <c r="M179">
        <v>279384.71999999997</v>
      </c>
      <c r="N179">
        <f t="shared" si="15"/>
        <v>142676.28999999998</v>
      </c>
      <c r="O179">
        <v>100023.57</v>
      </c>
      <c r="P179">
        <v>214159.35</v>
      </c>
      <c r="Q179">
        <f t="shared" si="16"/>
        <v>114135.78</v>
      </c>
      <c r="R179">
        <v>162468.47</v>
      </c>
      <c r="S179">
        <v>208224.9</v>
      </c>
      <c r="T179">
        <f t="shared" si="17"/>
        <v>45756.429999999993</v>
      </c>
    </row>
    <row r="180" spans="1:20" x14ac:dyDescent="0.3">
      <c r="A180" s="4" t="str">
        <f xml:space="preserve"> _xll.EPMOlapMemberO("[CECO].[PARENTH3].[AMSA1002AD6000]","","AMSA1002AD6000 - Adm Comercialización","","000")</f>
        <v>AMSA1002AD6000 - Adm Comercialización</v>
      </c>
      <c r="B180" t="str">
        <f t="shared" si="12"/>
        <v>1002AD6000</v>
      </c>
      <c r="C180" t="str">
        <f>IFERROR(_xlfn.XLOOKUP(B180,'CECOS Corporativos'!$D:$D,'CECOS Corporativos'!$E:$E,""),"")</f>
        <v>VP Comercialización</v>
      </c>
      <c r="D180" t="str">
        <f>IFERROR(_xlfn.XLOOKUP(B180,'CECOS Corporativos'!$D:$D,'CECOS Corporativos'!$J:$J,""),"")</f>
        <v>VP Comercialización</v>
      </c>
      <c r="E180" t="str">
        <f xml:space="preserve"> _xll.EPMOlapMemberO("[CLACO].[PARENTH7].[AMSAIMP_PATEN]","","Impuestos / Patentes","","000")</f>
        <v>Impuestos / Patentes</v>
      </c>
      <c r="F180" t="str">
        <f t="shared" si="13"/>
        <v>N1002AD610</v>
      </c>
      <c r="G180" t="s">
        <v>745</v>
      </c>
      <c r="H180" t="str">
        <f>IFERROR(_xlfn.XLOOKUP(F180,'CECOS Corporativos'!$K:$K,'CECOS Corporativos'!$D:$D,""),"")</f>
        <v>1002AD6000</v>
      </c>
      <c r="K180">
        <f t="shared" si="14"/>
        <v>0</v>
      </c>
      <c r="N180">
        <f t="shared" si="15"/>
        <v>0</v>
      </c>
      <c r="O180">
        <v>50.34</v>
      </c>
      <c r="Q180">
        <f t="shared" si="16"/>
        <v>-50.34</v>
      </c>
      <c r="R180">
        <v>0</v>
      </c>
      <c r="T180">
        <f t="shared" si="17"/>
        <v>0</v>
      </c>
    </row>
    <row r="181" spans="1:20" x14ac:dyDescent="0.3">
      <c r="A181" s="4" t="str">
        <f xml:space="preserve"> _xll.EPMOlapMemberO("[CECO].[PARENTH3].[AMSA1002AD6000]","","AMSA1002AD6000 - Adm Comercialización","","000")</f>
        <v>AMSA1002AD6000 - Adm Comercialización</v>
      </c>
      <c r="B181" t="str">
        <f t="shared" si="12"/>
        <v>1002AD6000</v>
      </c>
      <c r="C181" t="str">
        <f>IFERROR(_xlfn.XLOOKUP(B181,'CECOS Corporativos'!$D:$D,'CECOS Corporativos'!$E:$E,""),"")</f>
        <v>VP Comercialización</v>
      </c>
      <c r="D181" t="str">
        <f>IFERROR(_xlfn.XLOOKUP(B181,'CECOS Corporativos'!$D:$D,'CECOS Corporativos'!$J:$J,""),"")</f>
        <v>VP Comercialización</v>
      </c>
      <c r="E181" t="str">
        <f xml:space="preserve"> _xll.EPMOlapMemberO("[CLACO].[PARENTH7].[AMSAGGENERALES.2]","","Otros Gastos","","000")</f>
        <v>Otros Gastos</v>
      </c>
      <c r="F181" t="str">
        <f t="shared" si="13"/>
        <v>N1002AD610</v>
      </c>
      <c r="G181" t="s">
        <v>745</v>
      </c>
      <c r="H181" t="str">
        <f>IFERROR(_xlfn.XLOOKUP(F181,'CECOS Corporativos'!$K:$K,'CECOS Corporativos'!$D:$D,""),"")</f>
        <v>1002AD6000</v>
      </c>
      <c r="I181">
        <v>938486.33</v>
      </c>
      <c r="J181">
        <v>1003689.36</v>
      </c>
      <c r="K181">
        <f t="shared" si="14"/>
        <v>65203.030000000028</v>
      </c>
      <c r="L181">
        <v>943892.11</v>
      </c>
      <c r="M181">
        <v>987298.69</v>
      </c>
      <c r="N181">
        <f t="shared" si="15"/>
        <v>43406.579999999958</v>
      </c>
      <c r="O181">
        <v>792152.42</v>
      </c>
      <c r="P181">
        <v>964247.01</v>
      </c>
      <c r="Q181">
        <f t="shared" si="16"/>
        <v>172094.58999999997</v>
      </c>
      <c r="R181">
        <v>748765.24</v>
      </c>
      <c r="S181">
        <v>758788.08</v>
      </c>
      <c r="T181">
        <f t="shared" si="17"/>
        <v>10022.839999999967</v>
      </c>
    </row>
    <row r="182" spans="1:20" x14ac:dyDescent="0.3">
      <c r="A182" s="4" t="str">
        <f xml:space="preserve"> _xll.EPMOlapMemberO("[CECO].[PARENTH3].[AMSA1002AD6000]","","AMSA1002AD6000 - Adm Comercialización","","000")</f>
        <v>AMSA1002AD6000 - Adm Comercialización</v>
      </c>
      <c r="B182" t="str">
        <f t="shared" si="12"/>
        <v>1002AD6000</v>
      </c>
      <c r="C182" t="str">
        <f>IFERROR(_xlfn.XLOOKUP(B182,'CECOS Corporativos'!$D:$D,'CECOS Corporativos'!$E:$E,""),"")</f>
        <v>VP Comercialización</v>
      </c>
      <c r="D182" t="str">
        <f>IFERROR(_xlfn.XLOOKUP(B182,'CECOS Corporativos'!$D:$D,'CECOS Corporativos'!$J:$J,""),"")</f>
        <v>VP Comercialización</v>
      </c>
      <c r="E182" t="str">
        <f xml:space="preserve"> _xll.EPMOlapMemberO("[CLACO].[PARENTH7].[AMSASERV_CORP]","","Servicios Corporativ","","000")</f>
        <v>Servicios Corporativ</v>
      </c>
      <c r="F182" t="str">
        <f t="shared" si="13"/>
        <v>N1002AD610</v>
      </c>
      <c r="G182" t="s">
        <v>745</v>
      </c>
      <c r="H182" t="str">
        <f>IFERROR(_xlfn.XLOOKUP(F182,'CECOS Corporativos'!$K:$K,'CECOS Corporativos'!$D:$D,""),"")</f>
        <v>1002AD6000</v>
      </c>
      <c r="I182">
        <v>2515453.75</v>
      </c>
      <c r="J182">
        <v>2556320.6800000002</v>
      </c>
      <c r="K182">
        <f t="shared" si="14"/>
        <v>40866.930000000168</v>
      </c>
      <c r="L182">
        <v>2747385.49</v>
      </c>
      <c r="M182">
        <v>2654521.7000000002</v>
      </c>
      <c r="N182">
        <f t="shared" si="15"/>
        <v>-92863.790000000037</v>
      </c>
      <c r="O182">
        <v>2608394.5099999998</v>
      </c>
      <c r="P182">
        <v>3028759.88</v>
      </c>
      <c r="Q182">
        <f t="shared" si="16"/>
        <v>420365.37000000011</v>
      </c>
      <c r="R182">
        <v>2652399</v>
      </c>
      <c r="S182">
        <v>47684266.049999997</v>
      </c>
      <c r="T182">
        <f t="shared" si="17"/>
        <v>45031867.049999997</v>
      </c>
    </row>
  </sheetData>
  <pageMargins left="0.7" right="0.7" top="0.75" bottom="0.75" header="0.3" footer="0.3"/>
  <customProperties>
    <customPr name="FPMExcelClientCellBasedFunctionStatus" r:id="rId1"/>
    <customPr name="FPMExcelClientRefreshTime" r:id="rId2"/>
  </customProperties>
  <drawing r:id="rId3"/>
  <legacyDrawing r:id="rId4"/>
  <controls>
    <mc:AlternateContent xmlns:mc="http://schemas.openxmlformats.org/markup-compatibility/2006">
      <mc:Choice Requires="x14">
        <control shapeId="7172" r:id="rId5" name="AnalyzerDynReport000tb1">
          <controlPr defaultSize="0" autoLine="0" autoPict="0" r:id="rId6">
            <anchor moveWithCells="1" sizeWithCells="1">
              <from>
                <xdr:col>0</xdr:col>
                <xdr:colOff>0</xdr:colOff>
                <xdr:row>0</xdr:row>
                <xdr:rowOff>0</xdr:rowOff>
              </from>
              <to>
                <xdr:col>1</xdr:col>
                <xdr:colOff>205740</xdr:colOff>
                <xdr:row>0</xdr:row>
                <xdr:rowOff>0</xdr:rowOff>
              </to>
            </anchor>
          </controlPr>
        </control>
      </mc:Choice>
      <mc:Fallback>
        <control shapeId="7172" r:id="rId5" name="AnalyzerDynReport000tb1"/>
      </mc:Fallback>
    </mc:AlternateContent>
    <mc:AlternateContent xmlns:mc="http://schemas.openxmlformats.org/markup-compatibility/2006">
      <mc:Choice Requires="x14">
        <control shapeId="7171" r:id="rId7" name="MultipleReportManagerInfotb1">
          <controlPr defaultSize="0" autoLine="0" autoPict="0" r:id="rId8">
            <anchor moveWithCells="1" sizeWithCells="1">
              <from>
                <xdr:col>0</xdr:col>
                <xdr:colOff>0</xdr:colOff>
                <xdr:row>0</xdr:row>
                <xdr:rowOff>0</xdr:rowOff>
              </from>
              <to>
                <xdr:col>1</xdr:col>
                <xdr:colOff>205740</xdr:colOff>
                <xdr:row>0</xdr:row>
                <xdr:rowOff>0</xdr:rowOff>
              </to>
            </anchor>
          </controlPr>
        </control>
      </mc:Choice>
      <mc:Fallback>
        <control shapeId="7171" r:id="rId7" name="MultipleReportManagerInfotb1"/>
      </mc:Fallback>
    </mc:AlternateContent>
    <mc:AlternateContent xmlns:mc="http://schemas.openxmlformats.org/markup-compatibility/2006">
      <mc:Choice Requires="x14">
        <control shapeId="7170" r:id="rId9" name="ConnectionDescriptorsInfotb1">
          <controlPr defaultSize="0" autoLine="0" autoPict="0" r:id="rId10">
            <anchor moveWithCells="1" sizeWithCells="1">
              <from>
                <xdr:col>0</xdr:col>
                <xdr:colOff>0</xdr:colOff>
                <xdr:row>0</xdr:row>
                <xdr:rowOff>0</xdr:rowOff>
              </from>
              <to>
                <xdr:col>1</xdr:col>
                <xdr:colOff>205740</xdr:colOff>
                <xdr:row>0</xdr:row>
                <xdr:rowOff>0</xdr:rowOff>
              </to>
            </anchor>
          </controlPr>
        </control>
      </mc:Choice>
      <mc:Fallback>
        <control shapeId="7170" r:id="rId9" name="ConnectionDescriptorsInfotb1"/>
      </mc:Fallback>
    </mc:AlternateContent>
    <mc:AlternateContent xmlns:mc="http://schemas.openxmlformats.org/markup-compatibility/2006">
      <mc:Choice Requires="x14">
        <control shapeId="7169" r:id="rId11" name="FPMExcelClientSheetOptionstb1">
          <controlPr defaultSize="0" autoLine="0" autoPict="0" r:id="rId12">
            <anchor moveWithCells="1" sizeWithCells="1">
              <from>
                <xdr:col>0</xdr:col>
                <xdr:colOff>0</xdr:colOff>
                <xdr:row>0</xdr:row>
                <xdr:rowOff>0</xdr:rowOff>
              </from>
              <to>
                <xdr:col>1</xdr:col>
                <xdr:colOff>205740</xdr:colOff>
                <xdr:row>0</xdr:row>
                <xdr:rowOff>0</xdr:rowOff>
              </to>
            </anchor>
          </controlPr>
        </control>
      </mc:Choice>
      <mc:Fallback>
        <control shapeId="7169" r:id="rId11" name="FPMExcelClientSheetOptionstb1"/>
      </mc:Fallback>
    </mc:AlternateContent>
  </control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76F262-67B5-4B7C-A741-3B19B6BF1F04}">
  <sheetPr codeName="Hoja4"/>
  <dimension ref="A1:S201"/>
  <sheetViews>
    <sheetView topLeftCell="A22" zoomScale="70" zoomScaleNormal="70" workbookViewId="0">
      <selection activeCell="E20" sqref="E20"/>
    </sheetView>
  </sheetViews>
  <sheetFormatPr baseColWidth="10" defaultRowHeight="13.8" x14ac:dyDescent="0.3"/>
  <cols>
    <col min="1" max="1" width="41" bestFit="1" customWidth="1"/>
    <col min="2" max="4" width="41" customWidth="1"/>
    <col min="5" max="5" width="45.88671875" bestFit="1" customWidth="1"/>
    <col min="6" max="6" width="27.6640625" customWidth="1"/>
    <col min="7" max="7" width="28.88671875" bestFit="1" customWidth="1"/>
    <col min="8" max="8" width="12.5546875" bestFit="1" customWidth="1"/>
    <col min="9" max="9" width="10.5546875" bestFit="1" customWidth="1"/>
    <col min="10" max="10" width="8.109375" bestFit="1" customWidth="1"/>
    <col min="11" max="11" width="12.5546875" bestFit="1" customWidth="1"/>
    <col min="12" max="12" width="11.5546875" bestFit="1" customWidth="1"/>
    <col min="13" max="13" width="8.109375" customWidth="1"/>
    <col min="14" max="15" width="12.5546875" bestFit="1" customWidth="1"/>
    <col min="16" max="16" width="4.33203125" bestFit="1" customWidth="1"/>
    <col min="17" max="18" width="12.5546875" bestFit="1" customWidth="1"/>
    <col min="19" max="19" width="7.77734375" customWidth="1"/>
    <col min="20" max="21" width="11" bestFit="1" customWidth="1"/>
    <col min="22" max="22" width="11.44140625" bestFit="1" customWidth="1"/>
    <col min="23" max="23" width="9.44140625" bestFit="1" customWidth="1"/>
    <col min="24" max="25" width="11" bestFit="1" customWidth="1"/>
    <col min="26" max="26" width="9.44140625" bestFit="1" customWidth="1"/>
    <col min="27" max="28" width="11" bestFit="1" customWidth="1"/>
    <col min="29" max="29" width="9.44140625" bestFit="1" customWidth="1"/>
    <col min="30" max="31" width="11" bestFit="1" customWidth="1"/>
    <col min="32" max="32" width="9.44140625" bestFit="1" customWidth="1"/>
    <col min="33" max="34" width="11" bestFit="1" customWidth="1"/>
    <col min="35" max="35" width="9.44140625" bestFit="1" customWidth="1"/>
    <col min="36" max="37" width="11" bestFit="1" customWidth="1"/>
    <col min="38" max="38" width="9.44140625" bestFit="1" customWidth="1"/>
    <col min="39" max="40" width="11" bestFit="1" customWidth="1"/>
    <col min="41" max="41" width="9.44140625" bestFit="1" customWidth="1"/>
    <col min="42" max="44" width="11" bestFit="1" customWidth="1"/>
    <col min="45" max="46" width="12" bestFit="1" customWidth="1"/>
  </cols>
  <sheetData>
    <row r="1" spans="1:19" hidden="1" x14ac:dyDescent="0.3">
      <c r="A1" t="str" cm="1">
        <f t="array" ref="A1">_xll.EPMDimensionOverrideRange("000","CECO",CECOS!$B$2:$B$128)</f>
        <v>Expansión de CECO sobrescrita</v>
      </c>
    </row>
    <row r="2" spans="1:19" hidden="1" x14ac:dyDescent="0.3">
      <c r="A2" t="str">
        <f xml:space="preserve"> _xll.EPMOlapMemberO("[CEBE].[PARENTH1].[JE-]","","Gr Antofagasta Miner","","000")</f>
        <v>Gr Antofagasta Miner</v>
      </c>
    </row>
    <row r="3" spans="1:19" hidden="1" x14ac:dyDescent="0.3"/>
    <row r="4" spans="1:19" hidden="1" x14ac:dyDescent="0.3">
      <c r="A4" t="str">
        <f xml:space="preserve"> _xll.EPMOlapMemberO("[ENTITY].[PARENTH1].[1005]","","1005 - Compañia Minera Zaldivar","","000")</f>
        <v>1005 - Compañia Minera Zaldivar</v>
      </c>
    </row>
    <row r="5" spans="1:19" hidden="1" x14ac:dyDescent="0.3"/>
    <row r="6" spans="1:19" hidden="1" x14ac:dyDescent="0.3"/>
    <row r="7" spans="1:19" x14ac:dyDescent="0.3">
      <c r="G7" t="s">
        <v>712</v>
      </c>
      <c r="H7" t="str">
        <f xml:space="preserve"> _xll.EPMOlapMemberO("[TIME].[PARENTH1].[2022.TOTAL]","","2022.TOTAL","","000")</f>
        <v>2022.TOTAL</v>
      </c>
      <c r="K7" t="str">
        <f xml:space="preserve"> _xll.EPMOlapMemberO("[TIME].[PARENTH1].[2023.TOTAL]","","2023.TOTAL","","000")</f>
        <v>2023.TOTAL</v>
      </c>
      <c r="N7" t="str">
        <f xml:space="preserve"> _xll.EPMOlapMemberO("[TIME].[PARENTH1].[2024.TOTAL]","","2024.TOTAL","","000")</f>
        <v>2024.TOTAL</v>
      </c>
      <c r="Q7" t="str">
        <f xml:space="preserve"> _xll.EPMOlapMemberO("[TIME].[PARENTH1].[2025.TOTAL]","","2025.TOTAL","","000")</f>
        <v>2025.TOTAL</v>
      </c>
    </row>
    <row r="8" spans="1:19" s="23" customFormat="1" x14ac:dyDescent="0.3">
      <c r="B8" s="23" t="s">
        <v>780</v>
      </c>
      <c r="C8" s="23" t="s">
        <v>132</v>
      </c>
      <c r="D8" s="23" t="s">
        <v>781</v>
      </c>
      <c r="E8" s="23" t="s">
        <v>779</v>
      </c>
      <c r="F8" s="23" t="s">
        <v>139</v>
      </c>
      <c r="G8" s="23" t="s">
        <v>713</v>
      </c>
      <c r="H8" s="23" t="e">
        <f ca="1" xml:space="preserve"> _xll.EPMOlapMemberO("[CATEGORY].[].[REAL]","","Real - Real","","000")</f>
        <v>#NAME?</v>
      </c>
      <c r="I8" s="23" t="e">
        <f ca="1" xml:space="preserve"> _xll.EPMOlapMemberO("[CATEGORY].[].[PLAN]","","Plan - Plan","","000")</f>
        <v>#NAME?</v>
      </c>
      <c r="J8" s="23" t="str">
        <f xml:space="preserve"> _xll.FPMXLClient.TechnicalCategory.EPMLocalMember("Var","001","000")</f>
        <v>Var</v>
      </c>
      <c r="K8" s="23" t="e">
        <f ca="1" xml:space="preserve"> _xll.EPMOlapMemberO("[CATEGORY].[].[REAL]","","Real - Real","","000")</f>
        <v>#NAME?</v>
      </c>
      <c r="L8" s="23" t="e">
        <f ca="1" xml:space="preserve"> _xll.EPMOlapMemberO("[CATEGORY].[].[PLAN]","","Plan - Plan","","000")</f>
        <v>#NAME?</v>
      </c>
      <c r="M8" s="23" t="str">
        <f xml:space="preserve"> _xll.FPMXLClient.TechnicalCategory.EPMLocalMember("Var","001","000")</f>
        <v>Var</v>
      </c>
      <c r="N8" s="23" t="e">
        <f ca="1" xml:space="preserve"> _xll.EPMOlapMemberO("[CATEGORY].[].[REAL]","","Real - Real","","000")</f>
        <v>#NAME?</v>
      </c>
      <c r="O8" s="23" t="e">
        <f ca="1" xml:space="preserve"> _xll.EPMOlapMemberO("[CATEGORY].[].[PLAN]","","Plan - Plan","","000")</f>
        <v>#NAME?</v>
      </c>
      <c r="P8" s="23" t="str">
        <f xml:space="preserve"> _xll.FPMXLClient.TechnicalCategory.EPMLocalMember("Var","001","000")</f>
        <v>Var</v>
      </c>
      <c r="Q8" s="23" t="e">
        <f ca="1" xml:space="preserve"> _xll.EPMOlapMemberO("[CATEGORY].[].[REAL]","","Real - Real","","000")</f>
        <v>#NAME?</v>
      </c>
      <c r="R8" s="23" t="e">
        <f ca="1" xml:space="preserve"> _xll.EPMOlapMemberO("[CATEGORY].[].[PLAN]","","Plan - Plan","","000")</f>
        <v>#NAME?</v>
      </c>
      <c r="S8" s="23" t="str">
        <f xml:space="preserve"> _xll.FPMXLClient.TechnicalCategory.EPMLocalMember("Var","001","000")</f>
        <v>Var</v>
      </c>
    </row>
    <row r="9" spans="1:19" x14ac:dyDescent="0.3">
      <c r="A9" s="5" t="str">
        <f xml:space="preserve"> _xll.EPMOlapMemberO("[CECO].[PARENTH3].[AMSA1005AD0504]","","AMSA1005AD0504 - Corporativo","","000")</f>
        <v>AMSA1005AD0504 - Corporativo</v>
      </c>
      <c r="B9" s="5" t="str">
        <f>IFERROR(SUBSTITUTE(TRIM(LEFT(A9,FIND("-",A9)-1)),"AMSA",""),"")</f>
        <v>1005AD0504</v>
      </c>
      <c r="C9" s="5" t="str">
        <f>IFERROR(_xlfn.XLOOKUP(B9,'CECOS Corporativos'!$D:$D,'CECOS Corporativos'!$E:$E,""),"")</f>
        <v>Auditoría (HH Corporativo)</v>
      </c>
      <c r="D9" s="5" t="str">
        <f>IFERROR(_xlfn.XLOOKUP(B9,'CECOS Corporativos'!$D:$D,'CECOS Corporativos'!$J:$J,""),"")</f>
        <v>Auditoría (HH Corporativo)</v>
      </c>
      <c r="E9" t="s">
        <v>146</v>
      </c>
      <c r="F9" t="str">
        <f>IFERROR(TRIM(LEFT(G9,FIND("-",G9)-1)),"")</f>
        <v>N1005AD050</v>
      </c>
      <c r="G9" t="s">
        <v>746</v>
      </c>
      <c r="H9">
        <v>182.34</v>
      </c>
      <c r="J9">
        <f>I9-H9</f>
        <v>-182.34</v>
      </c>
      <c r="M9">
        <f>L9-K9</f>
        <v>0</v>
      </c>
      <c r="P9">
        <f>O9-N9</f>
        <v>0</v>
      </c>
      <c r="S9">
        <f>R9-Q9</f>
        <v>0</v>
      </c>
    </row>
    <row r="10" spans="1:19" x14ac:dyDescent="0.3">
      <c r="A10" s="5" t="str">
        <f xml:space="preserve"> _xll.EPMOlapMemberO("[CECO].[PARENTH3].[AMSA1005AD0504]","","AMSA1005AD0504 - Corporativo","","000")</f>
        <v>AMSA1005AD0504 - Corporativo</v>
      </c>
      <c r="B10" s="5" t="str">
        <f t="shared" ref="B10:B73" si="0">IFERROR(SUBSTITUTE(TRIM(LEFT(A10,FIND("-",A10)-1)),"AMSA",""),"")</f>
        <v>1005AD0504</v>
      </c>
      <c r="C10" s="5" t="str">
        <f>IFERROR(_xlfn.XLOOKUP(B10,'CECOS Corporativos'!$D:$D,'CECOS Corporativos'!$E:$E,""),"")</f>
        <v>Auditoría (HH Corporativo)</v>
      </c>
      <c r="D10" s="5" t="str">
        <f>IFERROR(_xlfn.XLOOKUP(B10,'CECOS Corporativos'!$D:$D,'CECOS Corporativos'!$J:$J,""),"")</f>
        <v>Auditoría (HH Corporativo)</v>
      </c>
      <c r="E10" t="s">
        <v>765</v>
      </c>
      <c r="F10" t="str">
        <f t="shared" ref="F10:F73" si="1">IFERROR(TRIM(LEFT(G10,FIND("-",G10)-1)),"")</f>
        <v>N1005AD050</v>
      </c>
      <c r="G10" t="s">
        <v>746</v>
      </c>
      <c r="H10">
        <v>890</v>
      </c>
      <c r="J10">
        <f t="shared" ref="J10:J73" si="2">I10-H10</f>
        <v>-890</v>
      </c>
      <c r="M10">
        <f t="shared" ref="M10:M73" si="3">L10-K10</f>
        <v>0</v>
      </c>
      <c r="N10">
        <v>78.91</v>
      </c>
      <c r="P10">
        <f t="shared" ref="P10:P73" si="4">O10-N10</f>
        <v>-78.91</v>
      </c>
      <c r="S10">
        <f t="shared" ref="S10:S73" si="5">R10-Q10</f>
        <v>0</v>
      </c>
    </row>
    <row r="11" spans="1:19" x14ac:dyDescent="0.3">
      <c r="A11" s="5" t="str">
        <f xml:space="preserve"> _xll.EPMOlapMemberO("[CECO].[PARENTH3].[AMSA1005AD0504]","","AMSA1005AD0504 - Corporativo","","000")</f>
        <v>AMSA1005AD0504 - Corporativo</v>
      </c>
      <c r="B11" s="5" t="str">
        <f t="shared" si="0"/>
        <v>1005AD0504</v>
      </c>
      <c r="C11" s="5" t="str">
        <f>IFERROR(_xlfn.XLOOKUP(B11,'CECOS Corporativos'!$D:$D,'CECOS Corporativos'!$E:$E,""),"")</f>
        <v>Auditoría (HH Corporativo)</v>
      </c>
      <c r="D11" s="5" t="str">
        <f>IFERROR(_xlfn.XLOOKUP(B11,'CECOS Corporativos'!$D:$D,'CECOS Corporativos'!$J:$J,""),"")</f>
        <v>Auditoría (HH Corporativo)</v>
      </c>
      <c r="E11" t="s">
        <v>758</v>
      </c>
      <c r="F11" t="str">
        <f t="shared" si="1"/>
        <v>N1005AD050</v>
      </c>
      <c r="G11" t="s">
        <v>746</v>
      </c>
      <c r="H11">
        <v>1208.55</v>
      </c>
      <c r="J11">
        <f t="shared" si="2"/>
        <v>-1208.55</v>
      </c>
      <c r="K11">
        <v>-5.8</v>
      </c>
      <c r="M11">
        <f t="shared" si="3"/>
        <v>5.8</v>
      </c>
      <c r="P11">
        <f t="shared" si="4"/>
        <v>0</v>
      </c>
      <c r="Q11">
        <v>-7.18</v>
      </c>
      <c r="S11">
        <f t="shared" si="5"/>
        <v>7.18</v>
      </c>
    </row>
    <row r="12" spans="1:19" x14ac:dyDescent="0.3">
      <c r="A12" s="5" t="str">
        <f xml:space="preserve"> _xll.EPMOlapMemberO("[CECO].[PARENTH3].[AMSA1005AD0504]","","AMSA1005AD0504 - Corporativo","","000")</f>
        <v>AMSA1005AD0504 - Corporativo</v>
      </c>
      <c r="B12" s="5" t="str">
        <f t="shared" si="0"/>
        <v>1005AD0504</v>
      </c>
      <c r="C12" s="5" t="str">
        <f>IFERROR(_xlfn.XLOOKUP(B12,'CECOS Corporativos'!$D:$D,'CECOS Corporativos'!$E:$E,""),"")</f>
        <v>Auditoría (HH Corporativo)</v>
      </c>
      <c r="D12" s="5" t="str">
        <f>IFERROR(_xlfn.XLOOKUP(B12,'CECOS Corporativos'!$D:$D,'CECOS Corporativos'!$J:$J,""),"")</f>
        <v>Auditoría (HH Corporativo)</v>
      </c>
      <c r="E12" t="s">
        <v>759</v>
      </c>
      <c r="F12" t="str">
        <f t="shared" si="1"/>
        <v>N1005AD050</v>
      </c>
      <c r="G12" t="s">
        <v>746</v>
      </c>
      <c r="H12">
        <v>367.42</v>
      </c>
      <c r="J12">
        <f t="shared" si="2"/>
        <v>-367.42</v>
      </c>
      <c r="M12">
        <f t="shared" si="3"/>
        <v>0</v>
      </c>
      <c r="P12">
        <f t="shared" si="4"/>
        <v>0</v>
      </c>
      <c r="S12">
        <f t="shared" si="5"/>
        <v>0</v>
      </c>
    </row>
    <row r="13" spans="1:19" x14ac:dyDescent="0.3">
      <c r="A13" s="5" t="str">
        <f xml:space="preserve"> _xll.EPMOlapMemberO("[CECO].[PARENTH3].[AMSA1005AD0504]","","AMSA1005AD0504 - Corporativo","","000")</f>
        <v>AMSA1005AD0504 - Corporativo</v>
      </c>
      <c r="B13" s="5" t="str">
        <f t="shared" si="0"/>
        <v>1005AD0504</v>
      </c>
      <c r="C13" s="5" t="str">
        <f>IFERROR(_xlfn.XLOOKUP(B13,'CECOS Corporativos'!$D:$D,'CECOS Corporativos'!$E:$E,""),"")</f>
        <v>Auditoría (HH Corporativo)</v>
      </c>
      <c r="D13" s="5" t="str">
        <f>IFERROR(_xlfn.XLOOKUP(B13,'CECOS Corporativos'!$D:$D,'CECOS Corporativos'!$J:$J,""),"")</f>
        <v>Auditoría (HH Corporativo)</v>
      </c>
      <c r="E13" t="s">
        <v>761</v>
      </c>
      <c r="F13" t="str">
        <f t="shared" si="1"/>
        <v>N1005AD050</v>
      </c>
      <c r="G13" t="s">
        <v>746</v>
      </c>
      <c r="J13">
        <f t="shared" si="2"/>
        <v>0</v>
      </c>
      <c r="K13">
        <v>1704.7</v>
      </c>
      <c r="M13">
        <f t="shared" si="3"/>
        <v>-1704.7</v>
      </c>
      <c r="N13">
        <v>6732.79</v>
      </c>
      <c r="P13">
        <f t="shared" si="4"/>
        <v>-6732.79</v>
      </c>
      <c r="Q13">
        <v>2572.9</v>
      </c>
      <c r="S13">
        <f t="shared" si="5"/>
        <v>-2572.9</v>
      </c>
    </row>
    <row r="14" spans="1:19" x14ac:dyDescent="0.3">
      <c r="A14" s="5" t="str">
        <f xml:space="preserve"> _xll.EPMOlapMemberO("[CECO].[PARENTH3].[AMSA1005AD0504]","","AMSA1005AD0504 - Corporativo","","000")</f>
        <v>AMSA1005AD0504 - Corporativo</v>
      </c>
      <c r="B14" s="5" t="str">
        <f t="shared" si="0"/>
        <v>1005AD0504</v>
      </c>
      <c r="C14" s="5" t="str">
        <f>IFERROR(_xlfn.XLOOKUP(B14,'CECOS Corporativos'!$D:$D,'CECOS Corporativos'!$E:$E,""),"")</f>
        <v>Auditoría (HH Corporativo)</v>
      </c>
      <c r="D14" s="5" t="str">
        <f>IFERROR(_xlfn.XLOOKUP(B14,'CECOS Corporativos'!$D:$D,'CECOS Corporativos'!$J:$J,""),"")</f>
        <v>Auditoría (HH Corporativo)</v>
      </c>
      <c r="E14" t="s">
        <v>764</v>
      </c>
      <c r="F14" t="str">
        <f t="shared" si="1"/>
        <v>N1005AD050</v>
      </c>
      <c r="G14" t="s">
        <v>746</v>
      </c>
      <c r="J14">
        <f t="shared" si="2"/>
        <v>0</v>
      </c>
      <c r="M14">
        <f t="shared" si="3"/>
        <v>0</v>
      </c>
      <c r="N14">
        <v>166305</v>
      </c>
      <c r="O14">
        <v>184267</v>
      </c>
      <c r="P14">
        <f t="shared" si="4"/>
        <v>17962</v>
      </c>
      <c r="Q14">
        <v>223942</v>
      </c>
      <c r="R14">
        <v>235062.76</v>
      </c>
      <c r="S14">
        <f t="shared" si="5"/>
        <v>11120.760000000009</v>
      </c>
    </row>
    <row r="15" spans="1:19" x14ac:dyDescent="0.3">
      <c r="A15" s="5" t="str">
        <f xml:space="preserve"> _xll.EPMOlapMemberO("[CECO].[PARENTH3].[AMSA1005AD0505]","","AMSA1005AD0505 - Desarrollo Corp","","000")</f>
        <v>AMSA1005AD0505 - Desarrollo Corp</v>
      </c>
      <c r="B15" s="5" t="str">
        <f t="shared" si="0"/>
        <v>1005AD0505</v>
      </c>
      <c r="C15" s="5" t="str">
        <f>IFERROR(_xlfn.XLOOKUP(B15,'CECOS Corporativos'!$D:$D,'CECOS Corporativos'!$E:$E,""),"")</f>
        <v>VP Desarrollo</v>
      </c>
      <c r="D15" s="5" t="str">
        <f>IFERROR(_xlfn.XLOOKUP(B15,'CECOS Corporativos'!$D:$D,'CECOS Corporativos'!$J:$J,""),"")</f>
        <v>VP Desarrollo</v>
      </c>
      <c r="E15" t="s">
        <v>757</v>
      </c>
      <c r="F15" t="str">
        <f t="shared" si="1"/>
        <v>N1005AD050</v>
      </c>
      <c r="G15" t="s">
        <v>746</v>
      </c>
      <c r="J15">
        <f t="shared" si="2"/>
        <v>0</v>
      </c>
      <c r="K15">
        <v>67660.5</v>
      </c>
      <c r="L15">
        <v>40784.51</v>
      </c>
      <c r="M15">
        <f t="shared" si="3"/>
        <v>-26875.989999999998</v>
      </c>
      <c r="N15">
        <v>-3781.73</v>
      </c>
      <c r="P15">
        <f t="shared" si="4"/>
        <v>3781.73</v>
      </c>
      <c r="S15">
        <f t="shared" si="5"/>
        <v>0</v>
      </c>
    </row>
    <row r="16" spans="1:19" x14ac:dyDescent="0.3">
      <c r="A16" s="5" t="str">
        <f xml:space="preserve"> _xll.EPMOlapMemberO("[CECO].[PARENTH3].[AMSA1005AD0505]","","AMSA1005AD0505 - Desarrollo Corp","","000")</f>
        <v>AMSA1005AD0505 - Desarrollo Corp</v>
      </c>
      <c r="B16" s="5" t="str">
        <f t="shared" si="0"/>
        <v>1005AD0505</v>
      </c>
      <c r="C16" s="5" t="str">
        <f>IFERROR(_xlfn.XLOOKUP(B16,'CECOS Corporativos'!$D:$D,'CECOS Corporativos'!$E:$E,""),"")</f>
        <v>VP Desarrollo</v>
      </c>
      <c r="D16" s="5" t="str">
        <f>IFERROR(_xlfn.XLOOKUP(B16,'CECOS Corporativos'!$D:$D,'CECOS Corporativos'!$J:$J,""),"")</f>
        <v>VP Desarrollo</v>
      </c>
      <c r="E16" t="s">
        <v>763</v>
      </c>
      <c r="F16" t="str">
        <f t="shared" si="1"/>
        <v>N1005AD050</v>
      </c>
      <c r="G16" t="s">
        <v>746</v>
      </c>
      <c r="J16">
        <f t="shared" si="2"/>
        <v>0</v>
      </c>
      <c r="M16">
        <f t="shared" si="3"/>
        <v>0</v>
      </c>
      <c r="N16">
        <v>2789.15</v>
      </c>
      <c r="P16">
        <f t="shared" si="4"/>
        <v>-2789.15</v>
      </c>
      <c r="Q16">
        <v>15571.67</v>
      </c>
      <c r="R16">
        <v>12523.96</v>
      </c>
      <c r="S16">
        <f t="shared" si="5"/>
        <v>-3047.7100000000009</v>
      </c>
    </row>
    <row r="17" spans="1:19" x14ac:dyDescent="0.3">
      <c r="A17" s="5" t="str">
        <f xml:space="preserve"> _xll.EPMOlapMemberO("[CECO].[PARENTH3].[AMSA1005AD0505]","","AMSA1005AD0505 - Desarrollo Corp","","000")</f>
        <v>AMSA1005AD0505 - Desarrollo Corp</v>
      </c>
      <c r="B17" s="5" t="str">
        <f t="shared" si="0"/>
        <v>1005AD0505</v>
      </c>
      <c r="C17" s="5" t="str">
        <f>IFERROR(_xlfn.XLOOKUP(B17,'CECOS Corporativos'!$D:$D,'CECOS Corporativos'!$E:$E,""),"")</f>
        <v>VP Desarrollo</v>
      </c>
      <c r="D17" s="5" t="str">
        <f>IFERROR(_xlfn.XLOOKUP(B17,'CECOS Corporativos'!$D:$D,'CECOS Corporativos'!$J:$J,""),"")</f>
        <v>VP Desarrollo</v>
      </c>
      <c r="E17" t="s">
        <v>759</v>
      </c>
      <c r="F17" t="str">
        <f t="shared" si="1"/>
        <v>N1005AD050</v>
      </c>
      <c r="G17" t="s">
        <v>746</v>
      </c>
      <c r="H17">
        <v>4058.41</v>
      </c>
      <c r="I17">
        <v>15940.68</v>
      </c>
      <c r="J17">
        <f t="shared" si="2"/>
        <v>11882.27</v>
      </c>
      <c r="L17">
        <v>17934.12</v>
      </c>
      <c r="M17">
        <f t="shared" si="3"/>
        <v>17934.12</v>
      </c>
      <c r="N17">
        <v>610.16999999999996</v>
      </c>
      <c r="O17">
        <v>18244</v>
      </c>
      <c r="P17">
        <f t="shared" si="4"/>
        <v>17633.830000000002</v>
      </c>
      <c r="Q17">
        <v>81.02</v>
      </c>
      <c r="R17">
        <v>16717.71</v>
      </c>
      <c r="S17">
        <f t="shared" si="5"/>
        <v>16636.689999999999</v>
      </c>
    </row>
    <row r="18" spans="1:19" x14ac:dyDescent="0.3">
      <c r="A18" s="5" t="str">
        <f xml:space="preserve"> _xll.EPMOlapMemberO("[CECO].[PARENTH3].[AMSA1005AD0505]","","AMSA1005AD0505 - Desarrollo Corp","","000")</f>
        <v>AMSA1005AD0505 - Desarrollo Corp</v>
      </c>
      <c r="B18" s="5" t="str">
        <f t="shared" si="0"/>
        <v>1005AD0505</v>
      </c>
      <c r="C18" s="5" t="str">
        <f>IFERROR(_xlfn.XLOOKUP(B18,'CECOS Corporativos'!$D:$D,'CECOS Corporativos'!$E:$E,""),"")</f>
        <v>VP Desarrollo</v>
      </c>
      <c r="D18" s="5" t="str">
        <f>IFERROR(_xlfn.XLOOKUP(B18,'CECOS Corporativos'!$D:$D,'CECOS Corporativos'!$J:$J,""),"")</f>
        <v>VP Desarrollo</v>
      </c>
      <c r="E18" t="s">
        <v>770</v>
      </c>
      <c r="F18" t="str">
        <f t="shared" si="1"/>
        <v>N1005AD050</v>
      </c>
      <c r="G18" t="s">
        <v>746</v>
      </c>
      <c r="J18">
        <f t="shared" si="2"/>
        <v>0</v>
      </c>
      <c r="M18">
        <f t="shared" si="3"/>
        <v>0</v>
      </c>
      <c r="O18">
        <v>-1307.3800000000001</v>
      </c>
      <c r="P18">
        <f t="shared" si="4"/>
        <v>-1307.3800000000001</v>
      </c>
      <c r="S18">
        <f t="shared" si="5"/>
        <v>0</v>
      </c>
    </row>
    <row r="19" spans="1:19" x14ac:dyDescent="0.3">
      <c r="A19" s="5" t="str">
        <f xml:space="preserve"> _xll.EPMOlapMemberO("[CECO].[PARENTH3].[AMSA1005AD0505]","","AMSA1005AD0505 - Desarrollo Corp","","000")</f>
        <v>AMSA1005AD0505 - Desarrollo Corp</v>
      </c>
      <c r="B19" s="5" t="str">
        <f t="shared" si="0"/>
        <v>1005AD0505</v>
      </c>
      <c r="C19" s="5" t="str">
        <f>IFERROR(_xlfn.XLOOKUP(B19,'CECOS Corporativos'!$D:$D,'CECOS Corporativos'!$E:$E,""),"")</f>
        <v>VP Desarrollo</v>
      </c>
      <c r="D19" s="5" t="str">
        <f>IFERROR(_xlfn.XLOOKUP(B19,'CECOS Corporativos'!$D:$D,'CECOS Corporativos'!$J:$J,""),"")</f>
        <v>VP Desarrollo</v>
      </c>
      <c r="E19" t="s">
        <v>764</v>
      </c>
      <c r="F19" t="str">
        <f t="shared" si="1"/>
        <v>N1005AD050</v>
      </c>
      <c r="G19" t="s">
        <v>746</v>
      </c>
      <c r="J19">
        <f t="shared" si="2"/>
        <v>0</v>
      </c>
      <c r="M19">
        <f t="shared" si="3"/>
        <v>0</v>
      </c>
      <c r="N19">
        <v>177008</v>
      </c>
      <c r="O19">
        <v>196128</v>
      </c>
      <c r="P19">
        <f t="shared" si="4"/>
        <v>19120</v>
      </c>
      <c r="Q19">
        <v>352306</v>
      </c>
      <c r="R19">
        <v>369803.1</v>
      </c>
      <c r="S19">
        <f t="shared" si="5"/>
        <v>17497.099999999977</v>
      </c>
    </row>
    <row r="20" spans="1:19" x14ac:dyDescent="0.3">
      <c r="A20" s="5" t="str">
        <f xml:space="preserve"> _xll.EPMOlapMemberO("[CECO].[PARENTH3].[AMSA1005AD0506]","","AMSA1005AD0506 - Estrateg e Inn Corp","","000")</f>
        <v>AMSA1005AD0506 - Estrateg e Inn Corp</v>
      </c>
      <c r="B20" s="5" t="str">
        <f t="shared" si="0"/>
        <v>1005AD0506</v>
      </c>
      <c r="C20" s="5" t="str">
        <f>IFERROR(_xlfn.XLOOKUP(B20,'CECOS Corporativos'!$D:$D,'CECOS Corporativos'!$E:$E,""),"")</f>
        <v>Estrategia e Innovación Corp</v>
      </c>
      <c r="D20" s="5" t="str">
        <f>IFERROR(_xlfn.XLOOKUP(B20,'CECOS Corporativos'!$D:$D,'CECOS Corporativos'!$J:$J,""),"")</f>
        <v>VP Estrategia e Innovación</v>
      </c>
      <c r="E20" t="s">
        <v>757</v>
      </c>
      <c r="F20" t="str">
        <f t="shared" si="1"/>
        <v>N1005AD050</v>
      </c>
      <c r="G20" t="s">
        <v>746</v>
      </c>
      <c r="H20">
        <v>111623.23</v>
      </c>
      <c r="I20">
        <v>148111</v>
      </c>
      <c r="J20">
        <f t="shared" si="2"/>
        <v>36487.770000000004</v>
      </c>
      <c r="K20">
        <v>37485.379999999997</v>
      </c>
      <c r="L20">
        <v>149814.03</v>
      </c>
      <c r="M20">
        <f t="shared" si="3"/>
        <v>112328.65</v>
      </c>
      <c r="N20">
        <v>-15.59</v>
      </c>
      <c r="P20">
        <f t="shared" si="4"/>
        <v>15.59</v>
      </c>
      <c r="S20">
        <f t="shared" si="5"/>
        <v>0</v>
      </c>
    </row>
    <row r="21" spans="1:19" x14ac:dyDescent="0.3">
      <c r="A21" s="5" t="str">
        <f xml:space="preserve"> _xll.EPMOlapMemberO("[CECO].[PARENTH3].[AMSA1005AD0506]","","AMSA1005AD0506 - Estrateg e Inn Corp","","000")</f>
        <v>AMSA1005AD0506 - Estrateg e Inn Corp</v>
      </c>
      <c r="B21" s="5" t="str">
        <f t="shared" si="0"/>
        <v>1005AD0506</v>
      </c>
      <c r="C21" s="5" t="str">
        <f>IFERROR(_xlfn.XLOOKUP(B21,'CECOS Corporativos'!$D:$D,'CECOS Corporativos'!$E:$E,""),"")</f>
        <v>Estrategia e Innovación Corp</v>
      </c>
      <c r="D21" s="5" t="str">
        <f>IFERROR(_xlfn.XLOOKUP(B21,'CECOS Corporativos'!$D:$D,'CECOS Corporativos'!$J:$J,""),"")</f>
        <v>VP Estrategia e Innovación</v>
      </c>
      <c r="E21" t="s">
        <v>758</v>
      </c>
      <c r="F21" t="str">
        <f t="shared" si="1"/>
        <v>N1005AD050</v>
      </c>
      <c r="G21" t="s">
        <v>746</v>
      </c>
      <c r="J21">
        <f t="shared" si="2"/>
        <v>0</v>
      </c>
      <c r="K21">
        <v>97205</v>
      </c>
      <c r="L21">
        <v>100654.01</v>
      </c>
      <c r="M21">
        <f t="shared" si="3"/>
        <v>3449.0099999999948</v>
      </c>
      <c r="N21">
        <v>42527.16</v>
      </c>
      <c r="O21">
        <v>79595</v>
      </c>
      <c r="P21">
        <f t="shared" si="4"/>
        <v>37067.839999999997</v>
      </c>
      <c r="Q21">
        <v>79730.75</v>
      </c>
      <c r="R21">
        <v>86118.31</v>
      </c>
      <c r="S21">
        <f t="shared" si="5"/>
        <v>6387.5599999999977</v>
      </c>
    </row>
    <row r="22" spans="1:19" x14ac:dyDescent="0.3">
      <c r="A22" s="5" t="str">
        <f xml:space="preserve"> _xll.EPMOlapMemberO("[CECO].[PARENTH3].[AMSA1005AD0506]","","AMSA1005AD0506 - Estrateg e Inn Corp","","000")</f>
        <v>AMSA1005AD0506 - Estrateg e Inn Corp</v>
      </c>
      <c r="B22" s="5" t="str">
        <f t="shared" si="0"/>
        <v>1005AD0506</v>
      </c>
      <c r="C22" s="5" t="str">
        <f>IFERROR(_xlfn.XLOOKUP(B22,'CECOS Corporativos'!$D:$D,'CECOS Corporativos'!$E:$E,""),"")</f>
        <v>Estrategia e Innovación Corp</v>
      </c>
      <c r="D22" s="5" t="str">
        <f>IFERROR(_xlfn.XLOOKUP(B22,'CECOS Corporativos'!$D:$D,'CECOS Corporativos'!$J:$J,""),"")</f>
        <v>VP Estrategia e Innovación</v>
      </c>
      <c r="E22" t="s">
        <v>763</v>
      </c>
      <c r="F22" t="str">
        <f t="shared" si="1"/>
        <v>N1005AD050</v>
      </c>
      <c r="G22" t="s">
        <v>746</v>
      </c>
      <c r="J22">
        <f t="shared" si="2"/>
        <v>0</v>
      </c>
      <c r="K22">
        <v>281522.64</v>
      </c>
      <c r="L22">
        <v>186223.4</v>
      </c>
      <c r="M22">
        <f t="shared" si="3"/>
        <v>-95299.24000000002</v>
      </c>
      <c r="N22">
        <v>222439.88</v>
      </c>
      <c r="O22">
        <v>245637</v>
      </c>
      <c r="P22">
        <f t="shared" si="4"/>
        <v>23197.119999999995</v>
      </c>
      <c r="Q22">
        <v>411264.89</v>
      </c>
      <c r="R22">
        <v>420829.65</v>
      </c>
      <c r="S22">
        <f t="shared" si="5"/>
        <v>9564.7600000000093</v>
      </c>
    </row>
    <row r="23" spans="1:19" x14ac:dyDescent="0.3">
      <c r="A23" s="5" t="str">
        <f xml:space="preserve"> _xll.EPMOlapMemberO("[CECO].[PARENTH3].[AMSA1005AD0506]","","AMSA1005AD0506 - Estrateg e Inn Corp","","000")</f>
        <v>AMSA1005AD0506 - Estrateg e Inn Corp</v>
      </c>
      <c r="B23" s="5" t="str">
        <f t="shared" si="0"/>
        <v>1005AD0506</v>
      </c>
      <c r="C23" s="5" t="str">
        <f>IFERROR(_xlfn.XLOOKUP(B23,'CECOS Corporativos'!$D:$D,'CECOS Corporativos'!$E:$E,""),"")</f>
        <v>Estrategia e Innovación Corp</v>
      </c>
      <c r="D23" s="5" t="str">
        <f>IFERROR(_xlfn.XLOOKUP(B23,'CECOS Corporativos'!$D:$D,'CECOS Corporativos'!$J:$J,""),"")</f>
        <v>VP Estrategia e Innovación</v>
      </c>
      <c r="E23" t="s">
        <v>761</v>
      </c>
      <c r="F23" t="str">
        <f t="shared" si="1"/>
        <v>N1005AD050</v>
      </c>
      <c r="G23" t="s">
        <v>746</v>
      </c>
      <c r="J23">
        <f t="shared" si="2"/>
        <v>0</v>
      </c>
      <c r="K23">
        <v>11228.29</v>
      </c>
      <c r="M23">
        <f t="shared" si="3"/>
        <v>-11228.29</v>
      </c>
      <c r="N23">
        <v>0</v>
      </c>
      <c r="P23">
        <f t="shared" si="4"/>
        <v>0</v>
      </c>
      <c r="S23">
        <f t="shared" si="5"/>
        <v>0</v>
      </c>
    </row>
    <row r="24" spans="1:19" x14ac:dyDescent="0.3">
      <c r="A24" s="5" t="str">
        <f xml:space="preserve"> _xll.EPMOlapMemberO("[CECO].[PARENTH3].[AMSA1005AD0506]","","AMSA1005AD0506 - Estrateg e Inn Corp","","000")</f>
        <v>AMSA1005AD0506 - Estrateg e Inn Corp</v>
      </c>
      <c r="B24" s="5" t="str">
        <f t="shared" si="0"/>
        <v>1005AD0506</v>
      </c>
      <c r="C24" s="5" t="str">
        <f>IFERROR(_xlfn.XLOOKUP(B24,'CECOS Corporativos'!$D:$D,'CECOS Corporativos'!$E:$E,""),"")</f>
        <v>Estrategia e Innovación Corp</v>
      </c>
      <c r="D24" s="5" t="str">
        <f>IFERROR(_xlfn.XLOOKUP(B24,'CECOS Corporativos'!$D:$D,'CECOS Corporativos'!$J:$J,""),"")</f>
        <v>VP Estrategia e Innovación</v>
      </c>
      <c r="E24" t="s">
        <v>770</v>
      </c>
      <c r="F24" t="str">
        <f t="shared" si="1"/>
        <v>N1005AD050</v>
      </c>
      <c r="G24" t="s">
        <v>746</v>
      </c>
      <c r="J24">
        <f t="shared" si="2"/>
        <v>0</v>
      </c>
      <c r="M24">
        <f t="shared" si="3"/>
        <v>0</v>
      </c>
      <c r="O24">
        <v>-31485.21</v>
      </c>
      <c r="P24">
        <f t="shared" si="4"/>
        <v>-31485.21</v>
      </c>
      <c r="S24">
        <f t="shared" si="5"/>
        <v>0</v>
      </c>
    </row>
    <row r="25" spans="1:19" x14ac:dyDescent="0.3">
      <c r="A25" s="5" t="str">
        <f xml:space="preserve"> _xll.EPMOlapMemberO("[CECO].[PARENTH3].[AMSA1005AD0506]","","AMSA1005AD0506 - Estrateg e Inn Corp","","000")</f>
        <v>AMSA1005AD0506 - Estrateg e Inn Corp</v>
      </c>
      <c r="B25" s="5" t="str">
        <f t="shared" si="0"/>
        <v>1005AD0506</v>
      </c>
      <c r="C25" s="5" t="str">
        <f>IFERROR(_xlfn.XLOOKUP(B25,'CECOS Corporativos'!$D:$D,'CECOS Corporativos'!$E:$E,""),"")</f>
        <v>Estrategia e Innovación Corp</v>
      </c>
      <c r="D25" s="5" t="str">
        <f>IFERROR(_xlfn.XLOOKUP(B25,'CECOS Corporativos'!$D:$D,'CECOS Corporativos'!$J:$J,""),"")</f>
        <v>VP Estrategia e Innovación</v>
      </c>
      <c r="E25" t="s">
        <v>764</v>
      </c>
      <c r="F25" t="str">
        <f t="shared" si="1"/>
        <v>N1005AD050</v>
      </c>
      <c r="G25" t="s">
        <v>746</v>
      </c>
      <c r="H25">
        <v>68552</v>
      </c>
      <c r="I25">
        <v>70669</v>
      </c>
      <c r="J25">
        <f t="shared" si="2"/>
        <v>2117</v>
      </c>
      <c r="K25">
        <v>118339.11</v>
      </c>
      <c r="L25">
        <v>107421.36</v>
      </c>
      <c r="M25">
        <f t="shared" si="3"/>
        <v>-10917.75</v>
      </c>
      <c r="N25">
        <v>652570.89</v>
      </c>
      <c r="O25">
        <v>723066</v>
      </c>
      <c r="P25">
        <f t="shared" si="4"/>
        <v>70495.109999999986</v>
      </c>
      <c r="Q25">
        <v>681275</v>
      </c>
      <c r="R25">
        <v>715105.14</v>
      </c>
      <c r="S25">
        <f t="shared" si="5"/>
        <v>33830.140000000014</v>
      </c>
    </row>
    <row r="26" spans="1:19" x14ac:dyDescent="0.3">
      <c r="A26" s="5" t="str">
        <f xml:space="preserve"> _xll.EPMOlapMemberO("[CECO].[PARENTH3].[AMSA1005AD0507]","","AMSA1005AD0507 - Operaciones Corp","","000")</f>
        <v>AMSA1005AD0507 - Operaciones Corp</v>
      </c>
      <c r="B26" s="5" t="str">
        <f t="shared" si="0"/>
        <v>1005AD0507</v>
      </c>
      <c r="C26" s="5" t="str">
        <f>IFERROR(_xlfn.XLOOKUP(B26,'CECOS Corporativos'!$D:$D,'CECOS Corporativos'!$E:$E,""),"")</f>
        <v>Operaciones Corp (Distribuibles)</v>
      </c>
      <c r="D26" s="5" t="str">
        <f>IFERROR(_xlfn.XLOOKUP(B26,'CECOS Corporativos'!$D:$D,'CECOS Corporativos'!$J:$J,""),"")</f>
        <v>VP Planificación y Servicios Técnicos</v>
      </c>
      <c r="E26" t="s">
        <v>766</v>
      </c>
      <c r="F26" t="str">
        <f t="shared" si="1"/>
        <v>N1005AD050</v>
      </c>
      <c r="G26" t="s">
        <v>746</v>
      </c>
      <c r="H26">
        <v>33500</v>
      </c>
      <c r="J26">
        <f t="shared" si="2"/>
        <v>-33500</v>
      </c>
      <c r="K26">
        <v>0</v>
      </c>
      <c r="M26">
        <f t="shared" si="3"/>
        <v>0</v>
      </c>
      <c r="N26">
        <v>92637.29</v>
      </c>
      <c r="O26">
        <v>28125</v>
      </c>
      <c r="P26">
        <f t="shared" si="4"/>
        <v>-64512.289999999994</v>
      </c>
      <c r="Q26">
        <v>72961.52</v>
      </c>
      <c r="S26">
        <f t="shared" si="5"/>
        <v>-72961.52</v>
      </c>
    </row>
    <row r="27" spans="1:19" x14ac:dyDescent="0.3">
      <c r="A27" s="5" t="str">
        <f xml:space="preserve"> _xll.EPMOlapMemberO("[CECO].[PARENTH3].[AMSA1005AD0507]","","AMSA1005AD0507 - Operaciones Corp","","000")</f>
        <v>AMSA1005AD0507 - Operaciones Corp</v>
      </c>
      <c r="B27" s="5" t="str">
        <f t="shared" si="0"/>
        <v>1005AD0507</v>
      </c>
      <c r="C27" s="5" t="str">
        <f>IFERROR(_xlfn.XLOOKUP(B27,'CECOS Corporativos'!$D:$D,'CECOS Corporativos'!$E:$E,""),"")</f>
        <v>Operaciones Corp (Distribuibles)</v>
      </c>
      <c r="D27" s="5" t="str">
        <f>IFERROR(_xlfn.XLOOKUP(B27,'CECOS Corporativos'!$D:$D,'CECOS Corporativos'!$J:$J,""),"")</f>
        <v>VP Planificación y Servicios Técnicos</v>
      </c>
      <c r="E27" t="s">
        <v>757</v>
      </c>
      <c r="F27" t="str">
        <f t="shared" si="1"/>
        <v>N1005AD050</v>
      </c>
      <c r="G27" t="s">
        <v>746</v>
      </c>
      <c r="H27">
        <v>274878.51</v>
      </c>
      <c r="I27">
        <v>354561</v>
      </c>
      <c r="J27">
        <f t="shared" si="2"/>
        <v>79682.489999999991</v>
      </c>
      <c r="K27">
        <v>196572.34</v>
      </c>
      <c r="L27">
        <v>371000.01</v>
      </c>
      <c r="M27">
        <f t="shared" si="3"/>
        <v>174427.67</v>
      </c>
      <c r="N27">
        <v>48409.09</v>
      </c>
      <c r="O27">
        <v>324110</v>
      </c>
      <c r="P27">
        <f t="shared" si="4"/>
        <v>275700.91000000003</v>
      </c>
      <c r="Q27">
        <v>115763.55</v>
      </c>
      <c r="R27">
        <v>126997.83</v>
      </c>
      <c r="S27">
        <f t="shared" si="5"/>
        <v>11234.279999999999</v>
      </c>
    </row>
    <row r="28" spans="1:19" x14ac:dyDescent="0.3">
      <c r="A28" s="5" t="str">
        <f xml:space="preserve"> _xll.EPMOlapMemberO("[CECO].[PARENTH3].[AMSA1005AD0507]","","AMSA1005AD0507 - Operaciones Corp","","000")</f>
        <v>AMSA1005AD0507 - Operaciones Corp</v>
      </c>
      <c r="B28" s="5" t="str">
        <f t="shared" si="0"/>
        <v>1005AD0507</v>
      </c>
      <c r="C28" s="5" t="str">
        <f>IFERROR(_xlfn.XLOOKUP(B28,'CECOS Corporativos'!$D:$D,'CECOS Corporativos'!$E:$E,""),"")</f>
        <v>Operaciones Corp (Distribuibles)</v>
      </c>
      <c r="D28" s="5" t="str">
        <f>IFERROR(_xlfn.XLOOKUP(B28,'CECOS Corporativos'!$D:$D,'CECOS Corporativos'!$J:$J,""),"")</f>
        <v>VP Planificación y Servicios Técnicos</v>
      </c>
      <c r="E28" t="s">
        <v>758</v>
      </c>
      <c r="F28" t="str">
        <f t="shared" si="1"/>
        <v>N1005AD050</v>
      </c>
      <c r="G28" t="s">
        <v>746</v>
      </c>
      <c r="J28">
        <f t="shared" si="2"/>
        <v>0</v>
      </c>
      <c r="M28">
        <f t="shared" si="3"/>
        <v>0</v>
      </c>
      <c r="N28">
        <v>142107.32999999999</v>
      </c>
      <c r="O28">
        <v>101978</v>
      </c>
      <c r="P28">
        <f t="shared" si="4"/>
        <v>-40129.329999999987</v>
      </c>
      <c r="Q28">
        <v>119570.97</v>
      </c>
      <c r="R28">
        <v>71759.33</v>
      </c>
      <c r="S28">
        <f t="shared" si="5"/>
        <v>-47811.64</v>
      </c>
    </row>
    <row r="29" spans="1:19" x14ac:dyDescent="0.3">
      <c r="A29" s="5" t="str">
        <f xml:space="preserve"> _xll.EPMOlapMemberO("[CECO].[PARENTH3].[AMSA1005AD0507]","","AMSA1005AD0507 - Operaciones Corp","","000")</f>
        <v>AMSA1005AD0507 - Operaciones Corp</v>
      </c>
      <c r="B29" s="5" t="str">
        <f t="shared" si="0"/>
        <v>1005AD0507</v>
      </c>
      <c r="C29" s="5" t="str">
        <f>IFERROR(_xlfn.XLOOKUP(B29,'CECOS Corporativos'!$D:$D,'CECOS Corporativos'!$E:$E,""),"")</f>
        <v>Operaciones Corp (Distribuibles)</v>
      </c>
      <c r="D29" s="5" t="str">
        <f>IFERROR(_xlfn.XLOOKUP(B29,'CECOS Corporativos'!$D:$D,'CECOS Corporativos'!$J:$J,""),"")</f>
        <v>VP Planificación y Servicios Técnicos</v>
      </c>
      <c r="E29" t="s">
        <v>763</v>
      </c>
      <c r="F29" t="str">
        <f t="shared" si="1"/>
        <v>N1005AD050</v>
      </c>
      <c r="G29" t="s">
        <v>746</v>
      </c>
      <c r="I29">
        <v>26339</v>
      </c>
      <c r="J29">
        <f t="shared" si="2"/>
        <v>26339</v>
      </c>
      <c r="K29">
        <v>2156.58</v>
      </c>
      <c r="L29">
        <v>14139.99</v>
      </c>
      <c r="M29">
        <f t="shared" si="3"/>
        <v>11983.41</v>
      </c>
      <c r="N29">
        <v>56343.23</v>
      </c>
      <c r="O29">
        <v>45000</v>
      </c>
      <c r="P29">
        <f t="shared" si="4"/>
        <v>-11343.230000000003</v>
      </c>
      <c r="Q29">
        <v>35826.269999999997</v>
      </c>
      <c r="S29">
        <f t="shared" si="5"/>
        <v>-35826.269999999997</v>
      </c>
    </row>
    <row r="30" spans="1:19" x14ac:dyDescent="0.3">
      <c r="A30" s="5" t="str">
        <f xml:space="preserve"> _xll.EPMOlapMemberO("[CECO].[PARENTH3].[AMSA1005AD0507]","","AMSA1005AD0507 - Operaciones Corp","","000")</f>
        <v>AMSA1005AD0507 - Operaciones Corp</v>
      </c>
      <c r="B30" s="5" t="str">
        <f t="shared" si="0"/>
        <v>1005AD0507</v>
      </c>
      <c r="C30" s="5" t="str">
        <f>IFERROR(_xlfn.XLOOKUP(B30,'CECOS Corporativos'!$D:$D,'CECOS Corporativos'!$E:$E,""),"")</f>
        <v>Operaciones Corp (Distribuibles)</v>
      </c>
      <c r="D30" s="5" t="str">
        <f>IFERROR(_xlfn.XLOOKUP(B30,'CECOS Corporativos'!$D:$D,'CECOS Corporativos'!$J:$J,""),"")</f>
        <v>VP Planificación y Servicios Técnicos</v>
      </c>
      <c r="E30" t="s">
        <v>759</v>
      </c>
      <c r="F30" t="str">
        <f t="shared" si="1"/>
        <v>N1005AD050</v>
      </c>
      <c r="G30" t="s">
        <v>746</v>
      </c>
      <c r="J30">
        <f t="shared" si="2"/>
        <v>0</v>
      </c>
      <c r="M30">
        <f t="shared" si="3"/>
        <v>0</v>
      </c>
      <c r="P30">
        <f t="shared" si="4"/>
        <v>0</v>
      </c>
      <c r="Q30">
        <v>1226.26</v>
      </c>
      <c r="S30">
        <f t="shared" si="5"/>
        <v>-1226.26</v>
      </c>
    </row>
    <row r="31" spans="1:19" x14ac:dyDescent="0.3">
      <c r="A31" s="5" t="str">
        <f xml:space="preserve"> _xll.EPMOlapMemberO("[CECO].[PARENTH3].[AMSA1005AD0507]","","AMSA1005AD0507 - Operaciones Corp","","000")</f>
        <v>AMSA1005AD0507 - Operaciones Corp</v>
      </c>
      <c r="B31" s="5" t="str">
        <f t="shared" si="0"/>
        <v>1005AD0507</v>
      </c>
      <c r="C31" s="5" t="str">
        <f>IFERROR(_xlfn.XLOOKUP(B31,'CECOS Corporativos'!$D:$D,'CECOS Corporativos'!$E:$E,""),"")</f>
        <v>Operaciones Corp (Distribuibles)</v>
      </c>
      <c r="D31" s="5" t="str">
        <f>IFERROR(_xlfn.XLOOKUP(B31,'CECOS Corporativos'!$D:$D,'CECOS Corporativos'!$J:$J,""),"")</f>
        <v>VP Planificación y Servicios Técnicos</v>
      </c>
      <c r="E31" t="s">
        <v>761</v>
      </c>
      <c r="F31" t="str">
        <f t="shared" si="1"/>
        <v>N1005AD050</v>
      </c>
      <c r="G31" t="s">
        <v>746</v>
      </c>
      <c r="J31">
        <f t="shared" si="2"/>
        <v>0</v>
      </c>
      <c r="K31">
        <v>15795.54</v>
      </c>
      <c r="M31">
        <f t="shared" si="3"/>
        <v>-15795.54</v>
      </c>
      <c r="N31">
        <v>44.5</v>
      </c>
      <c r="P31">
        <f t="shared" si="4"/>
        <v>-44.5</v>
      </c>
      <c r="S31">
        <f t="shared" si="5"/>
        <v>0</v>
      </c>
    </row>
    <row r="32" spans="1:19" x14ac:dyDescent="0.3">
      <c r="A32" s="5" t="str">
        <f xml:space="preserve"> _xll.EPMOlapMemberO("[CECO].[PARENTH3].[AMSA1005AD0507]","","AMSA1005AD0507 - Operaciones Corp","","000")</f>
        <v>AMSA1005AD0507 - Operaciones Corp</v>
      </c>
      <c r="B32" s="5" t="str">
        <f t="shared" si="0"/>
        <v>1005AD0507</v>
      </c>
      <c r="C32" s="5" t="str">
        <f>IFERROR(_xlfn.XLOOKUP(B32,'CECOS Corporativos'!$D:$D,'CECOS Corporativos'!$E:$E,""),"")</f>
        <v>Operaciones Corp (Distribuibles)</v>
      </c>
      <c r="D32" s="5" t="str">
        <f>IFERROR(_xlfn.XLOOKUP(B32,'CECOS Corporativos'!$D:$D,'CECOS Corporativos'!$J:$J,""),"")</f>
        <v>VP Planificación y Servicios Técnicos</v>
      </c>
      <c r="E32" t="s">
        <v>770</v>
      </c>
      <c r="F32" t="str">
        <f t="shared" si="1"/>
        <v>N1005AD050</v>
      </c>
      <c r="G32" t="s">
        <v>746</v>
      </c>
      <c r="J32">
        <f t="shared" si="2"/>
        <v>0</v>
      </c>
      <c r="M32">
        <f t="shared" si="3"/>
        <v>0</v>
      </c>
      <c r="O32">
        <v>-42753.91</v>
      </c>
      <c r="P32">
        <f t="shared" si="4"/>
        <v>-42753.91</v>
      </c>
      <c r="S32">
        <f t="shared" si="5"/>
        <v>0</v>
      </c>
    </row>
    <row r="33" spans="1:19" x14ac:dyDescent="0.3">
      <c r="A33" s="5" t="str">
        <f xml:space="preserve"> _xll.EPMOlapMemberO("[CECO].[PARENTH3].[AMSA1005AD0507]","","AMSA1005AD0507 - Operaciones Corp","","000")</f>
        <v>AMSA1005AD0507 - Operaciones Corp</v>
      </c>
      <c r="B33" s="5" t="str">
        <f t="shared" si="0"/>
        <v>1005AD0507</v>
      </c>
      <c r="C33" s="5" t="str">
        <f>IFERROR(_xlfn.XLOOKUP(B33,'CECOS Corporativos'!$D:$D,'CECOS Corporativos'!$E:$E,""),"")</f>
        <v>Operaciones Corp (Distribuibles)</v>
      </c>
      <c r="D33" s="5" t="str">
        <f>IFERROR(_xlfn.XLOOKUP(B33,'CECOS Corporativos'!$D:$D,'CECOS Corporativos'!$J:$J,""),"")</f>
        <v>VP Planificación y Servicios Técnicos</v>
      </c>
      <c r="E33" t="s">
        <v>764</v>
      </c>
      <c r="F33" t="str">
        <f t="shared" si="1"/>
        <v>N1005AD050</v>
      </c>
      <c r="G33" t="s">
        <v>746</v>
      </c>
      <c r="J33">
        <f t="shared" si="2"/>
        <v>0</v>
      </c>
      <c r="K33">
        <v>0</v>
      </c>
      <c r="M33">
        <f t="shared" si="3"/>
        <v>0</v>
      </c>
      <c r="N33">
        <v>1058173</v>
      </c>
      <c r="O33">
        <v>1172491</v>
      </c>
      <c r="P33">
        <f t="shared" si="4"/>
        <v>114318</v>
      </c>
      <c r="Q33">
        <v>1190876</v>
      </c>
      <c r="R33">
        <v>1250012.1499999999</v>
      </c>
      <c r="S33">
        <f t="shared" si="5"/>
        <v>59136.149999999907</v>
      </c>
    </row>
    <row r="34" spans="1:19" x14ac:dyDescent="0.3">
      <c r="A34" s="5" t="str">
        <f xml:space="preserve"> _xll.EPMOlapMemberO("[CECO].[PARENTH3].[AMSA1005AD0509]","","AMSA1005AD0509 - Finanzas Corporativo","","000")</f>
        <v>AMSA1005AD0509 - Finanzas Corporativo</v>
      </c>
      <c r="B34" s="5" t="str">
        <f t="shared" si="0"/>
        <v>1005AD0509</v>
      </c>
      <c r="C34" s="5" t="str">
        <f>IFERROR(_xlfn.XLOOKUP(B34,'CECOS Corporativos'!$D:$D,'CECOS Corporativos'!$E:$E,""),"")</f>
        <v>Finanzas Corporativo (HH Corporativo)</v>
      </c>
      <c r="D34" s="5" t="str">
        <f>IFERROR(_xlfn.XLOOKUP(B34,'CECOS Corporativos'!$D:$D,'CECOS Corporativos'!$J:$J,""),"")</f>
        <v>VP Finanzas</v>
      </c>
      <c r="E34" t="s">
        <v>758</v>
      </c>
      <c r="F34" t="str">
        <f t="shared" si="1"/>
        <v>N1005AD050</v>
      </c>
      <c r="G34" t="s">
        <v>746</v>
      </c>
      <c r="J34">
        <f t="shared" si="2"/>
        <v>0</v>
      </c>
      <c r="M34">
        <f t="shared" si="3"/>
        <v>0</v>
      </c>
      <c r="N34">
        <v>1621.34</v>
      </c>
      <c r="P34">
        <f t="shared" si="4"/>
        <v>-1621.34</v>
      </c>
      <c r="S34">
        <f t="shared" si="5"/>
        <v>0</v>
      </c>
    </row>
    <row r="35" spans="1:19" x14ac:dyDescent="0.3">
      <c r="A35" s="5" t="str">
        <f xml:space="preserve"> _xll.EPMOlapMemberO("[CECO].[PARENTH3].[AMSA1005AD0509]","","AMSA1005AD0509 - Finanzas Corporativo","","000")</f>
        <v>AMSA1005AD0509 - Finanzas Corporativo</v>
      </c>
      <c r="B35" s="5" t="str">
        <f t="shared" si="0"/>
        <v>1005AD0509</v>
      </c>
      <c r="C35" s="5" t="str">
        <f>IFERROR(_xlfn.XLOOKUP(B35,'CECOS Corporativos'!$D:$D,'CECOS Corporativos'!$E:$E,""),"")</f>
        <v>Finanzas Corporativo (HH Corporativo)</v>
      </c>
      <c r="D35" s="5" t="str">
        <f>IFERROR(_xlfn.XLOOKUP(B35,'CECOS Corporativos'!$D:$D,'CECOS Corporativos'!$J:$J,""),"")</f>
        <v>VP Finanzas</v>
      </c>
      <c r="E35" t="s">
        <v>759</v>
      </c>
      <c r="F35" t="str">
        <f t="shared" si="1"/>
        <v>N1005AD050</v>
      </c>
      <c r="G35" t="s">
        <v>746</v>
      </c>
      <c r="J35">
        <f t="shared" si="2"/>
        <v>0</v>
      </c>
      <c r="M35">
        <f t="shared" si="3"/>
        <v>0</v>
      </c>
      <c r="N35">
        <v>496.05</v>
      </c>
      <c r="P35">
        <f t="shared" si="4"/>
        <v>-496.05</v>
      </c>
      <c r="Q35">
        <v>538.70000000000005</v>
      </c>
      <c r="S35">
        <f t="shared" si="5"/>
        <v>-538.70000000000005</v>
      </c>
    </row>
    <row r="36" spans="1:19" x14ac:dyDescent="0.3">
      <c r="A36" s="5" t="str">
        <f xml:space="preserve"> _xll.EPMOlapMemberO("[CECO].[PARENTH3].[AMSA1005AD0509]","","AMSA1005AD0509 - Finanzas Corporativo","","000")</f>
        <v>AMSA1005AD0509 - Finanzas Corporativo</v>
      </c>
      <c r="B36" s="5" t="str">
        <f t="shared" si="0"/>
        <v>1005AD0509</v>
      </c>
      <c r="C36" s="5" t="str">
        <f>IFERROR(_xlfn.XLOOKUP(B36,'CECOS Corporativos'!$D:$D,'CECOS Corporativos'!$E:$E,""),"")</f>
        <v>Finanzas Corporativo (HH Corporativo)</v>
      </c>
      <c r="D36" s="5" t="str">
        <f>IFERROR(_xlfn.XLOOKUP(B36,'CECOS Corporativos'!$D:$D,'CECOS Corporativos'!$J:$J,""),"")</f>
        <v>VP Finanzas</v>
      </c>
      <c r="E36" t="s">
        <v>764</v>
      </c>
      <c r="F36" t="str">
        <f t="shared" si="1"/>
        <v>N1005AD050</v>
      </c>
      <c r="G36" t="s">
        <v>746</v>
      </c>
      <c r="J36">
        <f t="shared" si="2"/>
        <v>0</v>
      </c>
      <c r="M36">
        <f t="shared" si="3"/>
        <v>0</v>
      </c>
      <c r="N36">
        <v>2679003</v>
      </c>
      <c r="O36">
        <v>2968416</v>
      </c>
      <c r="P36">
        <f t="shared" si="4"/>
        <v>289413</v>
      </c>
      <c r="Q36">
        <v>2615886</v>
      </c>
      <c r="R36">
        <v>2745781.81</v>
      </c>
      <c r="S36">
        <f t="shared" si="5"/>
        <v>129895.81000000006</v>
      </c>
    </row>
    <row r="37" spans="1:19" x14ac:dyDescent="0.3">
      <c r="A37" s="5" t="str">
        <f xml:space="preserve"> _xll.EPMOlapMemberO("[CECO].[PARENTH3].[AMSA1005AD0510]","","AMSA1005AD0510 - Legal Corporativo","","000")</f>
        <v>AMSA1005AD0510 - Legal Corporativo</v>
      </c>
      <c r="B37" s="5" t="str">
        <f t="shared" si="0"/>
        <v>1005AD0510</v>
      </c>
      <c r="C37" s="5" t="str">
        <f>IFERROR(_xlfn.XLOOKUP(B37,'CECOS Corporativos'!$D:$D,'CECOS Corporativos'!$E:$E,""),"")</f>
        <v>Legal Corporativo (HH Corporativo)</v>
      </c>
      <c r="D37" s="5" t="str">
        <f>IFERROR(_xlfn.XLOOKUP(B37,'CECOS Corporativos'!$D:$D,'CECOS Corporativos'!$J:$J,""),"")</f>
        <v>VP Legal</v>
      </c>
      <c r="E37" t="s">
        <v>764</v>
      </c>
      <c r="F37" t="str">
        <f t="shared" si="1"/>
        <v>N1005AD050</v>
      </c>
      <c r="G37" t="s">
        <v>746</v>
      </c>
      <c r="J37">
        <f t="shared" si="2"/>
        <v>0</v>
      </c>
      <c r="M37">
        <f t="shared" si="3"/>
        <v>0</v>
      </c>
      <c r="N37">
        <v>357822</v>
      </c>
      <c r="O37">
        <v>396479</v>
      </c>
      <c r="P37">
        <f t="shared" si="4"/>
        <v>38657</v>
      </c>
      <c r="Q37">
        <v>399980</v>
      </c>
      <c r="R37">
        <v>419840.67</v>
      </c>
      <c r="S37">
        <f t="shared" si="5"/>
        <v>19860.669999999984</v>
      </c>
    </row>
    <row r="38" spans="1:19" x14ac:dyDescent="0.3">
      <c r="A38" s="5" t="str">
        <f xml:space="preserve"> _xll.EPMOlapMemberO("[CECO].[PARENTH3].[AMSA1005AD0512]","","AMSA1005AD0512 - Reporting VPACS Corp","","000")</f>
        <v>AMSA1005AD0512 - Reporting VPACS Corp</v>
      </c>
      <c r="B38" s="5" t="str">
        <f t="shared" si="0"/>
        <v>1005AD0512</v>
      </c>
      <c r="C38" s="5" t="str">
        <f>IFERROR(_xlfn.XLOOKUP(B38,'CECOS Corporativos'!$D:$D,'CECOS Corporativos'!$E:$E,""),"")</f>
        <v>Reporting VPACS Corporativo</v>
      </c>
      <c r="D38" s="5" t="str">
        <f>IFERROR(_xlfn.XLOOKUP(B38,'CECOS Corporativos'!$D:$D,'CECOS Corporativos'!$J:$J,""),"")</f>
        <v>VP Sustentabilidad</v>
      </c>
      <c r="E38" t="s">
        <v>757</v>
      </c>
      <c r="F38" t="str">
        <f t="shared" si="1"/>
        <v>N1005AD050</v>
      </c>
      <c r="G38" t="s">
        <v>746</v>
      </c>
      <c r="J38">
        <f t="shared" si="2"/>
        <v>0</v>
      </c>
      <c r="M38">
        <f t="shared" si="3"/>
        <v>0</v>
      </c>
      <c r="N38">
        <v>-25.89</v>
      </c>
      <c r="P38">
        <f t="shared" si="4"/>
        <v>25.89</v>
      </c>
      <c r="S38">
        <f t="shared" si="5"/>
        <v>0</v>
      </c>
    </row>
    <row r="39" spans="1:19" x14ac:dyDescent="0.3">
      <c r="A39" s="5" t="str">
        <f xml:space="preserve"> _xll.EPMOlapMemberO("[CECO].[PARENTH3].[AMSA1005AD0512]","","AMSA1005AD0512 - Reporting VPACS Corp","","000")</f>
        <v>AMSA1005AD0512 - Reporting VPACS Corp</v>
      </c>
      <c r="B39" s="5" t="str">
        <f t="shared" si="0"/>
        <v>1005AD0512</v>
      </c>
      <c r="C39" s="5" t="str">
        <f>IFERROR(_xlfn.XLOOKUP(B39,'CECOS Corporativos'!$D:$D,'CECOS Corporativos'!$E:$E,""),"")</f>
        <v>Reporting VPACS Corporativo</v>
      </c>
      <c r="D39" s="5" t="str">
        <f>IFERROR(_xlfn.XLOOKUP(B39,'CECOS Corporativos'!$D:$D,'CECOS Corporativos'!$J:$J,""),"")</f>
        <v>VP Sustentabilidad</v>
      </c>
      <c r="E39" t="s">
        <v>758</v>
      </c>
      <c r="F39" t="str">
        <f t="shared" si="1"/>
        <v>N1005AD050</v>
      </c>
      <c r="G39" t="s">
        <v>746</v>
      </c>
      <c r="J39">
        <f t="shared" si="2"/>
        <v>0</v>
      </c>
      <c r="M39">
        <f t="shared" si="3"/>
        <v>0</v>
      </c>
      <c r="N39">
        <v>36581.51</v>
      </c>
      <c r="O39">
        <v>36923</v>
      </c>
      <c r="P39">
        <f t="shared" si="4"/>
        <v>341.48999999999796</v>
      </c>
      <c r="Q39">
        <v>25760.080000000002</v>
      </c>
      <c r="R39">
        <v>30472.51</v>
      </c>
      <c r="S39">
        <f t="shared" si="5"/>
        <v>4712.4299999999967</v>
      </c>
    </row>
    <row r="40" spans="1:19" x14ac:dyDescent="0.3">
      <c r="A40" s="5" t="str">
        <f xml:space="preserve"> _xll.EPMOlapMemberO("[CECO].[PARENTH3].[AMSA1005AD0512]","","AMSA1005AD0512 - Reporting VPACS Corp","","000")</f>
        <v>AMSA1005AD0512 - Reporting VPACS Corp</v>
      </c>
      <c r="B40" s="5" t="str">
        <f t="shared" si="0"/>
        <v>1005AD0512</v>
      </c>
      <c r="C40" s="5" t="str">
        <f>IFERROR(_xlfn.XLOOKUP(B40,'CECOS Corporativos'!$D:$D,'CECOS Corporativos'!$E:$E,""),"")</f>
        <v>Reporting VPACS Corporativo</v>
      </c>
      <c r="D40" s="5" t="str">
        <f>IFERROR(_xlfn.XLOOKUP(B40,'CECOS Corporativos'!$D:$D,'CECOS Corporativos'!$J:$J,""),"")</f>
        <v>VP Sustentabilidad</v>
      </c>
      <c r="E40" t="s">
        <v>763</v>
      </c>
      <c r="F40" t="str">
        <f t="shared" si="1"/>
        <v>N1005AD050</v>
      </c>
      <c r="G40" t="s">
        <v>746</v>
      </c>
      <c r="J40">
        <f t="shared" si="2"/>
        <v>0</v>
      </c>
      <c r="M40">
        <f t="shared" si="3"/>
        <v>0</v>
      </c>
      <c r="N40">
        <v>421.5</v>
      </c>
      <c r="O40">
        <v>2639</v>
      </c>
      <c r="P40">
        <f t="shared" si="4"/>
        <v>2217.5</v>
      </c>
      <c r="S40">
        <f t="shared" si="5"/>
        <v>0</v>
      </c>
    </row>
    <row r="41" spans="1:19" x14ac:dyDescent="0.3">
      <c r="A41" s="5" t="str">
        <f xml:space="preserve"> _xll.EPMOlapMemberO("[CECO].[PARENTH3].[AMSA1005AD0512]","","AMSA1005AD0512 - Reporting VPACS Corp","","000")</f>
        <v>AMSA1005AD0512 - Reporting VPACS Corp</v>
      </c>
      <c r="B41" s="5" t="str">
        <f t="shared" si="0"/>
        <v>1005AD0512</v>
      </c>
      <c r="C41" s="5" t="str">
        <f>IFERROR(_xlfn.XLOOKUP(B41,'CECOS Corporativos'!$D:$D,'CECOS Corporativos'!$E:$E,""),"")</f>
        <v>Reporting VPACS Corporativo</v>
      </c>
      <c r="D41" s="5" t="str">
        <f>IFERROR(_xlfn.XLOOKUP(B41,'CECOS Corporativos'!$D:$D,'CECOS Corporativos'!$J:$J,""),"")</f>
        <v>VP Sustentabilidad</v>
      </c>
      <c r="E41" t="s">
        <v>761</v>
      </c>
      <c r="F41" t="str">
        <f t="shared" si="1"/>
        <v>N1005AD050</v>
      </c>
      <c r="G41" t="s">
        <v>746</v>
      </c>
      <c r="J41">
        <f t="shared" si="2"/>
        <v>0</v>
      </c>
      <c r="M41">
        <f t="shared" si="3"/>
        <v>0</v>
      </c>
      <c r="N41">
        <v>50667.18</v>
      </c>
      <c r="O41">
        <v>49478</v>
      </c>
      <c r="P41">
        <f t="shared" si="4"/>
        <v>-1189.1800000000003</v>
      </c>
      <c r="Q41">
        <v>54135.64</v>
      </c>
      <c r="R41">
        <v>51929.120000000003</v>
      </c>
      <c r="S41">
        <f t="shared" si="5"/>
        <v>-2206.5199999999968</v>
      </c>
    </row>
    <row r="42" spans="1:19" x14ac:dyDescent="0.3">
      <c r="A42" s="5" t="str">
        <f xml:space="preserve"> _xll.EPMOlapMemberO("[CECO].[PARENTH3].[AMSA1005AD3503]","","AMSA1005AD3503 - Finanzas","","000")</f>
        <v>AMSA1005AD3503 - Finanzas</v>
      </c>
      <c r="B42" s="5" t="str">
        <f t="shared" si="0"/>
        <v>1005AD3503</v>
      </c>
      <c r="C42" s="5" t="str">
        <f>IFERROR(_xlfn.XLOOKUP(B42,'CECOS Corporativos'!$D:$D,'CECOS Corporativos'!$E:$E,""),"")</f>
        <v>Gerencia de Inversiones &amp; Finanzas</v>
      </c>
      <c r="D42" s="5" t="str">
        <f>IFERROR(_xlfn.XLOOKUP(B42,'CECOS Corporativos'!$D:$D,'CECOS Corporativos'!$J:$J,""),"")</f>
        <v>VP Finanzas</v>
      </c>
      <c r="E42" t="s">
        <v>777</v>
      </c>
      <c r="F42" t="str">
        <f t="shared" si="1"/>
        <v>N1005AD350</v>
      </c>
      <c r="G42" t="s">
        <v>747</v>
      </c>
      <c r="H42">
        <v>709767.58</v>
      </c>
      <c r="I42">
        <v>976223.02</v>
      </c>
      <c r="J42">
        <f t="shared" si="2"/>
        <v>266455.44000000006</v>
      </c>
      <c r="K42">
        <v>-529452.56000000006</v>
      </c>
      <c r="L42">
        <v>609245.05000000005</v>
      </c>
      <c r="M42">
        <f t="shared" si="3"/>
        <v>1138697.6100000001</v>
      </c>
      <c r="N42">
        <v>193.98</v>
      </c>
      <c r="P42">
        <f t="shared" si="4"/>
        <v>-193.98</v>
      </c>
      <c r="S42">
        <f t="shared" si="5"/>
        <v>0</v>
      </c>
    </row>
    <row r="43" spans="1:19" x14ac:dyDescent="0.3">
      <c r="A43" s="5" t="str">
        <f xml:space="preserve"> _xll.EPMOlapMemberO("[CECO].[PARENTH3].[AMSA1005AD3503]","","AMSA1005AD3503 - Finanzas","","000")</f>
        <v>AMSA1005AD3503 - Finanzas</v>
      </c>
      <c r="B43" s="5" t="str">
        <f t="shared" si="0"/>
        <v>1005AD3503</v>
      </c>
      <c r="C43" s="5" t="str">
        <f>IFERROR(_xlfn.XLOOKUP(B43,'CECOS Corporativos'!$D:$D,'CECOS Corporativos'!$E:$E,""),"")</f>
        <v>Gerencia de Inversiones &amp; Finanzas</v>
      </c>
      <c r="D43" s="5" t="str">
        <f>IFERROR(_xlfn.XLOOKUP(B43,'CECOS Corporativos'!$D:$D,'CECOS Corporativos'!$J:$J,""),"")</f>
        <v>VP Finanzas</v>
      </c>
      <c r="E43" t="s">
        <v>768</v>
      </c>
      <c r="F43" t="str">
        <f t="shared" si="1"/>
        <v>N1005AD350</v>
      </c>
      <c r="G43" t="s">
        <v>747</v>
      </c>
      <c r="H43">
        <v>0</v>
      </c>
      <c r="J43">
        <f t="shared" si="2"/>
        <v>0</v>
      </c>
      <c r="M43">
        <f t="shared" si="3"/>
        <v>0</v>
      </c>
      <c r="P43">
        <f t="shared" si="4"/>
        <v>0</v>
      </c>
      <c r="Q43">
        <v>0</v>
      </c>
      <c r="S43">
        <f t="shared" si="5"/>
        <v>0</v>
      </c>
    </row>
    <row r="44" spans="1:19" x14ac:dyDescent="0.3">
      <c r="A44" s="5" t="str">
        <f xml:space="preserve"> _xll.EPMOlapMemberO("[CECO].[PARENTH3].[AMSA1005AD3503]","","AMSA1005AD3503 - Finanzas","","000")</f>
        <v>AMSA1005AD3503 - Finanzas</v>
      </c>
      <c r="B44" s="5" t="str">
        <f t="shared" si="0"/>
        <v>1005AD3503</v>
      </c>
      <c r="C44" s="5" t="str">
        <f>IFERROR(_xlfn.XLOOKUP(B44,'CECOS Corporativos'!$D:$D,'CECOS Corporativos'!$E:$E,""),"")</f>
        <v>Gerencia de Inversiones &amp; Finanzas</v>
      </c>
      <c r="D44" s="5" t="str">
        <f>IFERROR(_xlfn.XLOOKUP(B44,'CECOS Corporativos'!$D:$D,'CECOS Corporativos'!$J:$J,""),"")</f>
        <v>VP Finanzas</v>
      </c>
      <c r="E44" t="s">
        <v>765</v>
      </c>
      <c r="F44" t="str">
        <f t="shared" si="1"/>
        <v>N1005AD350</v>
      </c>
      <c r="G44" t="s">
        <v>747</v>
      </c>
      <c r="J44">
        <f t="shared" si="2"/>
        <v>0</v>
      </c>
      <c r="K44">
        <v>-0.77</v>
      </c>
      <c r="M44">
        <f t="shared" si="3"/>
        <v>0.77</v>
      </c>
      <c r="P44">
        <f t="shared" si="4"/>
        <v>0</v>
      </c>
      <c r="Q44">
        <v>0.32</v>
      </c>
      <c r="S44">
        <f t="shared" si="5"/>
        <v>-0.32</v>
      </c>
    </row>
    <row r="45" spans="1:19" x14ac:dyDescent="0.3">
      <c r="A45" s="5" t="str">
        <f xml:space="preserve"> _xll.EPMOlapMemberO("[CECO].[PARENTH3].[AMSA1005AD3503]","","AMSA1005AD3503 - Finanzas","","000")</f>
        <v>AMSA1005AD3503 - Finanzas</v>
      </c>
      <c r="B45" s="5" t="str">
        <f t="shared" si="0"/>
        <v>1005AD3503</v>
      </c>
      <c r="C45" s="5" t="str">
        <f>IFERROR(_xlfn.XLOOKUP(B45,'CECOS Corporativos'!$D:$D,'CECOS Corporativos'!$E:$E,""),"")</f>
        <v>Gerencia de Inversiones &amp; Finanzas</v>
      </c>
      <c r="D45" s="5" t="str">
        <f>IFERROR(_xlfn.XLOOKUP(B45,'CECOS Corporativos'!$D:$D,'CECOS Corporativos'!$J:$J,""),"")</f>
        <v>VP Finanzas</v>
      </c>
      <c r="E45" t="s">
        <v>757</v>
      </c>
      <c r="F45" t="str">
        <f t="shared" si="1"/>
        <v>N1005AD350</v>
      </c>
      <c r="G45" t="s">
        <v>747</v>
      </c>
      <c r="H45">
        <v>36919.519999999997</v>
      </c>
      <c r="I45">
        <v>99785</v>
      </c>
      <c r="J45">
        <f t="shared" si="2"/>
        <v>62865.48</v>
      </c>
      <c r="K45">
        <v>4639.76</v>
      </c>
      <c r="L45">
        <v>1348.76</v>
      </c>
      <c r="M45">
        <f t="shared" si="3"/>
        <v>-3291</v>
      </c>
      <c r="N45">
        <v>1280.3699999999999</v>
      </c>
      <c r="O45">
        <v>1412</v>
      </c>
      <c r="P45">
        <f t="shared" si="4"/>
        <v>131.63000000000011</v>
      </c>
      <c r="Q45">
        <v>-10</v>
      </c>
      <c r="R45">
        <v>1300</v>
      </c>
      <c r="S45">
        <f t="shared" si="5"/>
        <v>1310</v>
      </c>
    </row>
    <row r="46" spans="1:19" x14ac:dyDescent="0.3">
      <c r="A46" s="5" t="str">
        <f xml:space="preserve"> _xll.EPMOlapMemberO("[CECO].[PARENTH3].[AMSA1005AD3503]","","AMSA1005AD3503 - Finanzas","","000")</f>
        <v>AMSA1005AD3503 - Finanzas</v>
      </c>
      <c r="B46" s="5" t="str">
        <f t="shared" si="0"/>
        <v>1005AD3503</v>
      </c>
      <c r="C46" s="5" t="str">
        <f>IFERROR(_xlfn.XLOOKUP(B46,'CECOS Corporativos'!$D:$D,'CECOS Corporativos'!$E:$E,""),"")</f>
        <v>Gerencia de Inversiones &amp; Finanzas</v>
      </c>
      <c r="D46" s="5" t="str">
        <f>IFERROR(_xlfn.XLOOKUP(B46,'CECOS Corporativos'!$D:$D,'CECOS Corporativos'!$J:$J,""),"")</f>
        <v>VP Finanzas</v>
      </c>
      <c r="E46" t="s">
        <v>758</v>
      </c>
      <c r="F46" t="str">
        <f t="shared" si="1"/>
        <v>N1005AD350</v>
      </c>
      <c r="G46" t="s">
        <v>747</v>
      </c>
      <c r="H46">
        <v>-12020.66</v>
      </c>
      <c r="J46">
        <f t="shared" si="2"/>
        <v>12020.66</v>
      </c>
      <c r="M46">
        <f t="shared" si="3"/>
        <v>0</v>
      </c>
      <c r="P46">
        <f t="shared" si="4"/>
        <v>0</v>
      </c>
      <c r="Q46">
        <v>0</v>
      </c>
      <c r="S46">
        <f t="shared" si="5"/>
        <v>0</v>
      </c>
    </row>
    <row r="47" spans="1:19" x14ac:dyDescent="0.3">
      <c r="A47" s="5" t="str">
        <f xml:space="preserve"> _xll.EPMOlapMemberO("[CECO].[PARENTH3].[AMSA1005AD3503]","","AMSA1005AD3503 - Finanzas","","000")</f>
        <v>AMSA1005AD3503 - Finanzas</v>
      </c>
      <c r="B47" s="5" t="str">
        <f t="shared" si="0"/>
        <v>1005AD3503</v>
      </c>
      <c r="C47" s="5" t="str">
        <f>IFERROR(_xlfn.XLOOKUP(B47,'CECOS Corporativos'!$D:$D,'CECOS Corporativos'!$E:$E,""),"")</f>
        <v>Gerencia de Inversiones &amp; Finanzas</v>
      </c>
      <c r="D47" s="5" t="str">
        <f>IFERROR(_xlfn.XLOOKUP(B47,'CECOS Corporativos'!$D:$D,'CECOS Corporativos'!$J:$J,""),"")</f>
        <v>VP Finanzas</v>
      </c>
      <c r="E47" t="s">
        <v>763</v>
      </c>
      <c r="F47" t="str">
        <f t="shared" si="1"/>
        <v>N1005AD350</v>
      </c>
      <c r="G47" t="s">
        <v>747</v>
      </c>
      <c r="H47">
        <v>698.2</v>
      </c>
      <c r="I47">
        <v>1235</v>
      </c>
      <c r="J47">
        <f t="shared" si="2"/>
        <v>536.79999999999995</v>
      </c>
      <c r="K47">
        <v>2272.42</v>
      </c>
      <c r="L47">
        <v>1249.18</v>
      </c>
      <c r="M47">
        <f t="shared" si="3"/>
        <v>-1023.24</v>
      </c>
      <c r="N47">
        <v>1146.6500000000001</v>
      </c>
      <c r="O47">
        <v>1200</v>
      </c>
      <c r="P47">
        <f t="shared" si="4"/>
        <v>53.349999999999909</v>
      </c>
      <c r="Q47">
        <v>6075</v>
      </c>
      <c r="R47">
        <v>400</v>
      </c>
      <c r="S47">
        <f t="shared" si="5"/>
        <v>-5675</v>
      </c>
    </row>
    <row r="48" spans="1:19" x14ac:dyDescent="0.3">
      <c r="A48" s="5" t="str">
        <f xml:space="preserve"> _xll.EPMOlapMemberO("[CECO].[PARENTH3].[AMSA1005AD3503]","","AMSA1005AD3503 - Finanzas","","000")</f>
        <v>AMSA1005AD3503 - Finanzas</v>
      </c>
      <c r="B48" s="5" t="str">
        <f t="shared" si="0"/>
        <v>1005AD3503</v>
      </c>
      <c r="C48" s="5" t="str">
        <f>IFERROR(_xlfn.XLOOKUP(B48,'CECOS Corporativos'!$D:$D,'CECOS Corporativos'!$E:$E,""),"")</f>
        <v>Gerencia de Inversiones &amp; Finanzas</v>
      </c>
      <c r="D48" s="5" t="str">
        <f>IFERROR(_xlfn.XLOOKUP(B48,'CECOS Corporativos'!$D:$D,'CECOS Corporativos'!$J:$J,""),"")</f>
        <v>VP Finanzas</v>
      </c>
      <c r="E48" t="s">
        <v>759</v>
      </c>
      <c r="F48" t="str">
        <f t="shared" si="1"/>
        <v>N1005AD350</v>
      </c>
      <c r="G48" t="s">
        <v>747</v>
      </c>
      <c r="H48">
        <v>0</v>
      </c>
      <c r="J48">
        <f t="shared" si="2"/>
        <v>0</v>
      </c>
      <c r="M48">
        <f t="shared" si="3"/>
        <v>0</v>
      </c>
      <c r="P48">
        <f t="shared" si="4"/>
        <v>0</v>
      </c>
      <c r="Q48">
        <v>0</v>
      </c>
      <c r="S48">
        <f t="shared" si="5"/>
        <v>0</v>
      </c>
    </row>
    <row r="49" spans="1:19" x14ac:dyDescent="0.3">
      <c r="A49" s="5" t="str">
        <f xml:space="preserve"> _xll.EPMOlapMemberO("[CECO].[PARENTH3].[AMSA1005AD3503]","","AMSA1005AD3503 - Finanzas","","000")</f>
        <v>AMSA1005AD3503 - Finanzas</v>
      </c>
      <c r="B49" s="5" t="str">
        <f t="shared" si="0"/>
        <v>1005AD3503</v>
      </c>
      <c r="C49" s="5" t="str">
        <f>IFERROR(_xlfn.XLOOKUP(B49,'CECOS Corporativos'!$D:$D,'CECOS Corporativos'!$E:$E,""),"")</f>
        <v>Gerencia de Inversiones &amp; Finanzas</v>
      </c>
      <c r="D49" s="5" t="str">
        <f>IFERROR(_xlfn.XLOOKUP(B49,'CECOS Corporativos'!$D:$D,'CECOS Corporativos'!$J:$J,""),"")</f>
        <v>VP Finanzas</v>
      </c>
      <c r="E49" t="s">
        <v>767</v>
      </c>
      <c r="F49" t="str">
        <f t="shared" si="1"/>
        <v>N1005AD350</v>
      </c>
      <c r="G49" t="s">
        <v>747</v>
      </c>
      <c r="H49">
        <v>0</v>
      </c>
      <c r="J49">
        <f t="shared" si="2"/>
        <v>0</v>
      </c>
      <c r="M49">
        <f t="shared" si="3"/>
        <v>0</v>
      </c>
      <c r="P49">
        <f t="shared" si="4"/>
        <v>0</v>
      </c>
      <c r="S49">
        <f t="shared" si="5"/>
        <v>0</v>
      </c>
    </row>
    <row r="50" spans="1:19" x14ac:dyDescent="0.3">
      <c r="A50" s="5" t="str">
        <f xml:space="preserve"> _xll.EPMOlapMemberO("[CECO].[PARENTH3].[AMSA1005AD3503]","","AMSA1005AD3503 - Finanzas","","000")</f>
        <v>AMSA1005AD3503 - Finanzas</v>
      </c>
      <c r="B50" s="5" t="str">
        <f t="shared" si="0"/>
        <v>1005AD3503</v>
      </c>
      <c r="C50" s="5" t="str">
        <f>IFERROR(_xlfn.XLOOKUP(B50,'CECOS Corporativos'!$D:$D,'CECOS Corporativos'!$E:$E,""),"")</f>
        <v>Gerencia de Inversiones &amp; Finanzas</v>
      </c>
      <c r="D50" s="5" t="str">
        <f>IFERROR(_xlfn.XLOOKUP(B50,'CECOS Corporativos'!$D:$D,'CECOS Corporativos'!$J:$J,""),"")</f>
        <v>VP Finanzas</v>
      </c>
      <c r="E50" t="s">
        <v>761</v>
      </c>
      <c r="F50" t="str">
        <f t="shared" si="1"/>
        <v>N1005AD350</v>
      </c>
      <c r="G50" t="s">
        <v>747</v>
      </c>
      <c r="I50">
        <v>3082</v>
      </c>
      <c r="J50">
        <f t="shared" si="2"/>
        <v>3082</v>
      </c>
      <c r="L50">
        <v>2736.31</v>
      </c>
      <c r="M50">
        <f t="shared" si="3"/>
        <v>2736.31</v>
      </c>
      <c r="N50">
        <v>94.68</v>
      </c>
      <c r="P50">
        <f t="shared" si="4"/>
        <v>-94.68</v>
      </c>
      <c r="Q50">
        <v>0</v>
      </c>
      <c r="S50">
        <f t="shared" si="5"/>
        <v>0</v>
      </c>
    </row>
    <row r="51" spans="1:19" x14ac:dyDescent="0.3">
      <c r="A51" s="5" t="str">
        <f xml:space="preserve"> _xll.EPMOlapMemberO("[CECO].[PARENTH3].[AMSA1005AD3503]","","AMSA1005AD3503 - Finanzas","","000")</f>
        <v>AMSA1005AD3503 - Finanzas</v>
      </c>
      <c r="B51" s="5" t="str">
        <f t="shared" si="0"/>
        <v>1005AD3503</v>
      </c>
      <c r="C51" s="5" t="str">
        <f>IFERROR(_xlfn.XLOOKUP(B51,'CECOS Corporativos'!$D:$D,'CECOS Corporativos'!$E:$E,""),"")</f>
        <v>Gerencia de Inversiones &amp; Finanzas</v>
      </c>
      <c r="D51" s="5" t="str">
        <f>IFERROR(_xlfn.XLOOKUP(B51,'CECOS Corporativos'!$D:$D,'CECOS Corporativos'!$J:$J,""),"")</f>
        <v>VP Finanzas</v>
      </c>
      <c r="E51" t="s">
        <v>770</v>
      </c>
      <c r="F51" t="str">
        <f t="shared" si="1"/>
        <v>N1005AD350</v>
      </c>
      <c r="G51" t="s">
        <v>747</v>
      </c>
      <c r="J51">
        <f t="shared" si="2"/>
        <v>0</v>
      </c>
      <c r="M51">
        <f t="shared" si="3"/>
        <v>0</v>
      </c>
      <c r="O51">
        <v>-22348.880000000001</v>
      </c>
      <c r="P51">
        <f t="shared" si="4"/>
        <v>-22348.880000000001</v>
      </c>
      <c r="S51">
        <f t="shared" si="5"/>
        <v>0</v>
      </c>
    </row>
    <row r="52" spans="1:19" x14ac:dyDescent="0.3">
      <c r="A52" s="5" t="str">
        <f xml:space="preserve"> _xll.EPMOlapMemberO("[CECO].[PARENTH3].[AMSA1005AD3503]","","AMSA1005AD3503 - Finanzas","","000")</f>
        <v>AMSA1005AD3503 - Finanzas</v>
      </c>
      <c r="B52" s="5" t="str">
        <f t="shared" si="0"/>
        <v>1005AD3503</v>
      </c>
      <c r="C52" s="5" t="str">
        <f>IFERROR(_xlfn.XLOOKUP(B52,'CECOS Corporativos'!$D:$D,'CECOS Corporativos'!$E:$E,""),"")</f>
        <v>Gerencia de Inversiones &amp; Finanzas</v>
      </c>
      <c r="D52" s="5" t="str">
        <f>IFERROR(_xlfn.XLOOKUP(B52,'CECOS Corporativos'!$D:$D,'CECOS Corporativos'!$J:$J,""),"")</f>
        <v>VP Finanzas</v>
      </c>
      <c r="E52" t="s">
        <v>769</v>
      </c>
      <c r="F52" t="str">
        <f t="shared" si="1"/>
        <v>N1005AD350</v>
      </c>
      <c r="G52" t="s">
        <v>747</v>
      </c>
      <c r="H52">
        <v>30164.959999999999</v>
      </c>
      <c r="I52">
        <v>17430.759999999998</v>
      </c>
      <c r="J52">
        <f t="shared" si="2"/>
        <v>-12734.2</v>
      </c>
      <c r="K52">
        <v>34346.230000000003</v>
      </c>
      <c r="L52">
        <v>24738.14</v>
      </c>
      <c r="M52">
        <f t="shared" si="3"/>
        <v>-9608.0900000000038</v>
      </c>
      <c r="P52">
        <f t="shared" si="4"/>
        <v>0</v>
      </c>
      <c r="S52">
        <f t="shared" si="5"/>
        <v>0</v>
      </c>
    </row>
    <row r="53" spans="1:19" x14ac:dyDescent="0.3">
      <c r="A53" s="5" t="str">
        <f xml:space="preserve"> _xll.EPMOlapMemberO("[CECO].[PARENTH3].[AMSA1005AD3503]","","AMSA1005AD3503 - Finanzas","","000")</f>
        <v>AMSA1005AD3503 - Finanzas</v>
      </c>
      <c r="B53" s="5" t="str">
        <f t="shared" si="0"/>
        <v>1005AD3503</v>
      </c>
      <c r="C53" s="5" t="str">
        <f>IFERROR(_xlfn.XLOOKUP(B53,'CECOS Corporativos'!$D:$D,'CECOS Corporativos'!$E:$E,""),"")</f>
        <v>Gerencia de Inversiones &amp; Finanzas</v>
      </c>
      <c r="D53" s="5" t="str">
        <f>IFERROR(_xlfn.XLOOKUP(B53,'CECOS Corporativos'!$D:$D,'CECOS Corporativos'!$J:$J,""),"")</f>
        <v>VP Finanzas</v>
      </c>
      <c r="E53" t="s">
        <v>764</v>
      </c>
      <c r="F53" t="str">
        <f t="shared" si="1"/>
        <v>N1005AD350</v>
      </c>
      <c r="G53" t="s">
        <v>747</v>
      </c>
      <c r="H53">
        <v>300565.7</v>
      </c>
      <c r="I53">
        <v>309851</v>
      </c>
      <c r="J53">
        <f t="shared" si="2"/>
        <v>9285.2999999999884</v>
      </c>
      <c r="K53">
        <v>286098.51</v>
      </c>
      <c r="L53">
        <v>259709.05</v>
      </c>
      <c r="M53">
        <f t="shared" si="3"/>
        <v>-26389.460000000021</v>
      </c>
      <c r="N53">
        <v>0.49</v>
      </c>
      <c r="P53">
        <f t="shared" si="4"/>
        <v>-0.49</v>
      </c>
      <c r="S53">
        <f t="shared" si="5"/>
        <v>0</v>
      </c>
    </row>
    <row r="54" spans="1:19" x14ac:dyDescent="0.3">
      <c r="A54" s="5" t="str">
        <f xml:space="preserve"> _xll.EPMOlapMemberO("[CECO].[PARENTH3].[AMSA1005AD3504]","","AMSA1005AD3504 - Contabilidad","","000")</f>
        <v>AMSA1005AD3504 - Contabilidad</v>
      </c>
      <c r="B54" s="5" t="str">
        <f t="shared" si="0"/>
        <v>1005AD3504</v>
      </c>
      <c r="C54" s="5" t="str">
        <f>IFERROR(_xlfn.XLOOKUP(B54,'CECOS Corporativos'!$D:$D,'CECOS Corporativos'!$E:$E,""),"")</f>
        <v>Gerencia Contabilidad Corporativa</v>
      </c>
      <c r="D54" s="5" t="str">
        <f>IFERROR(_xlfn.XLOOKUP(B54,'CECOS Corporativos'!$D:$D,'CECOS Corporativos'!$J:$J,""),"")</f>
        <v>VP Finanzas</v>
      </c>
      <c r="E54" t="s">
        <v>768</v>
      </c>
      <c r="F54" t="str">
        <f t="shared" si="1"/>
        <v>N1005AD350</v>
      </c>
      <c r="G54" t="s">
        <v>747</v>
      </c>
      <c r="H54">
        <v>73.069999999999993</v>
      </c>
      <c r="I54">
        <v>205</v>
      </c>
      <c r="J54">
        <f t="shared" si="2"/>
        <v>131.93</v>
      </c>
      <c r="L54">
        <v>245.91</v>
      </c>
      <c r="M54">
        <f t="shared" si="3"/>
        <v>245.91</v>
      </c>
      <c r="O54">
        <v>243</v>
      </c>
      <c r="P54">
        <f t="shared" si="4"/>
        <v>243</v>
      </c>
      <c r="Q54">
        <v>507.06</v>
      </c>
      <c r="R54">
        <v>242.3</v>
      </c>
      <c r="S54">
        <f t="shared" si="5"/>
        <v>-264.76</v>
      </c>
    </row>
    <row r="55" spans="1:19" x14ac:dyDescent="0.3">
      <c r="A55" s="5" t="str">
        <f xml:space="preserve"> _xll.EPMOlapMemberO("[CECO].[PARENTH3].[AMSA1005AD3504]","","AMSA1005AD3504 - Contabilidad","","000")</f>
        <v>AMSA1005AD3504 - Contabilidad</v>
      </c>
      <c r="B55" s="5" t="str">
        <f t="shared" si="0"/>
        <v>1005AD3504</v>
      </c>
      <c r="C55" s="5" t="str">
        <f>IFERROR(_xlfn.XLOOKUP(B55,'CECOS Corporativos'!$D:$D,'CECOS Corporativos'!$E:$E,""),"")</f>
        <v>Gerencia Contabilidad Corporativa</v>
      </c>
      <c r="D55" s="5" t="str">
        <f>IFERROR(_xlfn.XLOOKUP(B55,'CECOS Corporativos'!$D:$D,'CECOS Corporativos'!$J:$J,""),"")</f>
        <v>VP Finanzas</v>
      </c>
      <c r="E55" t="s">
        <v>757</v>
      </c>
      <c r="F55" t="str">
        <f t="shared" si="1"/>
        <v>N1005AD350</v>
      </c>
      <c r="G55" t="s">
        <v>747</v>
      </c>
      <c r="H55">
        <v>263223.87</v>
      </c>
      <c r="I55">
        <v>270539</v>
      </c>
      <c r="J55">
        <f t="shared" si="2"/>
        <v>7315.1300000000047</v>
      </c>
      <c r="K55">
        <v>226730.34</v>
      </c>
      <c r="L55">
        <v>284072.43</v>
      </c>
      <c r="M55">
        <f t="shared" si="3"/>
        <v>57342.09</v>
      </c>
      <c r="N55">
        <v>200266.31</v>
      </c>
      <c r="O55">
        <v>285072</v>
      </c>
      <c r="P55">
        <f t="shared" si="4"/>
        <v>84805.69</v>
      </c>
      <c r="Q55">
        <v>234895.3</v>
      </c>
      <c r="R55">
        <v>242725.3</v>
      </c>
      <c r="S55">
        <f t="shared" si="5"/>
        <v>7830</v>
      </c>
    </row>
    <row r="56" spans="1:19" x14ac:dyDescent="0.3">
      <c r="A56" s="5" t="str">
        <f xml:space="preserve"> _xll.EPMOlapMemberO("[CECO].[PARENTH3].[AMSA1005AD3504]","","AMSA1005AD3504 - Contabilidad","","000")</f>
        <v>AMSA1005AD3504 - Contabilidad</v>
      </c>
      <c r="B56" s="5" t="str">
        <f t="shared" si="0"/>
        <v>1005AD3504</v>
      </c>
      <c r="C56" s="5" t="str">
        <f>IFERROR(_xlfn.XLOOKUP(B56,'CECOS Corporativos'!$D:$D,'CECOS Corporativos'!$E:$E,""),"")</f>
        <v>Gerencia Contabilidad Corporativa</v>
      </c>
      <c r="D56" s="5" t="str">
        <f>IFERROR(_xlfn.XLOOKUP(B56,'CECOS Corporativos'!$D:$D,'CECOS Corporativos'!$J:$J,""),"")</f>
        <v>VP Finanzas</v>
      </c>
      <c r="E56" t="s">
        <v>758</v>
      </c>
      <c r="F56" t="str">
        <f t="shared" si="1"/>
        <v>N1005AD350</v>
      </c>
      <c r="G56" t="s">
        <v>747</v>
      </c>
      <c r="H56">
        <v>605.9</v>
      </c>
      <c r="I56">
        <v>2024</v>
      </c>
      <c r="J56">
        <f t="shared" si="2"/>
        <v>1418.1</v>
      </c>
      <c r="K56">
        <v>46.04</v>
      </c>
      <c r="L56">
        <v>937.65</v>
      </c>
      <c r="M56">
        <f t="shared" si="3"/>
        <v>891.61</v>
      </c>
      <c r="N56">
        <v>16514.57</v>
      </c>
      <c r="O56">
        <v>1061</v>
      </c>
      <c r="P56">
        <f t="shared" si="4"/>
        <v>-15453.57</v>
      </c>
      <c r="Q56">
        <v>371.21</v>
      </c>
      <c r="R56">
        <v>1663.97</v>
      </c>
      <c r="S56">
        <f t="shared" si="5"/>
        <v>1292.76</v>
      </c>
    </row>
    <row r="57" spans="1:19" x14ac:dyDescent="0.3">
      <c r="A57" s="5" t="str">
        <f xml:space="preserve"> _xll.EPMOlapMemberO("[CECO].[PARENTH3].[AMSA1005AD3504]","","AMSA1005AD3504 - Contabilidad","","000")</f>
        <v>AMSA1005AD3504 - Contabilidad</v>
      </c>
      <c r="B57" s="5" t="str">
        <f t="shared" si="0"/>
        <v>1005AD3504</v>
      </c>
      <c r="C57" s="5" t="str">
        <f>IFERROR(_xlfn.XLOOKUP(B57,'CECOS Corporativos'!$D:$D,'CECOS Corporativos'!$E:$E,""),"")</f>
        <v>Gerencia Contabilidad Corporativa</v>
      </c>
      <c r="D57" s="5" t="str">
        <f>IFERROR(_xlfn.XLOOKUP(B57,'CECOS Corporativos'!$D:$D,'CECOS Corporativos'!$J:$J,""),"")</f>
        <v>VP Finanzas</v>
      </c>
      <c r="E57" t="s">
        <v>763</v>
      </c>
      <c r="F57" t="str">
        <f t="shared" si="1"/>
        <v>N1005AD350</v>
      </c>
      <c r="G57" t="s">
        <v>747</v>
      </c>
      <c r="H57">
        <v>37637.129999999997</v>
      </c>
      <c r="I57">
        <v>42598</v>
      </c>
      <c r="J57">
        <f t="shared" si="2"/>
        <v>4960.8700000000026</v>
      </c>
      <c r="K57">
        <v>49992.86</v>
      </c>
      <c r="L57">
        <v>46764.23</v>
      </c>
      <c r="M57">
        <f t="shared" si="3"/>
        <v>-3228.6299999999974</v>
      </c>
      <c r="N57">
        <v>47524.86</v>
      </c>
      <c r="O57">
        <v>47226</v>
      </c>
      <c r="P57">
        <f t="shared" si="4"/>
        <v>-298.86000000000058</v>
      </c>
      <c r="Q57">
        <v>46696.54</v>
      </c>
      <c r="R57">
        <v>46364.46</v>
      </c>
      <c r="S57">
        <f t="shared" si="5"/>
        <v>-332.08000000000175</v>
      </c>
    </row>
    <row r="58" spans="1:19" x14ac:dyDescent="0.3">
      <c r="A58" s="5" t="str">
        <f xml:space="preserve"> _xll.EPMOlapMemberO("[CECO].[PARENTH3].[AMSA1005AD3504]","","AMSA1005AD3504 - Contabilidad","","000")</f>
        <v>AMSA1005AD3504 - Contabilidad</v>
      </c>
      <c r="B58" s="5" t="str">
        <f t="shared" si="0"/>
        <v>1005AD3504</v>
      </c>
      <c r="C58" s="5" t="str">
        <f>IFERROR(_xlfn.XLOOKUP(B58,'CECOS Corporativos'!$D:$D,'CECOS Corporativos'!$E:$E,""),"")</f>
        <v>Gerencia Contabilidad Corporativa</v>
      </c>
      <c r="D58" s="5" t="str">
        <f>IFERROR(_xlfn.XLOOKUP(B58,'CECOS Corporativos'!$D:$D,'CECOS Corporativos'!$J:$J,""),"")</f>
        <v>VP Finanzas</v>
      </c>
      <c r="E58" t="s">
        <v>759</v>
      </c>
      <c r="F58" t="str">
        <f t="shared" si="1"/>
        <v>N1005AD350</v>
      </c>
      <c r="G58" t="s">
        <v>747</v>
      </c>
      <c r="H58">
        <v>5692.87</v>
      </c>
      <c r="I58">
        <v>14043.21</v>
      </c>
      <c r="J58">
        <f t="shared" si="2"/>
        <v>8350.34</v>
      </c>
      <c r="K58">
        <v>4216.3599999999997</v>
      </c>
      <c r="L58">
        <v>14848.4</v>
      </c>
      <c r="M58">
        <f t="shared" si="3"/>
        <v>10632.04</v>
      </c>
      <c r="N58">
        <v>5114.96</v>
      </c>
      <c r="O58">
        <v>9693</v>
      </c>
      <c r="P58">
        <f t="shared" si="4"/>
        <v>4578.04</v>
      </c>
      <c r="Q58">
        <v>7366.73</v>
      </c>
      <c r="R58">
        <v>11544</v>
      </c>
      <c r="S58">
        <f t="shared" si="5"/>
        <v>4177.2700000000004</v>
      </c>
    </row>
    <row r="59" spans="1:19" x14ac:dyDescent="0.3">
      <c r="A59" s="5" t="str">
        <f xml:space="preserve"> _xll.EPMOlapMemberO("[CECO].[PARENTH3].[AMSA1005AD3504]","","AMSA1005AD3504 - Contabilidad","","000")</f>
        <v>AMSA1005AD3504 - Contabilidad</v>
      </c>
      <c r="B59" s="5" t="str">
        <f t="shared" si="0"/>
        <v>1005AD3504</v>
      </c>
      <c r="C59" s="5" t="str">
        <f>IFERROR(_xlfn.XLOOKUP(B59,'CECOS Corporativos'!$D:$D,'CECOS Corporativos'!$E:$E,""),"")</f>
        <v>Gerencia Contabilidad Corporativa</v>
      </c>
      <c r="D59" s="5" t="str">
        <f>IFERROR(_xlfn.XLOOKUP(B59,'CECOS Corporativos'!$D:$D,'CECOS Corporativos'!$J:$J,""),"")</f>
        <v>VP Finanzas</v>
      </c>
      <c r="E59" t="s">
        <v>770</v>
      </c>
      <c r="F59" t="str">
        <f t="shared" si="1"/>
        <v>N1005AD350</v>
      </c>
      <c r="G59" t="s">
        <v>747</v>
      </c>
      <c r="J59">
        <f t="shared" si="2"/>
        <v>0</v>
      </c>
      <c r="M59">
        <f t="shared" si="3"/>
        <v>0</v>
      </c>
      <c r="O59">
        <v>-101237.11</v>
      </c>
      <c r="P59">
        <f t="shared" si="4"/>
        <v>-101237.11</v>
      </c>
      <c r="S59">
        <f t="shared" si="5"/>
        <v>0</v>
      </c>
    </row>
    <row r="60" spans="1:19" x14ac:dyDescent="0.3">
      <c r="A60" s="5" t="str">
        <f xml:space="preserve"> _xll.EPMOlapMemberO("[CECO].[PARENTH3].[AMSA1005AD3504]","","AMSA1005AD3504 - Contabilidad","","000")</f>
        <v>AMSA1005AD3504 - Contabilidad</v>
      </c>
      <c r="B60" s="5" t="str">
        <f t="shared" si="0"/>
        <v>1005AD3504</v>
      </c>
      <c r="C60" s="5" t="str">
        <f>IFERROR(_xlfn.XLOOKUP(B60,'CECOS Corporativos'!$D:$D,'CECOS Corporativos'!$E:$E,""),"")</f>
        <v>Gerencia Contabilidad Corporativa</v>
      </c>
      <c r="D60" s="5" t="str">
        <f>IFERROR(_xlfn.XLOOKUP(B60,'CECOS Corporativos'!$D:$D,'CECOS Corporativos'!$J:$J,""),"")</f>
        <v>VP Finanzas</v>
      </c>
      <c r="E60" t="s">
        <v>769</v>
      </c>
      <c r="F60" t="str">
        <f t="shared" si="1"/>
        <v>N1005AD350</v>
      </c>
      <c r="G60" t="s">
        <v>747</v>
      </c>
      <c r="J60">
        <f t="shared" si="2"/>
        <v>0</v>
      </c>
      <c r="K60">
        <v>10302.65</v>
      </c>
      <c r="M60">
        <f t="shared" si="3"/>
        <v>-10302.65</v>
      </c>
      <c r="P60">
        <f t="shared" si="4"/>
        <v>0</v>
      </c>
      <c r="S60">
        <f t="shared" si="5"/>
        <v>0</v>
      </c>
    </row>
    <row r="61" spans="1:19" x14ac:dyDescent="0.3">
      <c r="A61" s="5" t="str">
        <f xml:space="preserve"> _xll.EPMOlapMemberO("[CECO].[PARENTH3].[AMSA1005AD3504]","","AMSA1005AD3504 - Contabilidad","","000")</f>
        <v>AMSA1005AD3504 - Contabilidad</v>
      </c>
      <c r="B61" s="5" t="str">
        <f t="shared" si="0"/>
        <v>1005AD3504</v>
      </c>
      <c r="C61" s="5" t="str">
        <f>IFERROR(_xlfn.XLOOKUP(B61,'CECOS Corporativos'!$D:$D,'CECOS Corporativos'!$E:$E,""),"")</f>
        <v>Gerencia Contabilidad Corporativa</v>
      </c>
      <c r="D61" s="5" t="str">
        <f>IFERROR(_xlfn.XLOOKUP(B61,'CECOS Corporativos'!$D:$D,'CECOS Corporativos'!$J:$J,""),"")</f>
        <v>VP Finanzas</v>
      </c>
      <c r="E61" t="s">
        <v>764</v>
      </c>
      <c r="F61" t="str">
        <f t="shared" si="1"/>
        <v>N1005AD350</v>
      </c>
      <c r="G61" t="s">
        <v>747</v>
      </c>
      <c r="H61">
        <v>606037.41</v>
      </c>
      <c r="I61">
        <v>621696</v>
      </c>
      <c r="J61">
        <f t="shared" si="2"/>
        <v>15658.589999999967</v>
      </c>
      <c r="K61">
        <v>738317.42</v>
      </c>
      <c r="L61">
        <v>667934.68999999994</v>
      </c>
      <c r="M61">
        <f t="shared" si="3"/>
        <v>-70382.730000000098</v>
      </c>
      <c r="N61">
        <v>58694.45</v>
      </c>
      <c r="O61">
        <v>67360</v>
      </c>
      <c r="P61">
        <f t="shared" si="4"/>
        <v>8665.5500000000029</v>
      </c>
      <c r="Q61">
        <v>60244.66</v>
      </c>
      <c r="R61">
        <v>66552.960000000006</v>
      </c>
      <c r="S61">
        <f t="shared" si="5"/>
        <v>6308.3000000000029</v>
      </c>
    </row>
    <row r="62" spans="1:19" x14ac:dyDescent="0.3">
      <c r="A62" s="5" t="str">
        <f xml:space="preserve"> _xll.EPMOlapMemberO("[CECO].[PARENTH3].[AMSA1005AD3507]","","AMSA1005AD3507 - Gestión de Impuestos","","000")</f>
        <v>AMSA1005AD3507 - Gestión de Impuestos</v>
      </c>
      <c r="B62" s="5" t="str">
        <f t="shared" si="0"/>
        <v>1005AD3507</v>
      </c>
      <c r="C62" s="5" t="str">
        <f>IFERROR(_xlfn.XLOOKUP(B62,'CECOS Corporativos'!$D:$D,'CECOS Corporativos'!$E:$E,""),"")</f>
        <v>Gerencia de Impuestos</v>
      </c>
      <c r="D62" s="5" t="str">
        <f>IFERROR(_xlfn.XLOOKUP(B62,'CECOS Corporativos'!$D:$D,'CECOS Corporativos'!$J:$J,""),"")</f>
        <v>VP Finanzas</v>
      </c>
      <c r="E62" t="s">
        <v>766</v>
      </c>
      <c r="F62" t="str">
        <f t="shared" si="1"/>
        <v>N1005AD350</v>
      </c>
      <c r="G62" t="s">
        <v>747</v>
      </c>
      <c r="H62">
        <v>-531.64</v>
      </c>
      <c r="I62">
        <v>1027</v>
      </c>
      <c r="J62">
        <f t="shared" si="2"/>
        <v>1558.6399999999999</v>
      </c>
      <c r="L62">
        <v>1000</v>
      </c>
      <c r="M62">
        <f t="shared" si="3"/>
        <v>1000</v>
      </c>
      <c r="O62">
        <v>1015</v>
      </c>
      <c r="P62">
        <f t="shared" si="4"/>
        <v>1015</v>
      </c>
      <c r="R62">
        <v>1000</v>
      </c>
      <c r="S62">
        <f t="shared" si="5"/>
        <v>1000</v>
      </c>
    </row>
    <row r="63" spans="1:19" x14ac:dyDescent="0.3">
      <c r="A63" s="5" t="str">
        <f xml:space="preserve"> _xll.EPMOlapMemberO("[CECO].[PARENTH3].[AMSA1005AD3507]","","AMSA1005AD3507 - Gestión de Impuestos","","000")</f>
        <v>AMSA1005AD3507 - Gestión de Impuestos</v>
      </c>
      <c r="B63" s="5" t="str">
        <f t="shared" si="0"/>
        <v>1005AD3507</v>
      </c>
      <c r="C63" s="5" t="str">
        <f>IFERROR(_xlfn.XLOOKUP(B63,'CECOS Corporativos'!$D:$D,'CECOS Corporativos'!$E:$E,""),"")</f>
        <v>Gerencia de Impuestos</v>
      </c>
      <c r="D63" s="5" t="str">
        <f>IFERROR(_xlfn.XLOOKUP(B63,'CECOS Corporativos'!$D:$D,'CECOS Corporativos'!$J:$J,""),"")</f>
        <v>VP Finanzas</v>
      </c>
      <c r="E63" t="s">
        <v>757</v>
      </c>
      <c r="F63" t="str">
        <f t="shared" si="1"/>
        <v>N1005AD350</v>
      </c>
      <c r="G63" t="s">
        <v>747</v>
      </c>
      <c r="H63">
        <v>55772.79</v>
      </c>
      <c r="I63">
        <v>77158</v>
      </c>
      <c r="J63">
        <f t="shared" si="2"/>
        <v>21385.21</v>
      </c>
      <c r="K63">
        <v>17565.55</v>
      </c>
      <c r="L63">
        <v>83921.53</v>
      </c>
      <c r="M63">
        <f t="shared" si="3"/>
        <v>66355.98</v>
      </c>
      <c r="N63">
        <v>36715.99</v>
      </c>
      <c r="O63">
        <v>52727</v>
      </c>
      <c r="P63">
        <f t="shared" si="4"/>
        <v>16011.010000000002</v>
      </c>
      <c r="Q63">
        <v>109668.57</v>
      </c>
      <c r="R63">
        <v>48170.559999999998</v>
      </c>
      <c r="S63">
        <f t="shared" si="5"/>
        <v>-61498.010000000009</v>
      </c>
    </row>
    <row r="64" spans="1:19" x14ac:dyDescent="0.3">
      <c r="A64" s="5" t="str">
        <f xml:space="preserve"> _xll.EPMOlapMemberO("[CECO].[PARENTH3].[AMSA1005AD3507]","","AMSA1005AD3507 - Gestión de Impuestos","","000")</f>
        <v>AMSA1005AD3507 - Gestión de Impuestos</v>
      </c>
      <c r="B64" s="5" t="str">
        <f t="shared" si="0"/>
        <v>1005AD3507</v>
      </c>
      <c r="C64" s="5" t="str">
        <f>IFERROR(_xlfn.XLOOKUP(B64,'CECOS Corporativos'!$D:$D,'CECOS Corporativos'!$E:$E,""),"")</f>
        <v>Gerencia de Impuestos</v>
      </c>
      <c r="D64" s="5" t="str">
        <f>IFERROR(_xlfn.XLOOKUP(B64,'CECOS Corporativos'!$D:$D,'CECOS Corporativos'!$J:$J,""),"")</f>
        <v>VP Finanzas</v>
      </c>
      <c r="E64" t="s">
        <v>763</v>
      </c>
      <c r="F64" t="str">
        <f t="shared" si="1"/>
        <v>N1005AD350</v>
      </c>
      <c r="G64" t="s">
        <v>747</v>
      </c>
      <c r="H64">
        <v>192.68</v>
      </c>
      <c r="J64">
        <f t="shared" si="2"/>
        <v>-192.68</v>
      </c>
      <c r="M64">
        <f t="shared" si="3"/>
        <v>0</v>
      </c>
      <c r="P64">
        <f t="shared" si="4"/>
        <v>0</v>
      </c>
      <c r="S64">
        <f t="shared" si="5"/>
        <v>0</v>
      </c>
    </row>
    <row r="65" spans="1:19" x14ac:dyDescent="0.3">
      <c r="A65" s="5" t="str">
        <f xml:space="preserve"> _xll.EPMOlapMemberO("[CECO].[PARENTH3].[AMSA1005AD3507]","","AMSA1005AD3507 - Gestión de Impuestos","","000")</f>
        <v>AMSA1005AD3507 - Gestión de Impuestos</v>
      </c>
      <c r="B65" s="5" t="str">
        <f t="shared" si="0"/>
        <v>1005AD3507</v>
      </c>
      <c r="C65" s="5" t="str">
        <f>IFERROR(_xlfn.XLOOKUP(B65,'CECOS Corporativos'!$D:$D,'CECOS Corporativos'!$E:$E,""),"")</f>
        <v>Gerencia de Impuestos</v>
      </c>
      <c r="D65" s="5" t="str">
        <f>IFERROR(_xlfn.XLOOKUP(B65,'CECOS Corporativos'!$D:$D,'CECOS Corporativos'!$J:$J,""),"")</f>
        <v>VP Finanzas</v>
      </c>
      <c r="E65" t="s">
        <v>759</v>
      </c>
      <c r="F65" t="str">
        <f t="shared" si="1"/>
        <v>N1005AD350</v>
      </c>
      <c r="G65" t="s">
        <v>747</v>
      </c>
      <c r="I65">
        <v>4387.6499999999996</v>
      </c>
      <c r="J65">
        <f t="shared" si="2"/>
        <v>4387.6499999999996</v>
      </c>
      <c r="M65">
        <f t="shared" si="3"/>
        <v>0</v>
      </c>
      <c r="O65">
        <v>3396</v>
      </c>
      <c r="P65">
        <f t="shared" si="4"/>
        <v>3396</v>
      </c>
      <c r="R65">
        <v>2300</v>
      </c>
      <c r="S65">
        <f t="shared" si="5"/>
        <v>2300</v>
      </c>
    </row>
    <row r="66" spans="1:19" x14ac:dyDescent="0.3">
      <c r="A66" s="5" t="str">
        <f xml:space="preserve"> _xll.EPMOlapMemberO("[CECO].[PARENTH3].[AMSA1005AD3507]","","AMSA1005AD3507 - Gestión de Impuestos","","000")</f>
        <v>AMSA1005AD3507 - Gestión de Impuestos</v>
      </c>
      <c r="B66" s="5" t="str">
        <f t="shared" si="0"/>
        <v>1005AD3507</v>
      </c>
      <c r="C66" s="5" t="str">
        <f>IFERROR(_xlfn.XLOOKUP(B66,'CECOS Corporativos'!$D:$D,'CECOS Corporativos'!$E:$E,""),"")</f>
        <v>Gerencia de Impuestos</v>
      </c>
      <c r="D66" s="5" t="str">
        <f>IFERROR(_xlfn.XLOOKUP(B66,'CECOS Corporativos'!$D:$D,'CECOS Corporativos'!$J:$J,""),"")</f>
        <v>VP Finanzas</v>
      </c>
      <c r="E66" t="s">
        <v>760</v>
      </c>
      <c r="F66" t="str">
        <f t="shared" si="1"/>
        <v>N1005AD350</v>
      </c>
      <c r="G66" t="s">
        <v>747</v>
      </c>
      <c r="H66">
        <v>708528.91</v>
      </c>
      <c r="I66">
        <v>733409</v>
      </c>
      <c r="J66">
        <f t="shared" si="2"/>
        <v>24880.089999999967</v>
      </c>
      <c r="K66">
        <v>1054113.49</v>
      </c>
      <c r="L66">
        <v>834668.06</v>
      </c>
      <c r="M66">
        <f t="shared" si="3"/>
        <v>-219445.42999999993</v>
      </c>
      <c r="N66">
        <v>1485013.89</v>
      </c>
      <c r="O66">
        <v>962866</v>
      </c>
      <c r="P66">
        <f t="shared" si="4"/>
        <v>-522147.8899999999</v>
      </c>
      <c r="Q66">
        <v>481397.18</v>
      </c>
      <c r="R66">
        <v>1233994.3799999999</v>
      </c>
      <c r="S66">
        <f t="shared" si="5"/>
        <v>752597.2</v>
      </c>
    </row>
    <row r="67" spans="1:19" x14ac:dyDescent="0.3">
      <c r="A67" s="5" t="str">
        <f xml:space="preserve"> _xll.EPMOlapMemberO("[CECO].[PARENTH3].[AMSA1005AD3507]","","AMSA1005AD3507 - Gestión de Impuestos","","000")</f>
        <v>AMSA1005AD3507 - Gestión de Impuestos</v>
      </c>
      <c r="B67" s="5" t="str">
        <f t="shared" si="0"/>
        <v>1005AD3507</v>
      </c>
      <c r="C67" s="5" t="str">
        <f>IFERROR(_xlfn.XLOOKUP(B67,'CECOS Corporativos'!$D:$D,'CECOS Corporativos'!$E:$E,""),"")</f>
        <v>Gerencia de Impuestos</v>
      </c>
      <c r="D67" s="5" t="str">
        <f>IFERROR(_xlfn.XLOOKUP(B67,'CECOS Corporativos'!$D:$D,'CECOS Corporativos'!$J:$J,""),"")</f>
        <v>VP Finanzas</v>
      </c>
      <c r="E67" t="s">
        <v>770</v>
      </c>
      <c r="F67" t="str">
        <f t="shared" si="1"/>
        <v>N1005AD350</v>
      </c>
      <c r="G67" t="s">
        <v>747</v>
      </c>
      <c r="J67">
        <f t="shared" si="2"/>
        <v>0</v>
      </c>
      <c r="M67">
        <f t="shared" si="3"/>
        <v>0</v>
      </c>
      <c r="O67">
        <v>-71997.210000000006</v>
      </c>
      <c r="P67">
        <f t="shared" si="4"/>
        <v>-71997.210000000006</v>
      </c>
      <c r="S67">
        <f t="shared" si="5"/>
        <v>0</v>
      </c>
    </row>
    <row r="68" spans="1:19" x14ac:dyDescent="0.3">
      <c r="A68" s="5" t="str">
        <f xml:space="preserve"> _xll.EPMOlapMemberO("[CECO].[PARENTH3].[AMSA1005AD3520]","","AMSA1005AD3520 - Abaste. Corporativos","","000")</f>
        <v>AMSA1005AD3520 - Abaste. Corporativos</v>
      </c>
      <c r="B68" s="5" t="str">
        <f t="shared" si="0"/>
        <v>1005AD3520</v>
      </c>
      <c r="C68" s="5" t="str">
        <f>IFERROR(_xlfn.XLOOKUP(B68,'CECOS Corporativos'!$D:$D,'CECOS Corporativos'!$E:$E,""),"")</f>
        <v>Gerencia de Abastecimiento Corporativo</v>
      </c>
      <c r="D68" s="5" t="str">
        <f>IFERROR(_xlfn.XLOOKUP(B68,'CECOS Corporativos'!$D:$D,'CECOS Corporativos'!$J:$J,""),"")</f>
        <v>VP Finanzas</v>
      </c>
      <c r="E68" t="s">
        <v>771</v>
      </c>
      <c r="F68" t="str">
        <f t="shared" si="1"/>
        <v>N1005AD350</v>
      </c>
      <c r="G68" t="s">
        <v>747</v>
      </c>
      <c r="H68">
        <v>21102.75</v>
      </c>
      <c r="J68">
        <f t="shared" si="2"/>
        <v>-21102.75</v>
      </c>
      <c r="K68">
        <v>21102.75</v>
      </c>
      <c r="M68">
        <f t="shared" si="3"/>
        <v>-21102.75</v>
      </c>
      <c r="N68">
        <v>0</v>
      </c>
      <c r="P68">
        <f t="shared" si="4"/>
        <v>0</v>
      </c>
      <c r="S68">
        <f t="shared" si="5"/>
        <v>0</v>
      </c>
    </row>
    <row r="69" spans="1:19" x14ac:dyDescent="0.3">
      <c r="A69" s="5" t="str">
        <f xml:space="preserve"> _xll.EPMOlapMemberO("[CECO].[PARENTH3].[AMSA1005AD3520]","","AMSA1005AD3520 - Abaste. Corporativos","","000")</f>
        <v>AMSA1005AD3520 - Abaste. Corporativos</v>
      </c>
      <c r="B69" s="5" t="str">
        <f t="shared" si="0"/>
        <v>1005AD3520</v>
      </c>
      <c r="C69" s="5" t="str">
        <f>IFERROR(_xlfn.XLOOKUP(B69,'CECOS Corporativos'!$D:$D,'CECOS Corporativos'!$E:$E,""),"")</f>
        <v>Gerencia de Abastecimiento Corporativo</v>
      </c>
      <c r="D69" s="5" t="str">
        <f>IFERROR(_xlfn.XLOOKUP(B69,'CECOS Corporativos'!$D:$D,'CECOS Corporativos'!$J:$J,""),"")</f>
        <v>VP Finanzas</v>
      </c>
      <c r="E69" t="s">
        <v>765</v>
      </c>
      <c r="F69" t="str">
        <f t="shared" si="1"/>
        <v>N1005AD350</v>
      </c>
      <c r="G69" t="s">
        <v>747</v>
      </c>
      <c r="J69">
        <f t="shared" si="2"/>
        <v>0</v>
      </c>
      <c r="K69">
        <v>18897.900000000001</v>
      </c>
      <c r="M69">
        <f t="shared" si="3"/>
        <v>-18897.900000000001</v>
      </c>
      <c r="N69">
        <v>0</v>
      </c>
      <c r="P69">
        <f t="shared" si="4"/>
        <v>0</v>
      </c>
      <c r="Q69">
        <v>8167.44</v>
      </c>
      <c r="S69">
        <f t="shared" si="5"/>
        <v>-8167.44</v>
      </c>
    </row>
    <row r="70" spans="1:19" x14ac:dyDescent="0.3">
      <c r="A70" s="5" t="str">
        <f xml:space="preserve"> _xll.EPMOlapMemberO("[CECO].[PARENTH3].[AMSA1005AD3520]","","AMSA1005AD3520 - Abaste. Corporativos","","000")</f>
        <v>AMSA1005AD3520 - Abaste. Corporativos</v>
      </c>
      <c r="B70" s="5" t="str">
        <f t="shared" si="0"/>
        <v>1005AD3520</v>
      </c>
      <c r="C70" s="5" t="str">
        <f>IFERROR(_xlfn.XLOOKUP(B70,'CECOS Corporativos'!$D:$D,'CECOS Corporativos'!$E:$E,""),"")</f>
        <v>Gerencia de Abastecimiento Corporativo</v>
      </c>
      <c r="D70" s="5" t="str">
        <f>IFERROR(_xlfn.XLOOKUP(B70,'CECOS Corporativos'!$D:$D,'CECOS Corporativos'!$J:$J,""),"")</f>
        <v>VP Finanzas</v>
      </c>
      <c r="E70" t="s">
        <v>766</v>
      </c>
      <c r="F70" t="str">
        <f t="shared" si="1"/>
        <v>N1005AD350</v>
      </c>
      <c r="G70" t="s">
        <v>747</v>
      </c>
      <c r="I70">
        <v>3834</v>
      </c>
      <c r="J70">
        <f t="shared" si="2"/>
        <v>3834</v>
      </c>
      <c r="K70">
        <v>612</v>
      </c>
      <c r="L70">
        <v>2611.91</v>
      </c>
      <c r="M70">
        <f t="shared" si="3"/>
        <v>1999.9099999999999</v>
      </c>
      <c r="P70">
        <f t="shared" si="4"/>
        <v>0</v>
      </c>
      <c r="Q70">
        <v>21831.75</v>
      </c>
      <c r="R70">
        <v>22791.15</v>
      </c>
      <c r="S70">
        <f t="shared" si="5"/>
        <v>959.40000000000146</v>
      </c>
    </row>
    <row r="71" spans="1:19" x14ac:dyDescent="0.3">
      <c r="A71" s="5" t="str">
        <f xml:space="preserve"> _xll.EPMOlapMemberO("[CECO].[PARENTH3].[AMSA1005AD3520]","","AMSA1005AD3520 - Abaste. Corporativos","","000")</f>
        <v>AMSA1005AD3520 - Abaste. Corporativos</v>
      </c>
      <c r="B71" s="5" t="str">
        <f t="shared" si="0"/>
        <v>1005AD3520</v>
      </c>
      <c r="C71" s="5" t="str">
        <f>IFERROR(_xlfn.XLOOKUP(B71,'CECOS Corporativos'!$D:$D,'CECOS Corporativos'!$E:$E,""),"")</f>
        <v>Gerencia de Abastecimiento Corporativo</v>
      </c>
      <c r="D71" s="5" t="str">
        <f>IFERROR(_xlfn.XLOOKUP(B71,'CECOS Corporativos'!$D:$D,'CECOS Corporativos'!$J:$J,""),"")</f>
        <v>VP Finanzas</v>
      </c>
      <c r="E71" t="s">
        <v>757</v>
      </c>
      <c r="F71" t="str">
        <f t="shared" si="1"/>
        <v>N1005AD350</v>
      </c>
      <c r="G71" t="s">
        <v>747</v>
      </c>
      <c r="H71">
        <v>979.24</v>
      </c>
      <c r="I71">
        <v>5142</v>
      </c>
      <c r="J71">
        <f t="shared" si="2"/>
        <v>4162.76</v>
      </c>
      <c r="K71">
        <v>87881.19</v>
      </c>
      <c r="L71">
        <v>30967.07</v>
      </c>
      <c r="M71">
        <f t="shared" si="3"/>
        <v>-56914.12</v>
      </c>
      <c r="N71">
        <v>43963.8</v>
      </c>
      <c r="O71">
        <v>3012</v>
      </c>
      <c r="P71">
        <f t="shared" si="4"/>
        <v>-40951.800000000003</v>
      </c>
      <c r="Q71">
        <v>0</v>
      </c>
      <c r="S71">
        <f t="shared" si="5"/>
        <v>0</v>
      </c>
    </row>
    <row r="72" spans="1:19" x14ac:dyDescent="0.3">
      <c r="A72" s="5" t="str">
        <f xml:space="preserve"> _xll.EPMOlapMemberO("[CECO].[PARENTH3].[AMSA1005AD3520]","","AMSA1005AD3520 - Abaste. Corporativos","","000")</f>
        <v>AMSA1005AD3520 - Abaste. Corporativos</v>
      </c>
      <c r="B72" s="5" t="str">
        <f t="shared" si="0"/>
        <v>1005AD3520</v>
      </c>
      <c r="C72" s="5" t="str">
        <f>IFERROR(_xlfn.XLOOKUP(B72,'CECOS Corporativos'!$D:$D,'CECOS Corporativos'!$E:$E,""),"")</f>
        <v>Gerencia de Abastecimiento Corporativo</v>
      </c>
      <c r="D72" s="5" t="str">
        <f>IFERROR(_xlfn.XLOOKUP(B72,'CECOS Corporativos'!$D:$D,'CECOS Corporativos'!$J:$J,""),"")</f>
        <v>VP Finanzas</v>
      </c>
      <c r="E72" t="s">
        <v>758</v>
      </c>
      <c r="F72" t="str">
        <f t="shared" si="1"/>
        <v>N1005AD350</v>
      </c>
      <c r="G72" t="s">
        <v>747</v>
      </c>
      <c r="H72">
        <v>109900.9</v>
      </c>
      <c r="I72">
        <v>334620</v>
      </c>
      <c r="J72">
        <f t="shared" si="2"/>
        <v>224719.1</v>
      </c>
      <c r="K72">
        <v>12373.57</v>
      </c>
      <c r="L72">
        <v>205806.49</v>
      </c>
      <c r="M72">
        <f t="shared" si="3"/>
        <v>193432.91999999998</v>
      </c>
      <c r="N72">
        <v>34582.65</v>
      </c>
      <c r="O72">
        <v>156912</v>
      </c>
      <c r="P72">
        <f t="shared" si="4"/>
        <v>122329.35</v>
      </c>
      <c r="Q72">
        <v>152876.09</v>
      </c>
      <c r="R72">
        <v>161934.87</v>
      </c>
      <c r="S72">
        <f t="shared" si="5"/>
        <v>9058.7799999999988</v>
      </c>
    </row>
    <row r="73" spans="1:19" x14ac:dyDescent="0.3">
      <c r="A73" s="5" t="str">
        <f xml:space="preserve"> _xll.EPMOlapMemberO("[CECO].[PARENTH3].[AMSA1005AD3520]","","AMSA1005AD3520 - Abaste. Corporativos","","000")</f>
        <v>AMSA1005AD3520 - Abaste. Corporativos</v>
      </c>
      <c r="B73" s="5" t="str">
        <f t="shared" si="0"/>
        <v>1005AD3520</v>
      </c>
      <c r="C73" s="5" t="str">
        <f>IFERROR(_xlfn.XLOOKUP(B73,'CECOS Corporativos'!$D:$D,'CECOS Corporativos'!$E:$E,""),"")</f>
        <v>Gerencia de Abastecimiento Corporativo</v>
      </c>
      <c r="D73" s="5" t="str">
        <f>IFERROR(_xlfn.XLOOKUP(B73,'CECOS Corporativos'!$D:$D,'CECOS Corporativos'!$J:$J,""),"")</f>
        <v>VP Finanzas</v>
      </c>
      <c r="E73" t="s">
        <v>763</v>
      </c>
      <c r="F73" t="str">
        <f t="shared" si="1"/>
        <v>N1005AD350</v>
      </c>
      <c r="G73" t="s">
        <v>747</v>
      </c>
      <c r="H73">
        <v>25647.27</v>
      </c>
      <c r="J73">
        <f t="shared" si="2"/>
        <v>-25647.27</v>
      </c>
      <c r="K73">
        <v>105692.78</v>
      </c>
      <c r="L73">
        <v>92192.66</v>
      </c>
      <c r="M73">
        <f t="shared" si="3"/>
        <v>-13500.119999999995</v>
      </c>
      <c r="N73">
        <v>109551.62</v>
      </c>
      <c r="O73">
        <v>79128</v>
      </c>
      <c r="P73">
        <f t="shared" si="4"/>
        <v>-30423.619999999995</v>
      </c>
      <c r="Q73">
        <v>108719.58</v>
      </c>
      <c r="R73">
        <v>76171.5</v>
      </c>
      <c r="S73">
        <f t="shared" si="5"/>
        <v>-32548.080000000002</v>
      </c>
    </row>
    <row r="74" spans="1:19" x14ac:dyDescent="0.3">
      <c r="A74" s="5" t="str">
        <f xml:space="preserve"> _xll.EPMOlapMemberO("[CECO].[PARENTH3].[AMSA1005AD3520]","","AMSA1005AD3520 - Abaste. Corporativos","","000")</f>
        <v>AMSA1005AD3520 - Abaste. Corporativos</v>
      </c>
      <c r="B74" s="5" t="str">
        <f t="shared" ref="B74:B137" si="6">IFERROR(SUBSTITUTE(TRIM(LEFT(A74,FIND("-",A74)-1)),"AMSA",""),"")</f>
        <v>1005AD3520</v>
      </c>
      <c r="C74" s="5" t="str">
        <f>IFERROR(_xlfn.XLOOKUP(B74,'CECOS Corporativos'!$D:$D,'CECOS Corporativos'!$E:$E,""),"")</f>
        <v>Gerencia de Abastecimiento Corporativo</v>
      </c>
      <c r="D74" s="5" t="str">
        <f>IFERROR(_xlfn.XLOOKUP(B74,'CECOS Corporativos'!$D:$D,'CECOS Corporativos'!$J:$J,""),"")</f>
        <v>VP Finanzas</v>
      </c>
      <c r="E74" t="s">
        <v>759</v>
      </c>
      <c r="F74" t="str">
        <f t="shared" ref="F74:F137" si="7">IFERROR(TRIM(LEFT(G74,FIND("-",G74)-1)),"")</f>
        <v>N1005AD350</v>
      </c>
      <c r="G74" t="s">
        <v>747</v>
      </c>
      <c r="J74">
        <f t="shared" ref="J74:J137" si="8">I74-H74</f>
        <v>0</v>
      </c>
      <c r="K74">
        <v>3999.27</v>
      </c>
      <c r="M74">
        <f t="shared" ref="M74:M137" si="9">L74-K74</f>
        <v>-3999.27</v>
      </c>
      <c r="N74">
        <v>0</v>
      </c>
      <c r="P74">
        <f t="shared" ref="P74:P137" si="10">O74-N74</f>
        <v>0</v>
      </c>
      <c r="Q74">
        <v>261.42</v>
      </c>
      <c r="S74">
        <f t="shared" ref="S74:S137" si="11">R74-Q74</f>
        <v>-261.42</v>
      </c>
    </row>
    <row r="75" spans="1:19" x14ac:dyDescent="0.3">
      <c r="A75" s="5" t="str">
        <f xml:space="preserve"> _xll.EPMOlapMemberO("[CECO].[PARENTH3].[AMSA1005AD3520]","","AMSA1005AD3520 - Abaste. Corporativos","","000")</f>
        <v>AMSA1005AD3520 - Abaste. Corporativos</v>
      </c>
      <c r="B75" s="5" t="str">
        <f t="shared" si="6"/>
        <v>1005AD3520</v>
      </c>
      <c r="C75" s="5" t="str">
        <f>IFERROR(_xlfn.XLOOKUP(B75,'CECOS Corporativos'!$D:$D,'CECOS Corporativos'!$E:$E,""),"")</f>
        <v>Gerencia de Abastecimiento Corporativo</v>
      </c>
      <c r="D75" s="5" t="str">
        <f>IFERROR(_xlfn.XLOOKUP(B75,'CECOS Corporativos'!$D:$D,'CECOS Corporativos'!$J:$J,""),"")</f>
        <v>VP Finanzas</v>
      </c>
      <c r="E75" t="s">
        <v>761</v>
      </c>
      <c r="F75" t="str">
        <f t="shared" si="7"/>
        <v>N1005AD350</v>
      </c>
      <c r="G75" t="s">
        <v>747</v>
      </c>
      <c r="H75">
        <v>0</v>
      </c>
      <c r="J75">
        <f t="shared" si="8"/>
        <v>0</v>
      </c>
      <c r="K75">
        <v>561</v>
      </c>
      <c r="M75">
        <f t="shared" si="9"/>
        <v>-561</v>
      </c>
      <c r="P75">
        <f t="shared" si="10"/>
        <v>0</v>
      </c>
      <c r="S75">
        <f t="shared" si="11"/>
        <v>0</v>
      </c>
    </row>
    <row r="76" spans="1:19" x14ac:dyDescent="0.3">
      <c r="A76" s="5" t="str">
        <f xml:space="preserve"> _xll.EPMOlapMemberO("[CECO].[PARENTH3].[AMSA1005AD3520]","","AMSA1005AD3520 - Abaste. Corporativos","","000")</f>
        <v>AMSA1005AD3520 - Abaste. Corporativos</v>
      </c>
      <c r="B76" s="5" t="str">
        <f t="shared" si="6"/>
        <v>1005AD3520</v>
      </c>
      <c r="C76" s="5" t="str">
        <f>IFERROR(_xlfn.XLOOKUP(B76,'CECOS Corporativos'!$D:$D,'CECOS Corporativos'!$E:$E,""),"")</f>
        <v>Gerencia de Abastecimiento Corporativo</v>
      </c>
      <c r="D76" s="5" t="str">
        <f>IFERROR(_xlfn.XLOOKUP(B76,'CECOS Corporativos'!$D:$D,'CECOS Corporativos'!$J:$J,""),"")</f>
        <v>VP Finanzas</v>
      </c>
      <c r="E76" t="s">
        <v>770</v>
      </c>
      <c r="F76" t="str">
        <f t="shared" si="7"/>
        <v>N1005AD350</v>
      </c>
      <c r="G76" t="s">
        <v>747</v>
      </c>
      <c r="J76">
        <f t="shared" si="8"/>
        <v>0</v>
      </c>
      <c r="M76">
        <f t="shared" si="9"/>
        <v>0</v>
      </c>
      <c r="O76">
        <v>-92027.43</v>
      </c>
      <c r="P76">
        <f t="shared" si="10"/>
        <v>-92027.43</v>
      </c>
      <c r="S76">
        <f t="shared" si="11"/>
        <v>0</v>
      </c>
    </row>
    <row r="77" spans="1:19" x14ac:dyDescent="0.3">
      <c r="A77" s="5" t="str">
        <f xml:space="preserve"> _xll.EPMOlapMemberO("[CECO].[PARENTH3].[AMSA1005AD3520]","","AMSA1005AD3520 - Abaste. Corporativos","","000")</f>
        <v>AMSA1005AD3520 - Abaste. Corporativos</v>
      </c>
      <c r="B77" s="5" t="str">
        <f t="shared" si="6"/>
        <v>1005AD3520</v>
      </c>
      <c r="C77" s="5" t="str">
        <f>IFERROR(_xlfn.XLOOKUP(B77,'CECOS Corporativos'!$D:$D,'CECOS Corporativos'!$E:$E,""),"")</f>
        <v>Gerencia de Abastecimiento Corporativo</v>
      </c>
      <c r="D77" s="5" t="str">
        <f>IFERROR(_xlfn.XLOOKUP(B77,'CECOS Corporativos'!$D:$D,'CECOS Corporativos'!$J:$J,""),"")</f>
        <v>VP Finanzas</v>
      </c>
      <c r="E77" t="s">
        <v>764</v>
      </c>
      <c r="F77" t="str">
        <f t="shared" si="7"/>
        <v>N1005AD350</v>
      </c>
      <c r="G77" t="s">
        <v>747</v>
      </c>
      <c r="H77">
        <v>855427.01</v>
      </c>
      <c r="I77">
        <v>791224</v>
      </c>
      <c r="J77">
        <f t="shared" si="8"/>
        <v>-64203.010000000009</v>
      </c>
      <c r="K77">
        <v>863598.98</v>
      </c>
      <c r="L77">
        <v>783941.94</v>
      </c>
      <c r="M77">
        <f t="shared" si="9"/>
        <v>-79657.040000000037</v>
      </c>
      <c r="N77">
        <v>0.02</v>
      </c>
      <c r="P77">
        <f t="shared" si="10"/>
        <v>-0.02</v>
      </c>
      <c r="S77">
        <f t="shared" si="11"/>
        <v>0</v>
      </c>
    </row>
    <row r="78" spans="1:19" x14ac:dyDescent="0.3">
      <c r="A78" s="5" t="str">
        <f xml:space="preserve"> _xll.EPMOlapMemberO("[CECO].[PARENTH3].[AMSA1005AD3521]","","AMSA1005AD3521 - TICA Corporativo","","000")</f>
        <v>AMSA1005AD3521 - TICA Corporativo</v>
      </c>
      <c r="B78" s="5" t="str">
        <f t="shared" si="6"/>
        <v>1005AD3521</v>
      </c>
      <c r="C78" s="5" t="str">
        <f>IFERROR(_xlfn.XLOOKUP(B78,'CECOS Corporativos'!$D:$D,'CECOS Corporativos'!$E:$E,""),"")</f>
        <v>TICA Distribuible</v>
      </c>
      <c r="D78" s="5" t="str">
        <f>IFERROR(_xlfn.XLOOKUP(B78,'CECOS Corporativos'!$D:$D,'CECOS Corporativos'!$J:$J,""),"")</f>
        <v>VP Estrategia e Innovación</v>
      </c>
      <c r="E78" t="s">
        <v>768</v>
      </c>
      <c r="F78" t="str">
        <f t="shared" si="7"/>
        <v>N1005AD350</v>
      </c>
      <c r="G78" t="s">
        <v>747</v>
      </c>
      <c r="H78">
        <v>184736.14</v>
      </c>
      <c r="I78">
        <v>134631</v>
      </c>
      <c r="J78">
        <f t="shared" si="8"/>
        <v>-50105.140000000014</v>
      </c>
      <c r="K78">
        <v>157775.93</v>
      </c>
      <c r="L78">
        <v>134254.69</v>
      </c>
      <c r="M78">
        <f t="shared" si="9"/>
        <v>-23521.239999999991</v>
      </c>
      <c r="N78">
        <v>91856.69</v>
      </c>
      <c r="O78">
        <v>118255</v>
      </c>
      <c r="P78">
        <f t="shared" si="10"/>
        <v>26398.309999999998</v>
      </c>
      <c r="Q78">
        <v>126268.17</v>
      </c>
      <c r="R78">
        <v>117304.88</v>
      </c>
      <c r="S78">
        <f t="shared" si="11"/>
        <v>-8963.2899999999936</v>
      </c>
    </row>
    <row r="79" spans="1:19" x14ac:dyDescent="0.3">
      <c r="A79" s="5" t="str">
        <f xml:space="preserve"> _xll.EPMOlapMemberO("[CECO].[PARENTH3].[AMSA1005AD3521]","","AMSA1005AD3521 - TICA Corporativo","","000")</f>
        <v>AMSA1005AD3521 - TICA Corporativo</v>
      </c>
      <c r="B79" s="5" t="str">
        <f t="shared" si="6"/>
        <v>1005AD3521</v>
      </c>
      <c r="C79" s="5" t="str">
        <f>IFERROR(_xlfn.XLOOKUP(B79,'CECOS Corporativos'!$D:$D,'CECOS Corporativos'!$E:$E,""),"")</f>
        <v>TICA Distribuible</v>
      </c>
      <c r="D79" s="5" t="str">
        <f>IFERROR(_xlfn.XLOOKUP(B79,'CECOS Corporativos'!$D:$D,'CECOS Corporativos'!$J:$J,""),"")</f>
        <v>VP Estrategia e Innovación</v>
      </c>
      <c r="E79" t="s">
        <v>772</v>
      </c>
      <c r="F79" t="str">
        <f t="shared" si="7"/>
        <v>N1005AD350</v>
      </c>
      <c r="G79" t="s">
        <v>747</v>
      </c>
      <c r="H79">
        <v>1229.26</v>
      </c>
      <c r="I79">
        <v>5213.3999999999996</v>
      </c>
      <c r="J79">
        <f t="shared" si="8"/>
        <v>3984.1399999999994</v>
      </c>
      <c r="K79">
        <v>1674.04</v>
      </c>
      <c r="L79">
        <v>5583.14</v>
      </c>
      <c r="M79">
        <f t="shared" si="9"/>
        <v>3909.1000000000004</v>
      </c>
      <c r="N79">
        <v>1370.14</v>
      </c>
      <c r="O79">
        <v>2284.1799999999998</v>
      </c>
      <c r="P79">
        <f t="shared" si="10"/>
        <v>914.03999999999974</v>
      </c>
      <c r="Q79">
        <v>1256.74</v>
      </c>
      <c r="R79">
        <v>2429.9</v>
      </c>
      <c r="S79">
        <f t="shared" si="11"/>
        <v>1173.1600000000001</v>
      </c>
    </row>
    <row r="80" spans="1:19" x14ac:dyDescent="0.3">
      <c r="A80" s="5" t="str">
        <f xml:space="preserve"> _xll.EPMOlapMemberO("[CECO].[PARENTH3].[AMSA1005AD3521]","","AMSA1005AD3521 - TICA Corporativo","","000")</f>
        <v>AMSA1005AD3521 - TICA Corporativo</v>
      </c>
      <c r="B80" s="5" t="str">
        <f t="shared" si="6"/>
        <v>1005AD3521</v>
      </c>
      <c r="C80" s="5" t="str">
        <f>IFERROR(_xlfn.XLOOKUP(B80,'CECOS Corporativos'!$D:$D,'CECOS Corporativos'!$E:$E,""),"")</f>
        <v>TICA Distribuible</v>
      </c>
      <c r="D80" s="5" t="str">
        <f>IFERROR(_xlfn.XLOOKUP(B80,'CECOS Corporativos'!$D:$D,'CECOS Corporativos'!$J:$J,""),"")</f>
        <v>VP Estrategia e Innovación</v>
      </c>
      <c r="E80" t="s">
        <v>765</v>
      </c>
      <c r="F80" t="str">
        <f t="shared" si="7"/>
        <v>N1005AD350</v>
      </c>
      <c r="G80" t="s">
        <v>747</v>
      </c>
      <c r="H80">
        <v>374.18</v>
      </c>
      <c r="J80">
        <f t="shared" si="8"/>
        <v>-374.18</v>
      </c>
      <c r="K80">
        <v>5926.77</v>
      </c>
      <c r="M80">
        <f t="shared" si="9"/>
        <v>-5926.77</v>
      </c>
      <c r="N80">
        <v>2268.94</v>
      </c>
      <c r="P80">
        <f t="shared" si="10"/>
        <v>-2268.94</v>
      </c>
      <c r="Q80">
        <v>1474.78</v>
      </c>
      <c r="S80">
        <f t="shared" si="11"/>
        <v>-1474.78</v>
      </c>
    </row>
    <row r="81" spans="1:19" x14ac:dyDescent="0.3">
      <c r="A81" s="5" t="str">
        <f xml:space="preserve"> _xll.EPMOlapMemberO("[CECO].[PARENTH3].[AMSA1005AD3521]","","AMSA1005AD3521 - TICA Corporativo","","000")</f>
        <v>AMSA1005AD3521 - TICA Corporativo</v>
      </c>
      <c r="B81" s="5" t="str">
        <f t="shared" si="6"/>
        <v>1005AD3521</v>
      </c>
      <c r="C81" s="5" t="str">
        <f>IFERROR(_xlfn.XLOOKUP(B81,'CECOS Corporativos'!$D:$D,'CECOS Corporativos'!$E:$E,""),"")</f>
        <v>TICA Distribuible</v>
      </c>
      <c r="D81" s="5" t="str">
        <f>IFERROR(_xlfn.XLOOKUP(B81,'CECOS Corporativos'!$D:$D,'CECOS Corporativos'!$J:$J,""),"")</f>
        <v>VP Estrategia e Innovación</v>
      </c>
      <c r="E81" t="s">
        <v>766</v>
      </c>
      <c r="F81" t="str">
        <f t="shared" si="7"/>
        <v>N1005AD350</v>
      </c>
      <c r="G81" t="s">
        <v>747</v>
      </c>
      <c r="H81">
        <v>19677.8</v>
      </c>
      <c r="J81">
        <f t="shared" si="8"/>
        <v>-19677.8</v>
      </c>
      <c r="M81">
        <f t="shared" si="9"/>
        <v>0</v>
      </c>
      <c r="P81">
        <f t="shared" si="10"/>
        <v>0</v>
      </c>
      <c r="S81">
        <f t="shared" si="11"/>
        <v>0</v>
      </c>
    </row>
    <row r="82" spans="1:19" x14ac:dyDescent="0.3">
      <c r="A82" s="5" t="str">
        <f xml:space="preserve"> _xll.EPMOlapMemberO("[CECO].[PARENTH3].[AMSA1005AD3521]","","AMSA1005AD3521 - TICA Corporativo","","000")</f>
        <v>AMSA1005AD3521 - TICA Corporativo</v>
      </c>
      <c r="B82" s="5" t="str">
        <f t="shared" si="6"/>
        <v>1005AD3521</v>
      </c>
      <c r="C82" s="5" t="str">
        <f>IFERROR(_xlfn.XLOOKUP(B82,'CECOS Corporativos'!$D:$D,'CECOS Corporativos'!$E:$E,""),"")</f>
        <v>TICA Distribuible</v>
      </c>
      <c r="D82" s="5" t="str">
        <f>IFERROR(_xlfn.XLOOKUP(B82,'CECOS Corporativos'!$D:$D,'CECOS Corporativos'!$J:$J,""),"")</f>
        <v>VP Estrategia e Innovación</v>
      </c>
      <c r="E82" t="s">
        <v>762</v>
      </c>
      <c r="F82" t="str">
        <f t="shared" si="7"/>
        <v>N1005AD350</v>
      </c>
      <c r="G82" t="s">
        <v>747</v>
      </c>
      <c r="H82">
        <v>2788.98</v>
      </c>
      <c r="I82">
        <v>11098.56</v>
      </c>
      <c r="J82">
        <f t="shared" si="8"/>
        <v>8309.58</v>
      </c>
      <c r="K82">
        <v>9051.4500000000007</v>
      </c>
      <c r="M82">
        <f t="shared" si="9"/>
        <v>-9051.4500000000007</v>
      </c>
      <c r="N82">
        <v>11705.3</v>
      </c>
      <c r="P82">
        <f t="shared" si="10"/>
        <v>-11705.3</v>
      </c>
      <c r="Q82">
        <v>13713.24</v>
      </c>
      <c r="R82">
        <v>13939.2</v>
      </c>
      <c r="S82">
        <f t="shared" si="11"/>
        <v>225.96000000000095</v>
      </c>
    </row>
    <row r="83" spans="1:19" x14ac:dyDescent="0.3">
      <c r="A83" s="5" t="str">
        <f xml:space="preserve"> _xll.EPMOlapMemberO("[CECO].[PARENTH3].[AMSA1005AD3521]","","AMSA1005AD3521 - TICA Corporativo","","000")</f>
        <v>AMSA1005AD3521 - TICA Corporativo</v>
      </c>
      <c r="B83" s="5" t="str">
        <f t="shared" si="6"/>
        <v>1005AD3521</v>
      </c>
      <c r="C83" s="5" t="str">
        <f>IFERROR(_xlfn.XLOOKUP(B83,'CECOS Corporativos'!$D:$D,'CECOS Corporativos'!$E:$E,""),"")</f>
        <v>TICA Distribuible</v>
      </c>
      <c r="D83" s="5" t="str">
        <f>IFERROR(_xlfn.XLOOKUP(B83,'CECOS Corporativos'!$D:$D,'CECOS Corporativos'!$J:$J,""),"")</f>
        <v>VP Estrategia e Innovación</v>
      </c>
      <c r="E83" t="s">
        <v>758</v>
      </c>
      <c r="F83" t="str">
        <f t="shared" si="7"/>
        <v>N1005AD350</v>
      </c>
      <c r="G83" t="s">
        <v>747</v>
      </c>
      <c r="J83">
        <f t="shared" si="8"/>
        <v>0</v>
      </c>
      <c r="K83">
        <v>1206.25</v>
      </c>
      <c r="M83">
        <f t="shared" si="9"/>
        <v>-1206.25</v>
      </c>
      <c r="N83">
        <v>58317.67</v>
      </c>
      <c r="P83">
        <f t="shared" si="10"/>
        <v>-58317.67</v>
      </c>
      <c r="Q83">
        <v>1600.89</v>
      </c>
      <c r="S83">
        <f t="shared" si="11"/>
        <v>-1600.89</v>
      </c>
    </row>
    <row r="84" spans="1:19" x14ac:dyDescent="0.3">
      <c r="A84" s="5" t="str">
        <f xml:space="preserve"> _xll.EPMOlapMemberO("[CECO].[PARENTH3].[AMSA1005AD3521]","","AMSA1005AD3521 - TICA Corporativo","","000")</f>
        <v>AMSA1005AD3521 - TICA Corporativo</v>
      </c>
      <c r="B84" s="5" t="str">
        <f t="shared" si="6"/>
        <v>1005AD3521</v>
      </c>
      <c r="C84" s="5" t="str">
        <f>IFERROR(_xlfn.XLOOKUP(B84,'CECOS Corporativos'!$D:$D,'CECOS Corporativos'!$E:$E,""),"")</f>
        <v>TICA Distribuible</v>
      </c>
      <c r="D84" s="5" t="str">
        <f>IFERROR(_xlfn.XLOOKUP(B84,'CECOS Corporativos'!$D:$D,'CECOS Corporativos'!$J:$J,""),"")</f>
        <v>VP Estrategia e Innovación</v>
      </c>
      <c r="E84" t="s">
        <v>763</v>
      </c>
      <c r="F84" t="str">
        <f t="shared" si="7"/>
        <v>N1005AD350</v>
      </c>
      <c r="G84" t="s">
        <v>747</v>
      </c>
      <c r="H84">
        <v>3327028.14</v>
      </c>
      <c r="I84">
        <v>3227411</v>
      </c>
      <c r="J84">
        <f t="shared" si="8"/>
        <v>-99617.14000000013</v>
      </c>
      <c r="K84">
        <v>3475996.02</v>
      </c>
      <c r="L84">
        <v>3483542.5</v>
      </c>
      <c r="M84">
        <f t="shared" si="9"/>
        <v>7546.4799999999814</v>
      </c>
      <c r="N84">
        <v>2988678.88</v>
      </c>
      <c r="O84">
        <v>3202694</v>
      </c>
      <c r="P84">
        <f t="shared" si="10"/>
        <v>214015.12000000011</v>
      </c>
      <c r="Q84">
        <v>3323226.78</v>
      </c>
      <c r="R84">
        <v>3522307.88</v>
      </c>
      <c r="S84">
        <f t="shared" si="11"/>
        <v>199081.10000000009</v>
      </c>
    </row>
    <row r="85" spans="1:19" x14ac:dyDescent="0.3">
      <c r="A85" s="5" t="str">
        <f xml:space="preserve"> _xll.EPMOlapMemberO("[CECO].[PARENTH3].[AMSA1005AD3521]","","AMSA1005AD3521 - TICA Corporativo","","000")</f>
        <v>AMSA1005AD3521 - TICA Corporativo</v>
      </c>
      <c r="B85" s="5" t="str">
        <f t="shared" si="6"/>
        <v>1005AD3521</v>
      </c>
      <c r="C85" s="5" t="str">
        <f>IFERROR(_xlfn.XLOOKUP(B85,'CECOS Corporativos'!$D:$D,'CECOS Corporativos'!$E:$E,""),"")</f>
        <v>TICA Distribuible</v>
      </c>
      <c r="D85" s="5" t="str">
        <f>IFERROR(_xlfn.XLOOKUP(B85,'CECOS Corporativos'!$D:$D,'CECOS Corporativos'!$J:$J,""),"")</f>
        <v>VP Estrategia e Innovación</v>
      </c>
      <c r="E85" t="s">
        <v>759</v>
      </c>
      <c r="F85" t="str">
        <f t="shared" si="7"/>
        <v>N1005AD350</v>
      </c>
      <c r="G85" t="s">
        <v>747</v>
      </c>
      <c r="H85">
        <v>5231.71</v>
      </c>
      <c r="I85">
        <v>17830.54</v>
      </c>
      <c r="J85">
        <f t="shared" si="8"/>
        <v>12598.830000000002</v>
      </c>
      <c r="K85">
        <v>6859.79</v>
      </c>
      <c r="L85">
        <v>29626.400000000001</v>
      </c>
      <c r="M85">
        <f t="shared" si="9"/>
        <v>22766.61</v>
      </c>
      <c r="N85">
        <v>10167.51</v>
      </c>
      <c r="O85">
        <v>30269</v>
      </c>
      <c r="P85">
        <f t="shared" si="10"/>
        <v>20101.489999999998</v>
      </c>
      <c r="Q85">
        <v>6273.94</v>
      </c>
      <c r="R85">
        <v>26595.27</v>
      </c>
      <c r="S85">
        <f t="shared" si="11"/>
        <v>20321.330000000002</v>
      </c>
    </row>
    <row r="86" spans="1:19" x14ac:dyDescent="0.3">
      <c r="A86" s="5" t="str">
        <f xml:space="preserve"> _xll.EPMOlapMemberO("[CECO].[PARENTH3].[AMSA1005AD3521]","","AMSA1005AD3521 - TICA Corporativo","","000")</f>
        <v>AMSA1005AD3521 - TICA Corporativo</v>
      </c>
      <c r="B86" s="5" t="str">
        <f t="shared" si="6"/>
        <v>1005AD3521</v>
      </c>
      <c r="C86" s="5" t="str">
        <f>IFERROR(_xlfn.XLOOKUP(B86,'CECOS Corporativos'!$D:$D,'CECOS Corporativos'!$E:$E,""),"")</f>
        <v>TICA Distribuible</v>
      </c>
      <c r="D86" s="5" t="str">
        <f>IFERROR(_xlfn.XLOOKUP(B86,'CECOS Corporativos'!$D:$D,'CECOS Corporativos'!$J:$J,""),"")</f>
        <v>VP Estrategia e Innovación</v>
      </c>
      <c r="E86" t="s">
        <v>761</v>
      </c>
      <c r="F86" t="str">
        <f t="shared" si="7"/>
        <v>N1005AD350</v>
      </c>
      <c r="G86" t="s">
        <v>747</v>
      </c>
      <c r="H86">
        <v>258.26</v>
      </c>
      <c r="J86">
        <f t="shared" si="8"/>
        <v>-258.26</v>
      </c>
      <c r="K86">
        <v>721.5</v>
      </c>
      <c r="M86">
        <f t="shared" si="9"/>
        <v>-721.5</v>
      </c>
      <c r="N86">
        <v>1451.49</v>
      </c>
      <c r="P86">
        <f t="shared" si="10"/>
        <v>-1451.49</v>
      </c>
      <c r="Q86">
        <v>2475.5</v>
      </c>
      <c r="S86">
        <f t="shared" si="11"/>
        <v>-2475.5</v>
      </c>
    </row>
    <row r="87" spans="1:19" x14ac:dyDescent="0.3">
      <c r="A87" s="5" t="str">
        <f xml:space="preserve"> _xll.EPMOlapMemberO("[CECO].[PARENTH3].[AMSA1005AD3521]","","AMSA1005AD3521 - TICA Corporativo","","000")</f>
        <v>AMSA1005AD3521 - TICA Corporativo</v>
      </c>
      <c r="B87" s="5" t="str">
        <f t="shared" si="6"/>
        <v>1005AD3521</v>
      </c>
      <c r="C87" s="5" t="str">
        <f>IFERROR(_xlfn.XLOOKUP(B87,'CECOS Corporativos'!$D:$D,'CECOS Corporativos'!$E:$E,""),"")</f>
        <v>TICA Distribuible</v>
      </c>
      <c r="D87" s="5" t="str">
        <f>IFERROR(_xlfn.XLOOKUP(B87,'CECOS Corporativos'!$D:$D,'CECOS Corporativos'!$J:$J,""),"")</f>
        <v>VP Estrategia e Innovación</v>
      </c>
      <c r="E87" t="s">
        <v>770</v>
      </c>
      <c r="F87" t="str">
        <f t="shared" si="7"/>
        <v>N1005AD350</v>
      </c>
      <c r="G87" t="s">
        <v>747</v>
      </c>
      <c r="J87">
        <f t="shared" si="8"/>
        <v>0</v>
      </c>
      <c r="M87">
        <f t="shared" si="9"/>
        <v>0</v>
      </c>
      <c r="O87">
        <v>-334953.36</v>
      </c>
      <c r="P87">
        <f t="shared" si="10"/>
        <v>-334953.36</v>
      </c>
      <c r="S87">
        <f t="shared" si="11"/>
        <v>0</v>
      </c>
    </row>
    <row r="88" spans="1:19" x14ac:dyDescent="0.3">
      <c r="A88" s="5" t="str">
        <f xml:space="preserve"> _xll.EPMOlapMemberO("[CECO].[PARENTH3].[AMSA1005AD3521]","","AMSA1005AD3521 - TICA Corporativo","","000")</f>
        <v>AMSA1005AD3521 - TICA Corporativo</v>
      </c>
      <c r="B88" s="5" t="str">
        <f t="shared" si="6"/>
        <v>1005AD3521</v>
      </c>
      <c r="C88" s="5" t="str">
        <f>IFERROR(_xlfn.XLOOKUP(B88,'CECOS Corporativos'!$D:$D,'CECOS Corporativos'!$E:$E,""),"")</f>
        <v>TICA Distribuible</v>
      </c>
      <c r="D88" s="5" t="str">
        <f>IFERROR(_xlfn.XLOOKUP(B88,'CECOS Corporativos'!$D:$D,'CECOS Corporativos'!$J:$J,""),"")</f>
        <v>VP Estrategia e Innovación</v>
      </c>
      <c r="E88" t="s">
        <v>769</v>
      </c>
      <c r="F88" t="str">
        <f t="shared" si="7"/>
        <v>N1005AD350</v>
      </c>
      <c r="G88" t="s">
        <v>747</v>
      </c>
      <c r="J88">
        <f t="shared" si="8"/>
        <v>0</v>
      </c>
      <c r="K88">
        <v>27060.7</v>
      </c>
      <c r="M88">
        <f t="shared" si="9"/>
        <v>-27060.7</v>
      </c>
      <c r="P88">
        <f t="shared" si="10"/>
        <v>0</v>
      </c>
      <c r="Q88">
        <v>212529.98</v>
      </c>
      <c r="R88">
        <v>212076.02</v>
      </c>
      <c r="S88">
        <f t="shared" si="11"/>
        <v>-453.96000000002095</v>
      </c>
    </row>
    <row r="89" spans="1:19" x14ac:dyDescent="0.3">
      <c r="A89" s="5" t="str">
        <f xml:space="preserve"> _xll.EPMOlapMemberO("[CECO].[PARENTH3].[AMSA1005AD3521]","","AMSA1005AD3521 - TICA Corporativo","","000")</f>
        <v>AMSA1005AD3521 - TICA Corporativo</v>
      </c>
      <c r="B89" s="5" t="str">
        <f t="shared" si="6"/>
        <v>1005AD3521</v>
      </c>
      <c r="C89" s="5" t="str">
        <f>IFERROR(_xlfn.XLOOKUP(B89,'CECOS Corporativos'!$D:$D,'CECOS Corporativos'!$E:$E,""),"")</f>
        <v>TICA Distribuible</v>
      </c>
      <c r="D89" s="5" t="str">
        <f>IFERROR(_xlfn.XLOOKUP(B89,'CECOS Corporativos'!$D:$D,'CECOS Corporativos'!$J:$J,""),"")</f>
        <v>VP Estrategia e Innovación</v>
      </c>
      <c r="E89" t="s">
        <v>764</v>
      </c>
      <c r="F89" t="str">
        <f t="shared" si="7"/>
        <v>N1005AD350</v>
      </c>
      <c r="G89" t="s">
        <v>747</v>
      </c>
      <c r="H89">
        <v>1059658.08</v>
      </c>
      <c r="I89">
        <v>766487.99</v>
      </c>
      <c r="J89">
        <f t="shared" si="8"/>
        <v>-293170.09000000008</v>
      </c>
      <c r="K89">
        <v>1054519.08</v>
      </c>
      <c r="L89">
        <v>1070470.32</v>
      </c>
      <c r="M89">
        <f t="shared" si="9"/>
        <v>15951.239999999991</v>
      </c>
      <c r="N89">
        <v>1043192.97</v>
      </c>
      <c r="O89">
        <v>1052808</v>
      </c>
      <c r="P89">
        <f t="shared" si="10"/>
        <v>9615.0300000000279</v>
      </c>
      <c r="Q89">
        <v>1445206.08</v>
      </c>
      <c r="R89">
        <v>1476018.4</v>
      </c>
      <c r="S89">
        <f t="shared" si="11"/>
        <v>30812.319999999832</v>
      </c>
    </row>
    <row r="90" spans="1:19" x14ac:dyDescent="0.3">
      <c r="A90" s="5" t="str">
        <f xml:space="preserve"> _xll.EPMOlapMemberO("[CECO].[PARENTH3].[AMSA1005AD3525]","","AMSA1005AD3525 - Gestión de Seguros","","000")</f>
        <v>AMSA1005AD3525 - Gestión de Seguros</v>
      </c>
      <c r="B90" s="5" t="str">
        <f t="shared" si="6"/>
        <v>1005AD3525</v>
      </c>
      <c r="C90" s="5" t="str">
        <f>IFERROR(_xlfn.XLOOKUP(B90,'CECOS Corporativos'!$D:$D,'CECOS Corporativos'!$E:$E,""),"")</f>
        <v>Seguros Corporativos</v>
      </c>
      <c r="D90" s="5" t="str">
        <f>IFERROR(_xlfn.XLOOKUP(B90,'CECOS Corporativos'!$D:$D,'CECOS Corporativos'!$J:$J,""),"")</f>
        <v>VP Finanzas</v>
      </c>
      <c r="E90" t="s">
        <v>759</v>
      </c>
      <c r="F90" t="str">
        <f t="shared" si="7"/>
        <v>N1005AD350</v>
      </c>
      <c r="G90" t="s">
        <v>747</v>
      </c>
      <c r="H90">
        <v>522.16999999999996</v>
      </c>
      <c r="I90">
        <v>176.54</v>
      </c>
      <c r="J90">
        <f t="shared" si="8"/>
        <v>-345.63</v>
      </c>
      <c r="K90">
        <v>1952.74</v>
      </c>
      <c r="L90">
        <v>2379.65</v>
      </c>
      <c r="M90">
        <f t="shared" si="9"/>
        <v>426.91000000000008</v>
      </c>
      <c r="N90">
        <v>2053.9299999999998</v>
      </c>
      <c r="O90">
        <v>4466</v>
      </c>
      <c r="P90">
        <f t="shared" si="10"/>
        <v>2412.0700000000002</v>
      </c>
      <c r="Q90">
        <v>0</v>
      </c>
      <c r="R90">
        <v>683.9</v>
      </c>
      <c r="S90">
        <f t="shared" si="11"/>
        <v>683.9</v>
      </c>
    </row>
    <row r="91" spans="1:19" x14ac:dyDescent="0.3">
      <c r="A91" s="5" t="str">
        <f xml:space="preserve"> _xll.EPMOlapMemberO("[CECO].[PARENTH3].[AMSA1005AD3525]","","AMSA1005AD3525 - Gestión de Seguros","","000")</f>
        <v>AMSA1005AD3525 - Gestión de Seguros</v>
      </c>
      <c r="B91" s="5" t="str">
        <f t="shared" si="6"/>
        <v>1005AD3525</v>
      </c>
      <c r="C91" s="5" t="str">
        <f>IFERROR(_xlfn.XLOOKUP(B91,'CECOS Corporativos'!$D:$D,'CECOS Corporativos'!$E:$E,""),"")</f>
        <v>Seguros Corporativos</v>
      </c>
      <c r="D91" s="5" t="str">
        <f>IFERROR(_xlfn.XLOOKUP(B91,'CECOS Corporativos'!$D:$D,'CECOS Corporativos'!$J:$J,""),"")</f>
        <v>VP Finanzas</v>
      </c>
      <c r="E91" t="s">
        <v>767</v>
      </c>
      <c r="F91" t="str">
        <f t="shared" si="7"/>
        <v>N1005AD350</v>
      </c>
      <c r="G91" t="s">
        <v>747</v>
      </c>
      <c r="H91">
        <v>3436715.45</v>
      </c>
      <c r="I91">
        <v>3619343</v>
      </c>
      <c r="J91">
        <f t="shared" si="8"/>
        <v>182627.54999999981</v>
      </c>
      <c r="K91">
        <v>3443268.99</v>
      </c>
      <c r="L91">
        <v>3626702.01</v>
      </c>
      <c r="M91">
        <f t="shared" si="9"/>
        <v>183433.01999999955</v>
      </c>
      <c r="N91">
        <v>3020250.64</v>
      </c>
      <c r="O91">
        <v>3671684</v>
      </c>
      <c r="P91">
        <f t="shared" si="10"/>
        <v>651433.35999999987</v>
      </c>
      <c r="Q91">
        <v>3019581.77</v>
      </c>
      <c r="R91">
        <v>3436018.14</v>
      </c>
      <c r="S91">
        <f t="shared" si="11"/>
        <v>416436.37000000011</v>
      </c>
    </row>
    <row r="92" spans="1:19" x14ac:dyDescent="0.3">
      <c r="A92" s="5" t="str">
        <f xml:space="preserve"> _xll.EPMOlapMemberO("[CECO].[PARENTH3].[AMSA1005AD3525]","","AMSA1005AD3525 - Gestión de Seguros","","000")</f>
        <v>AMSA1005AD3525 - Gestión de Seguros</v>
      </c>
      <c r="B92" s="5" t="str">
        <f t="shared" si="6"/>
        <v>1005AD3525</v>
      </c>
      <c r="C92" s="5" t="str">
        <f>IFERROR(_xlfn.XLOOKUP(B92,'CECOS Corporativos'!$D:$D,'CECOS Corporativos'!$E:$E,""),"")</f>
        <v>Seguros Corporativos</v>
      </c>
      <c r="D92" s="5" t="str">
        <f>IFERROR(_xlfn.XLOOKUP(B92,'CECOS Corporativos'!$D:$D,'CECOS Corporativos'!$J:$J,""),"")</f>
        <v>VP Finanzas</v>
      </c>
      <c r="E92" t="s">
        <v>770</v>
      </c>
      <c r="F92" t="str">
        <f t="shared" si="7"/>
        <v>N1005AD350</v>
      </c>
      <c r="G92" t="s">
        <v>747</v>
      </c>
      <c r="J92">
        <f t="shared" si="8"/>
        <v>0</v>
      </c>
      <c r="M92">
        <f t="shared" si="9"/>
        <v>0</v>
      </c>
      <c r="O92">
        <v>-265759.84000000003</v>
      </c>
      <c r="P92">
        <f t="shared" si="10"/>
        <v>-265759.84000000003</v>
      </c>
      <c r="S92">
        <f t="shared" si="11"/>
        <v>0</v>
      </c>
    </row>
    <row r="93" spans="1:19" x14ac:dyDescent="0.3">
      <c r="A93" s="5" t="str">
        <f xml:space="preserve"> _xll.EPMOlapMemberO("[CECO].[PARENTH3].[AMSA1005AD3525]","","AMSA1005AD3525 - Gestión de Seguros","","000")</f>
        <v>AMSA1005AD3525 - Gestión de Seguros</v>
      </c>
      <c r="B93" s="5" t="str">
        <f t="shared" si="6"/>
        <v>1005AD3525</v>
      </c>
      <c r="C93" s="5" t="str">
        <f>IFERROR(_xlfn.XLOOKUP(B93,'CECOS Corporativos'!$D:$D,'CECOS Corporativos'!$E:$E,""),"")</f>
        <v>Seguros Corporativos</v>
      </c>
      <c r="D93" s="5" t="str">
        <f>IFERROR(_xlfn.XLOOKUP(B93,'CECOS Corporativos'!$D:$D,'CECOS Corporativos'!$J:$J,""),"")</f>
        <v>VP Finanzas</v>
      </c>
      <c r="E93" t="s">
        <v>764</v>
      </c>
      <c r="F93" t="str">
        <f t="shared" si="7"/>
        <v>N1005AD350</v>
      </c>
      <c r="G93" t="s">
        <v>747</v>
      </c>
      <c r="H93">
        <v>19986</v>
      </c>
      <c r="I93">
        <v>20601</v>
      </c>
      <c r="J93">
        <f t="shared" si="8"/>
        <v>615</v>
      </c>
      <c r="K93">
        <v>33678.269999999997</v>
      </c>
      <c r="L93">
        <v>30571.93</v>
      </c>
      <c r="M93">
        <f t="shared" si="9"/>
        <v>-3106.3399999999965</v>
      </c>
      <c r="N93">
        <v>-0.27</v>
      </c>
      <c r="P93">
        <f t="shared" si="10"/>
        <v>0.27</v>
      </c>
      <c r="S93">
        <f t="shared" si="11"/>
        <v>0</v>
      </c>
    </row>
    <row r="94" spans="1:19" x14ac:dyDescent="0.3">
      <c r="A94" s="5" t="str">
        <f xml:space="preserve"> _xll.EPMOlapMemberO("[CECO].[PARENTH3].[AMSA1005AD3527]","","AMSA1005AD3527 - Control Inter y Ries","","000")</f>
        <v>AMSA1005AD3527 - Control Inter y Ries</v>
      </c>
      <c r="B94" s="5" t="str">
        <f t="shared" si="6"/>
        <v>1005AD3527</v>
      </c>
      <c r="C94" s="5" t="str">
        <f>IFERROR(_xlfn.XLOOKUP(B94,'CECOS Corporativos'!$D:$D,'CECOS Corporativos'!$E:$E,""),"")</f>
        <v>Grcia. Riesgos, Compliance y Control Interno</v>
      </c>
      <c r="D94" s="5" t="str">
        <f>IFERROR(_xlfn.XLOOKUP(B94,'CECOS Corporativos'!$D:$D,'CECOS Corporativos'!$J:$J,""),"")</f>
        <v>VP Finanzas</v>
      </c>
      <c r="E94" t="s">
        <v>766</v>
      </c>
      <c r="F94" t="str">
        <f t="shared" si="7"/>
        <v>N1005AD350</v>
      </c>
      <c r="G94" t="s">
        <v>747</v>
      </c>
      <c r="H94">
        <v>4812.58</v>
      </c>
      <c r="I94">
        <v>9630</v>
      </c>
      <c r="J94">
        <f t="shared" si="8"/>
        <v>4817.42</v>
      </c>
      <c r="L94">
        <v>5833.34</v>
      </c>
      <c r="M94">
        <f t="shared" si="9"/>
        <v>5833.34</v>
      </c>
      <c r="N94">
        <v>518.35</v>
      </c>
      <c r="O94">
        <v>4241</v>
      </c>
      <c r="P94">
        <f t="shared" si="10"/>
        <v>3722.65</v>
      </c>
      <c r="R94">
        <v>1076.55</v>
      </c>
      <c r="S94">
        <f t="shared" si="11"/>
        <v>1076.55</v>
      </c>
    </row>
    <row r="95" spans="1:19" x14ac:dyDescent="0.3">
      <c r="A95" s="5" t="str">
        <f xml:space="preserve"> _xll.EPMOlapMemberO("[CECO].[PARENTH3].[AMSA1005AD3527]","","AMSA1005AD3527 - Control Inter y Ries","","000")</f>
        <v>AMSA1005AD3527 - Control Inter y Ries</v>
      </c>
      <c r="B95" s="5" t="str">
        <f t="shared" si="6"/>
        <v>1005AD3527</v>
      </c>
      <c r="C95" s="5" t="str">
        <f>IFERROR(_xlfn.XLOOKUP(B95,'CECOS Corporativos'!$D:$D,'CECOS Corporativos'!$E:$E,""),"")</f>
        <v>Grcia. Riesgos, Compliance y Control Interno</v>
      </c>
      <c r="D95" s="5" t="str">
        <f>IFERROR(_xlfn.XLOOKUP(B95,'CECOS Corporativos'!$D:$D,'CECOS Corporativos'!$J:$J,""),"")</f>
        <v>VP Finanzas</v>
      </c>
      <c r="E95" t="s">
        <v>757</v>
      </c>
      <c r="F95" t="str">
        <f t="shared" si="7"/>
        <v>N1005AD350</v>
      </c>
      <c r="G95" t="s">
        <v>747</v>
      </c>
      <c r="H95">
        <v>19632.759999999998</v>
      </c>
      <c r="I95">
        <v>5135</v>
      </c>
      <c r="J95">
        <f t="shared" si="8"/>
        <v>-14497.759999999998</v>
      </c>
      <c r="K95">
        <v>35005.01</v>
      </c>
      <c r="L95">
        <v>24999.99</v>
      </c>
      <c r="M95">
        <f t="shared" si="9"/>
        <v>-10005.02</v>
      </c>
      <c r="N95">
        <v>1933.87</v>
      </c>
      <c r="O95">
        <v>13978</v>
      </c>
      <c r="P95">
        <f t="shared" si="10"/>
        <v>12044.130000000001</v>
      </c>
      <c r="Q95">
        <v>7263.97</v>
      </c>
      <c r="S95">
        <f t="shared" si="11"/>
        <v>-7263.97</v>
      </c>
    </row>
    <row r="96" spans="1:19" x14ac:dyDescent="0.3">
      <c r="A96" s="5" t="str">
        <f xml:space="preserve"> _xll.EPMOlapMemberO("[CECO].[PARENTH3].[AMSA1005AD3527]","","AMSA1005AD3527 - Control Inter y Ries","","000")</f>
        <v>AMSA1005AD3527 - Control Inter y Ries</v>
      </c>
      <c r="B96" s="5" t="str">
        <f t="shared" si="6"/>
        <v>1005AD3527</v>
      </c>
      <c r="C96" s="5" t="str">
        <f>IFERROR(_xlfn.XLOOKUP(B96,'CECOS Corporativos'!$D:$D,'CECOS Corporativos'!$E:$E,""),"")</f>
        <v>Grcia. Riesgos, Compliance y Control Interno</v>
      </c>
      <c r="D96" s="5" t="str">
        <f>IFERROR(_xlfn.XLOOKUP(B96,'CECOS Corporativos'!$D:$D,'CECOS Corporativos'!$J:$J,""),"")</f>
        <v>VP Finanzas</v>
      </c>
      <c r="E96" t="s">
        <v>758</v>
      </c>
      <c r="F96" t="str">
        <f t="shared" si="7"/>
        <v>N1005AD350</v>
      </c>
      <c r="G96" t="s">
        <v>747</v>
      </c>
      <c r="H96">
        <v>42818.98</v>
      </c>
      <c r="I96">
        <v>61076</v>
      </c>
      <c r="J96">
        <f t="shared" si="8"/>
        <v>18257.019999999997</v>
      </c>
      <c r="K96">
        <v>62046.02</v>
      </c>
      <c r="L96">
        <v>42793.31</v>
      </c>
      <c r="M96">
        <f t="shared" si="9"/>
        <v>-19252.71</v>
      </c>
      <c r="N96">
        <v>76106.45</v>
      </c>
      <c r="O96">
        <v>89262</v>
      </c>
      <c r="P96">
        <f t="shared" si="10"/>
        <v>13155.550000000003</v>
      </c>
      <c r="Q96">
        <v>74339.789999999994</v>
      </c>
      <c r="R96">
        <v>86035.13</v>
      </c>
      <c r="S96">
        <f t="shared" si="11"/>
        <v>11695.340000000011</v>
      </c>
    </row>
    <row r="97" spans="1:19" x14ac:dyDescent="0.3">
      <c r="A97" s="5" t="str">
        <f xml:space="preserve"> _xll.EPMOlapMemberO("[CECO].[PARENTH3].[AMSA1005AD3527]","","AMSA1005AD3527 - Control Inter y Ries","","000")</f>
        <v>AMSA1005AD3527 - Control Inter y Ries</v>
      </c>
      <c r="B97" s="5" t="str">
        <f t="shared" si="6"/>
        <v>1005AD3527</v>
      </c>
      <c r="C97" s="5" t="str">
        <f>IFERROR(_xlfn.XLOOKUP(B97,'CECOS Corporativos'!$D:$D,'CECOS Corporativos'!$E:$E,""),"")</f>
        <v>Grcia. Riesgos, Compliance y Control Interno</v>
      </c>
      <c r="D97" s="5" t="str">
        <f>IFERROR(_xlfn.XLOOKUP(B97,'CECOS Corporativos'!$D:$D,'CECOS Corporativos'!$J:$J,""),"")</f>
        <v>VP Finanzas</v>
      </c>
      <c r="E97" t="s">
        <v>763</v>
      </c>
      <c r="F97" t="str">
        <f t="shared" si="7"/>
        <v>N1005AD350</v>
      </c>
      <c r="G97" t="s">
        <v>747</v>
      </c>
      <c r="H97">
        <v>18717.310000000001</v>
      </c>
      <c r="I97">
        <v>25634</v>
      </c>
      <c r="J97">
        <f t="shared" si="8"/>
        <v>6916.6899999999987</v>
      </c>
      <c r="K97">
        <v>15132.76</v>
      </c>
      <c r="L97">
        <v>33903.21</v>
      </c>
      <c r="M97">
        <f t="shared" si="9"/>
        <v>18770.449999999997</v>
      </c>
      <c r="N97">
        <v>47950.07</v>
      </c>
      <c r="O97">
        <v>34432</v>
      </c>
      <c r="P97">
        <f t="shared" si="10"/>
        <v>-13518.07</v>
      </c>
      <c r="Q97">
        <v>46893.760000000002</v>
      </c>
      <c r="R97">
        <v>46400.54</v>
      </c>
      <c r="S97">
        <f t="shared" si="11"/>
        <v>-493.22000000000116</v>
      </c>
    </row>
    <row r="98" spans="1:19" x14ac:dyDescent="0.3">
      <c r="A98" s="5" t="str">
        <f xml:space="preserve"> _xll.EPMOlapMemberO("[CECO].[PARENTH3].[AMSA1005AD3527]","","AMSA1005AD3527 - Control Inter y Ries","","000")</f>
        <v>AMSA1005AD3527 - Control Inter y Ries</v>
      </c>
      <c r="B98" s="5" t="str">
        <f t="shared" si="6"/>
        <v>1005AD3527</v>
      </c>
      <c r="C98" s="5" t="str">
        <f>IFERROR(_xlfn.XLOOKUP(B98,'CECOS Corporativos'!$D:$D,'CECOS Corporativos'!$E:$E,""),"")</f>
        <v>Grcia. Riesgos, Compliance y Control Interno</v>
      </c>
      <c r="D98" s="5" t="str">
        <f>IFERROR(_xlfn.XLOOKUP(B98,'CECOS Corporativos'!$D:$D,'CECOS Corporativos'!$J:$J,""),"")</f>
        <v>VP Finanzas</v>
      </c>
      <c r="E98" t="s">
        <v>761</v>
      </c>
      <c r="F98" t="str">
        <f t="shared" si="7"/>
        <v>N1005AD350</v>
      </c>
      <c r="G98" t="s">
        <v>747</v>
      </c>
      <c r="H98">
        <v>2571.35</v>
      </c>
      <c r="I98">
        <v>1847</v>
      </c>
      <c r="J98">
        <f t="shared" si="8"/>
        <v>-724.34999999999991</v>
      </c>
      <c r="K98">
        <v>2566.7399999999998</v>
      </c>
      <c r="L98">
        <v>3381.06</v>
      </c>
      <c r="M98">
        <f t="shared" si="9"/>
        <v>814.32000000000016</v>
      </c>
      <c r="N98">
        <v>694.96</v>
      </c>
      <c r="O98">
        <v>1355</v>
      </c>
      <c r="P98">
        <f t="shared" si="10"/>
        <v>660.04</v>
      </c>
      <c r="Q98">
        <v>3074.94</v>
      </c>
      <c r="R98">
        <v>2910.97</v>
      </c>
      <c r="S98">
        <f t="shared" si="11"/>
        <v>-163.97000000000025</v>
      </c>
    </row>
    <row r="99" spans="1:19" x14ac:dyDescent="0.3">
      <c r="A99" s="5" t="str">
        <f xml:space="preserve"> _xll.EPMOlapMemberO("[CECO].[PARENTH3].[AMSA1005AD3527]","","AMSA1005AD3527 - Control Inter y Ries","","000")</f>
        <v>AMSA1005AD3527 - Control Inter y Ries</v>
      </c>
      <c r="B99" s="5" t="str">
        <f t="shared" si="6"/>
        <v>1005AD3527</v>
      </c>
      <c r="C99" s="5" t="str">
        <f>IFERROR(_xlfn.XLOOKUP(B99,'CECOS Corporativos'!$D:$D,'CECOS Corporativos'!$E:$E,""),"")</f>
        <v>Grcia. Riesgos, Compliance y Control Interno</v>
      </c>
      <c r="D99" s="5" t="str">
        <f>IFERROR(_xlfn.XLOOKUP(B99,'CECOS Corporativos'!$D:$D,'CECOS Corporativos'!$J:$J,""),"")</f>
        <v>VP Finanzas</v>
      </c>
      <c r="E99" t="s">
        <v>770</v>
      </c>
      <c r="F99" t="str">
        <f t="shared" si="7"/>
        <v>N1005AD350</v>
      </c>
      <c r="G99" t="s">
        <v>747</v>
      </c>
      <c r="J99">
        <f t="shared" si="8"/>
        <v>0</v>
      </c>
      <c r="M99">
        <f t="shared" si="9"/>
        <v>0</v>
      </c>
      <c r="O99">
        <v>-10256.59</v>
      </c>
      <c r="P99">
        <f t="shared" si="10"/>
        <v>-10256.59</v>
      </c>
      <c r="S99">
        <f t="shared" si="11"/>
        <v>0</v>
      </c>
    </row>
    <row r="100" spans="1:19" x14ac:dyDescent="0.3">
      <c r="A100" s="5" t="str">
        <f xml:space="preserve"> _xll.EPMOlapMemberO("[CECO].[PARENTH3].[AMSA1005AD3522]","","AMSA1005AD3522 - Servicios Generales","","000")</f>
        <v>AMSA1005AD3522 - Servicios Generales</v>
      </c>
      <c r="B100" s="5" t="str">
        <f t="shared" si="6"/>
        <v>1005AD3522</v>
      </c>
      <c r="C100" s="5" t="str">
        <f>IFERROR(_xlfn.XLOOKUP(B100,'CECOS Corporativos'!$D:$D,'CECOS Corporativos'!$E:$E,""),"")</f>
        <v>Servicios Generales</v>
      </c>
      <c r="D100" s="5" t="str">
        <f>IFERROR(_xlfn.XLOOKUP(B100,'CECOS Corporativos'!$D:$D,'CECOS Corporativos'!$J:$J,""),"")</f>
        <v>VP Personas y Organización</v>
      </c>
      <c r="E100" t="s">
        <v>337</v>
      </c>
      <c r="F100" t="str">
        <f t="shared" si="7"/>
        <v>N1005AD400</v>
      </c>
      <c r="G100" t="s">
        <v>748</v>
      </c>
      <c r="H100">
        <v>-1.47</v>
      </c>
      <c r="I100">
        <v>734</v>
      </c>
      <c r="J100">
        <f t="shared" si="8"/>
        <v>735.47</v>
      </c>
      <c r="K100">
        <v>-223.32</v>
      </c>
      <c r="L100">
        <v>1978.03</v>
      </c>
      <c r="M100">
        <f t="shared" si="9"/>
        <v>2201.35</v>
      </c>
      <c r="O100">
        <v>2112</v>
      </c>
      <c r="P100">
        <f t="shared" si="10"/>
        <v>2112</v>
      </c>
      <c r="S100">
        <f t="shared" si="11"/>
        <v>0</v>
      </c>
    </row>
    <row r="101" spans="1:19" x14ac:dyDescent="0.3">
      <c r="A101" s="5" t="str">
        <f xml:space="preserve"> _xll.EPMOlapMemberO("[CECO].[PARENTH3].[AMSA1005AD3522]","","AMSA1005AD3522 - Servicios Generales","","000")</f>
        <v>AMSA1005AD3522 - Servicios Generales</v>
      </c>
      <c r="B101" s="5" t="str">
        <f t="shared" si="6"/>
        <v>1005AD3522</v>
      </c>
      <c r="C101" s="5" t="str">
        <f>IFERROR(_xlfn.XLOOKUP(B101,'CECOS Corporativos'!$D:$D,'CECOS Corporativos'!$E:$E,""),"")</f>
        <v>Servicios Generales</v>
      </c>
      <c r="D101" s="5" t="str">
        <f>IFERROR(_xlfn.XLOOKUP(B101,'CECOS Corporativos'!$D:$D,'CECOS Corporativos'!$J:$J,""),"")</f>
        <v>VP Personas y Organización</v>
      </c>
      <c r="E101" t="s">
        <v>758</v>
      </c>
      <c r="F101" t="str">
        <f t="shared" si="7"/>
        <v>N1005AD400</v>
      </c>
      <c r="G101" t="s">
        <v>748</v>
      </c>
      <c r="H101">
        <v>122.73</v>
      </c>
      <c r="I101">
        <v>2919</v>
      </c>
      <c r="J101">
        <f t="shared" si="8"/>
        <v>2796.27</v>
      </c>
      <c r="M101">
        <f t="shared" si="9"/>
        <v>0</v>
      </c>
      <c r="N101">
        <v>23803.22</v>
      </c>
      <c r="P101">
        <f t="shared" si="10"/>
        <v>-23803.22</v>
      </c>
      <c r="Q101">
        <v>-23803.22</v>
      </c>
      <c r="S101">
        <f t="shared" si="11"/>
        <v>23803.22</v>
      </c>
    </row>
    <row r="102" spans="1:19" x14ac:dyDescent="0.3">
      <c r="A102" s="5" t="str">
        <f xml:space="preserve"> _xll.EPMOlapMemberO("[CECO].[PARENTH3].[AMSA1005AD3522]","","AMSA1005AD3522 - Servicios Generales","","000")</f>
        <v>AMSA1005AD3522 - Servicios Generales</v>
      </c>
      <c r="B102" s="5" t="str">
        <f t="shared" si="6"/>
        <v>1005AD3522</v>
      </c>
      <c r="C102" s="5" t="str">
        <f>IFERROR(_xlfn.XLOOKUP(B102,'CECOS Corporativos'!$D:$D,'CECOS Corporativos'!$E:$E,""),"")</f>
        <v>Servicios Generales</v>
      </c>
      <c r="D102" s="5" t="str">
        <f>IFERROR(_xlfn.XLOOKUP(B102,'CECOS Corporativos'!$D:$D,'CECOS Corporativos'!$J:$J,""),"")</f>
        <v>VP Personas y Organización</v>
      </c>
      <c r="E102" t="s">
        <v>773</v>
      </c>
      <c r="F102" t="str">
        <f t="shared" si="7"/>
        <v>N1005AD400</v>
      </c>
      <c r="G102" t="s">
        <v>748</v>
      </c>
      <c r="H102">
        <v>10893.41</v>
      </c>
      <c r="I102">
        <v>11321</v>
      </c>
      <c r="J102">
        <f t="shared" si="8"/>
        <v>427.59000000000015</v>
      </c>
      <c r="K102">
        <v>9174.69</v>
      </c>
      <c r="L102">
        <v>11210.76</v>
      </c>
      <c r="M102">
        <f t="shared" si="9"/>
        <v>2036.0699999999997</v>
      </c>
      <c r="N102">
        <v>7831.74</v>
      </c>
      <c r="O102">
        <v>12936</v>
      </c>
      <c r="P102">
        <f t="shared" si="10"/>
        <v>5104.26</v>
      </c>
      <c r="Q102">
        <v>9975.92</v>
      </c>
      <c r="R102">
        <v>11479.01</v>
      </c>
      <c r="S102">
        <f t="shared" si="11"/>
        <v>1503.0900000000001</v>
      </c>
    </row>
    <row r="103" spans="1:19" x14ac:dyDescent="0.3">
      <c r="A103" s="5" t="str">
        <f xml:space="preserve"> _xll.EPMOlapMemberO("[CECO].[PARENTH3].[AMSA1005AD3522]","","AMSA1005AD3522 - Servicios Generales","","000")</f>
        <v>AMSA1005AD3522 - Servicios Generales</v>
      </c>
      <c r="B103" s="5" t="str">
        <f t="shared" si="6"/>
        <v>1005AD3522</v>
      </c>
      <c r="C103" s="5" t="str">
        <f>IFERROR(_xlfn.XLOOKUP(B103,'CECOS Corporativos'!$D:$D,'CECOS Corporativos'!$E:$E,""),"")</f>
        <v>Servicios Generales</v>
      </c>
      <c r="D103" s="5" t="str">
        <f>IFERROR(_xlfn.XLOOKUP(B103,'CECOS Corporativos'!$D:$D,'CECOS Corporativos'!$J:$J,""),"")</f>
        <v>VP Personas y Organización</v>
      </c>
      <c r="E103" t="s">
        <v>760</v>
      </c>
      <c r="F103" t="str">
        <f t="shared" si="7"/>
        <v>N1005AD400</v>
      </c>
      <c r="G103" t="s">
        <v>748</v>
      </c>
      <c r="J103">
        <f t="shared" si="8"/>
        <v>0</v>
      </c>
      <c r="K103">
        <v>-1398.15</v>
      </c>
      <c r="M103">
        <f t="shared" si="9"/>
        <v>1398.15</v>
      </c>
      <c r="P103">
        <f t="shared" si="10"/>
        <v>0</v>
      </c>
      <c r="S103">
        <f t="shared" si="11"/>
        <v>0</v>
      </c>
    </row>
    <row r="104" spans="1:19" x14ac:dyDescent="0.3">
      <c r="A104" s="5" t="str">
        <f xml:space="preserve"> _xll.EPMOlapMemberO("[CECO].[PARENTH3].[AMSA1005AD3522]","","AMSA1005AD3522 - Servicios Generales","","000")</f>
        <v>AMSA1005AD3522 - Servicios Generales</v>
      </c>
      <c r="B104" s="5" t="str">
        <f t="shared" si="6"/>
        <v>1005AD3522</v>
      </c>
      <c r="C104" s="5" t="str">
        <f>IFERROR(_xlfn.XLOOKUP(B104,'CECOS Corporativos'!$D:$D,'CECOS Corporativos'!$E:$E,""),"")</f>
        <v>Servicios Generales</v>
      </c>
      <c r="D104" s="5" t="str">
        <f>IFERROR(_xlfn.XLOOKUP(B104,'CECOS Corporativos'!$D:$D,'CECOS Corporativos'!$J:$J,""),"")</f>
        <v>VP Personas y Organización</v>
      </c>
      <c r="E104" t="s">
        <v>761</v>
      </c>
      <c r="F104" t="str">
        <f t="shared" si="7"/>
        <v>N1005AD400</v>
      </c>
      <c r="G104" t="s">
        <v>748</v>
      </c>
      <c r="H104">
        <v>104.98</v>
      </c>
      <c r="I104">
        <v>3486</v>
      </c>
      <c r="J104">
        <f t="shared" si="8"/>
        <v>3381.02</v>
      </c>
      <c r="K104">
        <v>1975.37</v>
      </c>
      <c r="L104">
        <v>9537.7000000000007</v>
      </c>
      <c r="M104">
        <f t="shared" si="9"/>
        <v>7562.3300000000008</v>
      </c>
      <c r="N104">
        <v>3040.77</v>
      </c>
      <c r="O104">
        <v>10500</v>
      </c>
      <c r="P104">
        <f t="shared" si="10"/>
        <v>7459.23</v>
      </c>
      <c r="Q104">
        <v>1646.58</v>
      </c>
      <c r="S104">
        <f t="shared" si="11"/>
        <v>-1646.58</v>
      </c>
    </row>
    <row r="105" spans="1:19" x14ac:dyDescent="0.3">
      <c r="A105" s="5" t="str">
        <f xml:space="preserve"> _xll.EPMOlapMemberO("[CECO].[PARENTH3].[AMSA1005AD3522]","","AMSA1005AD3522 - Servicios Generales","","000")</f>
        <v>AMSA1005AD3522 - Servicios Generales</v>
      </c>
      <c r="B105" s="5" t="str">
        <f t="shared" si="6"/>
        <v>1005AD3522</v>
      </c>
      <c r="C105" s="5" t="str">
        <f>IFERROR(_xlfn.XLOOKUP(B105,'CECOS Corporativos'!$D:$D,'CECOS Corporativos'!$E:$E,""),"")</f>
        <v>Servicios Generales</v>
      </c>
      <c r="D105" s="5" t="str">
        <f>IFERROR(_xlfn.XLOOKUP(B105,'CECOS Corporativos'!$D:$D,'CECOS Corporativos'!$J:$J,""),"")</f>
        <v>VP Personas y Organización</v>
      </c>
      <c r="E105" t="s">
        <v>770</v>
      </c>
      <c r="F105" t="str">
        <f t="shared" si="7"/>
        <v>N1005AD400</v>
      </c>
      <c r="G105" t="s">
        <v>748</v>
      </c>
      <c r="J105">
        <f t="shared" si="8"/>
        <v>0</v>
      </c>
      <c r="M105">
        <f t="shared" si="9"/>
        <v>0</v>
      </c>
      <c r="O105">
        <v>-1950.3</v>
      </c>
      <c r="P105">
        <f t="shared" si="10"/>
        <v>-1950.3</v>
      </c>
      <c r="S105">
        <f t="shared" si="11"/>
        <v>0</v>
      </c>
    </row>
    <row r="106" spans="1:19" x14ac:dyDescent="0.3">
      <c r="A106" s="5" t="str">
        <f xml:space="preserve"> _xll.EPMOlapMemberO("[CECO].[PARENTH3].[AMSA1005AD4020]","","AMSA1005AD4020 - RRHH  Corporativo","","000")</f>
        <v>AMSA1005AD4020 - RRHH  Corporativo</v>
      </c>
      <c r="B106" s="5" t="str">
        <f t="shared" si="6"/>
        <v>1005AD4020</v>
      </c>
      <c r="C106" s="5" t="str">
        <f>IFERROR(_xlfn.XLOOKUP(B106,'CECOS Corporativos'!$D:$D,'CECOS Corporativos'!$E:$E,""),"")</f>
        <v>RRHH Corporativo</v>
      </c>
      <c r="D106" s="5" t="str">
        <f>IFERROR(_xlfn.XLOOKUP(B106,'CECOS Corporativos'!$D:$D,'CECOS Corporativos'!$J:$J,""),"")</f>
        <v>VP Personas y Organización</v>
      </c>
      <c r="E106" t="s">
        <v>765</v>
      </c>
      <c r="F106" t="str">
        <f t="shared" si="7"/>
        <v>N1005AD400</v>
      </c>
      <c r="G106" t="s">
        <v>748</v>
      </c>
      <c r="H106">
        <v>89876.56</v>
      </c>
      <c r="I106">
        <v>101471</v>
      </c>
      <c r="J106">
        <f t="shared" si="8"/>
        <v>11594.440000000002</v>
      </c>
      <c r="K106">
        <v>50990.23</v>
      </c>
      <c r="L106">
        <v>304961.31</v>
      </c>
      <c r="M106">
        <f t="shared" si="9"/>
        <v>253971.08</v>
      </c>
      <c r="N106">
        <v>196809.95</v>
      </c>
      <c r="O106">
        <v>264715</v>
      </c>
      <c r="P106">
        <f t="shared" si="10"/>
        <v>67905.049999999988</v>
      </c>
      <c r="Q106">
        <v>265188.34999999998</v>
      </c>
      <c r="R106">
        <v>266105.33</v>
      </c>
      <c r="S106">
        <f t="shared" si="11"/>
        <v>916.98000000003958</v>
      </c>
    </row>
    <row r="107" spans="1:19" x14ac:dyDescent="0.3">
      <c r="A107" s="5" t="str">
        <f xml:space="preserve"> _xll.EPMOlapMemberO("[CECO].[PARENTH3].[AMSA1005AD4020]","","AMSA1005AD4020 - RRHH  Corporativo","","000")</f>
        <v>AMSA1005AD4020 - RRHH  Corporativo</v>
      </c>
      <c r="B107" s="5" t="str">
        <f t="shared" si="6"/>
        <v>1005AD4020</v>
      </c>
      <c r="C107" s="5" t="str">
        <f>IFERROR(_xlfn.XLOOKUP(B107,'CECOS Corporativos'!$D:$D,'CECOS Corporativos'!$E:$E,""),"")</f>
        <v>RRHH Corporativo</v>
      </c>
      <c r="D107" s="5" t="str">
        <f>IFERROR(_xlfn.XLOOKUP(B107,'CECOS Corporativos'!$D:$D,'CECOS Corporativos'!$J:$J,""),"")</f>
        <v>VP Personas y Organización</v>
      </c>
      <c r="E107" t="s">
        <v>766</v>
      </c>
      <c r="F107" t="str">
        <f t="shared" si="7"/>
        <v>N1005AD400</v>
      </c>
      <c r="G107" t="s">
        <v>748</v>
      </c>
      <c r="H107">
        <v>143819.78</v>
      </c>
      <c r="I107">
        <v>205974</v>
      </c>
      <c r="J107">
        <f t="shared" si="8"/>
        <v>62154.22</v>
      </c>
      <c r="K107">
        <v>269193.45</v>
      </c>
      <c r="L107">
        <v>212290</v>
      </c>
      <c r="M107">
        <f t="shared" si="9"/>
        <v>-56903.450000000012</v>
      </c>
      <c r="N107">
        <v>138371.71</v>
      </c>
      <c r="O107">
        <v>158044</v>
      </c>
      <c r="P107">
        <f t="shared" si="10"/>
        <v>19672.290000000008</v>
      </c>
      <c r="Q107">
        <v>80108.02</v>
      </c>
      <c r="R107">
        <v>90451.66</v>
      </c>
      <c r="S107">
        <f t="shared" si="11"/>
        <v>10343.64</v>
      </c>
    </row>
    <row r="108" spans="1:19" x14ac:dyDescent="0.3">
      <c r="A108" s="5" t="str">
        <f xml:space="preserve"> _xll.EPMOlapMemberO("[CECO].[PARENTH3].[AMSA1005AD4020]","","AMSA1005AD4020 - RRHH  Corporativo","","000")</f>
        <v>AMSA1005AD4020 - RRHH  Corporativo</v>
      </c>
      <c r="B108" s="5" t="str">
        <f t="shared" si="6"/>
        <v>1005AD4020</v>
      </c>
      <c r="C108" s="5" t="str">
        <f>IFERROR(_xlfn.XLOOKUP(B108,'CECOS Corporativos'!$D:$D,'CECOS Corporativos'!$E:$E,""),"")</f>
        <v>RRHH Corporativo</v>
      </c>
      <c r="D108" s="5" t="str">
        <f>IFERROR(_xlfn.XLOOKUP(B108,'CECOS Corporativos'!$D:$D,'CECOS Corporativos'!$J:$J,""),"")</f>
        <v>VP Personas y Organización</v>
      </c>
      <c r="E108" t="s">
        <v>757</v>
      </c>
      <c r="F108" t="str">
        <f t="shared" si="7"/>
        <v>N1005AD400</v>
      </c>
      <c r="G108" t="s">
        <v>748</v>
      </c>
      <c r="H108">
        <v>186063.78</v>
      </c>
      <c r="I108">
        <v>275329</v>
      </c>
      <c r="J108">
        <f t="shared" si="8"/>
        <v>89265.22</v>
      </c>
      <c r="K108">
        <v>80808.98</v>
      </c>
      <c r="L108">
        <v>231466.69</v>
      </c>
      <c r="M108">
        <f t="shared" si="9"/>
        <v>150657.71000000002</v>
      </c>
      <c r="N108">
        <v>121074.76</v>
      </c>
      <c r="O108">
        <v>140741</v>
      </c>
      <c r="P108">
        <f t="shared" si="10"/>
        <v>19666.240000000005</v>
      </c>
      <c r="Q108">
        <v>84833.65</v>
      </c>
      <c r="R108">
        <v>47943.91</v>
      </c>
      <c r="S108">
        <f t="shared" si="11"/>
        <v>-36889.739999999991</v>
      </c>
    </row>
    <row r="109" spans="1:19" x14ac:dyDescent="0.3">
      <c r="A109" s="5" t="str">
        <f xml:space="preserve"> _xll.EPMOlapMemberO("[CECO].[PARENTH3].[AMSA1005AD4020]","","AMSA1005AD4020 - RRHH  Corporativo","","000")</f>
        <v>AMSA1005AD4020 - RRHH  Corporativo</v>
      </c>
      <c r="B109" s="5" t="str">
        <f t="shared" si="6"/>
        <v>1005AD4020</v>
      </c>
      <c r="C109" s="5" t="str">
        <f>IFERROR(_xlfn.XLOOKUP(B109,'CECOS Corporativos'!$D:$D,'CECOS Corporativos'!$E:$E,""),"")</f>
        <v>RRHH Corporativo</v>
      </c>
      <c r="D109" s="5" t="str">
        <f>IFERROR(_xlfn.XLOOKUP(B109,'CECOS Corporativos'!$D:$D,'CECOS Corporativos'!$J:$J,""),"")</f>
        <v>VP Personas y Organización</v>
      </c>
      <c r="E109" t="s">
        <v>758</v>
      </c>
      <c r="F109" t="str">
        <f t="shared" si="7"/>
        <v>N1005AD400</v>
      </c>
      <c r="G109" t="s">
        <v>748</v>
      </c>
      <c r="H109">
        <v>36537.4</v>
      </c>
      <c r="I109">
        <v>35990</v>
      </c>
      <c r="J109">
        <f t="shared" si="8"/>
        <v>-547.40000000000146</v>
      </c>
      <c r="K109">
        <v>69793.460000000006</v>
      </c>
      <c r="M109">
        <f t="shared" si="9"/>
        <v>-69793.460000000006</v>
      </c>
      <c r="N109">
        <v>0</v>
      </c>
      <c r="P109">
        <f t="shared" si="10"/>
        <v>0</v>
      </c>
      <c r="S109">
        <f t="shared" si="11"/>
        <v>0</v>
      </c>
    </row>
    <row r="110" spans="1:19" x14ac:dyDescent="0.3">
      <c r="A110" s="5" t="str">
        <f xml:space="preserve"> _xll.EPMOlapMemberO("[CECO].[PARENTH3].[AMSA1005AD4020]","","AMSA1005AD4020 - RRHH  Corporativo","","000")</f>
        <v>AMSA1005AD4020 - RRHH  Corporativo</v>
      </c>
      <c r="B110" s="5" t="str">
        <f t="shared" si="6"/>
        <v>1005AD4020</v>
      </c>
      <c r="C110" s="5" t="str">
        <f>IFERROR(_xlfn.XLOOKUP(B110,'CECOS Corporativos'!$D:$D,'CECOS Corporativos'!$E:$E,""),"")</f>
        <v>RRHH Corporativo</v>
      </c>
      <c r="D110" s="5" t="str">
        <f>IFERROR(_xlfn.XLOOKUP(B110,'CECOS Corporativos'!$D:$D,'CECOS Corporativos'!$J:$J,""),"")</f>
        <v>VP Personas y Organización</v>
      </c>
      <c r="E110" t="s">
        <v>763</v>
      </c>
      <c r="F110" t="str">
        <f t="shared" si="7"/>
        <v>N1005AD400</v>
      </c>
      <c r="G110" t="s">
        <v>748</v>
      </c>
      <c r="H110">
        <v>274823.09999999998</v>
      </c>
      <c r="I110">
        <v>385838</v>
      </c>
      <c r="J110">
        <f t="shared" si="8"/>
        <v>111014.90000000002</v>
      </c>
      <c r="K110">
        <v>402626.5</v>
      </c>
      <c r="L110">
        <v>326791.32</v>
      </c>
      <c r="M110">
        <f t="shared" si="9"/>
        <v>-75835.179999999993</v>
      </c>
      <c r="N110">
        <v>389977.53</v>
      </c>
      <c r="O110">
        <v>382497</v>
      </c>
      <c r="P110">
        <f t="shared" si="10"/>
        <v>-7480.5300000000279</v>
      </c>
      <c r="Q110">
        <v>363961.81</v>
      </c>
      <c r="R110">
        <v>313323.53000000003</v>
      </c>
      <c r="S110">
        <f t="shared" si="11"/>
        <v>-50638.27999999997</v>
      </c>
    </row>
    <row r="111" spans="1:19" x14ac:dyDescent="0.3">
      <c r="A111" s="5" t="str">
        <f xml:space="preserve"> _xll.EPMOlapMemberO("[CECO].[PARENTH3].[AMSA1005AD4020]","","AMSA1005AD4020 - RRHH  Corporativo","","000")</f>
        <v>AMSA1005AD4020 - RRHH  Corporativo</v>
      </c>
      <c r="B111" s="5" t="str">
        <f t="shared" si="6"/>
        <v>1005AD4020</v>
      </c>
      <c r="C111" s="5" t="str">
        <f>IFERROR(_xlfn.XLOOKUP(B111,'CECOS Corporativos'!$D:$D,'CECOS Corporativos'!$E:$E,""),"")</f>
        <v>RRHH Corporativo</v>
      </c>
      <c r="D111" s="5" t="str">
        <f>IFERROR(_xlfn.XLOOKUP(B111,'CECOS Corporativos'!$D:$D,'CECOS Corporativos'!$J:$J,""),"")</f>
        <v>VP Personas y Organización</v>
      </c>
      <c r="E111" t="s">
        <v>759</v>
      </c>
      <c r="F111" t="str">
        <f t="shared" si="7"/>
        <v>N1005AD400</v>
      </c>
      <c r="G111" t="s">
        <v>748</v>
      </c>
      <c r="H111">
        <v>616.5</v>
      </c>
      <c r="J111">
        <f t="shared" si="8"/>
        <v>-616.5</v>
      </c>
      <c r="M111">
        <f t="shared" si="9"/>
        <v>0</v>
      </c>
      <c r="N111">
        <v>987.99</v>
      </c>
      <c r="P111">
        <f t="shared" si="10"/>
        <v>-987.99</v>
      </c>
      <c r="Q111">
        <v>1755.44</v>
      </c>
      <c r="S111">
        <f t="shared" si="11"/>
        <v>-1755.44</v>
      </c>
    </row>
    <row r="112" spans="1:19" x14ac:dyDescent="0.3">
      <c r="A112" s="5" t="str">
        <f xml:space="preserve"> _xll.EPMOlapMemberO("[CECO].[PARENTH3].[AMSA1005AD4020]","","AMSA1005AD4020 - RRHH  Corporativo","","000")</f>
        <v>AMSA1005AD4020 - RRHH  Corporativo</v>
      </c>
      <c r="B112" s="5" t="str">
        <f t="shared" si="6"/>
        <v>1005AD4020</v>
      </c>
      <c r="C112" s="5" t="str">
        <f>IFERROR(_xlfn.XLOOKUP(B112,'CECOS Corporativos'!$D:$D,'CECOS Corporativos'!$E:$E,""),"")</f>
        <v>RRHH Corporativo</v>
      </c>
      <c r="D112" s="5" t="str">
        <f>IFERROR(_xlfn.XLOOKUP(B112,'CECOS Corporativos'!$D:$D,'CECOS Corporativos'!$J:$J,""),"")</f>
        <v>VP Personas y Organización</v>
      </c>
      <c r="E112" t="s">
        <v>761</v>
      </c>
      <c r="F112" t="str">
        <f t="shared" si="7"/>
        <v>N1005AD400</v>
      </c>
      <c r="G112" t="s">
        <v>748</v>
      </c>
      <c r="H112">
        <v>26358.6</v>
      </c>
      <c r="I112">
        <v>13617</v>
      </c>
      <c r="J112">
        <f t="shared" si="8"/>
        <v>-12741.599999999999</v>
      </c>
      <c r="K112">
        <v>54612.69</v>
      </c>
      <c r="L112">
        <v>9449</v>
      </c>
      <c r="M112">
        <f t="shared" si="9"/>
        <v>-45163.69</v>
      </c>
      <c r="N112">
        <v>38434.18</v>
      </c>
      <c r="O112">
        <v>36502</v>
      </c>
      <c r="P112">
        <f t="shared" si="10"/>
        <v>-1932.1800000000003</v>
      </c>
      <c r="Q112">
        <v>33155.879999999997</v>
      </c>
      <c r="R112">
        <v>26881.84</v>
      </c>
      <c r="S112">
        <f t="shared" si="11"/>
        <v>-6274.0399999999972</v>
      </c>
    </row>
    <row r="113" spans="1:19" x14ac:dyDescent="0.3">
      <c r="A113" s="5" t="str">
        <f xml:space="preserve"> _xll.EPMOlapMemberO("[CECO].[PARENTH3].[AMSA1005AD4020]","","AMSA1005AD4020 - RRHH  Corporativo","","000")</f>
        <v>AMSA1005AD4020 - RRHH  Corporativo</v>
      </c>
      <c r="B113" s="5" t="str">
        <f t="shared" si="6"/>
        <v>1005AD4020</v>
      </c>
      <c r="C113" s="5" t="str">
        <f>IFERROR(_xlfn.XLOOKUP(B113,'CECOS Corporativos'!$D:$D,'CECOS Corporativos'!$E:$E,""),"")</f>
        <v>RRHH Corporativo</v>
      </c>
      <c r="D113" s="5" t="str">
        <f>IFERROR(_xlfn.XLOOKUP(B113,'CECOS Corporativos'!$D:$D,'CECOS Corporativos'!$J:$J,""),"")</f>
        <v>VP Personas y Organización</v>
      </c>
      <c r="E113" t="s">
        <v>770</v>
      </c>
      <c r="F113" t="str">
        <f t="shared" si="7"/>
        <v>N1005AD400</v>
      </c>
      <c r="G113" t="s">
        <v>748</v>
      </c>
      <c r="J113">
        <f t="shared" si="8"/>
        <v>0</v>
      </c>
      <c r="M113">
        <f t="shared" si="9"/>
        <v>0</v>
      </c>
      <c r="O113">
        <v>-151301.13</v>
      </c>
      <c r="P113">
        <f t="shared" si="10"/>
        <v>-151301.13</v>
      </c>
      <c r="S113">
        <f t="shared" si="11"/>
        <v>0</v>
      </c>
    </row>
    <row r="114" spans="1:19" x14ac:dyDescent="0.3">
      <c r="A114" s="5" t="str">
        <f xml:space="preserve"> _xll.EPMOlapMemberO("[CECO].[PARENTH3].[AMSA1005AD4020]","","AMSA1005AD4020 - RRHH  Corporativo","","000")</f>
        <v>AMSA1005AD4020 - RRHH  Corporativo</v>
      </c>
      <c r="B114" s="5" t="str">
        <f t="shared" si="6"/>
        <v>1005AD4020</v>
      </c>
      <c r="C114" s="5" t="str">
        <f>IFERROR(_xlfn.XLOOKUP(B114,'CECOS Corporativos'!$D:$D,'CECOS Corporativos'!$E:$E,""),"")</f>
        <v>RRHH Corporativo</v>
      </c>
      <c r="D114" s="5" t="str">
        <f>IFERROR(_xlfn.XLOOKUP(B114,'CECOS Corporativos'!$D:$D,'CECOS Corporativos'!$J:$J,""),"")</f>
        <v>VP Personas y Organización</v>
      </c>
      <c r="E114" t="s">
        <v>764</v>
      </c>
      <c r="F114" t="str">
        <f t="shared" si="7"/>
        <v>N1005AD400</v>
      </c>
      <c r="G114" t="s">
        <v>748</v>
      </c>
      <c r="H114">
        <v>784446.06</v>
      </c>
      <c r="I114">
        <v>808682</v>
      </c>
      <c r="J114">
        <f t="shared" si="8"/>
        <v>24235.939999999944</v>
      </c>
      <c r="K114">
        <v>744324.76</v>
      </c>
      <c r="L114">
        <v>675667.31</v>
      </c>
      <c r="M114">
        <f t="shared" si="9"/>
        <v>-68657.449999999953</v>
      </c>
      <c r="N114">
        <v>806673.24</v>
      </c>
      <c r="O114">
        <v>893814</v>
      </c>
      <c r="P114">
        <f t="shared" si="10"/>
        <v>87140.760000000009</v>
      </c>
      <c r="Q114">
        <v>908693</v>
      </c>
      <c r="R114">
        <v>953815.24</v>
      </c>
      <c r="S114">
        <f t="shared" si="11"/>
        <v>45122.239999999991</v>
      </c>
    </row>
    <row r="115" spans="1:19" x14ac:dyDescent="0.3">
      <c r="A115" s="5" t="str">
        <f xml:space="preserve"> _xll.EPMOlapMemberO("[CECO].[PARENTH3].[AMSA1005AD4501]","","AMSA1005AD4501 - Asuntos gubernament.","","000")</f>
        <v>AMSA1005AD4501 - Asuntos gubernament.</v>
      </c>
      <c r="B115" s="5" t="str">
        <f t="shared" si="6"/>
        <v>1005AD4501</v>
      </c>
      <c r="C115" s="5" t="str">
        <f>IFERROR(_xlfn.XLOOKUP(B115,'CECOS Corporativos'!$D:$D,'CECOS Corporativos'!$E:$E,""),"")</f>
        <v>Asuntos Gubernamentales</v>
      </c>
      <c r="D115" s="5" t="str">
        <f>IFERROR(_xlfn.XLOOKUP(B115,'CECOS Corporativos'!$D:$D,'CECOS Corporativos'!$J:$J,""),"")</f>
        <v>VP Asuntos Corporativos</v>
      </c>
      <c r="E115" t="s">
        <v>768</v>
      </c>
      <c r="F115" t="str">
        <f t="shared" si="7"/>
        <v>N1005AD450</v>
      </c>
      <c r="G115" t="s">
        <v>749</v>
      </c>
      <c r="H115">
        <v>5175.62</v>
      </c>
      <c r="J115">
        <f t="shared" si="8"/>
        <v>-5175.62</v>
      </c>
      <c r="M115">
        <f t="shared" si="9"/>
        <v>0</v>
      </c>
      <c r="P115">
        <f t="shared" si="10"/>
        <v>0</v>
      </c>
      <c r="S115">
        <f t="shared" si="11"/>
        <v>0</v>
      </c>
    </row>
    <row r="116" spans="1:19" x14ac:dyDescent="0.3">
      <c r="A116" s="5" t="str">
        <f xml:space="preserve"> _xll.EPMOlapMemberO("[CECO].[PARENTH3].[AMSA1005AD4501]","","AMSA1005AD4501 - Asuntos gubernament.","","000")</f>
        <v>AMSA1005AD4501 - Asuntos gubernament.</v>
      </c>
      <c r="B116" s="5" t="str">
        <f t="shared" si="6"/>
        <v>1005AD4501</v>
      </c>
      <c r="C116" s="5" t="str">
        <f>IFERROR(_xlfn.XLOOKUP(B116,'CECOS Corporativos'!$D:$D,'CECOS Corporativos'!$E:$E,""),"")</f>
        <v>Asuntos Gubernamentales</v>
      </c>
      <c r="D116" s="5" t="str">
        <f>IFERROR(_xlfn.XLOOKUP(B116,'CECOS Corporativos'!$D:$D,'CECOS Corporativos'!$J:$J,""),"")</f>
        <v>VP Asuntos Corporativos</v>
      </c>
      <c r="E116" t="s">
        <v>765</v>
      </c>
      <c r="F116" t="str">
        <f t="shared" si="7"/>
        <v>N1005AD450</v>
      </c>
      <c r="G116" t="s">
        <v>749</v>
      </c>
      <c r="J116">
        <f t="shared" si="8"/>
        <v>0</v>
      </c>
      <c r="K116">
        <v>129.79</v>
      </c>
      <c r="M116">
        <f t="shared" si="9"/>
        <v>-129.79</v>
      </c>
      <c r="P116">
        <f t="shared" si="10"/>
        <v>0</v>
      </c>
      <c r="Q116">
        <v>5347.54</v>
      </c>
      <c r="S116">
        <f t="shared" si="11"/>
        <v>-5347.54</v>
      </c>
    </row>
    <row r="117" spans="1:19" x14ac:dyDescent="0.3">
      <c r="A117" s="5" t="str">
        <f xml:space="preserve"> _xll.EPMOlapMemberO("[CECO].[PARENTH3].[AMSA1005AD4501]","","AMSA1005AD4501 - Asuntos gubernament.","","000")</f>
        <v>AMSA1005AD4501 - Asuntos gubernament.</v>
      </c>
      <c r="B117" s="5" t="str">
        <f t="shared" si="6"/>
        <v>1005AD4501</v>
      </c>
      <c r="C117" s="5" t="str">
        <f>IFERROR(_xlfn.XLOOKUP(B117,'CECOS Corporativos'!$D:$D,'CECOS Corporativos'!$E:$E,""),"")</f>
        <v>Asuntos Gubernamentales</v>
      </c>
      <c r="D117" s="5" t="str">
        <f>IFERROR(_xlfn.XLOOKUP(B117,'CECOS Corporativos'!$D:$D,'CECOS Corporativos'!$J:$J,""),"")</f>
        <v>VP Asuntos Corporativos</v>
      </c>
      <c r="E117" t="s">
        <v>766</v>
      </c>
      <c r="F117" t="str">
        <f t="shared" si="7"/>
        <v>N1005AD450</v>
      </c>
      <c r="G117" t="s">
        <v>749</v>
      </c>
      <c r="J117">
        <f t="shared" si="8"/>
        <v>0</v>
      </c>
      <c r="M117">
        <f t="shared" si="9"/>
        <v>0</v>
      </c>
      <c r="P117">
        <f t="shared" si="10"/>
        <v>0</v>
      </c>
      <c r="Q117">
        <v>3554.61</v>
      </c>
      <c r="S117">
        <f t="shared" si="11"/>
        <v>-3554.61</v>
      </c>
    </row>
    <row r="118" spans="1:19" x14ac:dyDescent="0.3">
      <c r="A118" s="5" t="str">
        <f xml:space="preserve"> _xll.EPMOlapMemberO("[CECO].[PARENTH3].[AMSA1005AD4501]","","AMSA1005AD4501 - Asuntos gubernament.","","000")</f>
        <v>AMSA1005AD4501 - Asuntos gubernament.</v>
      </c>
      <c r="B118" s="5" t="str">
        <f t="shared" si="6"/>
        <v>1005AD4501</v>
      </c>
      <c r="C118" s="5" t="str">
        <f>IFERROR(_xlfn.XLOOKUP(B118,'CECOS Corporativos'!$D:$D,'CECOS Corporativos'!$E:$E,""),"")</f>
        <v>Asuntos Gubernamentales</v>
      </c>
      <c r="D118" s="5" t="str">
        <f>IFERROR(_xlfn.XLOOKUP(B118,'CECOS Corporativos'!$D:$D,'CECOS Corporativos'!$J:$J,""),"")</f>
        <v>VP Asuntos Corporativos</v>
      </c>
      <c r="E118" t="s">
        <v>757</v>
      </c>
      <c r="F118" t="str">
        <f t="shared" si="7"/>
        <v>N1005AD450</v>
      </c>
      <c r="G118" t="s">
        <v>749</v>
      </c>
      <c r="H118">
        <v>83815.39</v>
      </c>
      <c r="I118">
        <v>19069</v>
      </c>
      <c r="J118">
        <f t="shared" si="8"/>
        <v>-64746.39</v>
      </c>
      <c r="K118">
        <v>103901.14</v>
      </c>
      <c r="M118">
        <f t="shared" si="9"/>
        <v>-103901.14</v>
      </c>
      <c r="N118">
        <v>12672.1</v>
      </c>
      <c r="P118">
        <f t="shared" si="10"/>
        <v>-12672.1</v>
      </c>
      <c r="S118">
        <f t="shared" si="11"/>
        <v>0</v>
      </c>
    </row>
    <row r="119" spans="1:19" x14ac:dyDescent="0.3">
      <c r="A119" s="5" t="str">
        <f xml:space="preserve"> _xll.EPMOlapMemberO("[CECO].[PARENTH3].[AMSA1005AD4501]","","AMSA1005AD4501 - Asuntos gubernament.","","000")</f>
        <v>AMSA1005AD4501 - Asuntos gubernament.</v>
      </c>
      <c r="B119" s="5" t="str">
        <f t="shared" si="6"/>
        <v>1005AD4501</v>
      </c>
      <c r="C119" s="5" t="str">
        <f>IFERROR(_xlfn.XLOOKUP(B119,'CECOS Corporativos'!$D:$D,'CECOS Corporativos'!$E:$E,""),"")</f>
        <v>Asuntos Gubernamentales</v>
      </c>
      <c r="D119" s="5" t="str">
        <f>IFERROR(_xlfn.XLOOKUP(B119,'CECOS Corporativos'!$D:$D,'CECOS Corporativos'!$J:$J,""),"")</f>
        <v>VP Asuntos Corporativos</v>
      </c>
      <c r="E119" t="s">
        <v>758</v>
      </c>
      <c r="F119" t="str">
        <f t="shared" si="7"/>
        <v>N1005AD450</v>
      </c>
      <c r="G119" t="s">
        <v>749</v>
      </c>
      <c r="H119">
        <v>1298.07</v>
      </c>
      <c r="I119">
        <v>79444</v>
      </c>
      <c r="J119">
        <f t="shared" si="8"/>
        <v>78145.929999999993</v>
      </c>
      <c r="K119">
        <v>16297.03</v>
      </c>
      <c r="M119">
        <f t="shared" si="9"/>
        <v>-16297.03</v>
      </c>
      <c r="P119">
        <f t="shared" si="10"/>
        <v>0</v>
      </c>
      <c r="Q119">
        <v>2327.6799999999998</v>
      </c>
      <c r="R119">
        <v>10120</v>
      </c>
      <c r="S119">
        <f t="shared" si="11"/>
        <v>7792.32</v>
      </c>
    </row>
    <row r="120" spans="1:19" x14ac:dyDescent="0.3">
      <c r="A120" s="5" t="str">
        <f xml:space="preserve"> _xll.EPMOlapMemberO("[CECO].[PARENTH3].[AMSA1005AD4501]","","AMSA1005AD4501 - Asuntos gubernament.","","000")</f>
        <v>AMSA1005AD4501 - Asuntos gubernament.</v>
      </c>
      <c r="B120" s="5" t="str">
        <f t="shared" si="6"/>
        <v>1005AD4501</v>
      </c>
      <c r="C120" s="5" t="str">
        <f>IFERROR(_xlfn.XLOOKUP(B120,'CECOS Corporativos'!$D:$D,'CECOS Corporativos'!$E:$E,""),"")</f>
        <v>Asuntos Gubernamentales</v>
      </c>
      <c r="D120" s="5" t="str">
        <f>IFERROR(_xlfn.XLOOKUP(B120,'CECOS Corporativos'!$D:$D,'CECOS Corporativos'!$J:$J,""),"")</f>
        <v>VP Asuntos Corporativos</v>
      </c>
      <c r="E120" t="s">
        <v>763</v>
      </c>
      <c r="F120" t="str">
        <f t="shared" si="7"/>
        <v>N1005AD450</v>
      </c>
      <c r="G120" t="s">
        <v>749</v>
      </c>
      <c r="H120">
        <v>204645.59</v>
      </c>
      <c r="I120">
        <v>239944</v>
      </c>
      <c r="J120">
        <f t="shared" si="8"/>
        <v>35298.410000000003</v>
      </c>
      <c r="K120">
        <v>217895.11</v>
      </c>
      <c r="L120">
        <v>250393.76</v>
      </c>
      <c r="M120">
        <f t="shared" si="9"/>
        <v>32498.650000000023</v>
      </c>
      <c r="N120">
        <v>211233.4</v>
      </c>
      <c r="O120">
        <v>263129</v>
      </c>
      <c r="P120">
        <f t="shared" si="10"/>
        <v>51895.600000000006</v>
      </c>
      <c r="Q120">
        <v>189448.69</v>
      </c>
      <c r="R120">
        <v>214735.95</v>
      </c>
      <c r="S120">
        <f t="shared" si="11"/>
        <v>25287.260000000009</v>
      </c>
    </row>
    <row r="121" spans="1:19" x14ac:dyDescent="0.3">
      <c r="A121" s="5" t="str">
        <f xml:space="preserve"> _xll.EPMOlapMemberO("[CECO].[PARENTH3].[AMSA1005AD4501]","","AMSA1005AD4501 - Asuntos gubernament.","","000")</f>
        <v>AMSA1005AD4501 - Asuntos gubernament.</v>
      </c>
      <c r="B121" s="5" t="str">
        <f t="shared" si="6"/>
        <v>1005AD4501</v>
      </c>
      <c r="C121" s="5" t="str">
        <f>IFERROR(_xlfn.XLOOKUP(B121,'CECOS Corporativos'!$D:$D,'CECOS Corporativos'!$E:$E,""),"")</f>
        <v>Asuntos Gubernamentales</v>
      </c>
      <c r="D121" s="5" t="str">
        <f>IFERROR(_xlfn.XLOOKUP(B121,'CECOS Corporativos'!$D:$D,'CECOS Corporativos'!$J:$J,""),"")</f>
        <v>VP Asuntos Corporativos</v>
      </c>
      <c r="E121" t="s">
        <v>759</v>
      </c>
      <c r="F121" t="str">
        <f t="shared" si="7"/>
        <v>N1005AD450</v>
      </c>
      <c r="G121" t="s">
        <v>749</v>
      </c>
      <c r="H121">
        <v>11375.25</v>
      </c>
      <c r="J121">
        <f t="shared" si="8"/>
        <v>-11375.25</v>
      </c>
      <c r="K121">
        <v>1908.26</v>
      </c>
      <c r="M121">
        <f t="shared" si="9"/>
        <v>-1908.26</v>
      </c>
      <c r="P121">
        <f t="shared" si="10"/>
        <v>0</v>
      </c>
      <c r="Q121">
        <v>1155.5899999999999</v>
      </c>
      <c r="S121">
        <f t="shared" si="11"/>
        <v>-1155.5899999999999</v>
      </c>
    </row>
    <row r="122" spans="1:19" x14ac:dyDescent="0.3">
      <c r="A122" s="5" t="str">
        <f xml:space="preserve"> _xll.EPMOlapMemberO("[CECO].[PARENTH3].[AMSA1005AD4501]","","AMSA1005AD4501 - Asuntos gubernament.","","000")</f>
        <v>AMSA1005AD4501 - Asuntos gubernament.</v>
      </c>
      <c r="B122" s="5" t="str">
        <f t="shared" si="6"/>
        <v>1005AD4501</v>
      </c>
      <c r="C122" s="5" t="str">
        <f>IFERROR(_xlfn.XLOOKUP(B122,'CECOS Corporativos'!$D:$D,'CECOS Corporativos'!$E:$E,""),"")</f>
        <v>Asuntos Gubernamentales</v>
      </c>
      <c r="D122" s="5" t="str">
        <f>IFERROR(_xlfn.XLOOKUP(B122,'CECOS Corporativos'!$D:$D,'CECOS Corporativos'!$J:$J,""),"")</f>
        <v>VP Asuntos Corporativos</v>
      </c>
      <c r="E122" t="s">
        <v>767</v>
      </c>
      <c r="F122" t="str">
        <f t="shared" si="7"/>
        <v>N1005AD450</v>
      </c>
      <c r="G122" t="s">
        <v>749</v>
      </c>
      <c r="J122">
        <f t="shared" si="8"/>
        <v>0</v>
      </c>
      <c r="M122">
        <f t="shared" si="9"/>
        <v>0</v>
      </c>
      <c r="N122">
        <v>421.57</v>
      </c>
      <c r="P122">
        <f t="shared" si="10"/>
        <v>-421.57</v>
      </c>
      <c r="S122">
        <f t="shared" si="11"/>
        <v>0</v>
      </c>
    </row>
    <row r="123" spans="1:19" x14ac:dyDescent="0.3">
      <c r="A123" s="5" t="str">
        <f xml:space="preserve"> _xll.EPMOlapMemberO("[CECO].[PARENTH3].[AMSA1005AD4501]","","AMSA1005AD4501 - Asuntos gubernament.","","000")</f>
        <v>AMSA1005AD4501 - Asuntos gubernament.</v>
      </c>
      <c r="B123" s="5" t="str">
        <f t="shared" si="6"/>
        <v>1005AD4501</v>
      </c>
      <c r="C123" s="5" t="str">
        <f>IFERROR(_xlfn.XLOOKUP(B123,'CECOS Corporativos'!$D:$D,'CECOS Corporativos'!$E:$E,""),"")</f>
        <v>Asuntos Gubernamentales</v>
      </c>
      <c r="D123" s="5" t="str">
        <f>IFERROR(_xlfn.XLOOKUP(B123,'CECOS Corporativos'!$D:$D,'CECOS Corporativos'!$J:$J,""),"")</f>
        <v>VP Asuntos Corporativos</v>
      </c>
      <c r="E123" t="s">
        <v>761</v>
      </c>
      <c r="F123" t="str">
        <f t="shared" si="7"/>
        <v>N1005AD450</v>
      </c>
      <c r="G123" t="s">
        <v>749</v>
      </c>
      <c r="H123">
        <v>549678.69999999995</v>
      </c>
      <c r="I123">
        <v>227572</v>
      </c>
      <c r="J123">
        <f t="shared" si="8"/>
        <v>-322106.69999999995</v>
      </c>
      <c r="K123">
        <v>152625.79</v>
      </c>
      <c r="L123">
        <v>262886.92</v>
      </c>
      <c r="M123">
        <f t="shared" si="9"/>
        <v>110261.12999999998</v>
      </c>
      <c r="N123">
        <v>189988.44</v>
      </c>
      <c r="O123">
        <v>209694</v>
      </c>
      <c r="P123">
        <f t="shared" si="10"/>
        <v>19705.559999999998</v>
      </c>
      <c r="Q123">
        <v>185797.81</v>
      </c>
      <c r="R123">
        <v>180018.32</v>
      </c>
      <c r="S123">
        <f t="shared" si="11"/>
        <v>-5779.4899999999907</v>
      </c>
    </row>
    <row r="124" spans="1:19" x14ac:dyDescent="0.3">
      <c r="A124" s="5" t="str">
        <f xml:space="preserve"> _xll.EPMOlapMemberO("[CECO].[PARENTH3].[AMSA1005AD4501]","","AMSA1005AD4501 - Asuntos gubernament.","","000")</f>
        <v>AMSA1005AD4501 - Asuntos gubernament.</v>
      </c>
      <c r="B124" s="5" t="str">
        <f t="shared" si="6"/>
        <v>1005AD4501</v>
      </c>
      <c r="C124" s="5" t="str">
        <f>IFERROR(_xlfn.XLOOKUP(B124,'CECOS Corporativos'!$D:$D,'CECOS Corporativos'!$E:$E,""),"")</f>
        <v>Asuntos Gubernamentales</v>
      </c>
      <c r="D124" s="5" t="str">
        <f>IFERROR(_xlfn.XLOOKUP(B124,'CECOS Corporativos'!$D:$D,'CECOS Corporativos'!$J:$J,""),"")</f>
        <v>VP Asuntos Corporativos</v>
      </c>
      <c r="E124" t="s">
        <v>770</v>
      </c>
      <c r="F124" t="str">
        <f t="shared" si="7"/>
        <v>N1005AD450</v>
      </c>
      <c r="G124" t="s">
        <v>749</v>
      </c>
      <c r="J124">
        <f t="shared" si="8"/>
        <v>0</v>
      </c>
      <c r="M124">
        <f t="shared" si="9"/>
        <v>0</v>
      </c>
      <c r="O124">
        <v>-49314.77</v>
      </c>
      <c r="P124">
        <f t="shared" si="10"/>
        <v>-49314.77</v>
      </c>
      <c r="S124">
        <f t="shared" si="11"/>
        <v>0</v>
      </c>
    </row>
    <row r="125" spans="1:19" x14ac:dyDescent="0.3">
      <c r="A125" s="5" t="str">
        <f xml:space="preserve"> _xll.EPMOlapMemberO("[CECO].[PARENTH3].[AMSA1005AD4501]","","AMSA1005AD4501 - Asuntos gubernament.","","000")</f>
        <v>AMSA1005AD4501 - Asuntos gubernament.</v>
      </c>
      <c r="B125" s="5" t="str">
        <f t="shared" si="6"/>
        <v>1005AD4501</v>
      </c>
      <c r="C125" s="5" t="str">
        <f>IFERROR(_xlfn.XLOOKUP(B125,'CECOS Corporativos'!$D:$D,'CECOS Corporativos'!$E:$E,""),"")</f>
        <v>Asuntos Gubernamentales</v>
      </c>
      <c r="D125" s="5" t="str">
        <f>IFERROR(_xlfn.XLOOKUP(B125,'CECOS Corporativos'!$D:$D,'CECOS Corporativos'!$J:$J,""),"")</f>
        <v>VP Asuntos Corporativos</v>
      </c>
      <c r="E125" t="s">
        <v>764</v>
      </c>
      <c r="F125" t="str">
        <f t="shared" si="7"/>
        <v>N1005AD450</v>
      </c>
      <c r="G125" t="s">
        <v>749</v>
      </c>
      <c r="H125">
        <v>181254.18</v>
      </c>
      <c r="I125">
        <v>186858</v>
      </c>
      <c r="J125">
        <f t="shared" si="8"/>
        <v>5603.820000000007</v>
      </c>
      <c r="K125">
        <v>159294.95000000001</v>
      </c>
      <c r="L125">
        <v>144599.01</v>
      </c>
      <c r="M125">
        <f t="shared" si="9"/>
        <v>-14695.940000000002</v>
      </c>
      <c r="N125">
        <v>0.05</v>
      </c>
      <c r="P125">
        <f t="shared" si="10"/>
        <v>-0.05</v>
      </c>
      <c r="S125">
        <f t="shared" si="11"/>
        <v>0</v>
      </c>
    </row>
    <row r="126" spans="1:19" x14ac:dyDescent="0.3">
      <c r="A126" s="5" t="str">
        <f xml:space="preserve"> _xll.EPMOlapMemberO("[CECO].[PARENTH3].[AMSA1005AD4506]","","AMSA1005AD4506 - Med.Ambte Corporativ","","000")</f>
        <v>AMSA1005AD4506 - Med.Ambte Corporativ</v>
      </c>
      <c r="B126" s="5" t="str">
        <f t="shared" si="6"/>
        <v>1005AD4506</v>
      </c>
      <c r="C126" s="5" t="str">
        <f>IFERROR(_xlfn.XLOOKUP(B126,'CECOS Corporativos'!$D:$D,'CECOS Corporativos'!$E:$E,""),"")</f>
        <v>Medio Ambiente Corporativo</v>
      </c>
      <c r="D126" s="5" t="str">
        <f>IFERROR(_xlfn.XLOOKUP(B126,'CECOS Corporativos'!$D:$D,'CECOS Corporativos'!$J:$J,""),"")</f>
        <v>VP Sustentabilidad</v>
      </c>
      <c r="E126" t="s">
        <v>765</v>
      </c>
      <c r="F126" t="str">
        <f t="shared" si="7"/>
        <v>N1005AD450</v>
      </c>
      <c r="G126" t="s">
        <v>749</v>
      </c>
      <c r="J126">
        <f t="shared" si="8"/>
        <v>0</v>
      </c>
      <c r="K126">
        <v>40.479999999999997</v>
      </c>
      <c r="M126">
        <f t="shared" si="9"/>
        <v>-40.479999999999997</v>
      </c>
      <c r="P126">
        <f t="shared" si="10"/>
        <v>0</v>
      </c>
      <c r="S126">
        <f t="shared" si="11"/>
        <v>0</v>
      </c>
    </row>
    <row r="127" spans="1:19" x14ac:dyDescent="0.3">
      <c r="A127" s="5" t="str">
        <f xml:space="preserve"> _xll.EPMOlapMemberO("[CECO].[PARENTH3].[AMSA1005AD4506]","","AMSA1005AD4506 - Med.Ambte Corporativ","","000")</f>
        <v>AMSA1005AD4506 - Med.Ambte Corporativ</v>
      </c>
      <c r="B127" s="5" t="str">
        <f t="shared" si="6"/>
        <v>1005AD4506</v>
      </c>
      <c r="C127" s="5" t="str">
        <f>IFERROR(_xlfn.XLOOKUP(B127,'CECOS Corporativos'!$D:$D,'CECOS Corporativos'!$E:$E,""),"")</f>
        <v>Medio Ambiente Corporativo</v>
      </c>
      <c r="D127" s="5" t="str">
        <f>IFERROR(_xlfn.XLOOKUP(B127,'CECOS Corporativos'!$D:$D,'CECOS Corporativos'!$J:$J,""),"")</f>
        <v>VP Sustentabilidad</v>
      </c>
      <c r="E127" t="s">
        <v>757</v>
      </c>
      <c r="F127" t="str">
        <f t="shared" si="7"/>
        <v>N1005AD450</v>
      </c>
      <c r="G127" t="s">
        <v>749</v>
      </c>
      <c r="H127">
        <v>-51.68</v>
      </c>
      <c r="I127">
        <v>58658</v>
      </c>
      <c r="J127">
        <f t="shared" si="8"/>
        <v>58709.68</v>
      </c>
      <c r="K127">
        <v>26466.639999999999</v>
      </c>
      <c r="L127">
        <v>115900.11</v>
      </c>
      <c r="M127">
        <f t="shared" si="9"/>
        <v>89433.47</v>
      </c>
      <c r="N127">
        <v>10170.09</v>
      </c>
      <c r="O127">
        <v>51758</v>
      </c>
      <c r="P127">
        <f t="shared" si="10"/>
        <v>41587.910000000003</v>
      </c>
      <c r="Q127">
        <v>10173.66</v>
      </c>
      <c r="R127">
        <v>30144.639999999999</v>
      </c>
      <c r="S127">
        <f t="shared" si="11"/>
        <v>19970.98</v>
      </c>
    </row>
    <row r="128" spans="1:19" x14ac:dyDescent="0.3">
      <c r="A128" s="5" t="str">
        <f xml:space="preserve"> _xll.EPMOlapMemberO("[CECO].[PARENTH3].[AMSA1005AD4506]","","AMSA1005AD4506 - Med.Ambte Corporativ","","000")</f>
        <v>AMSA1005AD4506 - Med.Ambte Corporativ</v>
      </c>
      <c r="B128" s="5" t="str">
        <f t="shared" si="6"/>
        <v>1005AD4506</v>
      </c>
      <c r="C128" s="5" t="str">
        <f>IFERROR(_xlfn.XLOOKUP(B128,'CECOS Corporativos'!$D:$D,'CECOS Corporativos'!$E:$E,""),"")</f>
        <v>Medio Ambiente Corporativo</v>
      </c>
      <c r="D128" s="5" t="str">
        <f>IFERROR(_xlfn.XLOOKUP(B128,'CECOS Corporativos'!$D:$D,'CECOS Corporativos'!$J:$J,""),"")</f>
        <v>VP Sustentabilidad</v>
      </c>
      <c r="E128" t="s">
        <v>763</v>
      </c>
      <c r="F128" t="str">
        <f t="shared" si="7"/>
        <v>N1005AD450</v>
      </c>
      <c r="G128" t="s">
        <v>749</v>
      </c>
      <c r="J128">
        <f t="shared" si="8"/>
        <v>0</v>
      </c>
      <c r="K128">
        <v>8855.4599999999991</v>
      </c>
      <c r="M128">
        <f t="shared" si="9"/>
        <v>-8855.4599999999991</v>
      </c>
      <c r="N128">
        <v>26527.18</v>
      </c>
      <c r="O128">
        <v>30488</v>
      </c>
      <c r="P128">
        <f t="shared" si="10"/>
        <v>3960.8199999999997</v>
      </c>
      <c r="Q128">
        <v>31234.720000000001</v>
      </c>
      <c r="R128">
        <v>37174.51</v>
      </c>
      <c r="S128">
        <f t="shared" si="11"/>
        <v>5939.7900000000009</v>
      </c>
    </row>
    <row r="129" spans="1:19" x14ac:dyDescent="0.3">
      <c r="A129" s="5" t="str">
        <f xml:space="preserve"> _xll.EPMOlapMemberO("[CECO].[PARENTH3].[AMSA1005AD4506]","","AMSA1005AD4506 - Med.Ambte Corporativ","","000")</f>
        <v>AMSA1005AD4506 - Med.Ambte Corporativ</v>
      </c>
      <c r="B129" s="5" t="str">
        <f t="shared" si="6"/>
        <v>1005AD4506</v>
      </c>
      <c r="C129" s="5" t="str">
        <f>IFERROR(_xlfn.XLOOKUP(B129,'CECOS Corporativos'!$D:$D,'CECOS Corporativos'!$E:$E,""),"")</f>
        <v>Medio Ambiente Corporativo</v>
      </c>
      <c r="D129" s="5" t="str">
        <f>IFERROR(_xlfn.XLOOKUP(B129,'CECOS Corporativos'!$D:$D,'CECOS Corporativos'!$J:$J,""),"")</f>
        <v>VP Sustentabilidad</v>
      </c>
      <c r="E129" t="s">
        <v>759</v>
      </c>
      <c r="F129" t="str">
        <f t="shared" si="7"/>
        <v>N1005AD450</v>
      </c>
      <c r="G129" t="s">
        <v>749</v>
      </c>
      <c r="H129">
        <v>0</v>
      </c>
      <c r="J129">
        <f t="shared" si="8"/>
        <v>0</v>
      </c>
      <c r="M129">
        <f t="shared" si="9"/>
        <v>0</v>
      </c>
      <c r="P129">
        <f t="shared" si="10"/>
        <v>0</v>
      </c>
      <c r="S129">
        <f t="shared" si="11"/>
        <v>0</v>
      </c>
    </row>
    <row r="130" spans="1:19" x14ac:dyDescent="0.3">
      <c r="A130" s="5" t="str">
        <f xml:space="preserve"> _xll.EPMOlapMemberO("[CECO].[PARENTH3].[AMSA1005AD4506]","","AMSA1005AD4506 - Med.Ambte Corporativ","","000")</f>
        <v>AMSA1005AD4506 - Med.Ambte Corporativ</v>
      </c>
      <c r="B130" s="5" t="str">
        <f t="shared" si="6"/>
        <v>1005AD4506</v>
      </c>
      <c r="C130" s="5" t="str">
        <f>IFERROR(_xlfn.XLOOKUP(B130,'CECOS Corporativos'!$D:$D,'CECOS Corporativos'!$E:$E,""),"")</f>
        <v>Medio Ambiente Corporativo</v>
      </c>
      <c r="D130" s="5" t="str">
        <f>IFERROR(_xlfn.XLOOKUP(B130,'CECOS Corporativos'!$D:$D,'CECOS Corporativos'!$J:$J,""),"")</f>
        <v>VP Sustentabilidad</v>
      </c>
      <c r="E130" t="s">
        <v>761</v>
      </c>
      <c r="F130" t="str">
        <f t="shared" si="7"/>
        <v>N1005AD450</v>
      </c>
      <c r="G130" t="s">
        <v>749</v>
      </c>
      <c r="H130">
        <v>0</v>
      </c>
      <c r="J130">
        <f t="shared" si="8"/>
        <v>0</v>
      </c>
      <c r="M130">
        <f t="shared" si="9"/>
        <v>0</v>
      </c>
      <c r="N130">
        <v>2204.2199999999998</v>
      </c>
      <c r="P130">
        <f t="shared" si="10"/>
        <v>-2204.2199999999998</v>
      </c>
      <c r="Q130">
        <v>0</v>
      </c>
      <c r="S130">
        <f t="shared" si="11"/>
        <v>0</v>
      </c>
    </row>
    <row r="131" spans="1:19" x14ac:dyDescent="0.3">
      <c r="A131" s="5" t="str">
        <f xml:space="preserve"> _xll.EPMOlapMemberO("[CECO].[PARENTH3].[AMSA1005AD4506]","","AMSA1005AD4506 - Med.Ambte Corporativ","","000")</f>
        <v>AMSA1005AD4506 - Med.Ambte Corporativ</v>
      </c>
      <c r="B131" s="5" t="str">
        <f t="shared" si="6"/>
        <v>1005AD4506</v>
      </c>
      <c r="C131" s="5" t="str">
        <f>IFERROR(_xlfn.XLOOKUP(B131,'CECOS Corporativos'!$D:$D,'CECOS Corporativos'!$E:$E,""),"")</f>
        <v>Medio Ambiente Corporativo</v>
      </c>
      <c r="D131" s="5" t="str">
        <f>IFERROR(_xlfn.XLOOKUP(B131,'CECOS Corporativos'!$D:$D,'CECOS Corporativos'!$J:$J,""),"")</f>
        <v>VP Sustentabilidad</v>
      </c>
      <c r="E131" t="s">
        <v>770</v>
      </c>
      <c r="F131" t="str">
        <f t="shared" si="7"/>
        <v>N1005AD450</v>
      </c>
      <c r="G131" t="s">
        <v>749</v>
      </c>
      <c r="J131">
        <f t="shared" si="8"/>
        <v>0</v>
      </c>
      <c r="M131">
        <f t="shared" si="9"/>
        <v>0</v>
      </c>
      <c r="O131">
        <v>-62515.43</v>
      </c>
      <c r="P131">
        <f t="shared" si="10"/>
        <v>-62515.43</v>
      </c>
      <c r="S131">
        <f t="shared" si="11"/>
        <v>0</v>
      </c>
    </row>
    <row r="132" spans="1:19" x14ac:dyDescent="0.3">
      <c r="A132" s="5" t="str">
        <f xml:space="preserve"> _xll.EPMOlapMemberO("[CECO].[PARENTH3].[AMSA1005AD4506]","","AMSA1005AD4506 - Med.Ambte Corporativ","","000")</f>
        <v>AMSA1005AD4506 - Med.Ambte Corporativ</v>
      </c>
      <c r="B132" s="5" t="str">
        <f t="shared" si="6"/>
        <v>1005AD4506</v>
      </c>
      <c r="C132" s="5" t="str">
        <f>IFERROR(_xlfn.XLOOKUP(B132,'CECOS Corporativos'!$D:$D,'CECOS Corporativos'!$E:$E,""),"")</f>
        <v>Medio Ambiente Corporativo</v>
      </c>
      <c r="D132" s="5" t="str">
        <f>IFERROR(_xlfn.XLOOKUP(B132,'CECOS Corporativos'!$D:$D,'CECOS Corporativos'!$J:$J,""),"")</f>
        <v>VP Sustentabilidad</v>
      </c>
      <c r="E132" t="s">
        <v>764</v>
      </c>
      <c r="F132" t="str">
        <f t="shared" si="7"/>
        <v>N1005AD450</v>
      </c>
      <c r="G132" t="s">
        <v>749</v>
      </c>
      <c r="H132">
        <v>592432.81000000006</v>
      </c>
      <c r="I132">
        <v>610739</v>
      </c>
      <c r="J132">
        <f t="shared" si="8"/>
        <v>18306.189999999944</v>
      </c>
      <c r="K132">
        <v>500517.07</v>
      </c>
      <c r="L132">
        <v>454350.19</v>
      </c>
      <c r="M132">
        <f t="shared" si="9"/>
        <v>-46166.880000000005</v>
      </c>
      <c r="N132">
        <v>-7.0000000000000007E-2</v>
      </c>
      <c r="P132">
        <f t="shared" si="10"/>
        <v>7.0000000000000007E-2</v>
      </c>
      <c r="S132">
        <f t="shared" si="11"/>
        <v>0</v>
      </c>
    </row>
    <row r="133" spans="1:19" x14ac:dyDescent="0.3">
      <c r="A133" s="5" t="str">
        <f xml:space="preserve"> _xll.EPMOlapMemberO("[CECO].[PARENTH3].[AMSA1005AD4509]","","AMSA1005AD4509 - Adm y gastos operac","","000")</f>
        <v>AMSA1005AD4509 - Adm y gastos operac</v>
      </c>
      <c r="B133" s="5" t="str">
        <f t="shared" si="6"/>
        <v>1005AD4509</v>
      </c>
      <c r="C133" s="5" t="str">
        <f>IFERROR(_xlfn.XLOOKUP(B133,'CECOS Corporativos'!$D:$D,'CECOS Corporativos'!$E:$E,""),"")</f>
        <v>Administración y Gastos Operacionales</v>
      </c>
      <c r="D133" s="5" t="str">
        <f>IFERROR(_xlfn.XLOOKUP(B133,'CECOS Corporativos'!$D:$D,'CECOS Corporativos'!$J:$J,""),"")</f>
        <v>VP Asuntos Corporativos</v>
      </c>
      <c r="E133" t="s">
        <v>768</v>
      </c>
      <c r="F133" t="str">
        <f t="shared" si="7"/>
        <v>N1005AD450</v>
      </c>
      <c r="G133" t="s">
        <v>749</v>
      </c>
      <c r="J133">
        <f t="shared" si="8"/>
        <v>0</v>
      </c>
      <c r="M133">
        <f t="shared" si="9"/>
        <v>0</v>
      </c>
      <c r="N133">
        <v>43.74</v>
      </c>
      <c r="O133">
        <v>1803</v>
      </c>
      <c r="P133">
        <f t="shared" si="10"/>
        <v>1759.26</v>
      </c>
      <c r="R133">
        <v>1019.46</v>
      </c>
      <c r="S133">
        <f t="shared" si="11"/>
        <v>1019.46</v>
      </c>
    </row>
    <row r="134" spans="1:19" x14ac:dyDescent="0.3">
      <c r="A134" s="5" t="str">
        <f xml:space="preserve"> _xll.EPMOlapMemberO("[CECO].[PARENTH3].[AMSA1005AD4509]","","AMSA1005AD4509 - Adm y gastos operac","","000")</f>
        <v>AMSA1005AD4509 - Adm y gastos operac</v>
      </c>
      <c r="B134" s="5" t="str">
        <f t="shared" si="6"/>
        <v>1005AD4509</v>
      </c>
      <c r="C134" s="5" t="str">
        <f>IFERROR(_xlfn.XLOOKUP(B134,'CECOS Corporativos'!$D:$D,'CECOS Corporativos'!$E:$E,""),"")</f>
        <v>Administración y Gastos Operacionales</v>
      </c>
      <c r="D134" s="5" t="str">
        <f>IFERROR(_xlfn.XLOOKUP(B134,'CECOS Corporativos'!$D:$D,'CECOS Corporativos'!$J:$J,""),"")</f>
        <v>VP Asuntos Corporativos</v>
      </c>
      <c r="E134" t="s">
        <v>766</v>
      </c>
      <c r="F134" t="str">
        <f t="shared" si="7"/>
        <v>N1005AD450</v>
      </c>
      <c r="G134" t="s">
        <v>749</v>
      </c>
      <c r="J134">
        <f t="shared" si="8"/>
        <v>0</v>
      </c>
      <c r="L134">
        <v>28263.040000000001</v>
      </c>
      <c r="M134">
        <f t="shared" si="9"/>
        <v>28263.040000000001</v>
      </c>
      <c r="N134">
        <v>9758.17</v>
      </c>
      <c r="O134">
        <v>2452</v>
      </c>
      <c r="P134">
        <f t="shared" si="10"/>
        <v>-7306.17</v>
      </c>
      <c r="Q134">
        <v>2765.98</v>
      </c>
      <c r="S134">
        <f t="shared" si="11"/>
        <v>-2765.98</v>
      </c>
    </row>
    <row r="135" spans="1:19" x14ac:dyDescent="0.3">
      <c r="A135" s="5" t="str">
        <f xml:space="preserve"> _xll.EPMOlapMemberO("[CECO].[PARENTH3].[AMSA1005AD4509]","","AMSA1005AD4509 - Adm y gastos operac","","000")</f>
        <v>AMSA1005AD4509 - Adm y gastos operac</v>
      </c>
      <c r="B135" s="5" t="str">
        <f t="shared" si="6"/>
        <v>1005AD4509</v>
      </c>
      <c r="C135" s="5" t="str">
        <f>IFERROR(_xlfn.XLOOKUP(B135,'CECOS Corporativos'!$D:$D,'CECOS Corporativos'!$E:$E,""),"")</f>
        <v>Administración y Gastos Operacionales</v>
      </c>
      <c r="D135" s="5" t="str">
        <f>IFERROR(_xlfn.XLOOKUP(B135,'CECOS Corporativos'!$D:$D,'CECOS Corporativos'!$J:$J,""),"")</f>
        <v>VP Asuntos Corporativos</v>
      </c>
      <c r="E135" t="s">
        <v>757</v>
      </c>
      <c r="F135" t="str">
        <f t="shared" si="7"/>
        <v>N1005AD450</v>
      </c>
      <c r="G135" t="s">
        <v>749</v>
      </c>
      <c r="J135">
        <f t="shared" si="8"/>
        <v>0</v>
      </c>
      <c r="L135">
        <v>13288.27</v>
      </c>
      <c r="M135">
        <f t="shared" si="9"/>
        <v>13288.27</v>
      </c>
      <c r="N135">
        <v>43921.58</v>
      </c>
      <c r="P135">
        <f t="shared" si="10"/>
        <v>-43921.58</v>
      </c>
      <c r="Q135">
        <v>2162.56</v>
      </c>
      <c r="S135">
        <f t="shared" si="11"/>
        <v>-2162.56</v>
      </c>
    </row>
    <row r="136" spans="1:19" x14ac:dyDescent="0.3">
      <c r="A136" s="5" t="str">
        <f xml:space="preserve"> _xll.EPMOlapMemberO("[CECO].[PARENTH3].[AMSA1005AD4509]","","AMSA1005AD4509 - Adm y gastos operac","","000")</f>
        <v>AMSA1005AD4509 - Adm y gastos operac</v>
      </c>
      <c r="B136" s="5" t="str">
        <f t="shared" si="6"/>
        <v>1005AD4509</v>
      </c>
      <c r="C136" s="5" t="str">
        <f>IFERROR(_xlfn.XLOOKUP(B136,'CECOS Corporativos'!$D:$D,'CECOS Corporativos'!$E:$E,""),"")</f>
        <v>Administración y Gastos Operacionales</v>
      </c>
      <c r="D136" s="5" t="str">
        <f>IFERROR(_xlfn.XLOOKUP(B136,'CECOS Corporativos'!$D:$D,'CECOS Corporativos'!$J:$J,""),"")</f>
        <v>VP Asuntos Corporativos</v>
      </c>
      <c r="E136" t="s">
        <v>758</v>
      </c>
      <c r="F136" t="str">
        <f t="shared" si="7"/>
        <v>N1005AD450</v>
      </c>
      <c r="G136" t="s">
        <v>749</v>
      </c>
      <c r="J136">
        <f t="shared" si="8"/>
        <v>0</v>
      </c>
      <c r="K136">
        <v>126602.32</v>
      </c>
      <c r="L136">
        <v>253645.38</v>
      </c>
      <c r="M136">
        <f t="shared" si="9"/>
        <v>127043.06</v>
      </c>
      <c r="N136">
        <v>92437.8</v>
      </c>
      <c r="O136">
        <v>346516</v>
      </c>
      <c r="P136">
        <f t="shared" si="10"/>
        <v>254078.2</v>
      </c>
      <c r="Q136">
        <v>266271.01</v>
      </c>
      <c r="R136">
        <v>353362.27</v>
      </c>
      <c r="S136">
        <f t="shared" si="11"/>
        <v>87091.260000000009</v>
      </c>
    </row>
    <row r="137" spans="1:19" x14ac:dyDescent="0.3">
      <c r="A137" s="5" t="str">
        <f xml:space="preserve"> _xll.EPMOlapMemberO("[CECO].[PARENTH3].[AMSA1005AD4509]","","AMSA1005AD4509 - Adm y gastos operac","","000")</f>
        <v>AMSA1005AD4509 - Adm y gastos operac</v>
      </c>
      <c r="B137" s="5" t="str">
        <f t="shared" si="6"/>
        <v>1005AD4509</v>
      </c>
      <c r="C137" s="5" t="str">
        <f>IFERROR(_xlfn.XLOOKUP(B137,'CECOS Corporativos'!$D:$D,'CECOS Corporativos'!$E:$E,""),"")</f>
        <v>Administración y Gastos Operacionales</v>
      </c>
      <c r="D137" s="5" t="str">
        <f>IFERROR(_xlfn.XLOOKUP(B137,'CECOS Corporativos'!$D:$D,'CECOS Corporativos'!$J:$J,""),"")</f>
        <v>VP Asuntos Corporativos</v>
      </c>
      <c r="E137" t="s">
        <v>763</v>
      </c>
      <c r="F137" t="str">
        <f t="shared" si="7"/>
        <v>N1005AD450</v>
      </c>
      <c r="G137" t="s">
        <v>749</v>
      </c>
      <c r="J137">
        <f t="shared" si="8"/>
        <v>0</v>
      </c>
      <c r="K137">
        <v>957.38</v>
      </c>
      <c r="M137">
        <f t="shared" si="9"/>
        <v>-957.38</v>
      </c>
      <c r="N137">
        <v>9145.76</v>
      </c>
      <c r="P137">
        <f t="shared" si="10"/>
        <v>-9145.76</v>
      </c>
      <c r="Q137">
        <v>588.25</v>
      </c>
      <c r="S137">
        <f t="shared" si="11"/>
        <v>-588.25</v>
      </c>
    </row>
    <row r="138" spans="1:19" x14ac:dyDescent="0.3">
      <c r="A138" s="5" t="str">
        <f xml:space="preserve"> _xll.EPMOlapMemberO("[CECO].[PARENTH3].[AMSA1005AD4509]","","AMSA1005AD4509 - Adm y gastos operac","","000")</f>
        <v>AMSA1005AD4509 - Adm y gastos operac</v>
      </c>
      <c r="B138" s="5" t="str">
        <f t="shared" ref="B138:B201" si="12">IFERROR(SUBSTITUTE(TRIM(LEFT(A138,FIND("-",A138)-1)),"AMSA",""),"")</f>
        <v>1005AD4509</v>
      </c>
      <c r="C138" s="5" t="str">
        <f>IFERROR(_xlfn.XLOOKUP(B138,'CECOS Corporativos'!$D:$D,'CECOS Corporativos'!$E:$E,""),"")</f>
        <v>Administración y Gastos Operacionales</v>
      </c>
      <c r="D138" s="5" t="str">
        <f>IFERROR(_xlfn.XLOOKUP(B138,'CECOS Corporativos'!$D:$D,'CECOS Corporativos'!$J:$J,""),"")</f>
        <v>VP Asuntos Corporativos</v>
      </c>
      <c r="E138" t="s">
        <v>759</v>
      </c>
      <c r="F138" t="str">
        <f t="shared" ref="F138:F201" si="13">IFERROR(TRIM(LEFT(G138,FIND("-",G138)-1)),"")</f>
        <v>N1005AD450</v>
      </c>
      <c r="G138" t="s">
        <v>749</v>
      </c>
      <c r="J138">
        <f t="shared" ref="J138:J201" si="14">I138-H138</f>
        <v>0</v>
      </c>
      <c r="K138">
        <v>25464.77</v>
      </c>
      <c r="L138">
        <v>22219.86</v>
      </c>
      <c r="M138">
        <f t="shared" ref="M138:M201" si="15">L138-K138</f>
        <v>-3244.91</v>
      </c>
      <c r="N138">
        <v>69897.759999999995</v>
      </c>
      <c r="O138">
        <v>77345</v>
      </c>
      <c r="P138">
        <f t="shared" ref="P138:P201" si="16">O138-N138</f>
        <v>7447.2400000000052</v>
      </c>
      <c r="Q138">
        <v>65233.919999999998</v>
      </c>
      <c r="R138">
        <v>96866.58</v>
      </c>
      <c r="S138">
        <f t="shared" ref="S138:S201" si="17">R138-Q138</f>
        <v>31632.660000000003</v>
      </c>
    </row>
    <row r="139" spans="1:19" x14ac:dyDescent="0.3">
      <c r="A139" s="5" t="str">
        <f xml:space="preserve"> _xll.EPMOlapMemberO("[CECO].[PARENTH3].[AMSA1005AD4509]","","AMSA1005AD4509 - Adm y gastos operac","","000")</f>
        <v>AMSA1005AD4509 - Adm y gastos operac</v>
      </c>
      <c r="B139" s="5" t="str">
        <f t="shared" si="12"/>
        <v>1005AD4509</v>
      </c>
      <c r="C139" s="5" t="str">
        <f>IFERROR(_xlfn.XLOOKUP(B139,'CECOS Corporativos'!$D:$D,'CECOS Corporativos'!$E:$E,""),"")</f>
        <v>Administración y Gastos Operacionales</v>
      </c>
      <c r="D139" s="5" t="str">
        <f>IFERROR(_xlfn.XLOOKUP(B139,'CECOS Corporativos'!$D:$D,'CECOS Corporativos'!$J:$J,""),"")</f>
        <v>VP Asuntos Corporativos</v>
      </c>
      <c r="E139" t="s">
        <v>761</v>
      </c>
      <c r="F139" t="str">
        <f t="shared" si="13"/>
        <v>N1005AD450</v>
      </c>
      <c r="G139" t="s">
        <v>749</v>
      </c>
      <c r="J139">
        <f t="shared" si="14"/>
        <v>0</v>
      </c>
      <c r="L139">
        <v>11659.63</v>
      </c>
      <c r="M139">
        <f t="shared" si="15"/>
        <v>11659.63</v>
      </c>
      <c r="N139">
        <v>57125.919999999998</v>
      </c>
      <c r="P139">
        <f t="shared" si="16"/>
        <v>-57125.919999999998</v>
      </c>
      <c r="Q139">
        <v>72736.23</v>
      </c>
      <c r="S139">
        <f t="shared" si="17"/>
        <v>-72736.23</v>
      </c>
    </row>
    <row r="140" spans="1:19" x14ac:dyDescent="0.3">
      <c r="A140" s="5" t="str">
        <f xml:space="preserve"> _xll.EPMOlapMemberO("[CECO].[PARENTH3].[AMSA1005AD4509]","","AMSA1005AD4509 - Adm y gastos operac","","000")</f>
        <v>AMSA1005AD4509 - Adm y gastos operac</v>
      </c>
      <c r="B140" s="5" t="str">
        <f t="shared" si="12"/>
        <v>1005AD4509</v>
      </c>
      <c r="C140" s="5" t="str">
        <f>IFERROR(_xlfn.XLOOKUP(B140,'CECOS Corporativos'!$D:$D,'CECOS Corporativos'!$E:$E,""),"")</f>
        <v>Administración y Gastos Operacionales</v>
      </c>
      <c r="D140" s="5" t="str">
        <f>IFERROR(_xlfn.XLOOKUP(B140,'CECOS Corporativos'!$D:$D,'CECOS Corporativos'!$J:$J,""),"")</f>
        <v>VP Asuntos Corporativos</v>
      </c>
      <c r="E140" t="s">
        <v>770</v>
      </c>
      <c r="F140" t="str">
        <f t="shared" si="13"/>
        <v>N1005AD450</v>
      </c>
      <c r="G140" t="s">
        <v>749</v>
      </c>
      <c r="J140">
        <f t="shared" si="14"/>
        <v>0</v>
      </c>
      <c r="M140">
        <f t="shared" si="15"/>
        <v>0</v>
      </c>
      <c r="O140">
        <v>-33008.410000000003</v>
      </c>
      <c r="P140">
        <f t="shared" si="16"/>
        <v>-33008.410000000003</v>
      </c>
      <c r="S140">
        <f t="shared" si="17"/>
        <v>0</v>
      </c>
    </row>
    <row r="141" spans="1:19" x14ac:dyDescent="0.3">
      <c r="A141" t="str">
        <f xml:space="preserve"> _xll.EPMOlapMemberO("[CECO].[PARENTH3].[AMSA1005AD0508]","","AMSA1005AD0508 - VPACS Corporativo","","000")</f>
        <v>AMSA1005AD0508 - VPACS Corporativo</v>
      </c>
      <c r="B141" s="5" t="str">
        <f t="shared" si="12"/>
        <v>1005AD0508</v>
      </c>
      <c r="C141" s="5" t="str">
        <f>IFERROR(_xlfn.XLOOKUP(B141,'CECOS Corporativos'!$D:$D,'CECOS Corporativos'!$E:$E,""),"")</f>
        <v>VPACS Corporativo (HH Corporativo)</v>
      </c>
      <c r="D141" s="5" t="str">
        <f>IFERROR(_xlfn.XLOOKUP(B141,'CECOS Corporativos'!$D:$D,'CECOS Corporativos'!$J:$J,""),"")</f>
        <v>VP Asuntos Corporativos</v>
      </c>
      <c r="E141" t="s">
        <v>770</v>
      </c>
      <c r="F141" t="str">
        <f t="shared" si="13"/>
        <v>N1005AD452</v>
      </c>
      <c r="G141" t="s">
        <v>750</v>
      </c>
      <c r="J141">
        <f t="shared" si="14"/>
        <v>0</v>
      </c>
      <c r="M141">
        <f t="shared" si="15"/>
        <v>0</v>
      </c>
      <c r="O141">
        <v>-1045294.83</v>
      </c>
      <c r="P141">
        <f t="shared" si="16"/>
        <v>-1045294.83</v>
      </c>
      <c r="S141">
        <f t="shared" si="17"/>
        <v>0</v>
      </c>
    </row>
    <row r="142" spans="1:19" x14ac:dyDescent="0.3">
      <c r="A142" t="str">
        <f xml:space="preserve"> _xll.EPMOlapMemberO("[CECO].[PARENTH3].[AMSA1005AD0508]","","AMSA1005AD0508 - VPACS Corporativo","","000")</f>
        <v>AMSA1005AD0508 - VPACS Corporativo</v>
      </c>
      <c r="B142" s="5" t="str">
        <f t="shared" si="12"/>
        <v>1005AD0508</v>
      </c>
      <c r="C142" s="5" t="str">
        <f>IFERROR(_xlfn.XLOOKUP(B142,'CECOS Corporativos'!$D:$D,'CECOS Corporativos'!$E:$E,""),"")</f>
        <v>VPACS Corporativo (HH Corporativo)</v>
      </c>
      <c r="D142" s="5" t="str">
        <f>IFERROR(_xlfn.XLOOKUP(B142,'CECOS Corporativos'!$D:$D,'CECOS Corporativos'!$J:$J,""),"")</f>
        <v>VP Asuntos Corporativos</v>
      </c>
      <c r="E142" t="s">
        <v>764</v>
      </c>
      <c r="F142" t="str">
        <f t="shared" si="13"/>
        <v>N1005AD452</v>
      </c>
      <c r="G142" t="s">
        <v>750</v>
      </c>
      <c r="J142">
        <f t="shared" si="14"/>
        <v>0</v>
      </c>
      <c r="M142">
        <f t="shared" si="15"/>
        <v>0</v>
      </c>
      <c r="N142">
        <v>2029355</v>
      </c>
      <c r="O142">
        <v>2248587</v>
      </c>
      <c r="P142">
        <f t="shared" si="16"/>
        <v>219232</v>
      </c>
      <c r="Q142">
        <v>1649636</v>
      </c>
      <c r="R142">
        <v>1731548.49</v>
      </c>
      <c r="S142">
        <f t="shared" si="17"/>
        <v>81912.489999999991</v>
      </c>
    </row>
    <row r="143" spans="1:19" x14ac:dyDescent="0.3">
      <c r="A143" t="str">
        <f xml:space="preserve"> _xll.EPMOlapMemberO("[CECO].[PARENTH3].[AMSA1005AD4504]","","AMSA1005AD4504 - Comunidades","","000")</f>
        <v>AMSA1005AD4504 - Comunidades</v>
      </c>
      <c r="B143" s="5" t="str">
        <f t="shared" si="12"/>
        <v>1005AD4504</v>
      </c>
      <c r="C143" s="5" t="str">
        <f>IFERROR(_xlfn.XLOOKUP(B143,'CECOS Corporativos'!$D:$D,'CECOS Corporativos'!$E:$E,""),"")</f>
        <v>Comunidades</v>
      </c>
      <c r="D143" s="5" t="str">
        <f>IFERROR(_xlfn.XLOOKUP(B143,'CECOS Corporativos'!$D:$D,'CECOS Corporativos'!$J:$J,""),"")</f>
        <v>VP Asuntos Corporativos</v>
      </c>
      <c r="E143" t="s">
        <v>768</v>
      </c>
      <c r="F143" t="str">
        <f t="shared" si="13"/>
        <v>N1005AD452</v>
      </c>
      <c r="G143" t="s">
        <v>750</v>
      </c>
      <c r="H143">
        <v>1940.23</v>
      </c>
      <c r="J143">
        <f t="shared" si="14"/>
        <v>-1940.23</v>
      </c>
      <c r="M143">
        <f t="shared" si="15"/>
        <v>0</v>
      </c>
      <c r="P143">
        <f t="shared" si="16"/>
        <v>0</v>
      </c>
      <c r="S143">
        <f t="shared" si="17"/>
        <v>0</v>
      </c>
    </row>
    <row r="144" spans="1:19" x14ac:dyDescent="0.3">
      <c r="A144" t="str">
        <f xml:space="preserve"> _xll.EPMOlapMemberO("[CECO].[PARENTH3].[AMSA1005AD4504]","","AMSA1005AD4504 - Comunidades","","000")</f>
        <v>AMSA1005AD4504 - Comunidades</v>
      </c>
      <c r="B144" s="5" t="str">
        <f t="shared" si="12"/>
        <v>1005AD4504</v>
      </c>
      <c r="C144" s="5" t="str">
        <f>IFERROR(_xlfn.XLOOKUP(B144,'CECOS Corporativos'!$D:$D,'CECOS Corporativos'!$E:$E,""),"")</f>
        <v>Comunidades</v>
      </c>
      <c r="D144" s="5" t="str">
        <f>IFERROR(_xlfn.XLOOKUP(B144,'CECOS Corporativos'!$D:$D,'CECOS Corporativos'!$J:$J,""),"")</f>
        <v>VP Asuntos Corporativos</v>
      </c>
      <c r="E144" t="s">
        <v>772</v>
      </c>
      <c r="F144" t="str">
        <f t="shared" si="13"/>
        <v>N1005AD452</v>
      </c>
      <c r="G144" t="s">
        <v>750</v>
      </c>
      <c r="J144">
        <f t="shared" si="14"/>
        <v>0</v>
      </c>
      <c r="K144">
        <v>0</v>
      </c>
      <c r="M144">
        <f t="shared" si="15"/>
        <v>0</v>
      </c>
      <c r="P144">
        <f t="shared" si="16"/>
        <v>0</v>
      </c>
      <c r="S144">
        <f t="shared" si="17"/>
        <v>0</v>
      </c>
    </row>
    <row r="145" spans="1:19" x14ac:dyDescent="0.3">
      <c r="A145" t="str">
        <f xml:space="preserve"> _xll.EPMOlapMemberO("[CECO].[PARENTH3].[AMSA1005AD4504]","","AMSA1005AD4504 - Comunidades","","000")</f>
        <v>AMSA1005AD4504 - Comunidades</v>
      </c>
      <c r="B145" s="5" t="str">
        <f t="shared" si="12"/>
        <v>1005AD4504</v>
      </c>
      <c r="C145" s="5" t="str">
        <f>IFERROR(_xlfn.XLOOKUP(B145,'CECOS Corporativos'!$D:$D,'CECOS Corporativos'!$E:$E,""),"")</f>
        <v>Comunidades</v>
      </c>
      <c r="D145" s="5" t="str">
        <f>IFERROR(_xlfn.XLOOKUP(B145,'CECOS Corporativos'!$D:$D,'CECOS Corporativos'!$J:$J,""),"")</f>
        <v>VP Asuntos Corporativos</v>
      </c>
      <c r="E145" t="s">
        <v>766</v>
      </c>
      <c r="F145" t="str">
        <f t="shared" si="13"/>
        <v>N1005AD452</v>
      </c>
      <c r="G145" t="s">
        <v>750</v>
      </c>
      <c r="H145">
        <v>11708.44</v>
      </c>
      <c r="J145">
        <f t="shared" si="14"/>
        <v>-11708.44</v>
      </c>
      <c r="M145">
        <f t="shared" si="15"/>
        <v>0</v>
      </c>
      <c r="P145">
        <f t="shared" si="16"/>
        <v>0</v>
      </c>
      <c r="S145">
        <f t="shared" si="17"/>
        <v>0</v>
      </c>
    </row>
    <row r="146" spans="1:19" x14ac:dyDescent="0.3">
      <c r="A146" t="str">
        <f xml:space="preserve"> _xll.EPMOlapMemberO("[CECO].[PARENTH3].[AMSA1005AD4504]","","AMSA1005AD4504 - Comunidades","","000")</f>
        <v>AMSA1005AD4504 - Comunidades</v>
      </c>
      <c r="B146" s="5" t="str">
        <f t="shared" si="12"/>
        <v>1005AD4504</v>
      </c>
      <c r="C146" s="5" t="str">
        <f>IFERROR(_xlfn.XLOOKUP(B146,'CECOS Corporativos'!$D:$D,'CECOS Corporativos'!$E:$E,""),"")</f>
        <v>Comunidades</v>
      </c>
      <c r="D146" s="5" t="str">
        <f>IFERROR(_xlfn.XLOOKUP(B146,'CECOS Corporativos'!$D:$D,'CECOS Corporativos'!$J:$J,""),"")</f>
        <v>VP Asuntos Corporativos</v>
      </c>
      <c r="E146" t="s">
        <v>757</v>
      </c>
      <c r="F146" t="str">
        <f t="shared" si="13"/>
        <v>N1005AD452</v>
      </c>
      <c r="G146" t="s">
        <v>750</v>
      </c>
      <c r="H146">
        <v>53647.08</v>
      </c>
      <c r="I146">
        <v>117464</v>
      </c>
      <c r="J146">
        <f t="shared" si="14"/>
        <v>63816.92</v>
      </c>
      <c r="K146">
        <v>55486.81</v>
      </c>
      <c r="L146">
        <v>25926.720000000001</v>
      </c>
      <c r="M146">
        <f t="shared" si="15"/>
        <v>-29560.089999999997</v>
      </c>
      <c r="N146">
        <v>12177.42</v>
      </c>
      <c r="P146">
        <f t="shared" si="16"/>
        <v>-12177.42</v>
      </c>
      <c r="Q146">
        <v>54383.94</v>
      </c>
      <c r="R146">
        <v>15703.68</v>
      </c>
      <c r="S146">
        <f t="shared" si="17"/>
        <v>-38680.26</v>
      </c>
    </row>
    <row r="147" spans="1:19" x14ac:dyDescent="0.3">
      <c r="A147" t="str">
        <f xml:space="preserve"> _xll.EPMOlapMemberO("[CECO].[PARENTH3].[AMSA1005AD4504]","","AMSA1005AD4504 - Comunidades","","000")</f>
        <v>AMSA1005AD4504 - Comunidades</v>
      </c>
      <c r="B147" s="5" t="str">
        <f t="shared" si="12"/>
        <v>1005AD4504</v>
      </c>
      <c r="C147" s="5" t="str">
        <f>IFERROR(_xlfn.XLOOKUP(B147,'CECOS Corporativos'!$D:$D,'CECOS Corporativos'!$E:$E,""),"")</f>
        <v>Comunidades</v>
      </c>
      <c r="D147" s="5" t="str">
        <f>IFERROR(_xlfn.XLOOKUP(B147,'CECOS Corporativos'!$D:$D,'CECOS Corporativos'!$J:$J,""),"")</f>
        <v>VP Asuntos Corporativos</v>
      </c>
      <c r="E147" t="s">
        <v>758</v>
      </c>
      <c r="F147" t="str">
        <f t="shared" si="13"/>
        <v>N1005AD452</v>
      </c>
      <c r="G147" t="s">
        <v>750</v>
      </c>
      <c r="H147">
        <v>72925.02</v>
      </c>
      <c r="I147">
        <v>161329</v>
      </c>
      <c r="J147">
        <f t="shared" si="14"/>
        <v>88403.98</v>
      </c>
      <c r="K147">
        <v>147897.64000000001</v>
      </c>
      <c r="M147">
        <f t="shared" si="15"/>
        <v>-147897.64000000001</v>
      </c>
      <c r="N147">
        <v>266784.62</v>
      </c>
      <c r="O147">
        <v>71280</v>
      </c>
      <c r="P147">
        <f t="shared" si="16"/>
        <v>-195504.62</v>
      </c>
      <c r="Q147">
        <v>75910.41</v>
      </c>
      <c r="R147">
        <v>67809.52</v>
      </c>
      <c r="S147">
        <f t="shared" si="17"/>
        <v>-8100.8899999999994</v>
      </c>
    </row>
    <row r="148" spans="1:19" x14ac:dyDescent="0.3">
      <c r="A148" t="str">
        <f xml:space="preserve"> _xll.EPMOlapMemberO("[CECO].[PARENTH3].[AMSA1005AD4504]","","AMSA1005AD4504 - Comunidades","","000")</f>
        <v>AMSA1005AD4504 - Comunidades</v>
      </c>
      <c r="B148" s="5" t="str">
        <f t="shared" si="12"/>
        <v>1005AD4504</v>
      </c>
      <c r="C148" s="5" t="str">
        <f>IFERROR(_xlfn.XLOOKUP(B148,'CECOS Corporativos'!$D:$D,'CECOS Corporativos'!$E:$E,""),"")</f>
        <v>Comunidades</v>
      </c>
      <c r="D148" s="5" t="str">
        <f>IFERROR(_xlfn.XLOOKUP(B148,'CECOS Corporativos'!$D:$D,'CECOS Corporativos'!$J:$J,""),"")</f>
        <v>VP Asuntos Corporativos</v>
      </c>
      <c r="E148" t="s">
        <v>763</v>
      </c>
      <c r="F148" t="str">
        <f t="shared" si="13"/>
        <v>N1005AD452</v>
      </c>
      <c r="G148" t="s">
        <v>750</v>
      </c>
      <c r="H148">
        <v>-3369.82</v>
      </c>
      <c r="J148">
        <f t="shared" si="14"/>
        <v>3369.82</v>
      </c>
      <c r="M148">
        <f t="shared" si="15"/>
        <v>0</v>
      </c>
      <c r="P148">
        <f t="shared" si="16"/>
        <v>0</v>
      </c>
      <c r="Q148">
        <v>0</v>
      </c>
      <c r="S148">
        <f t="shared" si="17"/>
        <v>0</v>
      </c>
    </row>
    <row r="149" spans="1:19" x14ac:dyDescent="0.3">
      <c r="A149" t="str">
        <f xml:space="preserve"> _xll.EPMOlapMemberO("[CECO].[PARENTH3].[AMSA1005AD4504]","","AMSA1005AD4504 - Comunidades","","000")</f>
        <v>AMSA1005AD4504 - Comunidades</v>
      </c>
      <c r="B149" s="5" t="str">
        <f t="shared" si="12"/>
        <v>1005AD4504</v>
      </c>
      <c r="C149" s="5" t="str">
        <f>IFERROR(_xlfn.XLOOKUP(B149,'CECOS Corporativos'!$D:$D,'CECOS Corporativos'!$E:$E,""),"")</f>
        <v>Comunidades</v>
      </c>
      <c r="D149" s="5" t="str">
        <f>IFERROR(_xlfn.XLOOKUP(B149,'CECOS Corporativos'!$D:$D,'CECOS Corporativos'!$J:$J,""),"")</f>
        <v>VP Asuntos Corporativos</v>
      </c>
      <c r="E149" t="s">
        <v>759</v>
      </c>
      <c r="F149" t="str">
        <f t="shared" si="13"/>
        <v>N1005AD452</v>
      </c>
      <c r="G149" t="s">
        <v>750</v>
      </c>
      <c r="H149">
        <v>8656.8799999999992</v>
      </c>
      <c r="I149">
        <v>4925.91</v>
      </c>
      <c r="J149">
        <f t="shared" si="14"/>
        <v>-3730.9699999999993</v>
      </c>
      <c r="K149">
        <v>155.1</v>
      </c>
      <c r="M149">
        <f t="shared" si="15"/>
        <v>-155.1</v>
      </c>
      <c r="P149">
        <f t="shared" si="16"/>
        <v>0</v>
      </c>
      <c r="S149">
        <f t="shared" si="17"/>
        <v>0</v>
      </c>
    </row>
    <row r="150" spans="1:19" x14ac:dyDescent="0.3">
      <c r="A150" t="str">
        <f xml:space="preserve"> _xll.EPMOlapMemberO("[CECO].[PARENTH3].[AMSA1005AD4504]","","AMSA1005AD4504 - Comunidades","","000")</f>
        <v>AMSA1005AD4504 - Comunidades</v>
      </c>
      <c r="B150" s="5" t="str">
        <f t="shared" si="12"/>
        <v>1005AD4504</v>
      </c>
      <c r="C150" s="5" t="str">
        <f>IFERROR(_xlfn.XLOOKUP(B150,'CECOS Corporativos'!$D:$D,'CECOS Corporativos'!$E:$E,""),"")</f>
        <v>Comunidades</v>
      </c>
      <c r="D150" s="5" t="str">
        <f>IFERROR(_xlfn.XLOOKUP(B150,'CECOS Corporativos'!$D:$D,'CECOS Corporativos'!$J:$J,""),"")</f>
        <v>VP Asuntos Corporativos</v>
      </c>
      <c r="E150" t="s">
        <v>767</v>
      </c>
      <c r="F150" t="str">
        <f t="shared" si="13"/>
        <v>N1005AD452</v>
      </c>
      <c r="G150" t="s">
        <v>750</v>
      </c>
      <c r="H150">
        <v>70.459999999999994</v>
      </c>
      <c r="J150">
        <f t="shared" si="14"/>
        <v>-70.459999999999994</v>
      </c>
      <c r="M150">
        <f t="shared" si="15"/>
        <v>0</v>
      </c>
      <c r="P150">
        <f t="shared" si="16"/>
        <v>0</v>
      </c>
      <c r="S150">
        <f t="shared" si="17"/>
        <v>0</v>
      </c>
    </row>
    <row r="151" spans="1:19" x14ac:dyDescent="0.3">
      <c r="A151" t="str">
        <f xml:space="preserve"> _xll.EPMOlapMemberO("[CECO].[PARENTH3].[AMSA1005AD4504]","","AMSA1005AD4504 - Comunidades","","000")</f>
        <v>AMSA1005AD4504 - Comunidades</v>
      </c>
      <c r="B151" s="5" t="str">
        <f t="shared" si="12"/>
        <v>1005AD4504</v>
      </c>
      <c r="C151" s="5" t="str">
        <f>IFERROR(_xlfn.XLOOKUP(B151,'CECOS Corporativos'!$D:$D,'CECOS Corporativos'!$E:$E,""),"")</f>
        <v>Comunidades</v>
      </c>
      <c r="D151" s="5" t="str">
        <f>IFERROR(_xlfn.XLOOKUP(B151,'CECOS Corporativos'!$D:$D,'CECOS Corporativos'!$J:$J,""),"")</f>
        <v>VP Asuntos Corporativos</v>
      </c>
      <c r="E151" t="s">
        <v>761</v>
      </c>
      <c r="F151" t="str">
        <f t="shared" si="13"/>
        <v>N1005AD452</v>
      </c>
      <c r="G151" t="s">
        <v>750</v>
      </c>
      <c r="H151">
        <v>54310.61</v>
      </c>
      <c r="I151">
        <v>102134</v>
      </c>
      <c r="J151">
        <f t="shared" si="14"/>
        <v>47823.39</v>
      </c>
      <c r="K151">
        <v>36678.629999999997</v>
      </c>
      <c r="M151">
        <f t="shared" si="15"/>
        <v>-36678.629999999997</v>
      </c>
      <c r="N151">
        <v>32972.589999999997</v>
      </c>
      <c r="P151">
        <f t="shared" si="16"/>
        <v>-32972.589999999997</v>
      </c>
      <c r="Q151">
        <v>104768.15</v>
      </c>
      <c r="S151">
        <f t="shared" si="17"/>
        <v>-104768.15</v>
      </c>
    </row>
    <row r="152" spans="1:19" x14ac:dyDescent="0.3">
      <c r="A152" t="str">
        <f xml:space="preserve"> _xll.EPMOlapMemberO("[CECO].[PARENTH3].[AMSA1005AD4504]","","AMSA1005AD4504 - Comunidades","","000")</f>
        <v>AMSA1005AD4504 - Comunidades</v>
      </c>
      <c r="B152" s="5" t="str">
        <f t="shared" si="12"/>
        <v>1005AD4504</v>
      </c>
      <c r="C152" s="5" t="str">
        <f>IFERROR(_xlfn.XLOOKUP(B152,'CECOS Corporativos'!$D:$D,'CECOS Corporativos'!$E:$E,""),"")</f>
        <v>Comunidades</v>
      </c>
      <c r="D152" s="5" t="str">
        <f>IFERROR(_xlfn.XLOOKUP(B152,'CECOS Corporativos'!$D:$D,'CECOS Corporativos'!$J:$J,""),"")</f>
        <v>VP Asuntos Corporativos</v>
      </c>
      <c r="E152" t="s">
        <v>764</v>
      </c>
      <c r="F152" t="str">
        <f t="shared" si="13"/>
        <v>N1005AD452</v>
      </c>
      <c r="G152" t="s">
        <v>750</v>
      </c>
      <c r="H152">
        <v>448712.49</v>
      </c>
      <c r="I152">
        <v>462576</v>
      </c>
      <c r="J152">
        <f t="shared" si="14"/>
        <v>13863.510000000009</v>
      </c>
      <c r="K152">
        <v>981333.95</v>
      </c>
      <c r="L152">
        <v>890814.75</v>
      </c>
      <c r="M152">
        <f t="shared" si="15"/>
        <v>-90519.199999999953</v>
      </c>
      <c r="N152">
        <v>0.05</v>
      </c>
      <c r="P152">
        <f t="shared" si="16"/>
        <v>-0.05</v>
      </c>
      <c r="S152">
        <f t="shared" si="17"/>
        <v>0</v>
      </c>
    </row>
    <row r="153" spans="1:19" x14ac:dyDescent="0.3">
      <c r="A153" t="str">
        <f xml:space="preserve"> _xll.EPMOlapMemberO("[CECO].[PARENTH3].[AMSA1005AD4507]","","AMSA1005AD4507 - AAPP Corporativo","","000")</f>
        <v>AMSA1005AD4507 - AAPP Corporativo</v>
      </c>
      <c r="B153" s="5" t="str">
        <f t="shared" si="12"/>
        <v>1005AD4507</v>
      </c>
      <c r="C153" s="5" t="str">
        <f>IFERROR(_xlfn.XLOOKUP(B153,'CECOS Corporativos'!$D:$D,'CECOS Corporativos'!$E:$E,""),"")</f>
        <v>AAPP Corporativo</v>
      </c>
      <c r="D153" s="5" t="str">
        <f>IFERROR(_xlfn.XLOOKUP(B153,'CECOS Corporativos'!$D:$D,'CECOS Corporativos'!$J:$J,""),"")</f>
        <v>VP Asuntos Corporativos</v>
      </c>
      <c r="E153" t="s">
        <v>757</v>
      </c>
      <c r="F153" t="str">
        <f t="shared" si="13"/>
        <v>N1005AD452</v>
      </c>
      <c r="G153" t="s">
        <v>750</v>
      </c>
      <c r="J153">
        <f t="shared" si="14"/>
        <v>0</v>
      </c>
      <c r="K153">
        <v>-28441.4</v>
      </c>
      <c r="L153">
        <v>35157.75</v>
      </c>
      <c r="M153">
        <f t="shared" si="15"/>
        <v>63599.15</v>
      </c>
      <c r="N153">
        <v>49387.69</v>
      </c>
      <c r="O153">
        <v>40143</v>
      </c>
      <c r="P153">
        <f t="shared" si="16"/>
        <v>-9244.6900000000023</v>
      </c>
      <c r="Q153">
        <v>54269.36</v>
      </c>
      <c r="R153">
        <v>38971.9</v>
      </c>
      <c r="S153">
        <f t="shared" si="17"/>
        <v>-15297.46</v>
      </c>
    </row>
    <row r="154" spans="1:19" x14ac:dyDescent="0.3">
      <c r="A154" t="str">
        <f xml:space="preserve"> _xll.EPMOlapMemberO("[CECO].[PARENTH3].[AMSA1005AD4507]","","AMSA1005AD4507 - AAPP Corporativo","","000")</f>
        <v>AMSA1005AD4507 - AAPP Corporativo</v>
      </c>
      <c r="B154" s="5" t="str">
        <f t="shared" si="12"/>
        <v>1005AD4507</v>
      </c>
      <c r="C154" s="5" t="str">
        <f>IFERROR(_xlfn.XLOOKUP(B154,'CECOS Corporativos'!$D:$D,'CECOS Corporativos'!$E:$E,""),"")</f>
        <v>AAPP Corporativo</v>
      </c>
      <c r="D154" s="5" t="str">
        <f>IFERROR(_xlfn.XLOOKUP(B154,'CECOS Corporativos'!$D:$D,'CECOS Corporativos'!$J:$J,""),"")</f>
        <v>VP Asuntos Corporativos</v>
      </c>
      <c r="E154" t="s">
        <v>758</v>
      </c>
      <c r="F154" t="str">
        <f t="shared" si="13"/>
        <v>N1005AD452</v>
      </c>
      <c r="G154" t="s">
        <v>750</v>
      </c>
      <c r="J154">
        <f t="shared" si="14"/>
        <v>0</v>
      </c>
      <c r="L154">
        <v>49894.22</v>
      </c>
      <c r="M154">
        <f t="shared" si="15"/>
        <v>49894.22</v>
      </c>
      <c r="P154">
        <f t="shared" si="16"/>
        <v>0</v>
      </c>
      <c r="S154">
        <f t="shared" si="17"/>
        <v>0</v>
      </c>
    </row>
    <row r="155" spans="1:19" x14ac:dyDescent="0.3">
      <c r="A155" t="str">
        <f xml:space="preserve"> _xll.EPMOlapMemberO("[CECO].[PARENTH3].[AMSA1005AD4507]","","AMSA1005AD4507 - AAPP Corporativo","","000")</f>
        <v>AMSA1005AD4507 - AAPP Corporativo</v>
      </c>
      <c r="B155" s="5" t="str">
        <f t="shared" si="12"/>
        <v>1005AD4507</v>
      </c>
      <c r="C155" s="5" t="str">
        <f>IFERROR(_xlfn.XLOOKUP(B155,'CECOS Corporativos'!$D:$D,'CECOS Corporativos'!$E:$E,""),"")</f>
        <v>AAPP Corporativo</v>
      </c>
      <c r="D155" s="5" t="str">
        <f>IFERROR(_xlfn.XLOOKUP(B155,'CECOS Corporativos'!$D:$D,'CECOS Corporativos'!$J:$J,""),"")</f>
        <v>VP Asuntos Corporativos</v>
      </c>
      <c r="E155" t="s">
        <v>763</v>
      </c>
      <c r="F155" t="str">
        <f t="shared" si="13"/>
        <v>N1005AD452</v>
      </c>
      <c r="G155" t="s">
        <v>750</v>
      </c>
      <c r="J155">
        <f t="shared" si="14"/>
        <v>0</v>
      </c>
      <c r="L155">
        <v>3281.77</v>
      </c>
      <c r="M155">
        <f t="shared" si="15"/>
        <v>3281.77</v>
      </c>
      <c r="P155">
        <f t="shared" si="16"/>
        <v>0</v>
      </c>
      <c r="S155">
        <f t="shared" si="17"/>
        <v>0</v>
      </c>
    </row>
    <row r="156" spans="1:19" x14ac:dyDescent="0.3">
      <c r="A156" t="str">
        <f xml:space="preserve"> _xll.EPMOlapMemberO("[CECO].[PARENTH3].[AMSA1005AD4507]","","AMSA1005AD4507 - AAPP Corporativo","","000")</f>
        <v>AMSA1005AD4507 - AAPP Corporativo</v>
      </c>
      <c r="B156" s="5" t="str">
        <f t="shared" si="12"/>
        <v>1005AD4507</v>
      </c>
      <c r="C156" s="5" t="str">
        <f>IFERROR(_xlfn.XLOOKUP(B156,'CECOS Corporativos'!$D:$D,'CECOS Corporativos'!$E:$E,""),"")</f>
        <v>AAPP Corporativo</v>
      </c>
      <c r="D156" s="5" t="str">
        <f>IFERROR(_xlfn.XLOOKUP(B156,'CECOS Corporativos'!$D:$D,'CECOS Corporativos'!$J:$J,""),"")</f>
        <v>VP Asuntos Corporativos</v>
      </c>
      <c r="E156" t="s">
        <v>761</v>
      </c>
      <c r="F156" t="str">
        <f t="shared" si="13"/>
        <v>N1005AD452</v>
      </c>
      <c r="G156" t="s">
        <v>750</v>
      </c>
      <c r="J156">
        <f t="shared" si="14"/>
        <v>0</v>
      </c>
      <c r="K156">
        <v>2400</v>
      </c>
      <c r="L156">
        <v>43383.39</v>
      </c>
      <c r="M156">
        <f t="shared" si="15"/>
        <v>40983.39</v>
      </c>
      <c r="N156">
        <v>5205.8900000000003</v>
      </c>
      <c r="P156">
        <f t="shared" si="16"/>
        <v>-5205.8900000000003</v>
      </c>
      <c r="Q156">
        <v>7229.25</v>
      </c>
      <c r="R156">
        <v>12916.92</v>
      </c>
      <c r="S156">
        <f t="shared" si="17"/>
        <v>5687.67</v>
      </c>
    </row>
    <row r="157" spans="1:19" x14ac:dyDescent="0.3">
      <c r="A157" t="str">
        <f xml:space="preserve"> _xll.EPMOlapMemberO("[CECO].[PARENTH3].[AMSA1005AD4508]","","AMSA1005AD4508 - Comunicaciones Corpo","","000")</f>
        <v>AMSA1005AD4508 - Comunicaciones Corpo</v>
      </c>
      <c r="B157" s="5" t="str">
        <f t="shared" si="12"/>
        <v>1005AD4508</v>
      </c>
      <c r="C157" s="5" t="str">
        <f>IFERROR(_xlfn.XLOOKUP(B157,'CECOS Corporativos'!$D:$D,'CECOS Corporativos'!$E:$E,""),"")</f>
        <v>Comunicaciones Corporativo</v>
      </c>
      <c r="D157" s="5" t="str">
        <f>IFERROR(_xlfn.XLOOKUP(B157,'CECOS Corporativos'!$D:$D,'CECOS Corporativos'!$J:$J,""),"")</f>
        <v>VP Asuntos Corporativos</v>
      </c>
      <c r="E157" t="s">
        <v>772</v>
      </c>
      <c r="F157" t="str">
        <f t="shared" si="13"/>
        <v>N1005AD452</v>
      </c>
      <c r="G157" t="s">
        <v>750</v>
      </c>
      <c r="J157">
        <f t="shared" si="14"/>
        <v>0</v>
      </c>
      <c r="M157">
        <f t="shared" si="15"/>
        <v>0</v>
      </c>
      <c r="P157">
        <f t="shared" si="16"/>
        <v>0</v>
      </c>
      <c r="Q157">
        <v>26157.1</v>
      </c>
      <c r="S157">
        <f t="shared" si="17"/>
        <v>-26157.1</v>
      </c>
    </row>
    <row r="158" spans="1:19" x14ac:dyDescent="0.3">
      <c r="A158" t="str">
        <f xml:space="preserve"> _xll.EPMOlapMemberO("[CECO].[PARENTH3].[AMSA1005AD4508]","","AMSA1005AD4508 - Comunicaciones Corpo","","000")</f>
        <v>AMSA1005AD4508 - Comunicaciones Corpo</v>
      </c>
      <c r="B158" s="5" t="str">
        <f t="shared" si="12"/>
        <v>1005AD4508</v>
      </c>
      <c r="C158" s="5" t="str">
        <f>IFERROR(_xlfn.XLOOKUP(B158,'CECOS Corporativos'!$D:$D,'CECOS Corporativos'!$E:$E,""),"")</f>
        <v>Comunicaciones Corporativo</v>
      </c>
      <c r="D158" s="5" t="str">
        <f>IFERROR(_xlfn.XLOOKUP(B158,'CECOS Corporativos'!$D:$D,'CECOS Corporativos'!$J:$J,""),"")</f>
        <v>VP Asuntos Corporativos</v>
      </c>
      <c r="E158" t="s">
        <v>757</v>
      </c>
      <c r="F158" t="str">
        <f t="shared" si="13"/>
        <v>N1005AD452</v>
      </c>
      <c r="G158" t="s">
        <v>750</v>
      </c>
      <c r="J158">
        <f t="shared" si="14"/>
        <v>0</v>
      </c>
      <c r="L158">
        <v>7110.53</v>
      </c>
      <c r="M158">
        <f t="shared" si="15"/>
        <v>7110.53</v>
      </c>
      <c r="N158">
        <v>24209.83</v>
      </c>
      <c r="O158">
        <v>12999</v>
      </c>
      <c r="P158">
        <f t="shared" si="16"/>
        <v>-11210.830000000002</v>
      </c>
      <c r="Q158">
        <v>945.58</v>
      </c>
      <c r="S158">
        <f t="shared" si="17"/>
        <v>-945.58</v>
      </c>
    </row>
    <row r="159" spans="1:19" x14ac:dyDescent="0.3">
      <c r="A159" t="str">
        <f xml:space="preserve"> _xll.EPMOlapMemberO("[CECO].[PARENTH3].[AMSA1005AD4508]","","AMSA1005AD4508 - Comunicaciones Corpo","","000")</f>
        <v>AMSA1005AD4508 - Comunicaciones Corpo</v>
      </c>
      <c r="B159" s="5" t="str">
        <f t="shared" si="12"/>
        <v>1005AD4508</v>
      </c>
      <c r="C159" s="5" t="str">
        <f>IFERROR(_xlfn.XLOOKUP(B159,'CECOS Corporativos'!$D:$D,'CECOS Corporativos'!$E:$E,""),"")</f>
        <v>Comunicaciones Corporativo</v>
      </c>
      <c r="D159" s="5" t="str">
        <f>IFERROR(_xlfn.XLOOKUP(B159,'CECOS Corporativos'!$D:$D,'CECOS Corporativos'!$J:$J,""),"")</f>
        <v>VP Asuntos Corporativos</v>
      </c>
      <c r="E159" t="s">
        <v>763</v>
      </c>
      <c r="F159" t="str">
        <f t="shared" si="13"/>
        <v>N1005AD452</v>
      </c>
      <c r="G159" t="s">
        <v>750</v>
      </c>
      <c r="J159">
        <f t="shared" si="14"/>
        <v>0</v>
      </c>
      <c r="L159">
        <v>20586.830000000002</v>
      </c>
      <c r="M159">
        <f t="shared" si="15"/>
        <v>20586.830000000002</v>
      </c>
      <c r="O159">
        <v>13332</v>
      </c>
      <c r="P159">
        <f t="shared" si="16"/>
        <v>13332</v>
      </c>
      <c r="Q159">
        <v>1939.46</v>
      </c>
      <c r="R159">
        <v>29657.81</v>
      </c>
      <c r="S159">
        <f t="shared" si="17"/>
        <v>27718.350000000002</v>
      </c>
    </row>
    <row r="160" spans="1:19" x14ac:dyDescent="0.3">
      <c r="A160" t="str">
        <f xml:space="preserve"> _xll.EPMOlapMemberO("[CECO].[PARENTH3].[AMSA1005AD4508]","","AMSA1005AD4508 - Comunicaciones Corpo","","000")</f>
        <v>AMSA1005AD4508 - Comunicaciones Corpo</v>
      </c>
      <c r="B160" s="5" t="str">
        <f t="shared" si="12"/>
        <v>1005AD4508</v>
      </c>
      <c r="C160" s="5" t="str">
        <f>IFERROR(_xlfn.XLOOKUP(B160,'CECOS Corporativos'!$D:$D,'CECOS Corporativos'!$E:$E,""),"")</f>
        <v>Comunicaciones Corporativo</v>
      </c>
      <c r="D160" s="5" t="str">
        <f>IFERROR(_xlfn.XLOOKUP(B160,'CECOS Corporativos'!$D:$D,'CECOS Corporativos'!$J:$J,""),"")</f>
        <v>VP Asuntos Corporativos</v>
      </c>
      <c r="E160" t="s">
        <v>759</v>
      </c>
      <c r="F160" t="str">
        <f t="shared" si="13"/>
        <v>N1005AD452</v>
      </c>
      <c r="G160" t="s">
        <v>750</v>
      </c>
      <c r="J160">
        <f t="shared" si="14"/>
        <v>0</v>
      </c>
      <c r="M160">
        <f t="shared" si="15"/>
        <v>0</v>
      </c>
      <c r="P160">
        <f t="shared" si="16"/>
        <v>0</v>
      </c>
      <c r="Q160">
        <v>1071.53</v>
      </c>
      <c r="S160">
        <f t="shared" si="17"/>
        <v>-1071.53</v>
      </c>
    </row>
    <row r="161" spans="1:19" x14ac:dyDescent="0.3">
      <c r="A161" t="str">
        <f xml:space="preserve"> _xll.EPMOlapMemberO("[CECO].[PARENTH3].[AMSA1005AD4508]","","AMSA1005AD4508 - Comunicaciones Corpo","","000")</f>
        <v>AMSA1005AD4508 - Comunicaciones Corpo</v>
      </c>
      <c r="B161" s="5" t="str">
        <f t="shared" si="12"/>
        <v>1005AD4508</v>
      </c>
      <c r="C161" s="5" t="str">
        <f>IFERROR(_xlfn.XLOOKUP(B161,'CECOS Corporativos'!$D:$D,'CECOS Corporativos'!$E:$E,""),"")</f>
        <v>Comunicaciones Corporativo</v>
      </c>
      <c r="D161" s="5" t="str">
        <f>IFERROR(_xlfn.XLOOKUP(B161,'CECOS Corporativos'!$D:$D,'CECOS Corporativos'!$J:$J,""),"")</f>
        <v>VP Asuntos Corporativos</v>
      </c>
      <c r="E161" t="s">
        <v>761</v>
      </c>
      <c r="F161" t="str">
        <f t="shared" si="13"/>
        <v>N1005AD452</v>
      </c>
      <c r="G161" t="s">
        <v>750</v>
      </c>
      <c r="J161">
        <f t="shared" si="14"/>
        <v>0</v>
      </c>
      <c r="L161">
        <v>33469.08</v>
      </c>
      <c r="M161">
        <f t="shared" si="15"/>
        <v>33469.08</v>
      </c>
      <c r="N161">
        <v>53708.6</v>
      </c>
      <c r="O161">
        <v>76497</v>
      </c>
      <c r="P161">
        <f t="shared" si="16"/>
        <v>22788.400000000001</v>
      </c>
      <c r="Q161">
        <v>95536.06</v>
      </c>
      <c r="R161">
        <v>92807.86</v>
      </c>
      <c r="S161">
        <f t="shared" si="17"/>
        <v>-2728.1999999999971</v>
      </c>
    </row>
    <row r="162" spans="1:19" x14ac:dyDescent="0.3">
      <c r="A162" t="str">
        <f xml:space="preserve"> _xll.EPMOlapMemberO("[CECO].[PARENTH3].[AMSA1005AD4510]","","AMSA1005AD4510 - AAPP y RRII","","000")</f>
        <v>AMSA1005AD4510 - AAPP y RRII</v>
      </c>
      <c r="B162" s="5" t="str">
        <f t="shared" si="12"/>
        <v>1005AD4510</v>
      </c>
      <c r="C162" s="5" t="str">
        <f>IFERROR(_xlfn.XLOOKUP(B162,'CECOS Corporativos'!$D:$D,'CECOS Corporativos'!$E:$E,""),"")</f>
        <v>AAPP y RRII</v>
      </c>
      <c r="D162" s="5" t="str">
        <f>IFERROR(_xlfn.XLOOKUP(B162,'CECOS Corporativos'!$D:$D,'CECOS Corporativos'!$J:$J,""),"")</f>
        <v>VP Asuntos Corporativos</v>
      </c>
      <c r="E162" t="s">
        <v>757</v>
      </c>
      <c r="F162" t="str">
        <f t="shared" si="13"/>
        <v>N1005AD452</v>
      </c>
      <c r="G162" t="s">
        <v>750</v>
      </c>
      <c r="J162">
        <f t="shared" si="14"/>
        <v>0</v>
      </c>
      <c r="K162">
        <v>26440.6</v>
      </c>
      <c r="M162">
        <f t="shared" si="15"/>
        <v>-26440.6</v>
      </c>
      <c r="N162">
        <v>3095.04</v>
      </c>
      <c r="O162">
        <v>5884775.0700000003</v>
      </c>
      <c r="P162">
        <f t="shared" si="16"/>
        <v>5881680.0300000003</v>
      </c>
      <c r="R162">
        <v>2463896.64</v>
      </c>
      <c r="S162">
        <f t="shared" si="17"/>
        <v>2463896.64</v>
      </c>
    </row>
    <row r="163" spans="1:19" x14ac:dyDescent="0.3">
      <c r="A163" t="str">
        <f xml:space="preserve"> _xll.EPMOlapMemberO("[CECO].[PARENTH3].[AMSA1005AD4510]","","AMSA1005AD4510 - AAPP y RRII","","000")</f>
        <v>AMSA1005AD4510 - AAPP y RRII</v>
      </c>
      <c r="B163" s="5" t="str">
        <f t="shared" si="12"/>
        <v>1005AD4510</v>
      </c>
      <c r="C163" s="5" t="str">
        <f>IFERROR(_xlfn.XLOOKUP(B163,'CECOS Corporativos'!$D:$D,'CECOS Corporativos'!$E:$E,""),"")</f>
        <v>AAPP y RRII</v>
      </c>
      <c r="D163" s="5" t="str">
        <f>IFERROR(_xlfn.XLOOKUP(B163,'CECOS Corporativos'!$D:$D,'CECOS Corporativos'!$J:$J,""),"")</f>
        <v>VP Asuntos Corporativos</v>
      </c>
      <c r="E163" t="s">
        <v>758</v>
      </c>
      <c r="F163" t="str">
        <f t="shared" si="13"/>
        <v>N1005AD452</v>
      </c>
      <c r="G163" t="s">
        <v>750</v>
      </c>
      <c r="J163">
        <f t="shared" si="14"/>
        <v>0</v>
      </c>
      <c r="K163">
        <v>9049.8799999999992</v>
      </c>
      <c r="L163">
        <v>34888.199999999997</v>
      </c>
      <c r="M163">
        <f t="shared" si="15"/>
        <v>25838.32</v>
      </c>
      <c r="N163">
        <v>19416.3</v>
      </c>
      <c r="O163">
        <v>91517</v>
      </c>
      <c r="P163">
        <f t="shared" si="16"/>
        <v>72100.7</v>
      </c>
      <c r="Q163">
        <v>-259651.14</v>
      </c>
      <c r="R163">
        <v>10509.28</v>
      </c>
      <c r="S163">
        <f t="shared" si="17"/>
        <v>270160.42000000004</v>
      </c>
    </row>
    <row r="164" spans="1:19" x14ac:dyDescent="0.3">
      <c r="A164" t="str">
        <f xml:space="preserve"> _xll.EPMOlapMemberO("[CECO].[PARENTH3].[AMSA1005AD4510]","","AMSA1005AD4510 - AAPP y RRII","","000")</f>
        <v>AMSA1005AD4510 - AAPP y RRII</v>
      </c>
      <c r="B164" s="5" t="str">
        <f t="shared" si="12"/>
        <v>1005AD4510</v>
      </c>
      <c r="C164" s="5" t="str">
        <f>IFERROR(_xlfn.XLOOKUP(B164,'CECOS Corporativos'!$D:$D,'CECOS Corporativos'!$E:$E,""),"")</f>
        <v>AAPP y RRII</v>
      </c>
      <c r="D164" s="5" t="str">
        <f>IFERROR(_xlfn.XLOOKUP(B164,'CECOS Corporativos'!$D:$D,'CECOS Corporativos'!$J:$J,""),"")</f>
        <v>VP Asuntos Corporativos</v>
      </c>
      <c r="E164" t="s">
        <v>763</v>
      </c>
      <c r="F164" t="str">
        <f t="shared" si="13"/>
        <v>N1005AD452</v>
      </c>
      <c r="G164" t="s">
        <v>750</v>
      </c>
      <c r="J164">
        <f t="shared" si="14"/>
        <v>0</v>
      </c>
      <c r="M164">
        <f t="shared" si="15"/>
        <v>0</v>
      </c>
      <c r="N164">
        <v>6617.12</v>
      </c>
      <c r="O164">
        <v>9090</v>
      </c>
      <c r="P164">
        <f t="shared" si="16"/>
        <v>2472.88</v>
      </c>
      <c r="Q164">
        <v>13480.04</v>
      </c>
      <c r="S164">
        <f t="shared" si="17"/>
        <v>-13480.04</v>
      </c>
    </row>
    <row r="165" spans="1:19" x14ac:dyDescent="0.3">
      <c r="A165" t="str">
        <f xml:space="preserve"> _xll.EPMOlapMemberO("[CECO].[PARENTH3].[AMSA1005AD4510]","","AMSA1005AD4510 - AAPP y RRII","","000")</f>
        <v>AMSA1005AD4510 - AAPP y RRII</v>
      </c>
      <c r="B165" s="5" t="str">
        <f t="shared" si="12"/>
        <v>1005AD4510</v>
      </c>
      <c r="C165" s="5" t="str">
        <f>IFERROR(_xlfn.XLOOKUP(B165,'CECOS Corporativos'!$D:$D,'CECOS Corporativos'!$E:$E,""),"")</f>
        <v>AAPP y RRII</v>
      </c>
      <c r="D165" s="5" t="str">
        <f>IFERROR(_xlfn.XLOOKUP(B165,'CECOS Corporativos'!$D:$D,'CECOS Corporativos'!$J:$J,""),"")</f>
        <v>VP Asuntos Corporativos</v>
      </c>
      <c r="E165" t="s">
        <v>759</v>
      </c>
      <c r="F165" t="str">
        <f t="shared" si="13"/>
        <v>N1005AD452</v>
      </c>
      <c r="G165" t="s">
        <v>750</v>
      </c>
      <c r="J165">
        <f t="shared" si="14"/>
        <v>0</v>
      </c>
      <c r="M165">
        <f t="shared" si="15"/>
        <v>0</v>
      </c>
      <c r="P165">
        <f t="shared" si="16"/>
        <v>0</v>
      </c>
      <c r="Q165">
        <v>611.73</v>
      </c>
      <c r="S165">
        <f t="shared" si="17"/>
        <v>-611.73</v>
      </c>
    </row>
    <row r="166" spans="1:19" x14ac:dyDescent="0.3">
      <c r="A166" t="str">
        <f xml:space="preserve"> _xll.EPMOlapMemberO("[CECO].[PARENTH3].[AMSA1005AD4510]","","AMSA1005AD4510 - AAPP y RRII","","000")</f>
        <v>AMSA1005AD4510 - AAPP y RRII</v>
      </c>
      <c r="B166" s="5" t="str">
        <f t="shared" si="12"/>
        <v>1005AD4510</v>
      </c>
      <c r="C166" s="5" t="str">
        <f>IFERROR(_xlfn.XLOOKUP(B166,'CECOS Corporativos'!$D:$D,'CECOS Corporativos'!$E:$E,""),"")</f>
        <v>AAPP y RRII</v>
      </c>
      <c r="D166" s="5" t="str">
        <f>IFERROR(_xlfn.XLOOKUP(B166,'CECOS Corporativos'!$D:$D,'CECOS Corporativos'!$J:$J,""),"")</f>
        <v>VP Asuntos Corporativos</v>
      </c>
      <c r="E166" t="s">
        <v>761</v>
      </c>
      <c r="F166" t="str">
        <f t="shared" si="13"/>
        <v>N1005AD452</v>
      </c>
      <c r="G166" t="s">
        <v>750</v>
      </c>
      <c r="J166">
        <f t="shared" si="14"/>
        <v>0</v>
      </c>
      <c r="K166">
        <v>8984.83</v>
      </c>
      <c r="L166">
        <v>71460.479999999996</v>
      </c>
      <c r="M166">
        <f t="shared" si="15"/>
        <v>62475.649999999994</v>
      </c>
      <c r="N166">
        <v>60553.95</v>
      </c>
      <c r="O166">
        <v>61579</v>
      </c>
      <c r="P166">
        <f t="shared" si="16"/>
        <v>1025.0500000000029</v>
      </c>
      <c r="Q166">
        <v>38093.730000000003</v>
      </c>
      <c r="R166">
        <v>112850.99</v>
      </c>
      <c r="S166">
        <f t="shared" si="17"/>
        <v>74757.260000000009</v>
      </c>
    </row>
    <row r="167" spans="1:19" x14ac:dyDescent="0.3">
      <c r="A167" t="str">
        <f xml:space="preserve"> _xll.EPMOlapMemberO("[CECO].[PARENTH3].[AMSA1005AD4510]","","AMSA1005AD4510 - AAPP y RRII","","000")</f>
        <v>AMSA1005AD4510 - AAPP y RRII</v>
      </c>
      <c r="B167" s="5" t="str">
        <f t="shared" si="12"/>
        <v>1005AD4510</v>
      </c>
      <c r="C167" s="5" t="str">
        <f>IFERROR(_xlfn.XLOOKUP(B167,'CECOS Corporativos'!$D:$D,'CECOS Corporativos'!$E:$E,""),"")</f>
        <v>AAPP y RRII</v>
      </c>
      <c r="D167" s="5" t="str">
        <f>IFERROR(_xlfn.XLOOKUP(B167,'CECOS Corporativos'!$D:$D,'CECOS Corporativos'!$J:$J,""),"")</f>
        <v>VP Asuntos Corporativos</v>
      </c>
      <c r="E167" t="s">
        <v>756</v>
      </c>
      <c r="F167" t="str">
        <f t="shared" si="13"/>
        <v>N1005AD452</v>
      </c>
      <c r="G167" t="s">
        <v>750</v>
      </c>
      <c r="J167">
        <f t="shared" si="14"/>
        <v>0</v>
      </c>
      <c r="K167">
        <v>221548.57</v>
      </c>
      <c r="M167">
        <f t="shared" si="15"/>
        <v>-221548.57</v>
      </c>
      <c r="N167">
        <v>2839619.57</v>
      </c>
      <c r="P167">
        <f t="shared" si="16"/>
        <v>-2839619.57</v>
      </c>
      <c r="Q167">
        <v>1709775.4</v>
      </c>
      <c r="S167">
        <f t="shared" si="17"/>
        <v>-1709775.4</v>
      </c>
    </row>
    <row r="168" spans="1:19" x14ac:dyDescent="0.3">
      <c r="A168" s="5" t="str">
        <f xml:space="preserve"> _xll.EPMOlapMemberO("[CECO].[PARENTH3].[AMSA1005AD5004]","","AMSA1005AD5004 - SSO Corporativo","","000")</f>
        <v>AMSA1005AD5004 - SSO Corporativo</v>
      </c>
      <c r="B168" s="5" t="str">
        <f t="shared" si="12"/>
        <v>1005AD5004</v>
      </c>
      <c r="C168" s="5" t="str">
        <f>IFERROR(_xlfn.XLOOKUP(B168,'CECOS Corporativos'!$D:$D,'CECOS Corporativos'!$E:$E,""),"")</f>
        <v>SSO Corporativo</v>
      </c>
      <c r="D168" s="5" t="str">
        <f>IFERROR(_xlfn.XLOOKUP(B168,'CECOS Corporativos'!$D:$D,'CECOS Corporativos'!$J:$J,""),"")</f>
        <v>VP Sustentabilidad</v>
      </c>
      <c r="E168" t="s">
        <v>772</v>
      </c>
      <c r="F168" t="str">
        <f t="shared" si="13"/>
        <v>N1005AD500</v>
      </c>
      <c r="G168" t="s">
        <v>751</v>
      </c>
      <c r="J168">
        <f t="shared" si="14"/>
        <v>0</v>
      </c>
      <c r="M168">
        <f t="shared" si="15"/>
        <v>0</v>
      </c>
      <c r="P168">
        <f t="shared" si="16"/>
        <v>0</v>
      </c>
      <c r="Q168">
        <v>0</v>
      </c>
      <c r="S168">
        <f t="shared" si="17"/>
        <v>0</v>
      </c>
    </row>
    <row r="169" spans="1:19" x14ac:dyDescent="0.3">
      <c r="A169" s="5" t="str">
        <f xml:space="preserve"> _xll.EPMOlapMemberO("[CECO].[PARENTH3].[AMSA1005AD5004]","","AMSA1005AD5004 - SSO Corporativo","","000")</f>
        <v>AMSA1005AD5004 - SSO Corporativo</v>
      </c>
      <c r="B169" s="5" t="str">
        <f t="shared" si="12"/>
        <v>1005AD5004</v>
      </c>
      <c r="C169" s="5" t="str">
        <f>IFERROR(_xlfn.XLOOKUP(B169,'CECOS Corporativos'!$D:$D,'CECOS Corporativos'!$E:$E,""),"")</f>
        <v>SSO Corporativo</v>
      </c>
      <c r="D169" s="5" t="str">
        <f>IFERROR(_xlfn.XLOOKUP(B169,'CECOS Corporativos'!$D:$D,'CECOS Corporativos'!$J:$J,""),"")</f>
        <v>VP Sustentabilidad</v>
      </c>
      <c r="E169" t="s">
        <v>765</v>
      </c>
      <c r="F169" t="str">
        <f t="shared" si="13"/>
        <v>N1005AD500</v>
      </c>
      <c r="G169" t="s">
        <v>751</v>
      </c>
      <c r="H169">
        <v>131.35</v>
      </c>
      <c r="J169">
        <f t="shared" si="14"/>
        <v>-131.35</v>
      </c>
      <c r="M169">
        <f t="shared" si="15"/>
        <v>0</v>
      </c>
      <c r="P169">
        <f t="shared" si="16"/>
        <v>0</v>
      </c>
      <c r="S169">
        <f t="shared" si="17"/>
        <v>0</v>
      </c>
    </row>
    <row r="170" spans="1:19" x14ac:dyDescent="0.3">
      <c r="A170" s="5" t="str">
        <f xml:space="preserve"> _xll.EPMOlapMemberO("[CECO].[PARENTH3].[AMSA1005AD5004]","","AMSA1005AD5004 - SSO Corporativo","","000")</f>
        <v>AMSA1005AD5004 - SSO Corporativo</v>
      </c>
      <c r="B170" s="5" t="str">
        <f t="shared" si="12"/>
        <v>1005AD5004</v>
      </c>
      <c r="C170" s="5" t="str">
        <f>IFERROR(_xlfn.XLOOKUP(B170,'CECOS Corporativos'!$D:$D,'CECOS Corporativos'!$E:$E,""),"")</f>
        <v>SSO Corporativo</v>
      </c>
      <c r="D170" s="5" t="str">
        <f>IFERROR(_xlfn.XLOOKUP(B170,'CECOS Corporativos'!$D:$D,'CECOS Corporativos'!$J:$J,""),"")</f>
        <v>VP Sustentabilidad</v>
      </c>
      <c r="E170" t="s">
        <v>757</v>
      </c>
      <c r="F170" t="str">
        <f t="shared" si="13"/>
        <v>N1005AD500</v>
      </c>
      <c r="G170" t="s">
        <v>751</v>
      </c>
      <c r="H170">
        <v>180450.83</v>
      </c>
      <c r="I170">
        <v>237040</v>
      </c>
      <c r="J170">
        <f t="shared" si="14"/>
        <v>56589.170000000013</v>
      </c>
      <c r="K170">
        <v>207350.39999999999</v>
      </c>
      <c r="L170">
        <v>192656.59</v>
      </c>
      <c r="M170">
        <f t="shared" si="15"/>
        <v>-14693.809999999998</v>
      </c>
      <c r="N170">
        <v>111793.03</v>
      </c>
      <c r="P170">
        <f t="shared" si="16"/>
        <v>-111793.03</v>
      </c>
      <c r="Q170">
        <v>105662.74</v>
      </c>
      <c r="S170">
        <f t="shared" si="17"/>
        <v>-105662.74</v>
      </c>
    </row>
    <row r="171" spans="1:19" x14ac:dyDescent="0.3">
      <c r="A171" s="5" t="str">
        <f xml:space="preserve"> _xll.EPMOlapMemberO("[CECO].[PARENTH3].[AMSA1005AD5004]","","AMSA1005AD5004 - SSO Corporativo","","000")</f>
        <v>AMSA1005AD5004 - SSO Corporativo</v>
      </c>
      <c r="B171" s="5" t="str">
        <f t="shared" si="12"/>
        <v>1005AD5004</v>
      </c>
      <c r="C171" s="5" t="str">
        <f>IFERROR(_xlfn.XLOOKUP(B171,'CECOS Corporativos'!$D:$D,'CECOS Corporativos'!$E:$E,""),"")</f>
        <v>SSO Corporativo</v>
      </c>
      <c r="D171" s="5" t="str">
        <f>IFERROR(_xlfn.XLOOKUP(B171,'CECOS Corporativos'!$D:$D,'CECOS Corporativos'!$J:$J,""),"")</f>
        <v>VP Sustentabilidad</v>
      </c>
      <c r="E171" t="s">
        <v>758</v>
      </c>
      <c r="F171" t="str">
        <f t="shared" si="13"/>
        <v>N1005AD500</v>
      </c>
      <c r="G171" t="s">
        <v>751</v>
      </c>
      <c r="H171">
        <v>2430</v>
      </c>
      <c r="J171">
        <f t="shared" si="14"/>
        <v>-2430</v>
      </c>
      <c r="M171">
        <f t="shared" si="15"/>
        <v>0</v>
      </c>
      <c r="N171">
        <v>2103.37</v>
      </c>
      <c r="O171">
        <v>137196</v>
      </c>
      <c r="P171">
        <f t="shared" si="16"/>
        <v>135092.63</v>
      </c>
      <c r="Q171">
        <v>904.41</v>
      </c>
      <c r="R171">
        <v>86997.32</v>
      </c>
      <c r="S171">
        <f t="shared" si="17"/>
        <v>86092.91</v>
      </c>
    </row>
    <row r="172" spans="1:19" x14ac:dyDescent="0.3">
      <c r="A172" s="5" t="str">
        <f xml:space="preserve"> _xll.EPMOlapMemberO("[CECO].[PARENTH3].[AMSA1005AD5004]","","AMSA1005AD5004 - SSO Corporativo","","000")</f>
        <v>AMSA1005AD5004 - SSO Corporativo</v>
      </c>
      <c r="B172" s="5" t="str">
        <f t="shared" si="12"/>
        <v>1005AD5004</v>
      </c>
      <c r="C172" s="5" t="str">
        <f>IFERROR(_xlfn.XLOOKUP(B172,'CECOS Corporativos'!$D:$D,'CECOS Corporativos'!$E:$E,""),"")</f>
        <v>SSO Corporativo</v>
      </c>
      <c r="D172" s="5" t="str">
        <f>IFERROR(_xlfn.XLOOKUP(B172,'CECOS Corporativos'!$D:$D,'CECOS Corporativos'!$J:$J,""),"")</f>
        <v>VP Sustentabilidad</v>
      </c>
      <c r="E172" t="s">
        <v>763</v>
      </c>
      <c r="F172" t="str">
        <f t="shared" si="13"/>
        <v>N1005AD500</v>
      </c>
      <c r="G172" t="s">
        <v>751</v>
      </c>
      <c r="J172">
        <f t="shared" si="14"/>
        <v>0</v>
      </c>
      <c r="K172">
        <v>4453.42</v>
      </c>
      <c r="M172">
        <f t="shared" si="15"/>
        <v>-4453.42</v>
      </c>
      <c r="N172">
        <v>0</v>
      </c>
      <c r="O172">
        <v>37948</v>
      </c>
      <c r="P172">
        <f t="shared" si="16"/>
        <v>37948</v>
      </c>
      <c r="Q172">
        <v>11418.9</v>
      </c>
      <c r="R172">
        <v>37843.089999999997</v>
      </c>
      <c r="S172">
        <f t="shared" si="17"/>
        <v>26424.189999999995</v>
      </c>
    </row>
    <row r="173" spans="1:19" x14ac:dyDescent="0.3">
      <c r="A173" s="5" t="str">
        <f xml:space="preserve"> _xll.EPMOlapMemberO("[CECO].[PARENTH3].[AMSA1005AD5004]","","AMSA1005AD5004 - SSO Corporativo","","000")</f>
        <v>AMSA1005AD5004 - SSO Corporativo</v>
      </c>
      <c r="B173" s="5" t="str">
        <f t="shared" si="12"/>
        <v>1005AD5004</v>
      </c>
      <c r="C173" s="5" t="str">
        <f>IFERROR(_xlfn.XLOOKUP(B173,'CECOS Corporativos'!$D:$D,'CECOS Corporativos'!$E:$E,""),"")</f>
        <v>SSO Corporativo</v>
      </c>
      <c r="D173" s="5" t="str">
        <f>IFERROR(_xlfn.XLOOKUP(B173,'CECOS Corporativos'!$D:$D,'CECOS Corporativos'!$J:$J,""),"")</f>
        <v>VP Sustentabilidad</v>
      </c>
      <c r="E173" t="s">
        <v>759</v>
      </c>
      <c r="F173" t="str">
        <f t="shared" si="13"/>
        <v>N1005AD500</v>
      </c>
      <c r="G173" t="s">
        <v>751</v>
      </c>
      <c r="H173">
        <v>58.31</v>
      </c>
      <c r="J173">
        <f t="shared" si="14"/>
        <v>-58.31</v>
      </c>
      <c r="K173">
        <v>0</v>
      </c>
      <c r="M173">
        <f t="shared" si="15"/>
        <v>0</v>
      </c>
      <c r="P173">
        <f t="shared" si="16"/>
        <v>0</v>
      </c>
      <c r="S173">
        <f t="shared" si="17"/>
        <v>0</v>
      </c>
    </row>
    <row r="174" spans="1:19" x14ac:dyDescent="0.3">
      <c r="A174" s="5" t="str">
        <f xml:space="preserve"> _xll.EPMOlapMemberO("[CECO].[PARENTH3].[AMSA1005AD5004]","","AMSA1005AD5004 - SSO Corporativo","","000")</f>
        <v>AMSA1005AD5004 - SSO Corporativo</v>
      </c>
      <c r="B174" s="5" t="str">
        <f t="shared" si="12"/>
        <v>1005AD5004</v>
      </c>
      <c r="C174" s="5" t="str">
        <f>IFERROR(_xlfn.XLOOKUP(B174,'CECOS Corporativos'!$D:$D,'CECOS Corporativos'!$E:$E,""),"")</f>
        <v>SSO Corporativo</v>
      </c>
      <c r="D174" s="5" t="str">
        <f>IFERROR(_xlfn.XLOOKUP(B174,'CECOS Corporativos'!$D:$D,'CECOS Corporativos'!$J:$J,""),"")</f>
        <v>VP Sustentabilidad</v>
      </c>
      <c r="E174" t="s">
        <v>761</v>
      </c>
      <c r="F174" t="str">
        <f t="shared" si="13"/>
        <v>N1005AD500</v>
      </c>
      <c r="G174" t="s">
        <v>751</v>
      </c>
      <c r="J174">
        <f t="shared" si="14"/>
        <v>0</v>
      </c>
      <c r="K174">
        <v>22.16</v>
      </c>
      <c r="M174">
        <f t="shared" si="15"/>
        <v>-22.16</v>
      </c>
      <c r="N174">
        <v>45.34</v>
      </c>
      <c r="P174">
        <f t="shared" si="16"/>
        <v>-45.34</v>
      </c>
      <c r="S174">
        <f t="shared" si="17"/>
        <v>0</v>
      </c>
    </row>
    <row r="175" spans="1:19" x14ac:dyDescent="0.3">
      <c r="A175" s="5" t="str">
        <f xml:space="preserve"> _xll.EPMOlapMemberO("[CECO].[PARENTH3].[AMSA1005AD5004]","","AMSA1005AD5004 - SSO Corporativo","","000")</f>
        <v>AMSA1005AD5004 - SSO Corporativo</v>
      </c>
      <c r="B175" s="5" t="str">
        <f t="shared" si="12"/>
        <v>1005AD5004</v>
      </c>
      <c r="C175" s="5" t="str">
        <f>IFERROR(_xlfn.XLOOKUP(B175,'CECOS Corporativos'!$D:$D,'CECOS Corporativos'!$E:$E,""),"")</f>
        <v>SSO Corporativo</v>
      </c>
      <c r="D175" s="5" t="str">
        <f>IFERROR(_xlfn.XLOOKUP(B175,'CECOS Corporativos'!$D:$D,'CECOS Corporativos'!$J:$J,""),"")</f>
        <v>VP Sustentabilidad</v>
      </c>
      <c r="E175" t="s">
        <v>770</v>
      </c>
      <c r="F175" t="str">
        <f t="shared" si="13"/>
        <v>N1005AD500</v>
      </c>
      <c r="G175" t="s">
        <v>751</v>
      </c>
      <c r="J175">
        <f t="shared" si="14"/>
        <v>0</v>
      </c>
      <c r="M175">
        <f t="shared" si="15"/>
        <v>0</v>
      </c>
      <c r="O175">
        <v>-21208.16</v>
      </c>
      <c r="P175">
        <f t="shared" si="16"/>
        <v>-21208.16</v>
      </c>
      <c r="S175">
        <f t="shared" si="17"/>
        <v>0</v>
      </c>
    </row>
    <row r="176" spans="1:19" x14ac:dyDescent="0.3">
      <c r="A176" s="5" t="str">
        <f xml:space="preserve"> _xll.EPMOlapMemberO("[CECO].[PARENTH3].[AMSA1005AD5004]","","AMSA1005AD5004 - SSO Corporativo","","000")</f>
        <v>AMSA1005AD5004 - SSO Corporativo</v>
      </c>
      <c r="B176" s="5" t="str">
        <f t="shared" si="12"/>
        <v>1005AD5004</v>
      </c>
      <c r="C176" s="5" t="str">
        <f>IFERROR(_xlfn.XLOOKUP(B176,'CECOS Corporativos'!$D:$D,'CECOS Corporativos'!$E:$E,""),"")</f>
        <v>SSO Corporativo</v>
      </c>
      <c r="D176" s="5" t="str">
        <f>IFERROR(_xlfn.XLOOKUP(B176,'CECOS Corporativos'!$D:$D,'CECOS Corporativos'!$J:$J,""),"")</f>
        <v>VP Sustentabilidad</v>
      </c>
      <c r="E176" t="s">
        <v>764</v>
      </c>
      <c r="F176" t="str">
        <f t="shared" si="13"/>
        <v>N1005AD500</v>
      </c>
      <c r="G176" t="s">
        <v>751</v>
      </c>
      <c r="H176">
        <v>141477.69</v>
      </c>
      <c r="I176">
        <v>125702</v>
      </c>
      <c r="J176">
        <f t="shared" si="14"/>
        <v>-15775.690000000002</v>
      </c>
      <c r="K176">
        <v>141270.29999999999</v>
      </c>
      <c r="L176">
        <v>128237.08</v>
      </c>
      <c r="M176">
        <f t="shared" si="15"/>
        <v>-13033.219999999987</v>
      </c>
      <c r="N176">
        <v>-0.3</v>
      </c>
      <c r="P176">
        <f t="shared" si="16"/>
        <v>0.3</v>
      </c>
      <c r="S176">
        <f t="shared" si="17"/>
        <v>0</v>
      </c>
    </row>
    <row r="177" spans="1:19" x14ac:dyDescent="0.3">
      <c r="A177" s="5" t="str">
        <f xml:space="preserve"> _xll.EPMOlapMemberO("[CECO].[PARENTH3].[AMSA1005AD5501]","","AMSA1005AD5501 - Legal","","000")</f>
        <v>AMSA1005AD5501 - Legal</v>
      </c>
      <c r="B177" s="5" t="str">
        <f t="shared" si="12"/>
        <v>1005AD5501</v>
      </c>
      <c r="C177" s="5" t="str">
        <f>IFERROR(_xlfn.XLOOKUP(B177,'CECOS Corporativos'!$D:$D,'CECOS Corporativos'!$E:$E,""),"")</f>
        <v>Legal CMZ</v>
      </c>
      <c r="D177" s="5" t="str">
        <f>IFERROR(_xlfn.XLOOKUP(B177,'CECOS Corporativos'!$D:$D,'CECOS Corporativos'!$J:$J,""),"")</f>
        <v>VP Legal</v>
      </c>
      <c r="E177" t="s">
        <v>765</v>
      </c>
      <c r="F177" t="str">
        <f t="shared" si="13"/>
        <v>N1005AD550</v>
      </c>
      <c r="G177" t="s">
        <v>752</v>
      </c>
      <c r="H177">
        <v>5129.95</v>
      </c>
      <c r="J177">
        <f t="shared" si="14"/>
        <v>-5129.95</v>
      </c>
      <c r="K177">
        <v>1371.53</v>
      </c>
      <c r="M177">
        <f t="shared" si="15"/>
        <v>-1371.53</v>
      </c>
      <c r="N177">
        <v>99.31</v>
      </c>
      <c r="P177">
        <f t="shared" si="16"/>
        <v>-99.31</v>
      </c>
      <c r="S177">
        <f t="shared" si="17"/>
        <v>0</v>
      </c>
    </row>
    <row r="178" spans="1:19" x14ac:dyDescent="0.3">
      <c r="A178" s="5" t="str">
        <f xml:space="preserve"> _xll.EPMOlapMemberO("[CECO].[PARENTH3].[AMSA1005AD5501]","","AMSA1005AD5501 - Legal","","000")</f>
        <v>AMSA1005AD5501 - Legal</v>
      </c>
      <c r="B178" s="5" t="str">
        <f t="shared" si="12"/>
        <v>1005AD5501</v>
      </c>
      <c r="C178" s="5" t="str">
        <f>IFERROR(_xlfn.XLOOKUP(B178,'CECOS Corporativos'!$D:$D,'CECOS Corporativos'!$E:$E,""),"")</f>
        <v>Legal CMZ</v>
      </c>
      <c r="D178" s="5" t="str">
        <f>IFERROR(_xlfn.XLOOKUP(B178,'CECOS Corporativos'!$D:$D,'CECOS Corporativos'!$J:$J,""),"")</f>
        <v>VP Legal</v>
      </c>
      <c r="E178" t="s">
        <v>757</v>
      </c>
      <c r="F178" t="str">
        <f t="shared" si="13"/>
        <v>N1005AD550</v>
      </c>
      <c r="G178" t="s">
        <v>752</v>
      </c>
      <c r="H178">
        <v>255241.37</v>
      </c>
      <c r="I178">
        <v>232961</v>
      </c>
      <c r="J178">
        <f t="shared" si="14"/>
        <v>-22280.369999999995</v>
      </c>
      <c r="K178">
        <v>276453.24</v>
      </c>
      <c r="L178">
        <v>252226.59</v>
      </c>
      <c r="M178">
        <f t="shared" si="15"/>
        <v>-24226.649999999994</v>
      </c>
      <c r="N178">
        <v>246925.16</v>
      </c>
      <c r="O178">
        <v>285480</v>
      </c>
      <c r="P178">
        <f t="shared" si="16"/>
        <v>38554.839999999997</v>
      </c>
      <c r="Q178">
        <v>183406.81</v>
      </c>
      <c r="R178">
        <v>277156.53999999998</v>
      </c>
      <c r="S178">
        <f t="shared" si="17"/>
        <v>93749.729999999981</v>
      </c>
    </row>
    <row r="179" spans="1:19" x14ac:dyDescent="0.3">
      <c r="A179" s="5" t="str">
        <f xml:space="preserve"> _xll.EPMOlapMemberO("[CECO].[PARENTH3].[AMSA1005AD5501]","","AMSA1005AD5501 - Legal","","000")</f>
        <v>AMSA1005AD5501 - Legal</v>
      </c>
      <c r="B179" s="5" t="str">
        <f t="shared" si="12"/>
        <v>1005AD5501</v>
      </c>
      <c r="C179" s="5" t="str">
        <f>IFERROR(_xlfn.XLOOKUP(B179,'CECOS Corporativos'!$D:$D,'CECOS Corporativos'!$E:$E,""),"")</f>
        <v>Legal CMZ</v>
      </c>
      <c r="D179" s="5" t="str">
        <f>IFERROR(_xlfn.XLOOKUP(B179,'CECOS Corporativos'!$D:$D,'CECOS Corporativos'!$J:$J,""),"")</f>
        <v>VP Legal</v>
      </c>
      <c r="E179" t="s">
        <v>758</v>
      </c>
      <c r="F179" t="str">
        <f t="shared" si="13"/>
        <v>N1005AD550</v>
      </c>
      <c r="G179" t="s">
        <v>752</v>
      </c>
      <c r="H179">
        <v>2795.79</v>
      </c>
      <c r="J179">
        <f t="shared" si="14"/>
        <v>-2795.79</v>
      </c>
      <c r="K179">
        <v>3104.25</v>
      </c>
      <c r="M179">
        <f t="shared" si="15"/>
        <v>-3104.25</v>
      </c>
      <c r="N179">
        <v>593.11</v>
      </c>
      <c r="P179">
        <f t="shared" si="16"/>
        <v>-593.11</v>
      </c>
      <c r="Q179">
        <v>3013.11</v>
      </c>
      <c r="S179">
        <f t="shared" si="17"/>
        <v>-3013.11</v>
      </c>
    </row>
    <row r="180" spans="1:19" x14ac:dyDescent="0.3">
      <c r="A180" s="5" t="str">
        <f xml:space="preserve"> _xll.EPMOlapMemberO("[CECO].[PARENTH3].[AMSA1005AD5501]","","AMSA1005AD5501 - Legal","","000")</f>
        <v>AMSA1005AD5501 - Legal</v>
      </c>
      <c r="B180" s="5" t="str">
        <f t="shared" si="12"/>
        <v>1005AD5501</v>
      </c>
      <c r="C180" s="5" t="str">
        <f>IFERROR(_xlfn.XLOOKUP(B180,'CECOS Corporativos'!$D:$D,'CECOS Corporativos'!$E:$E,""),"")</f>
        <v>Legal CMZ</v>
      </c>
      <c r="D180" s="5" t="str">
        <f>IFERROR(_xlfn.XLOOKUP(B180,'CECOS Corporativos'!$D:$D,'CECOS Corporativos'!$J:$J,""),"")</f>
        <v>VP Legal</v>
      </c>
      <c r="E180" t="s">
        <v>763</v>
      </c>
      <c r="F180" t="str">
        <f t="shared" si="13"/>
        <v>N1005AD550</v>
      </c>
      <c r="G180" t="s">
        <v>752</v>
      </c>
      <c r="H180">
        <v>20721.62</v>
      </c>
      <c r="J180">
        <f t="shared" si="14"/>
        <v>-20721.62</v>
      </c>
      <c r="K180">
        <v>74.36</v>
      </c>
      <c r="M180">
        <f t="shared" si="15"/>
        <v>-74.36</v>
      </c>
      <c r="N180">
        <v>382.95</v>
      </c>
      <c r="P180">
        <f t="shared" si="16"/>
        <v>-382.95</v>
      </c>
      <c r="Q180">
        <v>0</v>
      </c>
      <c r="S180">
        <f t="shared" si="17"/>
        <v>0</v>
      </c>
    </row>
    <row r="181" spans="1:19" x14ac:dyDescent="0.3">
      <c r="A181" s="5" t="str">
        <f xml:space="preserve"> _xll.EPMOlapMemberO("[CECO].[PARENTH3].[AMSA1005AD5501]","","AMSA1005AD5501 - Legal","","000")</f>
        <v>AMSA1005AD5501 - Legal</v>
      </c>
      <c r="B181" s="5" t="str">
        <f t="shared" si="12"/>
        <v>1005AD5501</v>
      </c>
      <c r="C181" s="5" t="str">
        <f>IFERROR(_xlfn.XLOOKUP(B181,'CECOS Corporativos'!$D:$D,'CECOS Corporativos'!$E:$E,""),"")</f>
        <v>Legal CMZ</v>
      </c>
      <c r="D181" s="5" t="str">
        <f>IFERROR(_xlfn.XLOOKUP(B181,'CECOS Corporativos'!$D:$D,'CECOS Corporativos'!$J:$J,""),"")</f>
        <v>VP Legal</v>
      </c>
      <c r="E181" t="s">
        <v>759</v>
      </c>
      <c r="F181" t="str">
        <f t="shared" si="13"/>
        <v>N1005AD550</v>
      </c>
      <c r="G181" t="s">
        <v>752</v>
      </c>
      <c r="H181">
        <v>11084.08</v>
      </c>
      <c r="I181">
        <v>5705.12</v>
      </c>
      <c r="J181">
        <f t="shared" si="14"/>
        <v>-5378.96</v>
      </c>
      <c r="K181">
        <v>10109.08</v>
      </c>
      <c r="L181">
        <v>6237.85</v>
      </c>
      <c r="M181">
        <f t="shared" si="15"/>
        <v>-3871.2299999999996</v>
      </c>
      <c r="N181">
        <v>9330.82</v>
      </c>
      <c r="O181">
        <v>8356</v>
      </c>
      <c r="P181">
        <f t="shared" si="16"/>
        <v>-974.81999999999971</v>
      </c>
      <c r="Q181">
        <v>9086.17</v>
      </c>
      <c r="R181">
        <v>8768.2000000000007</v>
      </c>
      <c r="S181">
        <f t="shared" si="17"/>
        <v>-317.96999999999935</v>
      </c>
    </row>
    <row r="182" spans="1:19" x14ac:dyDescent="0.3">
      <c r="A182" s="5" t="str">
        <f xml:space="preserve"> _xll.EPMOlapMemberO("[CECO].[PARENTH3].[AMSA1005AD5501]","","AMSA1005AD5501 - Legal","","000")</f>
        <v>AMSA1005AD5501 - Legal</v>
      </c>
      <c r="B182" s="5" t="str">
        <f t="shared" si="12"/>
        <v>1005AD5501</v>
      </c>
      <c r="C182" s="5" t="str">
        <f>IFERROR(_xlfn.XLOOKUP(B182,'CECOS Corporativos'!$D:$D,'CECOS Corporativos'!$E:$E,""),"")</f>
        <v>Legal CMZ</v>
      </c>
      <c r="D182" s="5" t="str">
        <f>IFERROR(_xlfn.XLOOKUP(B182,'CECOS Corporativos'!$D:$D,'CECOS Corporativos'!$J:$J,""),"")</f>
        <v>VP Legal</v>
      </c>
      <c r="E182" t="s">
        <v>760</v>
      </c>
      <c r="F182" t="str">
        <f t="shared" si="13"/>
        <v>N1005AD550</v>
      </c>
      <c r="G182" t="s">
        <v>752</v>
      </c>
      <c r="H182">
        <v>386.56</v>
      </c>
      <c r="J182">
        <f t="shared" si="14"/>
        <v>-386.56</v>
      </c>
      <c r="K182">
        <v>483.49</v>
      </c>
      <c r="M182">
        <f t="shared" si="15"/>
        <v>-483.49</v>
      </c>
      <c r="N182">
        <v>468.86</v>
      </c>
      <c r="O182">
        <v>361</v>
      </c>
      <c r="P182">
        <f t="shared" si="16"/>
        <v>-107.86000000000001</v>
      </c>
      <c r="Q182">
        <v>6444.08</v>
      </c>
      <c r="R182">
        <v>339.82</v>
      </c>
      <c r="S182">
        <f t="shared" si="17"/>
        <v>-6104.26</v>
      </c>
    </row>
    <row r="183" spans="1:19" x14ac:dyDescent="0.3">
      <c r="A183" s="5" t="str">
        <f xml:space="preserve"> _xll.EPMOlapMemberO("[CECO].[PARENTH3].[AMSA1005AD5501]","","AMSA1005AD5501 - Legal","","000")</f>
        <v>AMSA1005AD5501 - Legal</v>
      </c>
      <c r="B183" s="5" t="str">
        <f t="shared" si="12"/>
        <v>1005AD5501</v>
      </c>
      <c r="C183" s="5" t="str">
        <f>IFERROR(_xlfn.XLOOKUP(B183,'CECOS Corporativos'!$D:$D,'CECOS Corporativos'!$E:$E,""),"")</f>
        <v>Legal CMZ</v>
      </c>
      <c r="D183" s="5" t="str">
        <f>IFERROR(_xlfn.XLOOKUP(B183,'CECOS Corporativos'!$D:$D,'CECOS Corporativos'!$J:$J,""),"")</f>
        <v>VP Legal</v>
      </c>
      <c r="E183" t="s">
        <v>761</v>
      </c>
      <c r="F183" t="str">
        <f t="shared" si="13"/>
        <v>N1005AD550</v>
      </c>
      <c r="G183" t="s">
        <v>752</v>
      </c>
      <c r="H183">
        <v>0</v>
      </c>
      <c r="J183">
        <f t="shared" si="14"/>
        <v>0</v>
      </c>
      <c r="K183">
        <v>552.15</v>
      </c>
      <c r="M183">
        <f t="shared" si="15"/>
        <v>-552.15</v>
      </c>
      <c r="N183">
        <v>2118.6999999999998</v>
      </c>
      <c r="P183">
        <f t="shared" si="16"/>
        <v>-2118.6999999999998</v>
      </c>
      <c r="Q183">
        <v>43.93</v>
      </c>
      <c r="S183">
        <f t="shared" si="17"/>
        <v>-43.93</v>
      </c>
    </row>
    <row r="184" spans="1:19" x14ac:dyDescent="0.3">
      <c r="A184" s="5" t="str">
        <f xml:space="preserve"> _xll.EPMOlapMemberO("[CECO].[PARENTH3].[AMSA1005AD5501]","","AMSA1005AD5501 - Legal","","000")</f>
        <v>AMSA1005AD5501 - Legal</v>
      </c>
      <c r="B184" s="5" t="str">
        <f t="shared" si="12"/>
        <v>1005AD5501</v>
      </c>
      <c r="C184" s="5" t="str">
        <f>IFERROR(_xlfn.XLOOKUP(B184,'CECOS Corporativos'!$D:$D,'CECOS Corporativos'!$E:$E,""),"")</f>
        <v>Legal CMZ</v>
      </c>
      <c r="D184" s="5" t="str">
        <f>IFERROR(_xlfn.XLOOKUP(B184,'CECOS Corporativos'!$D:$D,'CECOS Corporativos'!$J:$J,""),"")</f>
        <v>VP Legal</v>
      </c>
      <c r="E184" t="s">
        <v>770</v>
      </c>
      <c r="F184" t="str">
        <f t="shared" si="13"/>
        <v>N1005AD550</v>
      </c>
      <c r="G184" t="s">
        <v>752</v>
      </c>
      <c r="J184">
        <f t="shared" si="14"/>
        <v>0</v>
      </c>
      <c r="M184">
        <f t="shared" si="15"/>
        <v>0</v>
      </c>
      <c r="O184">
        <v>-46375.3</v>
      </c>
      <c r="P184">
        <f t="shared" si="16"/>
        <v>-46375.3</v>
      </c>
      <c r="S184">
        <f t="shared" si="17"/>
        <v>0</v>
      </c>
    </row>
    <row r="185" spans="1:19" x14ac:dyDescent="0.3">
      <c r="A185" s="5" t="str">
        <f xml:space="preserve"> _xll.EPMOlapMemberO("[CECO].[PARENTH3].[AMSA1005AD5501]","","AMSA1005AD5501 - Legal","","000")</f>
        <v>AMSA1005AD5501 - Legal</v>
      </c>
      <c r="B185" s="5" t="str">
        <f t="shared" si="12"/>
        <v>1005AD5501</v>
      </c>
      <c r="C185" s="5" t="str">
        <f>IFERROR(_xlfn.XLOOKUP(B185,'CECOS Corporativos'!$D:$D,'CECOS Corporativos'!$E:$E,""),"")</f>
        <v>Legal CMZ</v>
      </c>
      <c r="D185" s="5" t="str">
        <f>IFERROR(_xlfn.XLOOKUP(B185,'CECOS Corporativos'!$D:$D,'CECOS Corporativos'!$J:$J,""),"")</f>
        <v>VP Legal</v>
      </c>
      <c r="E185" t="s">
        <v>764</v>
      </c>
      <c r="F185" t="str">
        <f t="shared" si="13"/>
        <v>N1005AD550</v>
      </c>
      <c r="G185" t="s">
        <v>752</v>
      </c>
      <c r="H185">
        <v>261473.4</v>
      </c>
      <c r="I185">
        <v>269550</v>
      </c>
      <c r="J185">
        <f t="shared" si="14"/>
        <v>8076.6000000000058</v>
      </c>
      <c r="K185">
        <v>275706.13</v>
      </c>
      <c r="L185">
        <v>250276.34</v>
      </c>
      <c r="M185">
        <f t="shared" si="15"/>
        <v>-25429.790000000008</v>
      </c>
      <c r="N185">
        <v>-0.13</v>
      </c>
      <c r="P185">
        <f t="shared" si="16"/>
        <v>0.13</v>
      </c>
      <c r="S185">
        <f t="shared" si="17"/>
        <v>0</v>
      </c>
    </row>
    <row r="186" spans="1:19" x14ac:dyDescent="0.3">
      <c r="A186" s="5" t="str">
        <f xml:space="preserve"> _xll.EPMOlapMemberO("[CECO].[PARENTH3].[AMSA1005AD5502]","","AMSA1005AD5502 - Propiedad Minera","","000")</f>
        <v>AMSA1005AD5502 - Propiedad Minera</v>
      </c>
      <c r="B186" s="5" t="str">
        <f t="shared" si="12"/>
        <v>1005AD5502</v>
      </c>
      <c r="C186" s="5" t="str">
        <f>IFERROR(_xlfn.XLOOKUP(B186,'CECOS Corporativos'!$D:$D,'CECOS Corporativos'!$E:$E,""),"")</f>
        <v>Propiedad Minera CMZ</v>
      </c>
      <c r="D186" s="5" t="str">
        <f>IFERROR(_xlfn.XLOOKUP(B186,'CECOS Corporativos'!$D:$D,'CECOS Corporativos'!$J:$J,""),"")</f>
        <v>VP Legal</v>
      </c>
      <c r="E186" t="s">
        <v>778</v>
      </c>
      <c r="F186" t="str">
        <f t="shared" si="13"/>
        <v>N1005AD550</v>
      </c>
      <c r="G186" t="s">
        <v>752</v>
      </c>
      <c r="H186">
        <v>-599.84</v>
      </c>
      <c r="J186">
        <f t="shared" si="14"/>
        <v>599.84</v>
      </c>
      <c r="M186">
        <f t="shared" si="15"/>
        <v>0</v>
      </c>
      <c r="P186">
        <f t="shared" si="16"/>
        <v>0</v>
      </c>
      <c r="S186">
        <f t="shared" si="17"/>
        <v>0</v>
      </c>
    </row>
    <row r="187" spans="1:19" x14ac:dyDescent="0.3">
      <c r="A187" s="5" t="str">
        <f xml:space="preserve"> _xll.EPMOlapMemberO("[CECO].[PARENTH3].[AMSA1005AD5502]","","AMSA1005AD5502 - Propiedad Minera","","000")</f>
        <v>AMSA1005AD5502 - Propiedad Minera</v>
      </c>
      <c r="B187" s="5" t="str">
        <f t="shared" si="12"/>
        <v>1005AD5502</v>
      </c>
      <c r="C187" s="5" t="str">
        <f>IFERROR(_xlfn.XLOOKUP(B187,'CECOS Corporativos'!$D:$D,'CECOS Corporativos'!$E:$E,""),"")</f>
        <v>Propiedad Minera CMZ</v>
      </c>
      <c r="D187" s="5" t="str">
        <f>IFERROR(_xlfn.XLOOKUP(B187,'CECOS Corporativos'!$D:$D,'CECOS Corporativos'!$J:$J,""),"")</f>
        <v>VP Legal</v>
      </c>
      <c r="E187" t="s">
        <v>757</v>
      </c>
      <c r="F187" t="str">
        <f t="shared" si="13"/>
        <v>N1005AD550</v>
      </c>
      <c r="G187" t="s">
        <v>752</v>
      </c>
      <c r="H187">
        <v>4307.1400000000003</v>
      </c>
      <c r="J187">
        <f t="shared" si="14"/>
        <v>-4307.1400000000003</v>
      </c>
      <c r="M187">
        <f t="shared" si="15"/>
        <v>0</v>
      </c>
      <c r="N187">
        <v>1288.33</v>
      </c>
      <c r="P187">
        <f t="shared" si="16"/>
        <v>-1288.33</v>
      </c>
      <c r="Q187">
        <v>2437.37</v>
      </c>
      <c r="S187">
        <f t="shared" si="17"/>
        <v>-2437.37</v>
      </c>
    </row>
    <row r="188" spans="1:19" x14ac:dyDescent="0.3">
      <c r="A188" s="5" t="str">
        <f xml:space="preserve"> _xll.EPMOlapMemberO("[CECO].[PARENTH3].[AMSA1005AD5502]","","AMSA1005AD5502 - Propiedad Minera","","000")</f>
        <v>AMSA1005AD5502 - Propiedad Minera</v>
      </c>
      <c r="B188" s="5" t="str">
        <f t="shared" si="12"/>
        <v>1005AD5502</v>
      </c>
      <c r="C188" s="5" t="str">
        <f>IFERROR(_xlfn.XLOOKUP(B188,'CECOS Corporativos'!$D:$D,'CECOS Corporativos'!$E:$E,""),"")</f>
        <v>Propiedad Minera CMZ</v>
      </c>
      <c r="D188" s="5" t="str">
        <f>IFERROR(_xlfn.XLOOKUP(B188,'CECOS Corporativos'!$D:$D,'CECOS Corporativos'!$J:$J,""),"")</f>
        <v>VP Legal</v>
      </c>
      <c r="E188" t="s">
        <v>758</v>
      </c>
      <c r="F188" t="str">
        <f t="shared" si="13"/>
        <v>N1005AD550</v>
      </c>
      <c r="G188" t="s">
        <v>752</v>
      </c>
      <c r="H188">
        <v>11214.14</v>
      </c>
      <c r="I188">
        <v>13240</v>
      </c>
      <c r="J188">
        <f t="shared" si="14"/>
        <v>2025.8600000000006</v>
      </c>
      <c r="K188">
        <v>6041.18</v>
      </c>
      <c r="L188">
        <v>7049.3</v>
      </c>
      <c r="M188">
        <f t="shared" si="15"/>
        <v>1008.1199999999999</v>
      </c>
      <c r="N188">
        <v>6426.35</v>
      </c>
      <c r="O188">
        <v>7814</v>
      </c>
      <c r="P188">
        <f t="shared" si="16"/>
        <v>1387.6499999999996</v>
      </c>
      <c r="Q188">
        <v>3823.27</v>
      </c>
      <c r="R188">
        <v>8252.52</v>
      </c>
      <c r="S188">
        <f t="shared" si="17"/>
        <v>4429.25</v>
      </c>
    </row>
    <row r="189" spans="1:19" x14ac:dyDescent="0.3">
      <c r="A189" s="5" t="str">
        <f xml:space="preserve"> _xll.EPMOlapMemberO("[CECO].[PARENTH3].[AMSA1005AD5502]","","AMSA1005AD5502 - Propiedad Minera","","000")</f>
        <v>AMSA1005AD5502 - Propiedad Minera</v>
      </c>
      <c r="B189" s="5" t="str">
        <f t="shared" si="12"/>
        <v>1005AD5502</v>
      </c>
      <c r="C189" s="5" t="str">
        <f>IFERROR(_xlfn.XLOOKUP(B189,'CECOS Corporativos'!$D:$D,'CECOS Corporativos'!$E:$E,""),"")</f>
        <v>Propiedad Minera CMZ</v>
      </c>
      <c r="D189" s="5" t="str">
        <f>IFERROR(_xlfn.XLOOKUP(B189,'CECOS Corporativos'!$D:$D,'CECOS Corporativos'!$J:$J,""),"")</f>
        <v>VP Legal</v>
      </c>
      <c r="E189" t="s">
        <v>760</v>
      </c>
      <c r="F189" t="str">
        <f t="shared" si="13"/>
        <v>N1005AD550</v>
      </c>
      <c r="G189" t="s">
        <v>752</v>
      </c>
      <c r="H189">
        <v>407863.65</v>
      </c>
      <c r="I189">
        <v>560292</v>
      </c>
      <c r="J189">
        <f t="shared" si="14"/>
        <v>152428.34999999998</v>
      </c>
      <c r="K189">
        <v>526881.04</v>
      </c>
      <c r="L189">
        <v>546516.81999999995</v>
      </c>
      <c r="M189">
        <f t="shared" si="15"/>
        <v>19635.779999999912</v>
      </c>
      <c r="N189">
        <v>520185.01</v>
      </c>
      <c r="O189">
        <v>615608</v>
      </c>
      <c r="P189">
        <f t="shared" si="16"/>
        <v>95422.989999999991</v>
      </c>
      <c r="Q189">
        <v>541567.93000000005</v>
      </c>
      <c r="R189">
        <v>635130.39</v>
      </c>
      <c r="S189">
        <f t="shared" si="17"/>
        <v>93562.459999999963</v>
      </c>
    </row>
    <row r="190" spans="1:19" x14ac:dyDescent="0.3">
      <c r="A190" s="5" t="str">
        <f xml:space="preserve"> _xll.EPMOlapMemberO("[CECO].[PARENTH3].[AMSA1005AD5502]","","AMSA1005AD5502 - Propiedad Minera","","000")</f>
        <v>AMSA1005AD5502 - Propiedad Minera</v>
      </c>
      <c r="B190" s="5" t="str">
        <f t="shared" si="12"/>
        <v>1005AD5502</v>
      </c>
      <c r="C190" s="5" t="str">
        <f>IFERROR(_xlfn.XLOOKUP(B190,'CECOS Corporativos'!$D:$D,'CECOS Corporativos'!$E:$E,""),"")</f>
        <v>Propiedad Minera CMZ</v>
      </c>
      <c r="D190" s="5" t="str">
        <f>IFERROR(_xlfn.XLOOKUP(B190,'CECOS Corporativos'!$D:$D,'CECOS Corporativos'!$J:$J,""),"")</f>
        <v>VP Legal</v>
      </c>
      <c r="E190" t="s">
        <v>761</v>
      </c>
      <c r="F190" t="str">
        <f t="shared" si="13"/>
        <v>N1005AD550</v>
      </c>
      <c r="G190" t="s">
        <v>752</v>
      </c>
      <c r="H190">
        <v>789.46</v>
      </c>
      <c r="I190">
        <v>851</v>
      </c>
      <c r="J190">
        <f t="shared" si="14"/>
        <v>61.539999999999964</v>
      </c>
      <c r="K190">
        <v>357</v>
      </c>
      <c r="M190">
        <f t="shared" si="15"/>
        <v>-357</v>
      </c>
      <c r="N190">
        <v>265.77</v>
      </c>
      <c r="O190">
        <v>116</v>
      </c>
      <c r="P190">
        <f t="shared" si="16"/>
        <v>-149.76999999999998</v>
      </c>
      <c r="Q190">
        <v>532.52</v>
      </c>
      <c r="R190">
        <v>110.45</v>
      </c>
      <c r="S190">
        <f t="shared" si="17"/>
        <v>-422.07</v>
      </c>
    </row>
    <row r="191" spans="1:19" x14ac:dyDescent="0.3">
      <c r="A191" s="5" t="str">
        <f xml:space="preserve"> _xll.EPMOlapMemberO("[CECO].[PARENTH3].[AMSA1005AD5502]","","AMSA1005AD5502 - Propiedad Minera","","000")</f>
        <v>AMSA1005AD5502 - Propiedad Minera</v>
      </c>
      <c r="B191" s="5" t="str">
        <f t="shared" si="12"/>
        <v>1005AD5502</v>
      </c>
      <c r="C191" s="5" t="str">
        <f>IFERROR(_xlfn.XLOOKUP(B191,'CECOS Corporativos'!$D:$D,'CECOS Corporativos'!$E:$E,""),"")</f>
        <v>Propiedad Minera CMZ</v>
      </c>
      <c r="D191" s="5" t="str">
        <f>IFERROR(_xlfn.XLOOKUP(B191,'CECOS Corporativos'!$D:$D,'CECOS Corporativos'!$J:$J,""),"")</f>
        <v>VP Legal</v>
      </c>
      <c r="E191" t="s">
        <v>770</v>
      </c>
      <c r="F191" t="str">
        <f t="shared" si="13"/>
        <v>N1005AD550</v>
      </c>
      <c r="G191" t="s">
        <v>752</v>
      </c>
      <c r="J191">
        <f t="shared" si="14"/>
        <v>0</v>
      </c>
      <c r="M191">
        <f t="shared" si="15"/>
        <v>0</v>
      </c>
      <c r="O191">
        <v>-40188.44</v>
      </c>
      <c r="P191">
        <f t="shared" si="16"/>
        <v>-40188.44</v>
      </c>
      <c r="S191">
        <f t="shared" si="17"/>
        <v>0</v>
      </c>
    </row>
    <row r="192" spans="1:19" x14ac:dyDescent="0.3">
      <c r="A192" s="5" t="str">
        <f xml:space="preserve"> _xll.EPMOlapMemberO("[CECO].[PARENTH3].[AMSA1005AD5502]","","AMSA1005AD5502 - Propiedad Minera","","000")</f>
        <v>AMSA1005AD5502 - Propiedad Minera</v>
      </c>
      <c r="B192" s="5" t="str">
        <f t="shared" si="12"/>
        <v>1005AD5502</v>
      </c>
      <c r="C192" s="5" t="str">
        <f>IFERROR(_xlfn.XLOOKUP(B192,'CECOS Corporativos'!$D:$D,'CECOS Corporativos'!$E:$E,""),"")</f>
        <v>Propiedad Minera CMZ</v>
      </c>
      <c r="D192" s="5" t="str">
        <f>IFERROR(_xlfn.XLOOKUP(B192,'CECOS Corporativos'!$D:$D,'CECOS Corporativos'!$J:$J,""),"")</f>
        <v>VP Legal</v>
      </c>
      <c r="E192" t="s">
        <v>764</v>
      </c>
      <c r="F192" t="str">
        <f t="shared" si="13"/>
        <v>N1005AD550</v>
      </c>
      <c r="G192" t="s">
        <v>752</v>
      </c>
      <c r="H192">
        <v>56054.5</v>
      </c>
      <c r="I192">
        <v>57787</v>
      </c>
      <c r="J192">
        <f t="shared" si="14"/>
        <v>1732.5</v>
      </c>
      <c r="K192">
        <v>62315.14</v>
      </c>
      <c r="L192">
        <v>56568.14</v>
      </c>
      <c r="M192">
        <f t="shared" si="15"/>
        <v>-5747</v>
      </c>
      <c r="N192">
        <v>-0.14000000000000001</v>
      </c>
      <c r="P192">
        <f t="shared" si="16"/>
        <v>0.14000000000000001</v>
      </c>
      <c r="S192">
        <f t="shared" si="17"/>
        <v>0</v>
      </c>
    </row>
    <row r="193" spans="1:19" x14ac:dyDescent="0.3">
      <c r="A193" s="5" t="str">
        <f xml:space="preserve"> _xll.EPMOlapMemberO("[CECO].[PARENTH3].[AMSA1005AD6001]","","AMSA1005AD6001 - Adm Comercialización","","000")</f>
        <v>AMSA1005AD6001 - Adm Comercialización</v>
      </c>
      <c r="B193" s="5" t="str">
        <f t="shared" si="12"/>
        <v>1005AD6001</v>
      </c>
      <c r="C193" s="5" t="str">
        <f>IFERROR(_xlfn.XLOOKUP(B193,'CECOS Corporativos'!$D:$D,'CECOS Corporativos'!$E:$E,""),"")</f>
        <v>VP Comercialización</v>
      </c>
      <c r="D193" s="5" t="str">
        <f>IFERROR(_xlfn.XLOOKUP(B193,'CECOS Corporativos'!$D:$D,'CECOS Corporativos'!$J:$J,""),"")</f>
        <v>VP Comercialización</v>
      </c>
      <c r="E193" t="s">
        <v>757</v>
      </c>
      <c r="F193" t="str">
        <f t="shared" si="13"/>
        <v>N1005AD620</v>
      </c>
      <c r="G193" t="s">
        <v>753</v>
      </c>
      <c r="I193">
        <v>3801</v>
      </c>
      <c r="J193">
        <f t="shared" si="14"/>
        <v>3801</v>
      </c>
      <c r="K193">
        <v>0</v>
      </c>
      <c r="L193">
        <v>11727.91</v>
      </c>
      <c r="M193">
        <f t="shared" si="15"/>
        <v>11727.91</v>
      </c>
      <c r="O193">
        <v>11530</v>
      </c>
      <c r="P193">
        <f t="shared" si="16"/>
        <v>11530</v>
      </c>
      <c r="R193">
        <v>6986.07</v>
      </c>
      <c r="S193">
        <f t="shared" si="17"/>
        <v>6986.07</v>
      </c>
    </row>
    <row r="194" spans="1:19" x14ac:dyDescent="0.3">
      <c r="A194" s="5" t="str">
        <f xml:space="preserve"> _xll.EPMOlapMemberO("[CECO].[PARENTH3].[AMSA1005AD6001]","","AMSA1005AD6001 - Adm Comercialización","","000")</f>
        <v>AMSA1005AD6001 - Adm Comercialización</v>
      </c>
      <c r="B194" s="5" t="str">
        <f t="shared" si="12"/>
        <v>1005AD6001</v>
      </c>
      <c r="C194" s="5" t="str">
        <f>IFERROR(_xlfn.XLOOKUP(B194,'CECOS Corporativos'!$D:$D,'CECOS Corporativos'!$E:$E,""),"")</f>
        <v>VP Comercialización</v>
      </c>
      <c r="D194" s="5" t="str">
        <f>IFERROR(_xlfn.XLOOKUP(B194,'CECOS Corporativos'!$D:$D,'CECOS Corporativos'!$J:$J,""),"")</f>
        <v>VP Comercialización</v>
      </c>
      <c r="E194" t="s">
        <v>758</v>
      </c>
      <c r="F194" t="str">
        <f t="shared" si="13"/>
        <v>N1005AD620</v>
      </c>
      <c r="G194" t="s">
        <v>753</v>
      </c>
      <c r="H194">
        <v>89571.39</v>
      </c>
      <c r="J194">
        <f t="shared" si="14"/>
        <v>-89571.39</v>
      </c>
      <c r="K194">
        <v>364545.07</v>
      </c>
      <c r="M194">
        <f t="shared" si="15"/>
        <v>-364545.07</v>
      </c>
      <c r="N194">
        <v>328176.68</v>
      </c>
      <c r="P194">
        <f t="shared" si="16"/>
        <v>-328176.68</v>
      </c>
      <c r="Q194">
        <v>510311.55</v>
      </c>
      <c r="S194">
        <f t="shared" si="17"/>
        <v>-510311.55</v>
      </c>
    </row>
    <row r="195" spans="1:19" x14ac:dyDescent="0.3">
      <c r="A195" s="5" t="str">
        <f xml:space="preserve"> _xll.EPMOlapMemberO("[CECO].[PARENTH3].[AMSA1005AD6001]","","AMSA1005AD6001 - Adm Comercialización","","000")</f>
        <v>AMSA1005AD6001 - Adm Comercialización</v>
      </c>
      <c r="B195" s="5" t="str">
        <f t="shared" si="12"/>
        <v>1005AD6001</v>
      </c>
      <c r="C195" s="5" t="str">
        <f>IFERROR(_xlfn.XLOOKUP(B195,'CECOS Corporativos'!$D:$D,'CECOS Corporativos'!$E:$E,""),"")</f>
        <v>VP Comercialización</v>
      </c>
      <c r="D195" s="5" t="str">
        <f>IFERROR(_xlfn.XLOOKUP(B195,'CECOS Corporativos'!$D:$D,'CECOS Corporativos'!$J:$J,""),"")</f>
        <v>VP Comercialización</v>
      </c>
      <c r="E195" t="s">
        <v>759</v>
      </c>
      <c r="F195" t="str">
        <f t="shared" si="13"/>
        <v>N1005AD620</v>
      </c>
      <c r="G195" t="s">
        <v>753</v>
      </c>
      <c r="H195">
        <v>32388.22</v>
      </c>
      <c r="I195">
        <v>77050.929999999993</v>
      </c>
      <c r="J195">
        <f t="shared" si="14"/>
        <v>44662.709999999992</v>
      </c>
      <c r="K195">
        <v>32324.75</v>
      </c>
      <c r="L195">
        <v>95733.51</v>
      </c>
      <c r="M195">
        <f t="shared" si="15"/>
        <v>63408.759999999995</v>
      </c>
      <c r="N195">
        <v>42272.66</v>
      </c>
      <c r="O195">
        <v>93413</v>
      </c>
      <c r="P195">
        <f t="shared" si="16"/>
        <v>51140.34</v>
      </c>
      <c r="Q195">
        <v>43714.51</v>
      </c>
      <c r="R195">
        <v>92499.49</v>
      </c>
      <c r="S195">
        <f t="shared" si="17"/>
        <v>48784.98</v>
      </c>
    </row>
    <row r="196" spans="1:19" x14ac:dyDescent="0.3">
      <c r="A196" s="5" t="str">
        <f xml:space="preserve"> _xll.EPMOlapMemberO("[CECO].[PARENTH3].[AMSA1005AD6001]","","AMSA1005AD6001 - Adm Comercialización","","000")</f>
        <v>AMSA1005AD6001 - Adm Comercialización</v>
      </c>
      <c r="B196" s="5" t="str">
        <f t="shared" si="12"/>
        <v>1005AD6001</v>
      </c>
      <c r="C196" s="5" t="str">
        <f>IFERROR(_xlfn.XLOOKUP(B196,'CECOS Corporativos'!$D:$D,'CECOS Corporativos'!$E:$E,""),"")</f>
        <v>VP Comercialización</v>
      </c>
      <c r="D196" s="5" t="str">
        <f>IFERROR(_xlfn.XLOOKUP(B196,'CECOS Corporativos'!$D:$D,'CECOS Corporativos'!$J:$J,""),"")</f>
        <v>VP Comercialización</v>
      </c>
      <c r="E196" t="s">
        <v>760</v>
      </c>
      <c r="F196" t="str">
        <f t="shared" si="13"/>
        <v>N1005AD620</v>
      </c>
      <c r="G196" t="s">
        <v>753</v>
      </c>
      <c r="H196">
        <v>0</v>
      </c>
      <c r="J196">
        <f t="shared" si="14"/>
        <v>0</v>
      </c>
      <c r="M196">
        <f t="shared" si="15"/>
        <v>0</v>
      </c>
      <c r="N196">
        <v>-145.03</v>
      </c>
      <c r="P196">
        <f t="shared" si="16"/>
        <v>145.03</v>
      </c>
      <c r="Q196">
        <v>0</v>
      </c>
      <c r="S196">
        <f t="shared" si="17"/>
        <v>0</v>
      </c>
    </row>
    <row r="197" spans="1:19" x14ac:dyDescent="0.3">
      <c r="A197" s="5" t="str">
        <f xml:space="preserve"> _xll.EPMOlapMemberO("[CECO].[PARENTH3].[AMSA1005AD6001]","","AMSA1005AD6001 - Adm Comercialización","","000")</f>
        <v>AMSA1005AD6001 - Adm Comercialización</v>
      </c>
      <c r="B197" s="5" t="str">
        <f t="shared" si="12"/>
        <v>1005AD6001</v>
      </c>
      <c r="C197" s="5" t="str">
        <f>IFERROR(_xlfn.XLOOKUP(B197,'CECOS Corporativos'!$D:$D,'CECOS Corporativos'!$E:$E,""),"")</f>
        <v>VP Comercialización</v>
      </c>
      <c r="D197" s="5" t="str">
        <f>IFERROR(_xlfn.XLOOKUP(B197,'CECOS Corporativos'!$D:$D,'CECOS Corporativos'!$J:$J,""),"")</f>
        <v>VP Comercialización</v>
      </c>
      <c r="E197" t="s">
        <v>761</v>
      </c>
      <c r="F197" t="str">
        <f t="shared" si="13"/>
        <v>N1005AD620</v>
      </c>
      <c r="G197" t="s">
        <v>753</v>
      </c>
      <c r="H197">
        <v>395767.87</v>
      </c>
      <c r="I197">
        <v>414332</v>
      </c>
      <c r="J197">
        <f t="shared" si="14"/>
        <v>18564.130000000005</v>
      </c>
      <c r="K197">
        <v>362192.02</v>
      </c>
      <c r="L197">
        <v>390647.8</v>
      </c>
      <c r="M197">
        <f t="shared" si="15"/>
        <v>28455.77999999997</v>
      </c>
      <c r="N197">
        <v>298711.71000000002</v>
      </c>
      <c r="O197">
        <v>377247</v>
      </c>
      <c r="P197">
        <f t="shared" si="16"/>
        <v>78535.289999999979</v>
      </c>
      <c r="Q197">
        <v>299705.62</v>
      </c>
      <c r="R197">
        <v>301953.40000000002</v>
      </c>
      <c r="S197">
        <f t="shared" si="17"/>
        <v>2247.7800000000279</v>
      </c>
    </row>
    <row r="198" spans="1:19" x14ac:dyDescent="0.3">
      <c r="A198" s="5" t="str">
        <f xml:space="preserve"> _xll.EPMOlapMemberO("[CECO].[PARENTH3].[AMSA1005AD6001]","","AMSA1005AD6001 - Adm Comercialización","","000")</f>
        <v>AMSA1005AD6001 - Adm Comercialización</v>
      </c>
      <c r="B198" s="5" t="str">
        <f t="shared" si="12"/>
        <v>1005AD6001</v>
      </c>
      <c r="C198" s="5" t="str">
        <f>IFERROR(_xlfn.XLOOKUP(B198,'CECOS Corporativos'!$D:$D,'CECOS Corporativos'!$E:$E,""),"")</f>
        <v>VP Comercialización</v>
      </c>
      <c r="D198" s="5" t="str">
        <f>IFERROR(_xlfn.XLOOKUP(B198,'CECOS Corporativos'!$D:$D,'CECOS Corporativos'!$J:$J,""),"")</f>
        <v>VP Comercialización</v>
      </c>
      <c r="E198" t="s">
        <v>776</v>
      </c>
      <c r="F198" t="str">
        <f t="shared" si="13"/>
        <v>N1005AD620</v>
      </c>
      <c r="G198" t="s">
        <v>753</v>
      </c>
      <c r="H198">
        <v>12889939.23</v>
      </c>
      <c r="J198">
        <f t="shared" si="14"/>
        <v>-12889939.23</v>
      </c>
      <c r="K198">
        <v>13676104.369999999</v>
      </c>
      <c r="M198">
        <f t="shared" si="15"/>
        <v>-13676104.369999999</v>
      </c>
      <c r="N198">
        <v>10805497.720000001</v>
      </c>
      <c r="O198">
        <v>11343965.83</v>
      </c>
      <c r="P198">
        <f t="shared" si="16"/>
        <v>538468.1099999994</v>
      </c>
      <c r="Q198">
        <v>11883857.550000001</v>
      </c>
      <c r="R198">
        <v>12110142.220000001</v>
      </c>
      <c r="S198">
        <f t="shared" si="17"/>
        <v>226284.66999999993</v>
      </c>
    </row>
    <row r="199" spans="1:19" x14ac:dyDescent="0.3">
      <c r="A199" s="5" t="str">
        <f xml:space="preserve"> _xll.EPMOlapMemberO("[CECO].[PARENTH3].[AMSA1005AD6001]","","AMSA1005AD6001 - Adm Comercialización","","000")</f>
        <v>AMSA1005AD6001 - Adm Comercialización</v>
      </c>
      <c r="B199" s="5" t="str">
        <f t="shared" si="12"/>
        <v>1005AD6001</v>
      </c>
      <c r="C199" s="5" t="str">
        <f>IFERROR(_xlfn.XLOOKUP(B199,'CECOS Corporativos'!$D:$D,'CECOS Corporativos'!$E:$E,""),"")</f>
        <v>VP Comercialización</v>
      </c>
      <c r="D199" s="5" t="str">
        <f>IFERROR(_xlfn.XLOOKUP(B199,'CECOS Corporativos'!$D:$D,'CECOS Corporativos'!$J:$J,""),"")</f>
        <v>VP Comercialización</v>
      </c>
      <c r="E199" t="s">
        <v>764</v>
      </c>
      <c r="F199" t="str">
        <f t="shared" si="13"/>
        <v>N1005AD620</v>
      </c>
      <c r="G199" t="s">
        <v>753</v>
      </c>
      <c r="H199">
        <v>1044820.19</v>
      </c>
      <c r="I199">
        <v>1062072</v>
      </c>
      <c r="J199">
        <f t="shared" si="14"/>
        <v>17251.810000000056</v>
      </c>
      <c r="K199">
        <v>1148997.25</v>
      </c>
      <c r="L199">
        <v>1104545.52</v>
      </c>
      <c r="M199">
        <f t="shared" si="15"/>
        <v>-44451.729999999981</v>
      </c>
      <c r="N199">
        <v>1086567.75</v>
      </c>
      <c r="O199">
        <v>1274003</v>
      </c>
      <c r="P199">
        <f t="shared" si="16"/>
        <v>187435.25</v>
      </c>
      <c r="Q199">
        <v>1106332</v>
      </c>
      <c r="R199">
        <v>1155482.33</v>
      </c>
      <c r="S199">
        <f t="shared" si="17"/>
        <v>49150.330000000075</v>
      </c>
    </row>
    <row r="200" spans="1:19" x14ac:dyDescent="0.3">
      <c r="A200" t="str">
        <f xml:space="preserve"> _xll.EPMOlapMemberO("[CECO].[PARENTH3].[AMSA1005AD0511]","","AMSA1005AD0511 - Proyectos Corporativ","","000")</f>
        <v>AMSA1005AD0511 - Proyectos Corporativ</v>
      </c>
      <c r="B200" s="5" t="str">
        <f t="shared" si="12"/>
        <v>1005AD0511</v>
      </c>
      <c r="C200" s="5" t="str">
        <f>IFERROR(_xlfn.XLOOKUP(B200,'CECOS Corporativos'!$D:$D,'CECOS Corporativos'!$E:$E,""),"")</f>
        <v>Proyectos Corporativo (HH Corporativo)</v>
      </c>
      <c r="D200" s="5" t="str">
        <f>IFERROR(_xlfn.XLOOKUP(B200,'CECOS Corporativos'!$D:$D,'CECOS Corporativos'!$J:$J,""),"")</f>
        <v>VP Proyectos</v>
      </c>
      <c r="E200" t="s">
        <v>770</v>
      </c>
      <c r="F200" t="str">
        <f t="shared" si="13"/>
        <v>N1005SS700</v>
      </c>
      <c r="G200" t="s">
        <v>754</v>
      </c>
      <c r="J200">
        <f t="shared" si="14"/>
        <v>0</v>
      </c>
      <c r="M200">
        <f t="shared" si="15"/>
        <v>0</v>
      </c>
      <c r="O200">
        <v>-233294.13</v>
      </c>
      <c r="P200">
        <f t="shared" si="16"/>
        <v>-233294.13</v>
      </c>
      <c r="S200">
        <f t="shared" si="17"/>
        <v>0</v>
      </c>
    </row>
    <row r="201" spans="1:19" x14ac:dyDescent="0.3">
      <c r="A201" t="str">
        <f xml:space="preserve"> _xll.EPMOlapMemberO("[CECO].[PARENTH3].[AMSA1005AD0511]","","AMSA1005AD0511 - Proyectos Corporativ","","000")</f>
        <v>AMSA1005AD0511 - Proyectos Corporativ</v>
      </c>
      <c r="B201" s="5" t="str">
        <f t="shared" si="12"/>
        <v>1005AD0511</v>
      </c>
      <c r="C201" s="5" t="str">
        <f>IFERROR(_xlfn.XLOOKUP(B201,'CECOS Corporativos'!$D:$D,'CECOS Corporativos'!$E:$E,""),"")</f>
        <v>Proyectos Corporativo (HH Corporativo)</v>
      </c>
      <c r="D201" s="5" t="str">
        <f>IFERROR(_xlfn.XLOOKUP(B201,'CECOS Corporativos'!$D:$D,'CECOS Corporativos'!$J:$J,""),"")</f>
        <v>VP Proyectos</v>
      </c>
      <c r="E201" t="s">
        <v>764</v>
      </c>
      <c r="F201" t="str">
        <f t="shared" si="13"/>
        <v>N1005SS700</v>
      </c>
      <c r="G201" t="s">
        <v>754</v>
      </c>
      <c r="J201">
        <f t="shared" si="14"/>
        <v>0</v>
      </c>
      <c r="M201">
        <f t="shared" si="15"/>
        <v>0</v>
      </c>
      <c r="N201">
        <v>452921</v>
      </c>
      <c r="O201">
        <v>501850</v>
      </c>
      <c r="P201">
        <f t="shared" si="16"/>
        <v>48929</v>
      </c>
      <c r="Q201">
        <v>1237111</v>
      </c>
      <c r="R201">
        <v>1298540.31</v>
      </c>
      <c r="S201">
        <f t="shared" si="17"/>
        <v>61429.310000000056</v>
      </c>
    </row>
  </sheetData>
  <pageMargins left="0.7" right="0.7" top="0.75" bottom="0.75" header="0.3" footer="0.3"/>
  <customProperties>
    <customPr name="FPMExcelClientCellBasedFunctionStatus" r:id="rId1"/>
    <customPr name="FPMExcelClientRefreshTime" r:id="rId2"/>
  </customProperties>
  <drawing r:id="rId3"/>
  <legacyDrawing r:id="rId4"/>
  <controls>
    <mc:AlternateContent xmlns:mc="http://schemas.openxmlformats.org/markup-compatibility/2006">
      <mc:Choice Requires="x14">
        <control shapeId="9220" r:id="rId5" name="AnalyzerDynReport000tb1">
          <controlPr defaultSize="0" autoLine="0" autoPict="0" r:id="rId6">
            <anchor moveWithCells="1" sizeWithCells="1">
              <from>
                <xdr:col>0</xdr:col>
                <xdr:colOff>0</xdr:colOff>
                <xdr:row>0</xdr:row>
                <xdr:rowOff>0</xdr:rowOff>
              </from>
              <to>
                <xdr:col>1</xdr:col>
                <xdr:colOff>205740</xdr:colOff>
                <xdr:row>0</xdr:row>
                <xdr:rowOff>0</xdr:rowOff>
              </to>
            </anchor>
          </controlPr>
        </control>
      </mc:Choice>
      <mc:Fallback>
        <control shapeId="9220" r:id="rId5" name="AnalyzerDynReport000tb1"/>
      </mc:Fallback>
    </mc:AlternateContent>
    <mc:AlternateContent xmlns:mc="http://schemas.openxmlformats.org/markup-compatibility/2006">
      <mc:Choice Requires="x14">
        <control shapeId="9219" r:id="rId7" name="MultipleReportManagerInfotb1">
          <controlPr defaultSize="0" autoLine="0" autoPict="0" r:id="rId8">
            <anchor moveWithCells="1" sizeWithCells="1">
              <from>
                <xdr:col>0</xdr:col>
                <xdr:colOff>0</xdr:colOff>
                <xdr:row>0</xdr:row>
                <xdr:rowOff>0</xdr:rowOff>
              </from>
              <to>
                <xdr:col>1</xdr:col>
                <xdr:colOff>205740</xdr:colOff>
                <xdr:row>0</xdr:row>
                <xdr:rowOff>0</xdr:rowOff>
              </to>
            </anchor>
          </controlPr>
        </control>
      </mc:Choice>
      <mc:Fallback>
        <control shapeId="9219" r:id="rId7" name="MultipleReportManagerInfotb1"/>
      </mc:Fallback>
    </mc:AlternateContent>
    <mc:AlternateContent xmlns:mc="http://schemas.openxmlformats.org/markup-compatibility/2006">
      <mc:Choice Requires="x14">
        <control shapeId="9218" r:id="rId9" name="ConnectionDescriptorsInfotb1">
          <controlPr defaultSize="0" autoLine="0" autoPict="0" r:id="rId10">
            <anchor moveWithCells="1" sizeWithCells="1">
              <from>
                <xdr:col>0</xdr:col>
                <xdr:colOff>0</xdr:colOff>
                <xdr:row>0</xdr:row>
                <xdr:rowOff>0</xdr:rowOff>
              </from>
              <to>
                <xdr:col>1</xdr:col>
                <xdr:colOff>205740</xdr:colOff>
                <xdr:row>0</xdr:row>
                <xdr:rowOff>0</xdr:rowOff>
              </to>
            </anchor>
          </controlPr>
        </control>
      </mc:Choice>
      <mc:Fallback>
        <control shapeId="9218" r:id="rId9" name="ConnectionDescriptorsInfotb1"/>
      </mc:Fallback>
    </mc:AlternateContent>
    <mc:AlternateContent xmlns:mc="http://schemas.openxmlformats.org/markup-compatibility/2006">
      <mc:Choice Requires="x14">
        <control shapeId="9217" r:id="rId11" name="FPMExcelClientSheetOptionstb1">
          <controlPr defaultSize="0" autoLine="0" autoPict="0" r:id="rId12">
            <anchor moveWithCells="1" sizeWithCells="1">
              <from>
                <xdr:col>0</xdr:col>
                <xdr:colOff>0</xdr:colOff>
                <xdr:row>0</xdr:row>
                <xdr:rowOff>0</xdr:rowOff>
              </from>
              <to>
                <xdr:col>1</xdr:col>
                <xdr:colOff>205740</xdr:colOff>
                <xdr:row>0</xdr:row>
                <xdr:rowOff>0</xdr:rowOff>
              </to>
            </anchor>
          </controlPr>
        </control>
      </mc:Choice>
      <mc:Fallback>
        <control shapeId="9217" r:id="rId11" name="FPMExcelClientSheetOptionstb1"/>
      </mc:Fallback>
    </mc:AlternateContent>
  </control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560186-887D-4D9C-927A-F212613327C0}">
  <dimension ref="A1:B128"/>
  <sheetViews>
    <sheetView zoomScale="70" zoomScaleNormal="70" workbookViewId="0">
      <selection activeCell="H22" sqref="H22"/>
    </sheetView>
  </sheetViews>
  <sheetFormatPr baseColWidth="10" defaultRowHeight="13.8" x14ac:dyDescent="0.3"/>
  <cols>
    <col min="1" max="1" width="12" bestFit="1" customWidth="1"/>
    <col min="2" max="2" width="39.5546875" bestFit="1" customWidth="1"/>
  </cols>
  <sheetData>
    <row r="1" spans="1:2" x14ac:dyDescent="0.3">
      <c r="A1" s="3" t="s">
        <v>127</v>
      </c>
      <c r="B1" t="s">
        <v>128</v>
      </c>
    </row>
    <row r="2" spans="1:2" x14ac:dyDescent="0.3">
      <c r="A2" s="3" t="s">
        <v>0</v>
      </c>
      <c r="B2" t="str">
        <f t="shared" ref="B2:B33" si="0">_xlfn.CONCAT("[CECO].[PARENTH3].[AMSA",A2,"]")</f>
        <v>[CECO].[PARENTH3].[AMSA1001AD5501]</v>
      </c>
    </row>
    <row r="3" spans="1:2" x14ac:dyDescent="0.3">
      <c r="A3" s="3" t="s">
        <v>43</v>
      </c>
      <c r="B3" t="str">
        <f t="shared" si="0"/>
        <v>[CECO].[PARENTH3].[AMSA1002AD5500]</v>
      </c>
    </row>
    <row r="4" spans="1:2" x14ac:dyDescent="0.3">
      <c r="A4" t="s">
        <v>1</v>
      </c>
      <c r="B4" t="str">
        <f t="shared" si="0"/>
        <v>[CECO].[PARENTH3].[AMSA1001AD0502]</v>
      </c>
    </row>
    <row r="5" spans="1:2" x14ac:dyDescent="0.3">
      <c r="A5" t="s">
        <v>2</v>
      </c>
      <c r="B5" t="str">
        <f t="shared" si="0"/>
        <v>[CECO].[PARENTH3].[AMSA1001AD0503]</v>
      </c>
    </row>
    <row r="6" spans="1:2" x14ac:dyDescent="0.3">
      <c r="A6" t="s">
        <v>3</v>
      </c>
      <c r="B6" t="str">
        <f t="shared" si="0"/>
        <v>[CECO].[PARENTH3].[AMSA1001AD0504]</v>
      </c>
    </row>
    <row r="7" spans="1:2" x14ac:dyDescent="0.3">
      <c r="A7" t="s">
        <v>4</v>
      </c>
      <c r="B7" t="str">
        <f t="shared" si="0"/>
        <v>[CECO].[PARENTH3].[AMSA1001AD0505]</v>
      </c>
    </row>
    <row r="8" spans="1:2" x14ac:dyDescent="0.3">
      <c r="A8" t="s">
        <v>5</v>
      </c>
      <c r="B8" t="str">
        <f t="shared" si="0"/>
        <v>[CECO].[PARENTH3].[AMSA1001AD0506]</v>
      </c>
    </row>
    <row r="9" spans="1:2" x14ac:dyDescent="0.3">
      <c r="A9" t="s">
        <v>6</v>
      </c>
      <c r="B9" t="str">
        <f t="shared" si="0"/>
        <v>[CECO].[PARENTH3].[AMSA1001AD0507]</v>
      </c>
    </row>
    <row r="10" spans="1:2" x14ac:dyDescent="0.3">
      <c r="A10" t="s">
        <v>7</v>
      </c>
      <c r="B10" t="str">
        <f t="shared" si="0"/>
        <v>[CECO].[PARENTH3].[AMSA1001AD0508]</v>
      </c>
    </row>
    <row r="11" spans="1:2" x14ac:dyDescent="0.3">
      <c r="A11" t="s">
        <v>8</v>
      </c>
      <c r="B11" t="str">
        <f t="shared" si="0"/>
        <v>[CECO].[PARENTH3].[AMSA1001AD0509]</v>
      </c>
    </row>
    <row r="12" spans="1:2" x14ac:dyDescent="0.3">
      <c r="A12" t="s">
        <v>9</v>
      </c>
      <c r="B12" t="str">
        <f t="shared" si="0"/>
        <v>[CECO].[PARENTH3].[AMSA1001AD0510]</v>
      </c>
    </row>
    <row r="13" spans="1:2" x14ac:dyDescent="0.3">
      <c r="A13" t="s">
        <v>10</v>
      </c>
      <c r="B13" t="str">
        <f t="shared" si="0"/>
        <v>[CECO].[PARENTH3].[AMSA1001AD3011]</v>
      </c>
    </row>
    <row r="14" spans="1:2" x14ac:dyDescent="0.3">
      <c r="A14" t="s">
        <v>11</v>
      </c>
      <c r="B14" t="str">
        <f t="shared" si="0"/>
        <v>[CECO].[PARENTH3].[AMSA1001AD3503]</v>
      </c>
    </row>
    <row r="15" spans="1:2" x14ac:dyDescent="0.3">
      <c r="A15" t="s">
        <v>12</v>
      </c>
      <c r="B15" t="str">
        <f t="shared" si="0"/>
        <v>[CECO].[PARENTH3].[AMSA1001AD3504]</v>
      </c>
    </row>
    <row r="16" spans="1:2" x14ac:dyDescent="0.3">
      <c r="A16" t="s">
        <v>13</v>
      </c>
      <c r="B16" t="str">
        <f t="shared" si="0"/>
        <v>[CECO].[PARENTH3].[AMSA1001AD3505]</v>
      </c>
    </row>
    <row r="17" spans="1:2" x14ac:dyDescent="0.3">
      <c r="A17" t="s">
        <v>14</v>
      </c>
      <c r="B17" t="str">
        <f t="shared" si="0"/>
        <v>[CECO].[PARENTH3].[AMSA1001AD3508]</v>
      </c>
    </row>
    <row r="18" spans="1:2" x14ac:dyDescent="0.3">
      <c r="A18" t="s">
        <v>15</v>
      </c>
      <c r="B18" t="str">
        <f t="shared" si="0"/>
        <v>[CECO].[PARENTH3].[AMSA1001AD3515]</v>
      </c>
    </row>
    <row r="19" spans="1:2" x14ac:dyDescent="0.3">
      <c r="A19" t="s">
        <v>16</v>
      </c>
      <c r="B19" t="str">
        <f t="shared" si="0"/>
        <v>[CECO].[PARENTH3].[AMSA1001AD3521]</v>
      </c>
    </row>
    <row r="20" spans="1:2" x14ac:dyDescent="0.3">
      <c r="A20" t="s">
        <v>17</v>
      </c>
      <c r="B20" t="str">
        <f t="shared" si="0"/>
        <v>[CECO].[PARENTH3].[AMSA1001AD3522]</v>
      </c>
    </row>
    <row r="21" spans="1:2" x14ac:dyDescent="0.3">
      <c r="A21" t="s">
        <v>18</v>
      </c>
      <c r="B21" t="str">
        <f t="shared" si="0"/>
        <v>[CECO].[PARENTH3].[AMSA1001AD4020]</v>
      </c>
    </row>
    <row r="22" spans="1:2" x14ac:dyDescent="0.3">
      <c r="A22" t="s">
        <v>19</v>
      </c>
      <c r="B22" t="str">
        <f t="shared" si="0"/>
        <v>[CECO].[PARENTH3].[AMSA1001AD4500]</v>
      </c>
    </row>
    <row r="23" spans="1:2" x14ac:dyDescent="0.3">
      <c r="A23" t="s">
        <v>20</v>
      </c>
      <c r="B23" t="str">
        <f t="shared" si="0"/>
        <v>[CECO].[PARENTH3].[AMSA1001AD4505]</v>
      </c>
    </row>
    <row r="24" spans="1:2" x14ac:dyDescent="0.3">
      <c r="A24" t="s">
        <v>21</v>
      </c>
      <c r="B24" t="str">
        <f t="shared" si="0"/>
        <v>[CECO].[PARENTH3].[AMSA1001AD4506]</v>
      </c>
    </row>
    <row r="25" spans="1:2" x14ac:dyDescent="0.3">
      <c r="A25" t="s">
        <v>22</v>
      </c>
      <c r="B25" t="str">
        <f t="shared" si="0"/>
        <v>[CECO].[PARENTH3].[AMSA1001AD4507]</v>
      </c>
    </row>
    <row r="26" spans="1:2" x14ac:dyDescent="0.3">
      <c r="A26" t="s">
        <v>23</v>
      </c>
      <c r="B26" t="str">
        <f t="shared" si="0"/>
        <v>[CECO].[PARENTH3].[AMSA1001AD4511]</v>
      </c>
    </row>
    <row r="27" spans="1:2" x14ac:dyDescent="0.3">
      <c r="A27" t="s">
        <v>24</v>
      </c>
      <c r="B27" t="str">
        <f t="shared" si="0"/>
        <v>[CECO].[PARENTH3].[AMSA1001AD4513]</v>
      </c>
    </row>
    <row r="28" spans="1:2" x14ac:dyDescent="0.3">
      <c r="A28" t="s">
        <v>25</v>
      </c>
      <c r="B28" t="str">
        <f t="shared" si="0"/>
        <v>[CECO].[PARENTH3].[AMSA1001AD4514]</v>
      </c>
    </row>
    <row r="29" spans="1:2" x14ac:dyDescent="0.3">
      <c r="A29" t="s">
        <v>26</v>
      </c>
      <c r="B29" t="str">
        <f t="shared" si="0"/>
        <v>[CECO].[PARENTH3].[AMSA1001AD4517]</v>
      </c>
    </row>
    <row r="30" spans="1:2" x14ac:dyDescent="0.3">
      <c r="A30" t="s">
        <v>27</v>
      </c>
      <c r="B30" t="str">
        <f t="shared" si="0"/>
        <v>[CECO].[PARENTH3].[AMSA1001AD4518]</v>
      </c>
    </row>
    <row r="31" spans="1:2" x14ac:dyDescent="0.3">
      <c r="A31" t="s">
        <v>28</v>
      </c>
      <c r="B31" t="str">
        <f t="shared" si="0"/>
        <v>[CECO].[PARENTH3].[AMSA1001AD4519]</v>
      </c>
    </row>
    <row r="32" spans="1:2" x14ac:dyDescent="0.3">
      <c r="A32" t="s">
        <v>29</v>
      </c>
      <c r="B32" t="str">
        <f t="shared" si="0"/>
        <v>[CECO].[PARENTH3].[AMSA1001AD4520]</v>
      </c>
    </row>
    <row r="33" spans="1:2" x14ac:dyDescent="0.3">
      <c r="A33" t="s">
        <v>30</v>
      </c>
      <c r="B33" t="str">
        <f t="shared" si="0"/>
        <v>[CECO].[PARENTH3].[AMSA1001AD4521]</v>
      </c>
    </row>
    <row r="34" spans="1:2" x14ac:dyDescent="0.3">
      <c r="A34" t="s">
        <v>31</v>
      </c>
      <c r="B34" t="str">
        <f t="shared" ref="B34:B65" si="1">_xlfn.CONCAT("[CECO].[PARENTH3].[AMSA",A34,"]")</f>
        <v>[CECO].[PARENTH3].[AMSA1001AD4523]</v>
      </c>
    </row>
    <row r="35" spans="1:2" x14ac:dyDescent="0.3">
      <c r="A35" t="s">
        <v>32</v>
      </c>
      <c r="B35" t="str">
        <f t="shared" si="1"/>
        <v>[CECO].[PARENTH3].[AMSA1001AD4524]</v>
      </c>
    </row>
    <row r="36" spans="1:2" x14ac:dyDescent="0.3">
      <c r="A36" t="s">
        <v>33</v>
      </c>
      <c r="B36" t="str">
        <f t="shared" si="1"/>
        <v>[CECO].[PARENTH3].[AMSA1001AD4525]</v>
      </c>
    </row>
    <row r="37" spans="1:2" x14ac:dyDescent="0.3">
      <c r="A37" t="s">
        <v>34</v>
      </c>
      <c r="B37" t="str">
        <f t="shared" si="1"/>
        <v>[CECO].[PARENTH3].[AMSA1001AD4526]</v>
      </c>
    </row>
    <row r="38" spans="1:2" x14ac:dyDescent="0.3">
      <c r="A38" t="s">
        <v>35</v>
      </c>
      <c r="B38" t="str">
        <f t="shared" si="1"/>
        <v>[CECO].[PARENTH3].[AMSA1001AD4530]</v>
      </c>
    </row>
    <row r="39" spans="1:2" x14ac:dyDescent="0.3">
      <c r="A39" t="s">
        <v>36</v>
      </c>
      <c r="B39" t="str">
        <f t="shared" si="1"/>
        <v>[CECO].[PARENTH3].[AMSA1001AD4533]</v>
      </c>
    </row>
    <row r="40" spans="1:2" x14ac:dyDescent="0.3">
      <c r="A40" t="s">
        <v>37</v>
      </c>
      <c r="B40" t="str">
        <f t="shared" si="1"/>
        <v>[CECO].[PARENTH3].[AMSA1001AD4534]</v>
      </c>
    </row>
    <row r="41" spans="1:2" x14ac:dyDescent="0.3">
      <c r="A41" t="s">
        <v>38</v>
      </c>
      <c r="B41" t="str">
        <f t="shared" si="1"/>
        <v>[CECO].[PARENTH3].[AMSA1001AD4541]</v>
      </c>
    </row>
    <row r="42" spans="1:2" x14ac:dyDescent="0.3">
      <c r="A42" t="s">
        <v>39</v>
      </c>
      <c r="B42" t="str">
        <f t="shared" si="1"/>
        <v>[CECO].[PARENTH3].[AMSA1001AD4542]</v>
      </c>
    </row>
    <row r="43" spans="1:2" x14ac:dyDescent="0.3">
      <c r="A43" t="s">
        <v>40</v>
      </c>
      <c r="B43" t="str">
        <f t="shared" si="1"/>
        <v>[CECO].[PARENTH3].[AMSA1001AD5007]</v>
      </c>
    </row>
    <row r="44" spans="1:2" x14ac:dyDescent="0.3">
      <c r="A44" t="s">
        <v>41</v>
      </c>
      <c r="B44" t="str">
        <f t="shared" si="1"/>
        <v>[CECO].[PARENTH3].[AMSA1001AD5500]</v>
      </c>
    </row>
    <row r="45" spans="1:2" x14ac:dyDescent="0.3">
      <c r="A45" t="s">
        <v>42</v>
      </c>
      <c r="B45" t="str">
        <f t="shared" si="1"/>
        <v>[CECO].[PARENTH3].[AMSA1001AD6000]</v>
      </c>
    </row>
    <row r="46" spans="1:2" x14ac:dyDescent="0.3">
      <c r="A46" t="s">
        <v>44</v>
      </c>
      <c r="B46" t="str">
        <f t="shared" si="1"/>
        <v>[CECO].[PARENTH3].[AMSA1002AD0503]</v>
      </c>
    </row>
    <row r="47" spans="1:2" x14ac:dyDescent="0.3">
      <c r="A47" t="s">
        <v>45</v>
      </c>
      <c r="B47" t="str">
        <f t="shared" si="1"/>
        <v>[CECO].[PARENTH3].[AMSA1002AD0504]</v>
      </c>
    </row>
    <row r="48" spans="1:2" x14ac:dyDescent="0.3">
      <c r="A48" t="s">
        <v>46</v>
      </c>
      <c r="B48" t="str">
        <f t="shared" si="1"/>
        <v>[CECO].[PARENTH3].[AMSA1002AD0505]</v>
      </c>
    </row>
    <row r="49" spans="1:2" x14ac:dyDescent="0.3">
      <c r="A49" t="s">
        <v>47</v>
      </c>
      <c r="B49" t="str">
        <f t="shared" si="1"/>
        <v>[CECO].[PARENTH3].[AMSA1002AD0506]</v>
      </c>
    </row>
    <row r="50" spans="1:2" x14ac:dyDescent="0.3">
      <c r="A50" t="s">
        <v>48</v>
      </c>
      <c r="B50" t="str">
        <f t="shared" si="1"/>
        <v>[CECO].[PARENTH3].[AMSA1002AD0507]</v>
      </c>
    </row>
    <row r="51" spans="1:2" x14ac:dyDescent="0.3">
      <c r="A51" t="s">
        <v>49</v>
      </c>
      <c r="B51" t="str">
        <f t="shared" si="1"/>
        <v>[CECO].[PARENTH3].[AMSA1002AD0508]</v>
      </c>
    </row>
    <row r="52" spans="1:2" x14ac:dyDescent="0.3">
      <c r="A52" t="s">
        <v>50</v>
      </c>
      <c r="B52" t="str">
        <f t="shared" si="1"/>
        <v>[CECO].[PARENTH3].[AMSA1002AD0509]</v>
      </c>
    </row>
    <row r="53" spans="1:2" x14ac:dyDescent="0.3">
      <c r="A53" t="s">
        <v>51</v>
      </c>
      <c r="B53" t="str">
        <f t="shared" si="1"/>
        <v>[CECO].[PARENTH3].[AMSA1002AD0510]</v>
      </c>
    </row>
    <row r="54" spans="1:2" x14ac:dyDescent="0.3">
      <c r="A54" t="s">
        <v>52</v>
      </c>
      <c r="B54" t="str">
        <f t="shared" si="1"/>
        <v>[CECO].[PARENTH3].[AMSA1002AD0511]</v>
      </c>
    </row>
    <row r="55" spans="1:2" x14ac:dyDescent="0.3">
      <c r="A55" t="s">
        <v>53</v>
      </c>
      <c r="B55" t="str">
        <f t="shared" si="1"/>
        <v>[CECO].[PARENTH3].[AMSA1002AD3502]</v>
      </c>
    </row>
    <row r="56" spans="1:2" x14ac:dyDescent="0.3">
      <c r="A56" t="s">
        <v>54</v>
      </c>
      <c r="B56" t="str">
        <f t="shared" si="1"/>
        <v>[CECO].[PARENTH3].[AMSA1002AD3503]</v>
      </c>
    </row>
    <row r="57" spans="1:2" x14ac:dyDescent="0.3">
      <c r="A57" t="s">
        <v>55</v>
      </c>
      <c r="B57" t="str">
        <f t="shared" si="1"/>
        <v>[CECO].[PARENTH3].[AMSA1002AD3520]</v>
      </c>
    </row>
    <row r="58" spans="1:2" x14ac:dyDescent="0.3">
      <c r="A58" t="s">
        <v>56</v>
      </c>
      <c r="B58" t="str">
        <f t="shared" si="1"/>
        <v>[CECO].[PARENTH3].[AMSA1002AD3521]</v>
      </c>
    </row>
    <row r="59" spans="1:2" x14ac:dyDescent="0.3">
      <c r="A59" t="s">
        <v>57</v>
      </c>
      <c r="B59" t="str">
        <f t="shared" si="1"/>
        <v>[CECO].[PARENTH3].[AMSA1002AD3522]</v>
      </c>
    </row>
    <row r="60" spans="1:2" x14ac:dyDescent="0.3">
      <c r="A60" t="s">
        <v>58</v>
      </c>
      <c r="B60" t="str">
        <f t="shared" si="1"/>
        <v>[CECO].[PARENTH3].[AMSA1002AD3523]</v>
      </c>
    </row>
    <row r="61" spans="1:2" x14ac:dyDescent="0.3">
      <c r="A61" t="s">
        <v>59</v>
      </c>
      <c r="B61" t="str">
        <f t="shared" si="1"/>
        <v>[CECO].[PARENTH3].[AMSA1002AD3524]</v>
      </c>
    </row>
    <row r="62" spans="1:2" x14ac:dyDescent="0.3">
      <c r="A62" t="s">
        <v>60</v>
      </c>
      <c r="B62" t="str">
        <f t="shared" si="1"/>
        <v>[CECO].[PARENTH3].[AMSA1002AD3526]</v>
      </c>
    </row>
    <row r="63" spans="1:2" x14ac:dyDescent="0.3">
      <c r="A63" t="s">
        <v>61</v>
      </c>
      <c r="B63" t="str">
        <f t="shared" si="1"/>
        <v>[CECO].[PARENTH3].[AMSA1002AD4020]</v>
      </c>
    </row>
    <row r="64" spans="1:2" x14ac:dyDescent="0.3">
      <c r="A64" t="s">
        <v>62</v>
      </c>
      <c r="B64" t="str">
        <f t="shared" si="1"/>
        <v>[CECO].[PARENTH3].[AMSA1002AD4502]</v>
      </c>
    </row>
    <row r="65" spans="1:2" x14ac:dyDescent="0.3">
      <c r="A65" t="s">
        <v>63</v>
      </c>
      <c r="B65" t="str">
        <f t="shared" si="1"/>
        <v>[CECO].[PARENTH3].[AMSA1002AD4503]</v>
      </c>
    </row>
    <row r="66" spans="1:2" x14ac:dyDescent="0.3">
      <c r="A66" t="s">
        <v>64</v>
      </c>
      <c r="B66" t="str">
        <f t="shared" ref="B66:B97" si="2">_xlfn.CONCAT("[CECO].[PARENTH3].[AMSA",A66,"]")</f>
        <v>[CECO].[PARENTH3].[AMSA1002AD4505]</v>
      </c>
    </row>
    <row r="67" spans="1:2" x14ac:dyDescent="0.3">
      <c r="A67" t="s">
        <v>65</v>
      </c>
      <c r="B67" t="str">
        <f t="shared" si="2"/>
        <v>[CECO].[PARENTH3].[AMSA1002AD4506]</v>
      </c>
    </row>
    <row r="68" spans="1:2" x14ac:dyDescent="0.3">
      <c r="A68" t="s">
        <v>66</v>
      </c>
      <c r="B68" t="str">
        <f t="shared" si="2"/>
        <v>[CECO].[PARENTH3].[AMSA1002AD4507]</v>
      </c>
    </row>
    <row r="69" spans="1:2" x14ac:dyDescent="0.3">
      <c r="A69" t="s">
        <v>67</v>
      </c>
      <c r="B69" t="str">
        <f t="shared" si="2"/>
        <v>[CECO].[PARENTH3].[AMSA1002AD4508]</v>
      </c>
    </row>
    <row r="70" spans="1:2" x14ac:dyDescent="0.3">
      <c r="A70" t="s">
        <v>68</v>
      </c>
      <c r="B70" t="str">
        <f t="shared" si="2"/>
        <v>[CECO].[PARENTH3].[AMSA1002AD4509]</v>
      </c>
    </row>
    <row r="71" spans="1:2" x14ac:dyDescent="0.3">
      <c r="A71" t="s">
        <v>69</v>
      </c>
      <c r="B71" t="str">
        <f t="shared" si="2"/>
        <v>[CECO].[PARENTH3].[AMSA1002AD5005]</v>
      </c>
    </row>
    <row r="72" spans="1:2" x14ac:dyDescent="0.3">
      <c r="A72" t="s">
        <v>70</v>
      </c>
      <c r="B72" t="str">
        <f t="shared" si="2"/>
        <v>[CECO].[PARENTH3].[AMSA1002AD6000]</v>
      </c>
    </row>
    <row r="73" spans="1:2" x14ac:dyDescent="0.3">
      <c r="A73" t="s">
        <v>71</v>
      </c>
      <c r="B73" t="str">
        <f t="shared" si="2"/>
        <v>[CECO].[PARENTH3].[AMSA1003AD0503]</v>
      </c>
    </row>
    <row r="74" spans="1:2" x14ac:dyDescent="0.3">
      <c r="A74" t="s">
        <v>72</v>
      </c>
      <c r="B74" t="str">
        <f t="shared" si="2"/>
        <v>[CECO].[PARENTH3].[AMSA1003AD0504]</v>
      </c>
    </row>
    <row r="75" spans="1:2" x14ac:dyDescent="0.3">
      <c r="A75" t="s">
        <v>73</v>
      </c>
      <c r="B75" t="str">
        <f t="shared" si="2"/>
        <v>[CECO].[PARENTH3].[AMSA1003AD0505]</v>
      </c>
    </row>
    <row r="76" spans="1:2" x14ac:dyDescent="0.3">
      <c r="A76" t="s">
        <v>74</v>
      </c>
      <c r="B76" t="str">
        <f t="shared" si="2"/>
        <v>[CECO].[PARENTH3].[AMSA1003AD0506]</v>
      </c>
    </row>
    <row r="77" spans="1:2" x14ac:dyDescent="0.3">
      <c r="A77" t="s">
        <v>75</v>
      </c>
      <c r="B77" t="str">
        <f t="shared" si="2"/>
        <v>[CECO].[PARENTH3].[AMSA1003AD0507]</v>
      </c>
    </row>
    <row r="78" spans="1:2" x14ac:dyDescent="0.3">
      <c r="A78" t="s">
        <v>76</v>
      </c>
      <c r="B78" t="str">
        <f t="shared" si="2"/>
        <v>[CECO].[PARENTH3].[AMSA1003AD0508]</v>
      </c>
    </row>
    <row r="79" spans="1:2" x14ac:dyDescent="0.3">
      <c r="A79" t="s">
        <v>77</v>
      </c>
      <c r="B79" t="str">
        <f t="shared" si="2"/>
        <v>[CECO].[PARENTH3].[AMSA1003AD0509]</v>
      </c>
    </row>
    <row r="80" spans="1:2" x14ac:dyDescent="0.3">
      <c r="A80" t="s">
        <v>78</v>
      </c>
      <c r="B80" t="str">
        <f t="shared" si="2"/>
        <v>[CECO].[PARENTH3].[AMSA1003AD0511]</v>
      </c>
    </row>
    <row r="81" spans="1:2" x14ac:dyDescent="0.3">
      <c r="A81" t="s">
        <v>79</v>
      </c>
      <c r="B81" t="str">
        <f t="shared" si="2"/>
        <v>[CECO].[PARENTH3].[AMSA1003AD3502]</v>
      </c>
    </row>
    <row r="82" spans="1:2" x14ac:dyDescent="0.3">
      <c r="A82" t="s">
        <v>80</v>
      </c>
      <c r="B82" t="str">
        <f t="shared" si="2"/>
        <v>[CECO].[PARENTH3].[AMSA1003AD3503]</v>
      </c>
    </row>
    <row r="83" spans="1:2" x14ac:dyDescent="0.3">
      <c r="A83" t="s">
        <v>81</v>
      </c>
      <c r="B83" t="str">
        <f t="shared" si="2"/>
        <v>[CECO].[PARENTH3].[AMSA1003AD3507]</v>
      </c>
    </row>
    <row r="84" spans="1:2" x14ac:dyDescent="0.3">
      <c r="A84" t="s">
        <v>82</v>
      </c>
      <c r="B84" t="str">
        <f t="shared" si="2"/>
        <v>[CECO].[PARENTH3].[AMSA1003AD3509]</v>
      </c>
    </row>
    <row r="85" spans="1:2" x14ac:dyDescent="0.3">
      <c r="A85" t="s">
        <v>83</v>
      </c>
      <c r="B85" t="str">
        <f t="shared" si="2"/>
        <v>[CECO].[PARENTH3].[AMSA1003AD3510]</v>
      </c>
    </row>
    <row r="86" spans="1:2" x14ac:dyDescent="0.3">
      <c r="A86" t="s">
        <v>84</v>
      </c>
      <c r="B86" t="str">
        <f t="shared" si="2"/>
        <v>[CECO].[PARENTH3].[AMSA1003AD3520]</v>
      </c>
    </row>
    <row r="87" spans="1:2" x14ac:dyDescent="0.3">
      <c r="A87" t="s">
        <v>85</v>
      </c>
      <c r="B87" t="str">
        <f t="shared" si="2"/>
        <v>[CECO].[PARENTH3].[AMSA1003AD3521]</v>
      </c>
    </row>
    <row r="88" spans="1:2" x14ac:dyDescent="0.3">
      <c r="A88" t="s">
        <v>86</v>
      </c>
      <c r="B88" t="str">
        <f t="shared" si="2"/>
        <v>[CECO].[PARENTH3].[AMSA1003AD3522]</v>
      </c>
    </row>
    <row r="89" spans="1:2" x14ac:dyDescent="0.3">
      <c r="A89" t="s">
        <v>87</v>
      </c>
      <c r="B89" t="str">
        <f t="shared" si="2"/>
        <v>[CECO].[PARENTH3].[AMSA1003AD4005]</v>
      </c>
    </row>
    <row r="90" spans="1:2" x14ac:dyDescent="0.3">
      <c r="A90" t="s">
        <v>88</v>
      </c>
      <c r="B90" t="str">
        <f t="shared" si="2"/>
        <v>[CECO].[PARENTH3].[AMSA1003AD4020]</v>
      </c>
    </row>
    <row r="91" spans="1:2" x14ac:dyDescent="0.3">
      <c r="A91" t="s">
        <v>89</v>
      </c>
      <c r="B91" t="str">
        <f t="shared" si="2"/>
        <v>[CECO].[PARENTH3].[AMSA1003AD4505]</v>
      </c>
    </row>
    <row r="92" spans="1:2" x14ac:dyDescent="0.3">
      <c r="A92" t="s">
        <v>90</v>
      </c>
      <c r="B92" t="str">
        <f t="shared" si="2"/>
        <v>[CECO].[PARENTH3].[AMSA1003AD4506]</v>
      </c>
    </row>
    <row r="93" spans="1:2" x14ac:dyDescent="0.3">
      <c r="A93" t="s">
        <v>91</v>
      </c>
      <c r="B93" t="str">
        <f t="shared" si="2"/>
        <v>[CECO].[PARENTH3].[AMSA1003AD4507]</v>
      </c>
    </row>
    <row r="94" spans="1:2" x14ac:dyDescent="0.3">
      <c r="A94" t="s">
        <v>92</v>
      </c>
      <c r="B94" t="str">
        <f t="shared" si="2"/>
        <v>[CECO].[PARENTH3].[AMSA1003AD4509]</v>
      </c>
    </row>
    <row r="95" spans="1:2" x14ac:dyDescent="0.3">
      <c r="A95" t="s">
        <v>93</v>
      </c>
      <c r="B95" t="str">
        <f t="shared" si="2"/>
        <v>[CECO].[PARENTH3].[AMSA1003AD4510]</v>
      </c>
    </row>
    <row r="96" spans="1:2" x14ac:dyDescent="0.3">
      <c r="A96" t="s">
        <v>94</v>
      </c>
      <c r="B96" t="str">
        <f t="shared" si="2"/>
        <v>[CECO].[PARENTH3].[AMSA1003AD4511]</v>
      </c>
    </row>
    <row r="97" spans="1:2" x14ac:dyDescent="0.3">
      <c r="A97" t="s">
        <v>95</v>
      </c>
      <c r="B97" t="str">
        <f t="shared" si="2"/>
        <v>[CECO].[PARENTH3].[AMSA1003AD4512]</v>
      </c>
    </row>
    <row r="98" spans="1:2" x14ac:dyDescent="0.3">
      <c r="A98" t="s">
        <v>96</v>
      </c>
      <c r="B98" t="str">
        <f t="shared" ref="B98:B128" si="3">_xlfn.CONCAT("[CECO].[PARENTH3].[AMSA",A98,"]")</f>
        <v>[CECO].[PARENTH3].[AMSA1003AD5500]</v>
      </c>
    </row>
    <row r="99" spans="1:2" x14ac:dyDescent="0.3">
      <c r="A99" t="s">
        <v>97</v>
      </c>
      <c r="B99" t="str">
        <f t="shared" si="3"/>
        <v>[CECO].[PARENTH3].[AMSA1003AD6000]</v>
      </c>
    </row>
    <row r="100" spans="1:2" x14ac:dyDescent="0.3">
      <c r="A100" t="s">
        <v>98</v>
      </c>
      <c r="B100" t="str">
        <f t="shared" si="3"/>
        <v>[CECO].[PARENTH3].[AMSA1005AD0504]</v>
      </c>
    </row>
    <row r="101" spans="1:2" x14ac:dyDescent="0.3">
      <c r="A101" t="s">
        <v>99</v>
      </c>
      <c r="B101" t="str">
        <f t="shared" si="3"/>
        <v>[CECO].[PARENTH3].[AMSA1005AD0505]</v>
      </c>
    </row>
    <row r="102" spans="1:2" x14ac:dyDescent="0.3">
      <c r="A102" t="s">
        <v>100</v>
      </c>
      <c r="B102" t="str">
        <f t="shared" si="3"/>
        <v>[CECO].[PARENTH3].[AMSA1005AD0506]</v>
      </c>
    </row>
    <row r="103" spans="1:2" x14ac:dyDescent="0.3">
      <c r="A103" t="s">
        <v>101</v>
      </c>
      <c r="B103" t="str">
        <f t="shared" si="3"/>
        <v>[CECO].[PARENTH3].[AMSA1005AD0507]</v>
      </c>
    </row>
    <row r="104" spans="1:2" x14ac:dyDescent="0.3">
      <c r="A104" t="s">
        <v>102</v>
      </c>
      <c r="B104" t="str">
        <f t="shared" si="3"/>
        <v>[CECO].[PARENTH3].[AMSA1005AD0508]</v>
      </c>
    </row>
    <row r="105" spans="1:2" x14ac:dyDescent="0.3">
      <c r="A105" t="s">
        <v>103</v>
      </c>
      <c r="B105" t="str">
        <f t="shared" si="3"/>
        <v>[CECO].[PARENTH3].[AMSA1005AD0509]</v>
      </c>
    </row>
    <row r="106" spans="1:2" x14ac:dyDescent="0.3">
      <c r="A106" t="s">
        <v>104</v>
      </c>
      <c r="B106" t="str">
        <f t="shared" si="3"/>
        <v>[CECO].[PARENTH3].[AMSA1005AD0510]</v>
      </c>
    </row>
    <row r="107" spans="1:2" x14ac:dyDescent="0.3">
      <c r="A107" t="s">
        <v>105</v>
      </c>
      <c r="B107" t="str">
        <f t="shared" si="3"/>
        <v>[CECO].[PARENTH3].[AMSA1005AD0511]</v>
      </c>
    </row>
    <row r="108" spans="1:2" x14ac:dyDescent="0.3">
      <c r="A108" t="s">
        <v>106</v>
      </c>
      <c r="B108" t="str">
        <f t="shared" si="3"/>
        <v>[CECO].[PARENTH3].[AMSA1005AD0512]</v>
      </c>
    </row>
    <row r="109" spans="1:2" x14ac:dyDescent="0.3">
      <c r="A109" t="s">
        <v>107</v>
      </c>
      <c r="B109" t="str">
        <f t="shared" si="3"/>
        <v>[CECO].[PARENTH3].[AMSA1005AD3503]</v>
      </c>
    </row>
    <row r="110" spans="1:2" x14ac:dyDescent="0.3">
      <c r="A110" t="s">
        <v>108</v>
      </c>
      <c r="B110" t="str">
        <f t="shared" si="3"/>
        <v>[CECO].[PARENTH3].[AMSA1005AD3504]</v>
      </c>
    </row>
    <row r="111" spans="1:2" x14ac:dyDescent="0.3">
      <c r="A111" t="s">
        <v>109</v>
      </c>
      <c r="B111" t="str">
        <f t="shared" si="3"/>
        <v>[CECO].[PARENTH3].[AMSA1005AD3507]</v>
      </c>
    </row>
    <row r="112" spans="1:2" x14ac:dyDescent="0.3">
      <c r="A112" t="s">
        <v>110</v>
      </c>
      <c r="B112" t="str">
        <f t="shared" si="3"/>
        <v>[CECO].[PARENTH3].[AMSA1005AD3520]</v>
      </c>
    </row>
    <row r="113" spans="1:2" x14ac:dyDescent="0.3">
      <c r="A113" t="s">
        <v>111</v>
      </c>
      <c r="B113" t="str">
        <f t="shared" si="3"/>
        <v>[CECO].[PARENTH3].[AMSA1005AD3521]</v>
      </c>
    </row>
    <row r="114" spans="1:2" x14ac:dyDescent="0.3">
      <c r="A114" t="s">
        <v>112</v>
      </c>
      <c r="B114" t="str">
        <f t="shared" si="3"/>
        <v>[CECO].[PARENTH3].[AMSA1005AD3522]</v>
      </c>
    </row>
    <row r="115" spans="1:2" x14ac:dyDescent="0.3">
      <c r="A115" t="s">
        <v>113</v>
      </c>
      <c r="B115" t="str">
        <f t="shared" si="3"/>
        <v>[CECO].[PARENTH3].[AMSA1005AD3525]</v>
      </c>
    </row>
    <row r="116" spans="1:2" x14ac:dyDescent="0.3">
      <c r="A116" t="s">
        <v>114</v>
      </c>
      <c r="B116" t="str">
        <f t="shared" si="3"/>
        <v>[CECO].[PARENTH3].[AMSA1005AD3527]</v>
      </c>
    </row>
    <row r="117" spans="1:2" x14ac:dyDescent="0.3">
      <c r="A117" t="s">
        <v>115</v>
      </c>
      <c r="B117" t="str">
        <f t="shared" si="3"/>
        <v>[CECO].[PARENTH3].[AMSA1005AD4020]</v>
      </c>
    </row>
    <row r="118" spans="1:2" x14ac:dyDescent="0.3">
      <c r="A118" t="s">
        <v>116</v>
      </c>
      <c r="B118" t="str">
        <f t="shared" si="3"/>
        <v>[CECO].[PARENTH3].[AMSA1005AD4501]</v>
      </c>
    </row>
    <row r="119" spans="1:2" x14ac:dyDescent="0.3">
      <c r="A119" t="s">
        <v>117</v>
      </c>
      <c r="B119" t="str">
        <f t="shared" si="3"/>
        <v>[CECO].[PARENTH3].[AMSA1005AD4504]</v>
      </c>
    </row>
    <row r="120" spans="1:2" x14ac:dyDescent="0.3">
      <c r="A120" t="s">
        <v>118</v>
      </c>
      <c r="B120" t="str">
        <f t="shared" si="3"/>
        <v>[CECO].[PARENTH3].[AMSA1005AD4506]</v>
      </c>
    </row>
    <row r="121" spans="1:2" x14ac:dyDescent="0.3">
      <c r="A121" t="s">
        <v>119</v>
      </c>
      <c r="B121" t="str">
        <f t="shared" si="3"/>
        <v>[CECO].[PARENTH3].[AMSA1005AD4507]</v>
      </c>
    </row>
    <row r="122" spans="1:2" x14ac:dyDescent="0.3">
      <c r="A122" t="s">
        <v>120</v>
      </c>
      <c r="B122" t="str">
        <f t="shared" si="3"/>
        <v>[CECO].[PARENTH3].[AMSA1005AD4508]</v>
      </c>
    </row>
    <row r="123" spans="1:2" x14ac:dyDescent="0.3">
      <c r="A123" t="s">
        <v>121</v>
      </c>
      <c r="B123" t="str">
        <f t="shared" si="3"/>
        <v>[CECO].[PARENTH3].[AMSA1005AD4509]</v>
      </c>
    </row>
    <row r="124" spans="1:2" x14ac:dyDescent="0.3">
      <c r="A124" t="s">
        <v>122</v>
      </c>
      <c r="B124" t="str">
        <f t="shared" si="3"/>
        <v>[CECO].[PARENTH3].[AMSA1005AD4510]</v>
      </c>
    </row>
    <row r="125" spans="1:2" x14ac:dyDescent="0.3">
      <c r="A125" t="s">
        <v>123</v>
      </c>
      <c r="B125" t="str">
        <f t="shared" si="3"/>
        <v>[CECO].[PARENTH3].[AMSA1005AD5004]</v>
      </c>
    </row>
    <row r="126" spans="1:2" x14ac:dyDescent="0.3">
      <c r="A126" t="s">
        <v>124</v>
      </c>
      <c r="B126" t="str">
        <f t="shared" si="3"/>
        <v>[CECO].[PARENTH3].[AMSA1005AD5501]</v>
      </c>
    </row>
    <row r="127" spans="1:2" x14ac:dyDescent="0.3">
      <c r="A127" t="s">
        <v>125</v>
      </c>
      <c r="B127" t="str">
        <f t="shared" si="3"/>
        <v>[CECO].[PARENTH3].[AMSA1005AD5502]</v>
      </c>
    </row>
    <row r="128" spans="1:2" x14ac:dyDescent="0.3">
      <c r="A128" t="s">
        <v>126</v>
      </c>
      <c r="B128" t="str">
        <f t="shared" si="3"/>
        <v>[CECO].[PARENTH3].[AMSA1005AD6001]</v>
      </c>
    </row>
  </sheetData>
  <sortState xmlns:xlrd2="http://schemas.microsoft.com/office/spreadsheetml/2017/richdata2" ref="A1:A563">
    <sortCondition ref="A1:A563"/>
  </sortState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BA5B6B-A12E-4D3F-86BD-A155D4DC00AD}">
  <sheetPr filterMode="1"/>
  <dimension ref="A1:P280"/>
  <sheetViews>
    <sheetView topLeftCell="D1" workbookViewId="0">
      <selection activeCell="J21" sqref="J21"/>
    </sheetView>
  </sheetViews>
  <sheetFormatPr baseColWidth="10" defaultColWidth="11.44140625" defaultRowHeight="13.8" x14ac:dyDescent="0.3"/>
  <cols>
    <col min="1" max="1" width="12.88671875" customWidth="1"/>
    <col min="2" max="2" width="18" customWidth="1"/>
    <col min="3" max="3" width="20.109375" customWidth="1"/>
    <col min="4" max="4" width="16.44140625" customWidth="1"/>
    <col min="5" max="5" width="27.44140625" customWidth="1"/>
    <col min="6" max="6" width="36.5546875" customWidth="1"/>
    <col min="7" max="7" width="12.44140625" bestFit="1" customWidth="1"/>
    <col min="8" max="8" width="26.6640625" customWidth="1"/>
    <col min="9" max="9" width="22.44140625" customWidth="1"/>
    <col min="10" max="10" width="27.5546875" customWidth="1"/>
    <col min="11" max="11" width="12.109375" customWidth="1"/>
    <col min="12" max="12" width="39.5546875" customWidth="1"/>
    <col min="13" max="13" width="14.5546875" customWidth="1"/>
    <col min="14" max="14" width="12.5546875" bestFit="1" customWidth="1"/>
    <col min="15" max="15" width="17.109375" style="11" bestFit="1" customWidth="1"/>
    <col min="16" max="16" width="12.44140625" style="11" bestFit="1" customWidth="1"/>
  </cols>
  <sheetData>
    <row r="1" spans="1:16" s="6" customFormat="1" ht="14.4" x14ac:dyDescent="0.3">
      <c r="A1" s="6" t="s">
        <v>129</v>
      </c>
      <c r="B1" s="6" t="s">
        <v>130</v>
      </c>
      <c r="C1" s="6" t="s">
        <v>131</v>
      </c>
      <c r="D1" s="7" t="s">
        <v>132</v>
      </c>
      <c r="E1" s="6" t="s">
        <v>133</v>
      </c>
      <c r="F1" s="6" t="s">
        <v>134</v>
      </c>
      <c r="G1" s="6" t="s">
        <v>135</v>
      </c>
      <c r="H1" s="6" t="s">
        <v>136</v>
      </c>
      <c r="I1" s="6" t="s">
        <v>137</v>
      </c>
      <c r="J1" s="7" t="s">
        <v>138</v>
      </c>
      <c r="K1" s="6" t="s">
        <v>139</v>
      </c>
      <c r="L1" s="6" t="s">
        <v>140</v>
      </c>
      <c r="M1" s="6" t="s">
        <v>141</v>
      </c>
      <c r="N1" s="8" t="s">
        <v>142</v>
      </c>
      <c r="O1" s="9" t="s">
        <v>143</v>
      </c>
      <c r="P1" s="8" t="s">
        <v>144</v>
      </c>
    </row>
    <row r="2" spans="1:16" hidden="1" x14ac:dyDescent="0.3">
      <c r="A2" t="s">
        <v>145</v>
      </c>
      <c r="B2" t="s">
        <v>146</v>
      </c>
      <c r="C2" t="s">
        <v>147</v>
      </c>
      <c r="D2" t="s">
        <v>148</v>
      </c>
      <c r="E2" t="s">
        <v>149</v>
      </c>
      <c r="F2" t="s">
        <v>149</v>
      </c>
      <c r="G2" t="s">
        <v>150</v>
      </c>
      <c r="H2" t="s">
        <v>151</v>
      </c>
      <c r="I2" t="s">
        <v>152</v>
      </c>
      <c r="J2" t="s">
        <v>149</v>
      </c>
      <c r="K2" t="s">
        <v>152</v>
      </c>
      <c r="L2" t="s">
        <v>149</v>
      </c>
      <c r="M2" t="s">
        <v>153</v>
      </c>
      <c r="O2" s="10" t="s">
        <v>154</v>
      </c>
      <c r="P2" s="11">
        <v>3</v>
      </c>
    </row>
    <row r="3" spans="1:16" hidden="1" x14ac:dyDescent="0.3">
      <c r="A3" t="s">
        <v>145</v>
      </c>
      <c r="B3" t="s">
        <v>146</v>
      </c>
      <c r="C3" t="s">
        <v>147</v>
      </c>
      <c r="D3" t="s">
        <v>155</v>
      </c>
      <c r="E3" t="s">
        <v>149</v>
      </c>
      <c r="F3" t="s">
        <v>156</v>
      </c>
      <c r="G3" t="s">
        <v>150</v>
      </c>
      <c r="H3" t="s">
        <v>151</v>
      </c>
      <c r="I3" t="s">
        <v>152</v>
      </c>
      <c r="J3" t="s">
        <v>149</v>
      </c>
      <c r="K3" t="s">
        <v>152</v>
      </c>
      <c r="L3" t="s">
        <v>149</v>
      </c>
      <c r="M3" t="s">
        <v>153</v>
      </c>
      <c r="N3" s="11"/>
      <c r="O3" s="10" t="s">
        <v>154</v>
      </c>
      <c r="P3" s="11">
        <v>3</v>
      </c>
    </row>
    <row r="4" spans="1:16" hidden="1" x14ac:dyDescent="0.3">
      <c r="A4" t="s">
        <v>145</v>
      </c>
      <c r="B4" t="s">
        <v>146</v>
      </c>
      <c r="C4" t="s">
        <v>147</v>
      </c>
      <c r="D4" t="s">
        <v>157</v>
      </c>
      <c r="E4" t="s">
        <v>158</v>
      </c>
      <c r="F4" t="s">
        <v>158</v>
      </c>
      <c r="G4" t="s">
        <v>150</v>
      </c>
      <c r="H4" t="s">
        <v>151</v>
      </c>
      <c r="I4" t="s">
        <v>152</v>
      </c>
      <c r="J4" t="s">
        <v>149</v>
      </c>
      <c r="K4" t="s">
        <v>152</v>
      </c>
      <c r="L4" t="s">
        <v>149</v>
      </c>
      <c r="M4" t="s">
        <v>153</v>
      </c>
      <c r="N4" s="11" t="s">
        <v>159</v>
      </c>
      <c r="O4" s="10" t="s">
        <v>154</v>
      </c>
      <c r="P4" s="11">
        <v>3</v>
      </c>
    </row>
    <row r="5" spans="1:16" hidden="1" x14ac:dyDescent="0.3">
      <c r="A5" t="s">
        <v>145</v>
      </c>
      <c r="B5" t="s">
        <v>146</v>
      </c>
      <c r="C5" t="s">
        <v>147</v>
      </c>
      <c r="D5" t="s">
        <v>160</v>
      </c>
      <c r="E5" t="s">
        <v>161</v>
      </c>
      <c r="F5" t="s">
        <v>161</v>
      </c>
      <c r="G5" t="s">
        <v>150</v>
      </c>
      <c r="H5" t="s">
        <v>151</v>
      </c>
      <c r="I5" t="s">
        <v>152</v>
      </c>
      <c r="J5" t="s">
        <v>149</v>
      </c>
      <c r="K5" t="s">
        <v>152</v>
      </c>
      <c r="L5" t="s">
        <v>149</v>
      </c>
      <c r="M5" t="s">
        <v>153</v>
      </c>
      <c r="O5" s="10" t="s">
        <v>154</v>
      </c>
      <c r="P5" s="11">
        <v>3</v>
      </c>
    </row>
    <row r="6" spans="1:16" hidden="1" x14ac:dyDescent="0.3">
      <c r="A6" t="s">
        <v>145</v>
      </c>
      <c r="B6" t="s">
        <v>146</v>
      </c>
      <c r="C6" t="s">
        <v>147</v>
      </c>
      <c r="D6" t="s">
        <v>162</v>
      </c>
      <c r="E6" t="s">
        <v>163</v>
      </c>
      <c r="F6" t="s">
        <v>163</v>
      </c>
      <c r="G6" t="s">
        <v>150</v>
      </c>
      <c r="H6" t="s">
        <v>151</v>
      </c>
      <c r="I6" t="s">
        <v>152</v>
      </c>
      <c r="J6" t="s">
        <v>149</v>
      </c>
      <c r="K6" t="s">
        <v>152</v>
      </c>
      <c r="L6" t="s">
        <v>149</v>
      </c>
      <c r="M6" t="s">
        <v>153</v>
      </c>
      <c r="O6" s="10" t="s">
        <v>154</v>
      </c>
      <c r="P6" s="11">
        <v>3</v>
      </c>
    </row>
    <row r="7" spans="1:16" hidden="1" x14ac:dyDescent="0.3">
      <c r="A7" t="s">
        <v>145</v>
      </c>
      <c r="B7" t="s">
        <v>146</v>
      </c>
      <c r="C7" t="s">
        <v>147</v>
      </c>
      <c r="D7" t="s">
        <v>164</v>
      </c>
      <c r="E7" t="s">
        <v>165</v>
      </c>
      <c r="F7" t="s">
        <v>165</v>
      </c>
      <c r="G7" t="s">
        <v>150</v>
      </c>
      <c r="H7" t="s">
        <v>151</v>
      </c>
      <c r="I7" t="s">
        <v>152</v>
      </c>
      <c r="J7" t="s">
        <v>149</v>
      </c>
      <c r="K7" t="s">
        <v>152</v>
      </c>
      <c r="L7" t="s">
        <v>149</v>
      </c>
      <c r="M7" t="s">
        <v>153</v>
      </c>
      <c r="O7" s="10" t="s">
        <v>154</v>
      </c>
      <c r="P7" s="11">
        <v>3</v>
      </c>
    </row>
    <row r="8" spans="1:16" hidden="1" x14ac:dyDescent="0.3">
      <c r="A8" t="s">
        <v>145</v>
      </c>
      <c r="B8" t="s">
        <v>146</v>
      </c>
      <c r="C8" t="s">
        <v>147</v>
      </c>
      <c r="D8" t="s">
        <v>166</v>
      </c>
      <c r="E8" t="s">
        <v>167</v>
      </c>
      <c r="F8" t="s">
        <v>168</v>
      </c>
      <c r="G8" t="s">
        <v>150</v>
      </c>
      <c r="H8" t="s">
        <v>151</v>
      </c>
      <c r="I8" t="s">
        <v>152</v>
      </c>
      <c r="J8" t="s">
        <v>149</v>
      </c>
      <c r="K8" t="s">
        <v>152</v>
      </c>
      <c r="L8" t="s">
        <v>149</v>
      </c>
      <c r="M8" t="s">
        <v>153</v>
      </c>
      <c r="O8" s="10" t="s">
        <v>154</v>
      </c>
      <c r="P8" s="11">
        <v>3</v>
      </c>
    </row>
    <row r="9" spans="1:16" hidden="1" x14ac:dyDescent="0.3">
      <c r="A9" t="s">
        <v>145</v>
      </c>
      <c r="B9" t="s">
        <v>146</v>
      </c>
      <c r="C9" t="s">
        <v>147</v>
      </c>
      <c r="D9" t="s">
        <v>169</v>
      </c>
      <c r="E9" t="s">
        <v>170</v>
      </c>
      <c r="F9" t="s">
        <v>170</v>
      </c>
      <c r="G9" t="s">
        <v>150</v>
      </c>
      <c r="H9" t="s">
        <v>151</v>
      </c>
      <c r="I9" t="s">
        <v>152</v>
      </c>
      <c r="J9" t="s">
        <v>149</v>
      </c>
      <c r="K9" t="s">
        <v>152</v>
      </c>
      <c r="L9" t="s">
        <v>149</v>
      </c>
      <c r="M9" t="s">
        <v>153</v>
      </c>
      <c r="N9" s="11" t="s">
        <v>159</v>
      </c>
      <c r="O9" s="10" t="s">
        <v>154</v>
      </c>
      <c r="P9" s="11">
        <v>3</v>
      </c>
    </row>
    <row r="10" spans="1:16" hidden="1" x14ac:dyDescent="0.3">
      <c r="A10" t="s">
        <v>145</v>
      </c>
      <c r="B10" t="s">
        <v>146</v>
      </c>
      <c r="C10" t="s">
        <v>147</v>
      </c>
      <c r="D10" t="s">
        <v>171</v>
      </c>
      <c r="E10" t="s">
        <v>172</v>
      </c>
      <c r="F10" t="s">
        <v>173</v>
      </c>
      <c r="G10" t="s">
        <v>150</v>
      </c>
      <c r="H10" t="s">
        <v>151</v>
      </c>
      <c r="I10" t="s">
        <v>152</v>
      </c>
      <c r="J10" t="s">
        <v>149</v>
      </c>
      <c r="K10" t="s">
        <v>152</v>
      </c>
      <c r="L10" t="s">
        <v>149</v>
      </c>
      <c r="M10" t="s">
        <v>153</v>
      </c>
      <c r="O10" s="10" t="s">
        <v>154</v>
      </c>
      <c r="P10" s="11">
        <v>3</v>
      </c>
    </row>
    <row r="11" spans="1:16" hidden="1" x14ac:dyDescent="0.3">
      <c r="A11" t="s">
        <v>145</v>
      </c>
      <c r="B11" t="s">
        <v>146</v>
      </c>
      <c r="C11" t="s">
        <v>147</v>
      </c>
      <c r="D11" t="s">
        <v>174</v>
      </c>
      <c r="E11" t="s">
        <v>175</v>
      </c>
      <c r="F11" t="s">
        <v>175</v>
      </c>
      <c r="G11" t="s">
        <v>150</v>
      </c>
      <c r="H11" t="s">
        <v>151</v>
      </c>
      <c r="I11" t="s">
        <v>152</v>
      </c>
      <c r="J11" t="s">
        <v>149</v>
      </c>
      <c r="K11" t="s">
        <v>152</v>
      </c>
      <c r="L11" t="s">
        <v>149</v>
      </c>
      <c r="M11" t="s">
        <v>153</v>
      </c>
      <c r="O11" s="10" t="s">
        <v>154</v>
      </c>
      <c r="P11" s="11">
        <v>3</v>
      </c>
    </row>
    <row r="12" spans="1:16" hidden="1" x14ac:dyDescent="0.3">
      <c r="A12" t="s">
        <v>145</v>
      </c>
      <c r="B12" t="s">
        <v>146</v>
      </c>
      <c r="C12" t="s">
        <v>147</v>
      </c>
      <c r="D12" s="12" t="s">
        <v>176</v>
      </c>
      <c r="E12" t="s">
        <v>177</v>
      </c>
      <c r="F12" t="s">
        <v>177</v>
      </c>
      <c r="G12" t="s">
        <v>150</v>
      </c>
      <c r="H12" t="s">
        <v>151</v>
      </c>
      <c r="I12" t="s">
        <v>178</v>
      </c>
      <c r="J12" t="s">
        <v>177</v>
      </c>
      <c r="K12" t="s">
        <v>178</v>
      </c>
      <c r="L12" t="s">
        <v>177</v>
      </c>
      <c r="M12" t="s">
        <v>179</v>
      </c>
      <c r="O12" s="10" t="s">
        <v>154</v>
      </c>
      <c r="P12" s="11">
        <v>4</v>
      </c>
    </row>
    <row r="13" spans="1:16" hidden="1" x14ac:dyDescent="0.3">
      <c r="A13" t="s">
        <v>145</v>
      </c>
      <c r="B13" t="s">
        <v>146</v>
      </c>
      <c r="C13" t="s">
        <v>147</v>
      </c>
      <c r="D13" s="12" t="s">
        <v>180</v>
      </c>
      <c r="E13" t="s">
        <v>181</v>
      </c>
      <c r="F13" t="s">
        <v>182</v>
      </c>
      <c r="G13" t="s">
        <v>150</v>
      </c>
      <c r="H13" t="s">
        <v>151</v>
      </c>
      <c r="I13" t="s">
        <v>178</v>
      </c>
      <c r="J13" t="s">
        <v>177</v>
      </c>
      <c r="K13" t="s">
        <v>178</v>
      </c>
      <c r="L13" t="s">
        <v>177</v>
      </c>
      <c r="M13" t="s">
        <v>179</v>
      </c>
      <c r="O13" s="10" t="s">
        <v>154</v>
      </c>
      <c r="P13" s="11">
        <v>4</v>
      </c>
    </row>
    <row r="14" spans="1:16" hidden="1" x14ac:dyDescent="0.3">
      <c r="A14" t="s">
        <v>145</v>
      </c>
      <c r="B14" t="s">
        <v>146</v>
      </c>
      <c r="C14" t="s">
        <v>147</v>
      </c>
      <c r="D14" s="12" t="s">
        <v>183</v>
      </c>
      <c r="E14" t="s">
        <v>184</v>
      </c>
      <c r="F14" t="s">
        <v>185</v>
      </c>
      <c r="G14" t="s">
        <v>150</v>
      </c>
      <c r="H14" t="s">
        <v>151</v>
      </c>
      <c r="I14" t="s">
        <v>178</v>
      </c>
      <c r="J14" t="s">
        <v>177</v>
      </c>
      <c r="K14" t="s">
        <v>178</v>
      </c>
      <c r="L14" t="s">
        <v>177</v>
      </c>
      <c r="M14" t="s">
        <v>179</v>
      </c>
      <c r="O14" s="10" t="s">
        <v>154</v>
      </c>
      <c r="P14" s="11">
        <v>4</v>
      </c>
    </row>
    <row r="15" spans="1:16" hidden="1" x14ac:dyDescent="0.3">
      <c r="A15" t="s">
        <v>145</v>
      </c>
      <c r="B15" t="s">
        <v>146</v>
      </c>
      <c r="C15" t="s">
        <v>147</v>
      </c>
      <c r="D15" t="s">
        <v>186</v>
      </c>
      <c r="E15" t="s">
        <v>187</v>
      </c>
      <c r="F15" t="s">
        <v>187</v>
      </c>
      <c r="G15" t="s">
        <v>150</v>
      </c>
      <c r="H15" t="s">
        <v>151</v>
      </c>
      <c r="I15" t="s">
        <v>178</v>
      </c>
      <c r="J15" t="s">
        <v>177</v>
      </c>
      <c r="K15" t="s">
        <v>178</v>
      </c>
      <c r="L15" t="s">
        <v>177</v>
      </c>
      <c r="M15" t="s">
        <v>179</v>
      </c>
      <c r="N15" s="11" t="s">
        <v>159</v>
      </c>
      <c r="O15" s="10" t="s">
        <v>154</v>
      </c>
      <c r="P15" s="11">
        <v>4</v>
      </c>
    </row>
    <row r="16" spans="1:16" hidden="1" x14ac:dyDescent="0.3">
      <c r="A16" t="s">
        <v>145</v>
      </c>
      <c r="B16" t="s">
        <v>146</v>
      </c>
      <c r="C16" t="s">
        <v>147</v>
      </c>
      <c r="D16" s="12" t="s">
        <v>188</v>
      </c>
      <c r="E16" t="s">
        <v>189</v>
      </c>
      <c r="F16" t="s">
        <v>190</v>
      </c>
      <c r="G16" t="s">
        <v>150</v>
      </c>
      <c r="H16" t="s">
        <v>151</v>
      </c>
      <c r="I16" t="s">
        <v>178</v>
      </c>
      <c r="J16" t="s">
        <v>177</v>
      </c>
      <c r="K16" t="s">
        <v>178</v>
      </c>
      <c r="L16" t="s">
        <v>177</v>
      </c>
      <c r="M16" t="s">
        <v>179</v>
      </c>
      <c r="N16" s="11"/>
      <c r="O16" s="10" t="s">
        <v>154</v>
      </c>
      <c r="P16" s="11">
        <v>4</v>
      </c>
    </row>
    <row r="17" spans="1:16" hidden="1" x14ac:dyDescent="0.3">
      <c r="A17" t="s">
        <v>145</v>
      </c>
      <c r="B17" t="s">
        <v>146</v>
      </c>
      <c r="C17" t="s">
        <v>147</v>
      </c>
      <c r="D17" s="12" t="s">
        <v>191</v>
      </c>
      <c r="E17" t="s">
        <v>192</v>
      </c>
      <c r="F17" t="s">
        <v>193</v>
      </c>
      <c r="G17" t="s">
        <v>150</v>
      </c>
      <c r="H17" t="s">
        <v>151</v>
      </c>
      <c r="I17" t="s">
        <v>178</v>
      </c>
      <c r="J17" t="s">
        <v>177</v>
      </c>
      <c r="K17" t="s">
        <v>178</v>
      </c>
      <c r="L17" t="s">
        <v>177</v>
      </c>
      <c r="M17" t="s">
        <v>179</v>
      </c>
      <c r="O17" s="10" t="s">
        <v>154</v>
      </c>
      <c r="P17" s="11">
        <v>4</v>
      </c>
    </row>
    <row r="18" spans="1:16" hidden="1" x14ac:dyDescent="0.3">
      <c r="A18" t="s">
        <v>145</v>
      </c>
      <c r="B18" t="s">
        <v>146</v>
      </c>
      <c r="C18" t="s">
        <v>147</v>
      </c>
      <c r="D18" s="12" t="s">
        <v>194</v>
      </c>
      <c r="E18" t="s">
        <v>195</v>
      </c>
      <c r="F18" t="s">
        <v>196</v>
      </c>
      <c r="G18" t="s">
        <v>150</v>
      </c>
      <c r="H18" t="s">
        <v>151</v>
      </c>
      <c r="I18" t="s">
        <v>178</v>
      </c>
      <c r="J18" t="s">
        <v>177</v>
      </c>
      <c r="K18" t="s">
        <v>178</v>
      </c>
      <c r="L18" t="s">
        <v>177</v>
      </c>
      <c r="M18" t="s">
        <v>179</v>
      </c>
      <c r="O18" s="10" t="s">
        <v>154</v>
      </c>
      <c r="P18" s="11">
        <v>4</v>
      </c>
    </row>
    <row r="19" spans="1:16" hidden="1" x14ac:dyDescent="0.3">
      <c r="A19" t="s">
        <v>145</v>
      </c>
      <c r="B19" t="s">
        <v>146</v>
      </c>
      <c r="C19" t="s">
        <v>147</v>
      </c>
      <c r="D19" t="s">
        <v>197</v>
      </c>
      <c r="E19" t="s">
        <v>198</v>
      </c>
      <c r="F19" t="s">
        <v>199</v>
      </c>
      <c r="G19" t="s">
        <v>150</v>
      </c>
      <c r="H19" t="s">
        <v>151</v>
      </c>
      <c r="I19" t="s">
        <v>200</v>
      </c>
      <c r="J19" t="s">
        <v>198</v>
      </c>
      <c r="K19" t="s">
        <v>200</v>
      </c>
      <c r="L19" t="s">
        <v>198</v>
      </c>
      <c r="M19" t="s">
        <v>201</v>
      </c>
      <c r="O19" s="10" t="s">
        <v>154</v>
      </c>
      <c r="P19" s="11">
        <v>9</v>
      </c>
    </row>
    <row r="20" spans="1:16" hidden="1" x14ac:dyDescent="0.3">
      <c r="A20" t="s">
        <v>145</v>
      </c>
      <c r="B20" t="s">
        <v>146</v>
      </c>
      <c r="C20" t="s">
        <v>147</v>
      </c>
      <c r="D20" t="s">
        <v>202</v>
      </c>
      <c r="E20" t="s">
        <v>203</v>
      </c>
      <c r="F20" t="s">
        <v>203</v>
      </c>
      <c r="G20" t="s">
        <v>150</v>
      </c>
      <c r="H20" t="s">
        <v>151</v>
      </c>
      <c r="I20" t="s">
        <v>200</v>
      </c>
      <c r="J20" t="s">
        <v>198</v>
      </c>
      <c r="K20" t="s">
        <v>200</v>
      </c>
      <c r="L20" t="s">
        <v>198</v>
      </c>
      <c r="M20" t="s">
        <v>201</v>
      </c>
      <c r="O20" s="10" t="s">
        <v>154</v>
      </c>
      <c r="P20" s="11">
        <v>9</v>
      </c>
    </row>
    <row r="21" spans="1:16" x14ac:dyDescent="0.3">
      <c r="A21" t="s">
        <v>145</v>
      </c>
      <c r="B21" t="s">
        <v>146</v>
      </c>
      <c r="C21" t="s">
        <v>147</v>
      </c>
      <c r="D21" t="s">
        <v>204</v>
      </c>
      <c r="E21" t="s">
        <v>205</v>
      </c>
      <c r="F21" t="s">
        <v>205</v>
      </c>
      <c r="G21" t="s">
        <v>150</v>
      </c>
      <c r="H21" t="s">
        <v>151</v>
      </c>
      <c r="I21" t="s">
        <v>206</v>
      </c>
      <c r="J21" t="s">
        <v>205</v>
      </c>
      <c r="K21" t="s">
        <v>206</v>
      </c>
      <c r="L21" t="s">
        <v>205</v>
      </c>
      <c r="M21" t="s">
        <v>207</v>
      </c>
      <c r="O21" s="10" t="s">
        <v>154</v>
      </c>
      <c r="P21" s="11">
        <v>10</v>
      </c>
    </row>
    <row r="22" spans="1:16" hidden="1" x14ac:dyDescent="0.3">
      <c r="A22" t="s">
        <v>145</v>
      </c>
      <c r="B22" t="s">
        <v>146</v>
      </c>
      <c r="C22" t="s">
        <v>147</v>
      </c>
      <c r="D22" t="s">
        <v>208</v>
      </c>
      <c r="E22" t="s">
        <v>209</v>
      </c>
      <c r="F22" t="s">
        <v>209</v>
      </c>
      <c r="G22" t="s">
        <v>150</v>
      </c>
      <c r="H22" t="s">
        <v>151</v>
      </c>
      <c r="I22" t="s">
        <v>210</v>
      </c>
      <c r="J22" t="s">
        <v>209</v>
      </c>
      <c r="K22" t="s">
        <v>210</v>
      </c>
      <c r="L22" t="s">
        <v>209</v>
      </c>
      <c r="M22" t="s">
        <v>211</v>
      </c>
      <c r="O22" s="10" t="s">
        <v>154</v>
      </c>
      <c r="P22" s="11">
        <v>11</v>
      </c>
    </row>
    <row r="23" spans="1:16" hidden="1" x14ac:dyDescent="0.3">
      <c r="A23" t="s">
        <v>145</v>
      </c>
      <c r="B23" t="s">
        <v>146</v>
      </c>
      <c r="C23" t="s">
        <v>212</v>
      </c>
      <c r="D23" t="s">
        <v>213</v>
      </c>
      <c r="E23" t="s">
        <v>214</v>
      </c>
      <c r="F23" t="s">
        <v>214</v>
      </c>
      <c r="G23" t="s">
        <v>150</v>
      </c>
      <c r="H23" t="s">
        <v>151</v>
      </c>
      <c r="I23" t="s">
        <v>215</v>
      </c>
      <c r="J23" t="s">
        <v>214</v>
      </c>
      <c r="K23" t="s">
        <v>215</v>
      </c>
      <c r="L23" t="s">
        <v>214</v>
      </c>
      <c r="M23" t="s">
        <v>216</v>
      </c>
      <c r="O23" s="10" t="s">
        <v>154</v>
      </c>
      <c r="P23" s="11">
        <v>1</v>
      </c>
    </row>
    <row r="24" spans="1:16" hidden="1" x14ac:dyDescent="0.3">
      <c r="A24" t="s">
        <v>145</v>
      </c>
      <c r="B24" t="s">
        <v>146</v>
      </c>
      <c r="C24" t="s">
        <v>212</v>
      </c>
      <c r="D24" t="s">
        <v>217</v>
      </c>
      <c r="E24" t="s">
        <v>218</v>
      </c>
      <c r="F24" t="s">
        <v>218</v>
      </c>
      <c r="G24" t="s">
        <v>150</v>
      </c>
      <c r="H24" t="s">
        <v>151</v>
      </c>
      <c r="I24" t="s">
        <v>215</v>
      </c>
      <c r="J24" t="s">
        <v>214</v>
      </c>
      <c r="K24" t="s">
        <v>215</v>
      </c>
      <c r="L24" t="s">
        <v>214</v>
      </c>
      <c r="M24" t="s">
        <v>216</v>
      </c>
      <c r="N24" s="11" t="s">
        <v>159</v>
      </c>
      <c r="O24" s="10" t="s">
        <v>154</v>
      </c>
      <c r="P24" s="11">
        <v>1</v>
      </c>
    </row>
    <row r="25" spans="1:16" hidden="1" x14ac:dyDescent="0.3">
      <c r="A25" t="s">
        <v>145</v>
      </c>
      <c r="B25" t="s">
        <v>146</v>
      </c>
      <c r="C25" t="s">
        <v>147</v>
      </c>
      <c r="D25" t="s">
        <v>219</v>
      </c>
      <c r="E25" t="s">
        <v>220</v>
      </c>
      <c r="F25" t="s">
        <v>220</v>
      </c>
      <c r="G25" t="s">
        <v>150</v>
      </c>
      <c r="H25" t="s">
        <v>151</v>
      </c>
      <c r="I25" t="s">
        <v>221</v>
      </c>
      <c r="J25" t="s">
        <v>220</v>
      </c>
      <c r="K25" t="s">
        <v>221</v>
      </c>
      <c r="L25" t="s">
        <v>220</v>
      </c>
      <c r="M25" t="s">
        <v>222</v>
      </c>
      <c r="O25" s="10" t="s">
        <v>154</v>
      </c>
      <c r="P25" s="11">
        <v>1</v>
      </c>
    </row>
    <row r="26" spans="1:16" hidden="1" x14ac:dyDescent="0.3">
      <c r="A26" t="s">
        <v>145</v>
      </c>
      <c r="B26" t="s">
        <v>146</v>
      </c>
      <c r="C26" t="s">
        <v>147</v>
      </c>
      <c r="D26" t="s">
        <v>223</v>
      </c>
      <c r="E26" t="s">
        <v>224</v>
      </c>
      <c r="F26" t="s">
        <v>224</v>
      </c>
      <c r="G26" t="s">
        <v>150</v>
      </c>
      <c r="H26" t="s">
        <v>151</v>
      </c>
      <c r="I26" t="s">
        <v>221</v>
      </c>
      <c r="J26" t="s">
        <v>220</v>
      </c>
      <c r="K26" t="s">
        <v>221</v>
      </c>
      <c r="L26" t="s">
        <v>220</v>
      </c>
      <c r="M26" t="s">
        <v>222</v>
      </c>
      <c r="O26" s="10" t="s">
        <v>154</v>
      </c>
      <c r="P26" s="11">
        <v>1</v>
      </c>
    </row>
    <row r="27" spans="1:16" hidden="1" x14ac:dyDescent="0.3">
      <c r="A27" t="s">
        <v>145</v>
      </c>
      <c r="B27" t="s">
        <v>146</v>
      </c>
      <c r="C27" t="s">
        <v>147</v>
      </c>
      <c r="D27" t="s">
        <v>225</v>
      </c>
      <c r="E27" t="s">
        <v>226</v>
      </c>
      <c r="F27" t="s">
        <v>226</v>
      </c>
      <c r="G27" t="s">
        <v>150</v>
      </c>
      <c r="H27" t="s">
        <v>151</v>
      </c>
      <c r="I27" t="s">
        <v>221</v>
      </c>
      <c r="J27" t="s">
        <v>220</v>
      </c>
      <c r="K27" t="s">
        <v>221</v>
      </c>
      <c r="L27" t="s">
        <v>220</v>
      </c>
      <c r="M27" t="s">
        <v>222</v>
      </c>
      <c r="O27" s="10" t="s">
        <v>154</v>
      </c>
      <c r="P27" s="11">
        <v>1</v>
      </c>
    </row>
    <row r="28" spans="1:16" hidden="1" x14ac:dyDescent="0.3">
      <c r="A28" t="s">
        <v>145</v>
      </c>
      <c r="B28" t="s">
        <v>146</v>
      </c>
      <c r="C28" t="s">
        <v>147</v>
      </c>
      <c r="D28" t="s">
        <v>227</v>
      </c>
      <c r="E28" t="s">
        <v>228</v>
      </c>
      <c r="F28" t="s">
        <v>229</v>
      </c>
      <c r="G28" t="s">
        <v>150</v>
      </c>
      <c r="H28" t="s">
        <v>151</v>
      </c>
      <c r="I28" t="s">
        <v>221</v>
      </c>
      <c r="J28" t="s">
        <v>220</v>
      </c>
      <c r="K28" t="s">
        <v>221</v>
      </c>
      <c r="L28" t="s">
        <v>220</v>
      </c>
      <c r="M28" t="s">
        <v>222</v>
      </c>
      <c r="O28" s="10" t="s">
        <v>154</v>
      </c>
      <c r="P28" s="11">
        <v>1</v>
      </c>
    </row>
    <row r="29" spans="1:16" hidden="1" x14ac:dyDescent="0.3">
      <c r="A29" t="s">
        <v>145</v>
      </c>
      <c r="B29" t="s">
        <v>146</v>
      </c>
      <c r="C29" t="s">
        <v>147</v>
      </c>
      <c r="D29" t="s">
        <v>230</v>
      </c>
      <c r="E29" t="s">
        <v>231</v>
      </c>
      <c r="F29" t="s">
        <v>231</v>
      </c>
      <c r="G29" t="s">
        <v>150</v>
      </c>
      <c r="H29" t="s">
        <v>151</v>
      </c>
      <c r="I29" t="s">
        <v>221</v>
      </c>
      <c r="J29" t="s">
        <v>220</v>
      </c>
      <c r="K29" t="s">
        <v>221</v>
      </c>
      <c r="L29" t="s">
        <v>220</v>
      </c>
      <c r="M29" t="s">
        <v>222</v>
      </c>
      <c r="O29" s="10" t="s">
        <v>154</v>
      </c>
      <c r="P29" s="11">
        <v>1</v>
      </c>
    </row>
    <row r="30" spans="1:16" hidden="1" x14ac:dyDescent="0.3">
      <c r="A30" t="s">
        <v>145</v>
      </c>
      <c r="B30" t="s">
        <v>146</v>
      </c>
      <c r="C30" t="s">
        <v>147</v>
      </c>
      <c r="D30" t="s">
        <v>232</v>
      </c>
      <c r="E30" t="s">
        <v>233</v>
      </c>
      <c r="F30" t="s">
        <v>233</v>
      </c>
      <c r="G30" t="s">
        <v>150</v>
      </c>
      <c r="H30" t="s">
        <v>151</v>
      </c>
      <c r="I30" t="s">
        <v>221</v>
      </c>
      <c r="J30" t="s">
        <v>220</v>
      </c>
      <c r="K30" t="s">
        <v>221</v>
      </c>
      <c r="L30" t="s">
        <v>220</v>
      </c>
      <c r="M30" t="s">
        <v>222</v>
      </c>
      <c r="O30" s="10" t="s">
        <v>154</v>
      </c>
      <c r="P30" s="11">
        <v>1</v>
      </c>
    </row>
    <row r="31" spans="1:16" hidden="1" x14ac:dyDescent="0.3">
      <c r="A31" t="s">
        <v>145</v>
      </c>
      <c r="B31" t="s">
        <v>146</v>
      </c>
      <c r="C31" t="s">
        <v>147</v>
      </c>
      <c r="D31" t="s">
        <v>234</v>
      </c>
      <c r="E31" t="s">
        <v>235</v>
      </c>
      <c r="F31" t="s">
        <v>235</v>
      </c>
      <c r="G31" t="s">
        <v>150</v>
      </c>
      <c r="H31" t="s">
        <v>151</v>
      </c>
      <c r="I31" t="s">
        <v>221</v>
      </c>
      <c r="J31" t="s">
        <v>220</v>
      </c>
      <c r="K31" t="s">
        <v>221</v>
      </c>
      <c r="L31" t="s">
        <v>220</v>
      </c>
      <c r="M31" t="s">
        <v>222</v>
      </c>
      <c r="N31" s="11" t="s">
        <v>159</v>
      </c>
      <c r="O31" s="10" t="s">
        <v>154</v>
      </c>
      <c r="P31" s="11">
        <v>1</v>
      </c>
    </row>
    <row r="32" spans="1:16" hidden="1" x14ac:dyDescent="0.3">
      <c r="A32" t="s">
        <v>145</v>
      </c>
      <c r="B32" t="s">
        <v>146</v>
      </c>
      <c r="C32" t="s">
        <v>147</v>
      </c>
      <c r="D32" t="s">
        <v>236</v>
      </c>
      <c r="E32" t="s">
        <v>237</v>
      </c>
      <c r="F32" t="s">
        <v>238</v>
      </c>
      <c r="G32" t="s">
        <v>150</v>
      </c>
      <c r="H32" t="s">
        <v>151</v>
      </c>
      <c r="I32" t="s">
        <v>221</v>
      </c>
      <c r="J32" t="s">
        <v>220</v>
      </c>
      <c r="K32" t="s">
        <v>221</v>
      </c>
      <c r="L32" t="s">
        <v>220</v>
      </c>
      <c r="M32" t="s">
        <v>222</v>
      </c>
      <c r="O32" s="10" t="s">
        <v>154</v>
      </c>
      <c r="P32" s="11">
        <v>1</v>
      </c>
    </row>
    <row r="33" spans="1:16" hidden="1" x14ac:dyDescent="0.3">
      <c r="A33" t="s">
        <v>145</v>
      </c>
      <c r="B33" t="s">
        <v>146</v>
      </c>
      <c r="C33" t="s">
        <v>147</v>
      </c>
      <c r="D33" t="s">
        <v>239</v>
      </c>
      <c r="E33" t="s">
        <v>240</v>
      </c>
      <c r="F33" t="s">
        <v>240</v>
      </c>
      <c r="G33" t="s">
        <v>150</v>
      </c>
      <c r="H33" t="s">
        <v>151</v>
      </c>
      <c r="I33" t="s">
        <v>221</v>
      </c>
      <c r="J33" t="s">
        <v>220</v>
      </c>
      <c r="K33" t="s">
        <v>221</v>
      </c>
      <c r="L33" t="s">
        <v>220</v>
      </c>
      <c r="M33" t="s">
        <v>222</v>
      </c>
      <c r="O33" s="10" t="s">
        <v>154</v>
      </c>
      <c r="P33" s="11">
        <v>1</v>
      </c>
    </row>
    <row r="34" spans="1:16" hidden="1" x14ac:dyDescent="0.3">
      <c r="A34" t="s">
        <v>145</v>
      </c>
      <c r="B34" t="s">
        <v>146</v>
      </c>
      <c r="C34" t="s">
        <v>147</v>
      </c>
      <c r="D34" t="s">
        <v>241</v>
      </c>
      <c r="E34" t="s">
        <v>242</v>
      </c>
      <c r="F34" t="s">
        <v>243</v>
      </c>
      <c r="G34" t="s">
        <v>150</v>
      </c>
      <c r="H34" t="s">
        <v>151</v>
      </c>
      <c r="I34" t="s">
        <v>221</v>
      </c>
      <c r="J34" t="s">
        <v>220</v>
      </c>
      <c r="K34" t="s">
        <v>221</v>
      </c>
      <c r="L34" t="s">
        <v>220</v>
      </c>
      <c r="M34" t="s">
        <v>222</v>
      </c>
      <c r="O34" s="10" t="s">
        <v>154</v>
      </c>
      <c r="P34" s="11">
        <v>1</v>
      </c>
    </row>
    <row r="35" spans="1:16" hidden="1" x14ac:dyDescent="0.3">
      <c r="A35" t="s">
        <v>145</v>
      </c>
      <c r="B35" t="s">
        <v>146</v>
      </c>
      <c r="C35" t="s">
        <v>147</v>
      </c>
      <c r="D35" t="s">
        <v>244</v>
      </c>
      <c r="E35" t="s">
        <v>245</v>
      </c>
      <c r="F35" t="s">
        <v>245</v>
      </c>
      <c r="G35" t="s">
        <v>150</v>
      </c>
      <c r="H35" t="s">
        <v>151</v>
      </c>
      <c r="I35" t="s">
        <v>221</v>
      </c>
      <c r="J35" t="s">
        <v>220</v>
      </c>
      <c r="K35" t="s">
        <v>221</v>
      </c>
      <c r="L35" t="s">
        <v>220</v>
      </c>
      <c r="M35" t="s">
        <v>222</v>
      </c>
      <c r="N35" s="11" t="s">
        <v>159</v>
      </c>
      <c r="O35" s="10" t="s">
        <v>154</v>
      </c>
      <c r="P35" s="11">
        <v>1</v>
      </c>
    </row>
    <row r="36" spans="1:16" hidden="1" x14ac:dyDescent="0.3">
      <c r="A36" t="s">
        <v>145</v>
      </c>
      <c r="B36" t="s">
        <v>146</v>
      </c>
      <c r="C36" t="s">
        <v>147</v>
      </c>
      <c r="D36" t="s">
        <v>246</v>
      </c>
      <c r="E36" t="s">
        <v>247</v>
      </c>
      <c r="F36" t="s">
        <v>247</v>
      </c>
      <c r="G36" t="s">
        <v>150</v>
      </c>
      <c r="H36" t="s">
        <v>151</v>
      </c>
      <c r="I36" t="s">
        <v>248</v>
      </c>
      <c r="J36" t="s">
        <v>249</v>
      </c>
      <c r="K36" t="s">
        <v>248</v>
      </c>
      <c r="L36" t="s">
        <v>249</v>
      </c>
      <c r="M36" t="s">
        <v>250</v>
      </c>
      <c r="O36" s="10" t="s">
        <v>154</v>
      </c>
      <c r="P36" s="11">
        <v>5</v>
      </c>
    </row>
    <row r="37" spans="1:16" hidden="1" x14ac:dyDescent="0.3">
      <c r="A37" t="s">
        <v>145</v>
      </c>
      <c r="B37" t="s">
        <v>146</v>
      </c>
      <c r="C37" t="s">
        <v>147</v>
      </c>
      <c r="D37" t="s">
        <v>251</v>
      </c>
      <c r="E37" t="s">
        <v>249</v>
      </c>
      <c r="F37" t="s">
        <v>249</v>
      </c>
      <c r="G37" t="s">
        <v>150</v>
      </c>
      <c r="H37" t="s">
        <v>151</v>
      </c>
      <c r="I37" t="s">
        <v>248</v>
      </c>
      <c r="J37" t="s">
        <v>249</v>
      </c>
      <c r="K37" t="s">
        <v>248</v>
      </c>
      <c r="L37" t="s">
        <v>249</v>
      </c>
      <c r="M37" t="s">
        <v>250</v>
      </c>
      <c r="O37" s="10" t="s">
        <v>154</v>
      </c>
      <c r="P37" s="11">
        <v>5</v>
      </c>
    </row>
    <row r="38" spans="1:16" hidden="1" x14ac:dyDescent="0.3">
      <c r="A38" t="s">
        <v>145</v>
      </c>
      <c r="B38" t="s">
        <v>146</v>
      </c>
      <c r="C38" t="s">
        <v>147</v>
      </c>
      <c r="D38" t="s">
        <v>252</v>
      </c>
      <c r="E38" t="s">
        <v>253</v>
      </c>
      <c r="F38" t="s">
        <v>254</v>
      </c>
      <c r="G38" t="s">
        <v>150</v>
      </c>
      <c r="H38" t="s">
        <v>151</v>
      </c>
      <c r="I38" t="s">
        <v>248</v>
      </c>
      <c r="J38" t="s">
        <v>249</v>
      </c>
      <c r="K38" t="s">
        <v>248</v>
      </c>
      <c r="L38" t="s">
        <v>249</v>
      </c>
      <c r="M38" t="s">
        <v>250</v>
      </c>
      <c r="O38" s="10" t="s">
        <v>154</v>
      </c>
      <c r="P38" s="11">
        <v>5</v>
      </c>
    </row>
    <row r="39" spans="1:16" hidden="1" x14ac:dyDescent="0.3">
      <c r="A39" t="s">
        <v>145</v>
      </c>
      <c r="B39" t="s">
        <v>146</v>
      </c>
      <c r="C39" t="s">
        <v>147</v>
      </c>
      <c r="D39" t="s">
        <v>255</v>
      </c>
      <c r="E39" t="s">
        <v>256</v>
      </c>
      <c r="F39" t="s">
        <v>257</v>
      </c>
      <c r="G39" t="s">
        <v>150</v>
      </c>
      <c r="H39" t="s">
        <v>151</v>
      </c>
      <c r="I39" t="s">
        <v>248</v>
      </c>
      <c r="J39" t="s">
        <v>249</v>
      </c>
      <c r="K39" t="s">
        <v>248</v>
      </c>
      <c r="L39" t="s">
        <v>249</v>
      </c>
      <c r="M39" t="s">
        <v>250</v>
      </c>
      <c r="O39" s="10" t="s">
        <v>154</v>
      </c>
      <c r="P39" s="11">
        <v>5</v>
      </c>
    </row>
    <row r="40" spans="1:16" hidden="1" x14ac:dyDescent="0.3">
      <c r="A40" t="s">
        <v>145</v>
      </c>
      <c r="B40" t="s">
        <v>146</v>
      </c>
      <c r="C40" t="s">
        <v>147</v>
      </c>
      <c r="D40" t="s">
        <v>258</v>
      </c>
      <c r="E40" t="s">
        <v>259</v>
      </c>
      <c r="F40" t="s">
        <v>260</v>
      </c>
      <c r="G40" t="s">
        <v>150</v>
      </c>
      <c r="H40" t="s">
        <v>151</v>
      </c>
      <c r="I40" t="s">
        <v>248</v>
      </c>
      <c r="J40" t="s">
        <v>249</v>
      </c>
      <c r="K40" t="s">
        <v>248</v>
      </c>
      <c r="L40" t="s">
        <v>249</v>
      </c>
      <c r="M40" t="s">
        <v>250</v>
      </c>
      <c r="O40" s="10" t="s">
        <v>154</v>
      </c>
      <c r="P40" s="11">
        <v>5</v>
      </c>
    </row>
    <row r="41" spans="1:16" hidden="1" x14ac:dyDescent="0.3">
      <c r="A41" t="s">
        <v>145</v>
      </c>
      <c r="B41" t="s">
        <v>146</v>
      </c>
      <c r="C41" t="s">
        <v>147</v>
      </c>
      <c r="D41" t="s">
        <v>261</v>
      </c>
      <c r="E41" t="s">
        <v>259</v>
      </c>
      <c r="F41" t="s">
        <v>259</v>
      </c>
      <c r="G41" t="s">
        <v>150</v>
      </c>
      <c r="H41" t="s">
        <v>151</v>
      </c>
      <c r="I41" t="s">
        <v>248</v>
      </c>
      <c r="J41" t="s">
        <v>249</v>
      </c>
      <c r="K41" t="s">
        <v>248</v>
      </c>
      <c r="L41" t="s">
        <v>249</v>
      </c>
      <c r="M41" t="s">
        <v>250</v>
      </c>
      <c r="O41" s="10" t="s">
        <v>154</v>
      </c>
      <c r="P41" s="11">
        <v>5</v>
      </c>
    </row>
    <row r="42" spans="1:16" hidden="1" x14ac:dyDescent="0.3">
      <c r="A42" t="s">
        <v>145</v>
      </c>
      <c r="B42" t="s">
        <v>146</v>
      </c>
      <c r="C42" t="s">
        <v>147</v>
      </c>
      <c r="D42" t="s">
        <v>262</v>
      </c>
      <c r="E42" t="s">
        <v>263</v>
      </c>
      <c r="F42" t="s">
        <v>263</v>
      </c>
      <c r="G42" t="s">
        <v>150</v>
      </c>
      <c r="H42" t="s">
        <v>151</v>
      </c>
      <c r="I42" t="s">
        <v>248</v>
      </c>
      <c r="J42" t="s">
        <v>249</v>
      </c>
      <c r="K42" t="s">
        <v>248</v>
      </c>
      <c r="L42" t="s">
        <v>249</v>
      </c>
      <c r="M42" t="s">
        <v>250</v>
      </c>
      <c r="O42" s="10" t="s">
        <v>154</v>
      </c>
      <c r="P42" s="11">
        <v>5</v>
      </c>
    </row>
    <row r="43" spans="1:16" hidden="1" x14ac:dyDescent="0.3">
      <c r="A43" t="s">
        <v>145</v>
      </c>
      <c r="B43" t="s">
        <v>146</v>
      </c>
      <c r="C43" t="s">
        <v>147</v>
      </c>
      <c r="D43" t="s">
        <v>264</v>
      </c>
      <c r="E43" t="s">
        <v>253</v>
      </c>
      <c r="F43" t="s">
        <v>265</v>
      </c>
      <c r="G43" t="s">
        <v>150</v>
      </c>
      <c r="H43" t="s">
        <v>151</v>
      </c>
      <c r="I43" t="s">
        <v>248</v>
      </c>
      <c r="J43" t="s">
        <v>249</v>
      </c>
      <c r="K43" t="s">
        <v>248</v>
      </c>
      <c r="L43" t="s">
        <v>249</v>
      </c>
      <c r="M43" t="s">
        <v>250</v>
      </c>
      <c r="O43" s="10" t="s">
        <v>154</v>
      </c>
      <c r="P43" s="11">
        <v>5</v>
      </c>
    </row>
    <row r="44" spans="1:16" hidden="1" x14ac:dyDescent="0.3">
      <c r="A44" t="s">
        <v>145</v>
      </c>
      <c r="B44" t="s">
        <v>146</v>
      </c>
      <c r="C44" t="s">
        <v>147</v>
      </c>
      <c r="D44" t="s">
        <v>266</v>
      </c>
      <c r="E44" t="s">
        <v>259</v>
      </c>
      <c r="F44" t="s">
        <v>267</v>
      </c>
      <c r="G44" t="s">
        <v>150</v>
      </c>
      <c r="H44" t="s">
        <v>151</v>
      </c>
      <c r="I44" t="s">
        <v>248</v>
      </c>
      <c r="J44" t="s">
        <v>249</v>
      </c>
      <c r="K44" t="s">
        <v>248</v>
      </c>
      <c r="L44" t="s">
        <v>249</v>
      </c>
      <c r="M44" t="s">
        <v>250</v>
      </c>
      <c r="O44" s="10" t="s">
        <v>154</v>
      </c>
      <c r="P44" s="11">
        <v>5</v>
      </c>
    </row>
    <row r="45" spans="1:16" hidden="1" x14ac:dyDescent="0.3">
      <c r="A45" t="s">
        <v>145</v>
      </c>
      <c r="B45" t="s">
        <v>146</v>
      </c>
      <c r="C45" t="s">
        <v>147</v>
      </c>
      <c r="D45" t="s">
        <v>268</v>
      </c>
      <c r="E45" t="s">
        <v>259</v>
      </c>
      <c r="F45" t="s">
        <v>269</v>
      </c>
      <c r="G45" t="s">
        <v>150</v>
      </c>
      <c r="H45" t="s">
        <v>151</v>
      </c>
      <c r="I45" t="s">
        <v>248</v>
      </c>
      <c r="J45" t="s">
        <v>249</v>
      </c>
      <c r="K45" t="s">
        <v>248</v>
      </c>
      <c r="L45" t="s">
        <v>249</v>
      </c>
      <c r="M45" t="s">
        <v>250</v>
      </c>
      <c r="O45" s="10" t="s">
        <v>154</v>
      </c>
      <c r="P45" s="11">
        <v>5</v>
      </c>
    </row>
    <row r="46" spans="1:16" hidden="1" x14ac:dyDescent="0.3">
      <c r="A46" t="s">
        <v>145</v>
      </c>
      <c r="B46" t="s">
        <v>146</v>
      </c>
      <c r="C46" t="s">
        <v>147</v>
      </c>
      <c r="D46" t="s">
        <v>270</v>
      </c>
      <c r="E46" t="s">
        <v>259</v>
      </c>
      <c r="F46" t="s">
        <v>271</v>
      </c>
      <c r="G46" t="s">
        <v>150</v>
      </c>
      <c r="H46" t="s">
        <v>151</v>
      </c>
      <c r="I46" t="s">
        <v>248</v>
      </c>
      <c r="J46" t="s">
        <v>249</v>
      </c>
      <c r="K46" t="s">
        <v>248</v>
      </c>
      <c r="L46" t="s">
        <v>249</v>
      </c>
      <c r="M46" t="s">
        <v>250</v>
      </c>
      <c r="O46" s="10" t="s">
        <v>154</v>
      </c>
      <c r="P46" s="11">
        <v>5</v>
      </c>
    </row>
    <row r="47" spans="1:16" hidden="1" x14ac:dyDescent="0.3">
      <c r="A47" t="s">
        <v>145</v>
      </c>
      <c r="B47" t="s">
        <v>146</v>
      </c>
      <c r="C47" t="s">
        <v>147</v>
      </c>
      <c r="D47" t="s">
        <v>272</v>
      </c>
      <c r="E47" t="s">
        <v>253</v>
      </c>
      <c r="F47" t="s">
        <v>273</v>
      </c>
      <c r="G47" t="s">
        <v>150</v>
      </c>
      <c r="H47" t="s">
        <v>151</v>
      </c>
      <c r="I47" t="s">
        <v>248</v>
      </c>
      <c r="J47" t="s">
        <v>249</v>
      </c>
      <c r="K47" t="s">
        <v>248</v>
      </c>
      <c r="L47" t="s">
        <v>249</v>
      </c>
      <c r="M47" t="s">
        <v>250</v>
      </c>
      <c r="O47" s="10" t="s">
        <v>154</v>
      </c>
      <c r="P47" s="11">
        <v>5</v>
      </c>
    </row>
    <row r="48" spans="1:16" hidden="1" x14ac:dyDescent="0.3">
      <c r="A48" t="s">
        <v>145</v>
      </c>
      <c r="B48" t="s">
        <v>146</v>
      </c>
      <c r="C48" t="s">
        <v>147</v>
      </c>
      <c r="D48" t="s">
        <v>274</v>
      </c>
      <c r="E48" t="s">
        <v>275</v>
      </c>
      <c r="F48" t="s">
        <v>276</v>
      </c>
      <c r="G48" t="s">
        <v>150</v>
      </c>
      <c r="H48" t="s">
        <v>151</v>
      </c>
      <c r="I48" t="s">
        <v>248</v>
      </c>
      <c r="J48" t="s">
        <v>249</v>
      </c>
      <c r="K48" t="s">
        <v>248</v>
      </c>
      <c r="L48" t="s">
        <v>249</v>
      </c>
      <c r="M48" t="s">
        <v>250</v>
      </c>
      <c r="O48" s="10" t="s">
        <v>154</v>
      </c>
      <c r="P48" s="11">
        <v>5</v>
      </c>
    </row>
    <row r="49" spans="1:16" hidden="1" x14ac:dyDescent="0.3">
      <c r="A49" t="s">
        <v>145</v>
      </c>
      <c r="B49" t="s">
        <v>146</v>
      </c>
      <c r="C49" t="s">
        <v>147</v>
      </c>
      <c r="D49" t="s">
        <v>277</v>
      </c>
      <c r="E49" t="s">
        <v>253</v>
      </c>
      <c r="F49" t="s">
        <v>253</v>
      </c>
      <c r="G49" t="s">
        <v>150</v>
      </c>
      <c r="H49" t="s">
        <v>151</v>
      </c>
      <c r="I49" t="s">
        <v>248</v>
      </c>
      <c r="J49" t="s">
        <v>249</v>
      </c>
      <c r="K49" t="s">
        <v>248</v>
      </c>
      <c r="L49" t="s">
        <v>249</v>
      </c>
      <c r="M49" t="s">
        <v>250</v>
      </c>
      <c r="O49" s="10" t="s">
        <v>154</v>
      </c>
      <c r="P49" s="11">
        <v>5</v>
      </c>
    </row>
    <row r="50" spans="1:16" hidden="1" x14ac:dyDescent="0.3">
      <c r="A50" t="s">
        <v>145</v>
      </c>
      <c r="B50" t="s">
        <v>146</v>
      </c>
      <c r="C50" t="s">
        <v>147</v>
      </c>
      <c r="D50" t="s">
        <v>278</v>
      </c>
      <c r="E50" t="s">
        <v>279</v>
      </c>
      <c r="F50" t="s">
        <v>280</v>
      </c>
      <c r="G50" t="s">
        <v>150</v>
      </c>
      <c r="H50" t="s">
        <v>151</v>
      </c>
      <c r="I50" t="s">
        <v>248</v>
      </c>
      <c r="J50" t="s">
        <v>249</v>
      </c>
      <c r="K50" t="s">
        <v>248</v>
      </c>
      <c r="L50" t="s">
        <v>249</v>
      </c>
      <c r="M50" t="s">
        <v>250</v>
      </c>
      <c r="O50" s="10" t="s">
        <v>154</v>
      </c>
      <c r="P50" s="11">
        <v>5</v>
      </c>
    </row>
    <row r="51" spans="1:16" hidden="1" x14ac:dyDescent="0.3">
      <c r="A51" t="s">
        <v>145</v>
      </c>
      <c r="B51" t="s">
        <v>146</v>
      </c>
      <c r="C51" t="s">
        <v>147</v>
      </c>
      <c r="D51" t="s">
        <v>281</v>
      </c>
      <c r="E51" t="s">
        <v>259</v>
      </c>
      <c r="F51" t="s">
        <v>282</v>
      </c>
      <c r="G51" t="s">
        <v>150</v>
      </c>
      <c r="H51" t="s">
        <v>151</v>
      </c>
      <c r="I51" t="s">
        <v>248</v>
      </c>
      <c r="J51" t="s">
        <v>249</v>
      </c>
      <c r="K51" t="s">
        <v>248</v>
      </c>
      <c r="L51" t="s">
        <v>249</v>
      </c>
      <c r="M51" t="s">
        <v>250</v>
      </c>
      <c r="O51" s="10" t="s">
        <v>154</v>
      </c>
      <c r="P51" s="11">
        <v>5</v>
      </c>
    </row>
    <row r="52" spans="1:16" hidden="1" x14ac:dyDescent="0.3">
      <c r="A52" t="s">
        <v>145</v>
      </c>
      <c r="B52" t="s">
        <v>146</v>
      </c>
      <c r="C52" t="s">
        <v>147</v>
      </c>
      <c r="D52" t="s">
        <v>283</v>
      </c>
      <c r="E52" t="s">
        <v>284</v>
      </c>
      <c r="F52" t="s">
        <v>284</v>
      </c>
      <c r="G52" t="s">
        <v>150</v>
      </c>
      <c r="H52" t="s">
        <v>151</v>
      </c>
      <c r="I52" t="s">
        <v>248</v>
      </c>
      <c r="J52" t="s">
        <v>249</v>
      </c>
      <c r="K52" t="s">
        <v>248</v>
      </c>
      <c r="L52" t="s">
        <v>249</v>
      </c>
      <c r="M52" t="s">
        <v>250</v>
      </c>
      <c r="N52" s="11" t="s">
        <v>159</v>
      </c>
      <c r="O52" s="10" t="s">
        <v>154</v>
      </c>
      <c r="P52" s="11">
        <v>5</v>
      </c>
    </row>
    <row r="53" spans="1:16" hidden="1" x14ac:dyDescent="0.3">
      <c r="A53" t="s">
        <v>145</v>
      </c>
      <c r="B53" t="s">
        <v>146</v>
      </c>
      <c r="C53" t="s">
        <v>147</v>
      </c>
      <c r="D53" t="s">
        <v>285</v>
      </c>
      <c r="E53" t="s">
        <v>286</v>
      </c>
      <c r="F53" t="s">
        <v>286</v>
      </c>
      <c r="G53" t="s">
        <v>150</v>
      </c>
      <c r="H53" t="s">
        <v>151</v>
      </c>
      <c r="I53" t="s">
        <v>248</v>
      </c>
      <c r="J53" t="s">
        <v>249</v>
      </c>
      <c r="K53" t="s">
        <v>248</v>
      </c>
      <c r="L53" t="s">
        <v>249</v>
      </c>
      <c r="M53" t="s">
        <v>250</v>
      </c>
      <c r="N53" s="11" t="s">
        <v>159</v>
      </c>
      <c r="O53" s="10" t="s">
        <v>154</v>
      </c>
      <c r="P53" s="11">
        <v>5</v>
      </c>
    </row>
    <row r="54" spans="1:16" hidden="1" x14ac:dyDescent="0.3">
      <c r="A54" t="s">
        <v>145</v>
      </c>
      <c r="B54" t="s">
        <v>146</v>
      </c>
      <c r="C54" t="s">
        <v>147</v>
      </c>
      <c r="D54" t="s">
        <v>287</v>
      </c>
      <c r="E54" t="s">
        <v>259</v>
      </c>
      <c r="F54" t="s">
        <v>288</v>
      </c>
      <c r="G54" t="s">
        <v>150</v>
      </c>
      <c r="H54" t="s">
        <v>151</v>
      </c>
      <c r="I54" t="s">
        <v>248</v>
      </c>
      <c r="J54" t="s">
        <v>249</v>
      </c>
      <c r="K54" t="s">
        <v>248</v>
      </c>
      <c r="L54" t="s">
        <v>249</v>
      </c>
      <c r="M54" t="s">
        <v>250</v>
      </c>
      <c r="O54" s="10" t="s">
        <v>154</v>
      </c>
      <c r="P54" s="11">
        <v>5</v>
      </c>
    </row>
    <row r="55" spans="1:16" hidden="1" x14ac:dyDescent="0.3">
      <c r="A55" t="s">
        <v>145</v>
      </c>
      <c r="B55" t="s">
        <v>146</v>
      </c>
      <c r="C55" t="s">
        <v>147</v>
      </c>
      <c r="D55" t="s">
        <v>289</v>
      </c>
      <c r="E55" t="s">
        <v>290</v>
      </c>
      <c r="F55" t="s">
        <v>290</v>
      </c>
      <c r="G55" t="s">
        <v>150</v>
      </c>
      <c r="H55" t="s">
        <v>151</v>
      </c>
      <c r="I55" t="s">
        <v>291</v>
      </c>
      <c r="J55" t="s">
        <v>290</v>
      </c>
      <c r="K55" t="s">
        <v>291</v>
      </c>
      <c r="L55" t="s">
        <v>290</v>
      </c>
      <c r="M55" t="s">
        <v>292</v>
      </c>
      <c r="O55" s="10" t="s">
        <v>154</v>
      </c>
      <c r="P55" s="11">
        <v>6</v>
      </c>
    </row>
    <row r="56" spans="1:16" hidden="1" x14ac:dyDescent="0.3">
      <c r="A56" t="s">
        <v>145</v>
      </c>
      <c r="B56" t="s">
        <v>146</v>
      </c>
      <c r="C56" t="s">
        <v>147</v>
      </c>
      <c r="D56" t="s">
        <v>293</v>
      </c>
      <c r="E56" t="s">
        <v>294</v>
      </c>
      <c r="F56" t="s">
        <v>294</v>
      </c>
      <c r="G56" t="s">
        <v>150</v>
      </c>
      <c r="H56" t="s">
        <v>151</v>
      </c>
      <c r="I56" t="s">
        <v>291</v>
      </c>
      <c r="J56" t="s">
        <v>290</v>
      </c>
      <c r="K56" t="s">
        <v>291</v>
      </c>
      <c r="L56" t="s">
        <v>290</v>
      </c>
      <c r="M56" t="s">
        <v>292</v>
      </c>
      <c r="O56" s="10" t="s">
        <v>154</v>
      </c>
      <c r="P56" s="11">
        <v>6</v>
      </c>
    </row>
    <row r="57" spans="1:16" hidden="1" x14ac:dyDescent="0.3">
      <c r="A57" t="s">
        <v>145</v>
      </c>
      <c r="B57" t="s">
        <v>146</v>
      </c>
      <c r="C57" t="s">
        <v>147</v>
      </c>
      <c r="D57" t="s">
        <v>295</v>
      </c>
      <c r="E57" t="s">
        <v>296</v>
      </c>
      <c r="F57" t="s">
        <v>296</v>
      </c>
      <c r="G57" t="s">
        <v>150</v>
      </c>
      <c r="H57" t="s">
        <v>151</v>
      </c>
      <c r="I57" t="s">
        <v>291</v>
      </c>
      <c r="J57" t="s">
        <v>290</v>
      </c>
      <c r="K57" t="s">
        <v>291</v>
      </c>
      <c r="L57" t="s">
        <v>290</v>
      </c>
      <c r="M57" t="s">
        <v>292</v>
      </c>
      <c r="O57" s="10" t="s">
        <v>154</v>
      </c>
      <c r="P57" s="11">
        <v>6</v>
      </c>
    </row>
    <row r="58" spans="1:16" hidden="1" x14ac:dyDescent="0.3">
      <c r="A58" t="s">
        <v>145</v>
      </c>
      <c r="B58" t="s">
        <v>146</v>
      </c>
      <c r="C58" t="s">
        <v>147</v>
      </c>
      <c r="D58" t="s">
        <v>297</v>
      </c>
      <c r="E58" t="s">
        <v>298</v>
      </c>
      <c r="F58" t="s">
        <v>298</v>
      </c>
      <c r="G58" t="s">
        <v>150</v>
      </c>
      <c r="H58" t="s">
        <v>151</v>
      </c>
      <c r="I58" t="s">
        <v>299</v>
      </c>
      <c r="J58" t="s">
        <v>300</v>
      </c>
      <c r="K58" t="s">
        <v>291</v>
      </c>
      <c r="L58" t="s">
        <v>301</v>
      </c>
      <c r="M58" t="s">
        <v>302</v>
      </c>
      <c r="O58" s="10" t="s">
        <v>154</v>
      </c>
      <c r="P58" s="11">
        <v>6</v>
      </c>
    </row>
    <row r="59" spans="1:16" hidden="1" x14ac:dyDescent="0.3">
      <c r="A59" t="s">
        <v>145</v>
      </c>
      <c r="B59" t="s">
        <v>146</v>
      </c>
      <c r="C59" t="s">
        <v>147</v>
      </c>
      <c r="D59" t="s">
        <v>303</v>
      </c>
      <c r="E59" t="s">
        <v>304</v>
      </c>
      <c r="F59" t="s">
        <v>304</v>
      </c>
      <c r="G59" t="s">
        <v>150</v>
      </c>
      <c r="H59" t="s">
        <v>151</v>
      </c>
      <c r="I59" t="s">
        <v>291</v>
      </c>
      <c r="J59" t="s">
        <v>290</v>
      </c>
      <c r="K59" t="s">
        <v>291</v>
      </c>
      <c r="L59" t="s">
        <v>290</v>
      </c>
      <c r="M59" t="s">
        <v>292</v>
      </c>
      <c r="O59" s="10" t="s">
        <v>154</v>
      </c>
      <c r="P59" s="11">
        <v>6</v>
      </c>
    </row>
    <row r="60" spans="1:16" hidden="1" x14ac:dyDescent="0.3">
      <c r="A60" t="s">
        <v>145</v>
      </c>
      <c r="B60" t="s">
        <v>146</v>
      </c>
      <c r="C60" t="s">
        <v>147</v>
      </c>
      <c r="D60" t="s">
        <v>305</v>
      </c>
      <c r="E60" t="s">
        <v>306</v>
      </c>
      <c r="F60" t="s">
        <v>306</v>
      </c>
      <c r="G60" t="s">
        <v>150</v>
      </c>
      <c r="H60" t="s">
        <v>151</v>
      </c>
      <c r="I60" t="s">
        <v>299</v>
      </c>
      <c r="J60" t="s">
        <v>300</v>
      </c>
      <c r="K60" t="s">
        <v>291</v>
      </c>
      <c r="L60" t="s">
        <v>301</v>
      </c>
      <c r="M60" t="s">
        <v>302</v>
      </c>
      <c r="O60" s="10" t="s">
        <v>154</v>
      </c>
      <c r="P60" s="11">
        <v>6</v>
      </c>
    </row>
    <row r="61" spans="1:16" hidden="1" x14ac:dyDescent="0.3">
      <c r="A61" t="s">
        <v>145</v>
      </c>
      <c r="B61" t="s">
        <v>146</v>
      </c>
      <c r="C61" t="s">
        <v>147</v>
      </c>
      <c r="D61" t="s">
        <v>307</v>
      </c>
      <c r="E61" t="s">
        <v>308</v>
      </c>
      <c r="F61" t="s">
        <v>308</v>
      </c>
      <c r="G61" t="s">
        <v>150</v>
      </c>
      <c r="H61" t="s">
        <v>151</v>
      </c>
      <c r="I61" t="s">
        <v>291</v>
      </c>
      <c r="J61" t="s">
        <v>290</v>
      </c>
      <c r="K61" t="s">
        <v>291</v>
      </c>
      <c r="L61" t="s">
        <v>290</v>
      </c>
      <c r="M61" t="s">
        <v>292</v>
      </c>
      <c r="O61" s="10" t="s">
        <v>154</v>
      </c>
      <c r="P61" s="11">
        <v>6</v>
      </c>
    </row>
    <row r="62" spans="1:16" hidden="1" x14ac:dyDescent="0.3">
      <c r="A62" t="s">
        <v>145</v>
      </c>
      <c r="B62" t="s">
        <v>146</v>
      </c>
      <c r="C62" t="s">
        <v>147</v>
      </c>
      <c r="D62" t="s">
        <v>309</v>
      </c>
      <c r="E62" t="s">
        <v>310</v>
      </c>
      <c r="F62" t="s">
        <v>310</v>
      </c>
      <c r="G62" t="s">
        <v>150</v>
      </c>
      <c r="H62" t="s">
        <v>151</v>
      </c>
      <c r="I62" t="s">
        <v>291</v>
      </c>
      <c r="J62" t="s">
        <v>290</v>
      </c>
      <c r="K62" t="s">
        <v>291</v>
      </c>
      <c r="L62" t="s">
        <v>290</v>
      </c>
      <c r="M62" t="s">
        <v>292</v>
      </c>
      <c r="O62" s="10" t="s">
        <v>154</v>
      </c>
      <c r="P62" s="11">
        <v>6</v>
      </c>
    </row>
    <row r="63" spans="1:16" hidden="1" x14ac:dyDescent="0.3">
      <c r="A63" t="s">
        <v>145</v>
      </c>
      <c r="B63" t="s">
        <v>146</v>
      </c>
      <c r="C63" t="s">
        <v>147</v>
      </c>
      <c r="D63" t="s">
        <v>311</v>
      </c>
      <c r="E63" t="s">
        <v>312</v>
      </c>
      <c r="F63" t="s">
        <v>312</v>
      </c>
      <c r="G63" t="s">
        <v>150</v>
      </c>
      <c r="H63" t="s">
        <v>151</v>
      </c>
      <c r="I63" t="s">
        <v>299</v>
      </c>
      <c r="J63" t="s">
        <v>300</v>
      </c>
      <c r="K63" t="s">
        <v>291</v>
      </c>
      <c r="L63" t="s">
        <v>301</v>
      </c>
      <c r="M63" t="s">
        <v>302</v>
      </c>
      <c r="O63" s="10" t="s">
        <v>154</v>
      </c>
      <c r="P63" s="11">
        <v>6</v>
      </c>
    </row>
    <row r="64" spans="1:16" hidden="1" x14ac:dyDescent="0.3">
      <c r="A64" t="s">
        <v>145</v>
      </c>
      <c r="B64" t="s">
        <v>146</v>
      </c>
      <c r="C64" t="s">
        <v>147</v>
      </c>
      <c r="D64" t="s">
        <v>313</v>
      </c>
      <c r="E64" t="s">
        <v>314</v>
      </c>
      <c r="F64" t="s">
        <v>315</v>
      </c>
      <c r="G64" t="s">
        <v>150</v>
      </c>
      <c r="H64" t="s">
        <v>151</v>
      </c>
      <c r="I64" t="s">
        <v>316</v>
      </c>
      <c r="J64" t="s">
        <v>315</v>
      </c>
      <c r="K64" t="s">
        <v>316</v>
      </c>
      <c r="L64" t="s">
        <v>315</v>
      </c>
      <c r="M64" t="s">
        <v>317</v>
      </c>
      <c r="O64" s="10" t="s">
        <v>154</v>
      </c>
      <c r="P64" s="11">
        <v>7</v>
      </c>
    </row>
    <row r="65" spans="1:16" hidden="1" x14ac:dyDescent="0.3">
      <c r="A65" t="s">
        <v>145</v>
      </c>
      <c r="B65" t="s">
        <v>146</v>
      </c>
      <c r="C65" t="s">
        <v>147</v>
      </c>
      <c r="D65" t="s">
        <v>318</v>
      </c>
      <c r="E65" t="s">
        <v>319</v>
      </c>
      <c r="F65" t="s">
        <v>320</v>
      </c>
      <c r="G65" t="s">
        <v>150</v>
      </c>
      <c r="H65" t="s">
        <v>151</v>
      </c>
      <c r="I65" t="s">
        <v>316</v>
      </c>
      <c r="J65" t="s">
        <v>315</v>
      </c>
      <c r="K65" t="s">
        <v>316</v>
      </c>
      <c r="L65" t="s">
        <v>315</v>
      </c>
      <c r="M65" t="s">
        <v>317</v>
      </c>
      <c r="O65" s="10" t="s">
        <v>154</v>
      </c>
      <c r="P65" s="11">
        <v>7</v>
      </c>
    </row>
    <row r="66" spans="1:16" hidden="1" x14ac:dyDescent="0.3">
      <c r="A66" t="s">
        <v>145</v>
      </c>
      <c r="B66" t="s">
        <v>146</v>
      </c>
      <c r="C66" t="s">
        <v>147</v>
      </c>
      <c r="D66" t="s">
        <v>321</v>
      </c>
      <c r="E66" t="s">
        <v>322</v>
      </c>
      <c r="F66" t="s">
        <v>322</v>
      </c>
      <c r="G66" t="s">
        <v>150</v>
      </c>
      <c r="H66" t="s">
        <v>151</v>
      </c>
      <c r="I66" t="s">
        <v>316</v>
      </c>
      <c r="J66" t="s">
        <v>315</v>
      </c>
      <c r="K66" t="s">
        <v>316</v>
      </c>
      <c r="L66" t="s">
        <v>315</v>
      </c>
      <c r="M66" t="s">
        <v>317</v>
      </c>
      <c r="O66" s="10" t="s">
        <v>154</v>
      </c>
      <c r="P66" s="11">
        <v>7</v>
      </c>
    </row>
    <row r="67" spans="1:16" hidden="1" x14ac:dyDescent="0.3">
      <c r="A67" t="s">
        <v>145</v>
      </c>
      <c r="B67" t="s">
        <v>146</v>
      </c>
      <c r="C67" t="s">
        <v>147</v>
      </c>
      <c r="D67" t="s">
        <v>323</v>
      </c>
      <c r="E67" t="s">
        <v>324</v>
      </c>
      <c r="F67" t="s">
        <v>324</v>
      </c>
      <c r="G67" t="s">
        <v>150</v>
      </c>
      <c r="H67" t="s">
        <v>151</v>
      </c>
      <c r="I67" t="s">
        <v>316</v>
      </c>
      <c r="J67" t="s">
        <v>315</v>
      </c>
      <c r="K67" t="s">
        <v>316</v>
      </c>
      <c r="L67" t="s">
        <v>315</v>
      </c>
      <c r="M67" t="s">
        <v>317</v>
      </c>
      <c r="O67" s="10" t="s">
        <v>154</v>
      </c>
      <c r="P67" s="11">
        <v>7</v>
      </c>
    </row>
    <row r="68" spans="1:16" hidden="1" x14ac:dyDescent="0.3">
      <c r="A68" t="s">
        <v>145</v>
      </c>
      <c r="B68" t="s">
        <v>146</v>
      </c>
      <c r="C68" t="s">
        <v>147</v>
      </c>
      <c r="D68" t="s">
        <v>325</v>
      </c>
      <c r="E68" t="s">
        <v>326</v>
      </c>
      <c r="F68" t="s">
        <v>326</v>
      </c>
      <c r="G68" t="s">
        <v>150</v>
      </c>
      <c r="H68" t="s">
        <v>151</v>
      </c>
      <c r="I68" t="s">
        <v>327</v>
      </c>
      <c r="J68" t="s">
        <v>326</v>
      </c>
      <c r="K68" t="s">
        <v>327</v>
      </c>
      <c r="L68" t="s">
        <v>328</v>
      </c>
      <c r="M68" t="s">
        <v>329</v>
      </c>
      <c r="O68" s="10" t="s">
        <v>154</v>
      </c>
      <c r="P68" s="11">
        <v>8</v>
      </c>
    </row>
    <row r="69" spans="1:16" hidden="1" x14ac:dyDescent="0.3">
      <c r="A69" t="s">
        <v>145</v>
      </c>
      <c r="B69" t="s">
        <v>146</v>
      </c>
      <c r="C69" t="s">
        <v>147</v>
      </c>
      <c r="D69" t="s">
        <v>330</v>
      </c>
      <c r="E69" t="s">
        <v>331</v>
      </c>
      <c r="F69" t="s">
        <v>331</v>
      </c>
      <c r="G69" t="s">
        <v>150</v>
      </c>
      <c r="H69" t="s">
        <v>151</v>
      </c>
      <c r="I69" t="s">
        <v>327</v>
      </c>
      <c r="J69" t="s">
        <v>326</v>
      </c>
      <c r="K69" t="s">
        <v>327</v>
      </c>
      <c r="L69" t="s">
        <v>328</v>
      </c>
      <c r="M69" t="s">
        <v>329</v>
      </c>
      <c r="N69" s="11" t="s">
        <v>159</v>
      </c>
      <c r="O69" s="10" t="s">
        <v>154</v>
      </c>
      <c r="P69" s="11">
        <v>8</v>
      </c>
    </row>
    <row r="70" spans="1:16" hidden="1" x14ac:dyDescent="0.3">
      <c r="A70" t="s">
        <v>145</v>
      </c>
      <c r="B70" t="s">
        <v>146</v>
      </c>
      <c r="C70" t="s">
        <v>147</v>
      </c>
      <c r="D70" t="s">
        <v>332</v>
      </c>
      <c r="E70" t="s">
        <v>333</v>
      </c>
      <c r="F70" t="s">
        <v>333</v>
      </c>
      <c r="G70" t="s">
        <v>150</v>
      </c>
      <c r="H70" t="s">
        <v>151</v>
      </c>
      <c r="I70" t="s">
        <v>334</v>
      </c>
      <c r="J70" t="s">
        <v>290</v>
      </c>
      <c r="K70" t="s">
        <v>334</v>
      </c>
      <c r="L70" t="s">
        <v>335</v>
      </c>
      <c r="M70" t="s">
        <v>292</v>
      </c>
      <c r="O70" s="10" t="s">
        <v>154</v>
      </c>
      <c r="P70" s="11">
        <v>6</v>
      </c>
    </row>
    <row r="71" spans="1:16" hidden="1" x14ac:dyDescent="0.3">
      <c r="A71" t="s">
        <v>145</v>
      </c>
      <c r="B71" t="s">
        <v>146</v>
      </c>
      <c r="C71" t="s">
        <v>147</v>
      </c>
      <c r="D71" t="s">
        <v>336</v>
      </c>
      <c r="E71" t="s">
        <v>337</v>
      </c>
      <c r="F71" t="s">
        <v>337</v>
      </c>
      <c r="G71" t="s">
        <v>150</v>
      </c>
      <c r="H71" t="s">
        <v>151</v>
      </c>
      <c r="I71" t="s">
        <v>338</v>
      </c>
      <c r="J71" t="s">
        <v>339</v>
      </c>
      <c r="K71" t="s">
        <v>338</v>
      </c>
      <c r="L71" t="s">
        <v>339</v>
      </c>
      <c r="M71" t="s">
        <v>340</v>
      </c>
      <c r="O71" s="10" t="s">
        <v>154</v>
      </c>
      <c r="P71" s="11">
        <v>2</v>
      </c>
    </row>
    <row r="72" spans="1:16" hidden="1" x14ac:dyDescent="0.3">
      <c r="A72" t="s">
        <v>145</v>
      </c>
      <c r="B72" t="s">
        <v>146</v>
      </c>
      <c r="C72" t="s">
        <v>147</v>
      </c>
      <c r="D72" t="s">
        <v>341</v>
      </c>
      <c r="E72" t="s">
        <v>342</v>
      </c>
      <c r="F72" t="s">
        <v>342</v>
      </c>
      <c r="G72" t="s">
        <v>150</v>
      </c>
      <c r="H72" t="s">
        <v>151</v>
      </c>
      <c r="I72" t="s">
        <v>338</v>
      </c>
      <c r="J72" t="s">
        <v>339</v>
      </c>
      <c r="K72" t="s">
        <v>338</v>
      </c>
      <c r="L72" t="s">
        <v>339</v>
      </c>
      <c r="M72" t="s">
        <v>340</v>
      </c>
      <c r="O72" s="10" t="s">
        <v>154</v>
      </c>
      <c r="P72" s="11">
        <v>2</v>
      </c>
    </row>
    <row r="73" spans="1:16" hidden="1" x14ac:dyDescent="0.3">
      <c r="A73" t="s">
        <v>145</v>
      </c>
      <c r="B73" t="s">
        <v>146</v>
      </c>
      <c r="C73" t="s">
        <v>147</v>
      </c>
      <c r="D73" t="s">
        <v>343</v>
      </c>
      <c r="E73" t="s">
        <v>344</v>
      </c>
      <c r="F73" t="s">
        <v>344</v>
      </c>
      <c r="G73" t="s">
        <v>150</v>
      </c>
      <c r="H73" t="s">
        <v>151</v>
      </c>
      <c r="I73" t="s">
        <v>338</v>
      </c>
      <c r="J73" t="s">
        <v>339</v>
      </c>
      <c r="K73" t="s">
        <v>338</v>
      </c>
      <c r="L73" t="s">
        <v>339</v>
      </c>
      <c r="M73" t="s">
        <v>340</v>
      </c>
      <c r="N73" s="11" t="s">
        <v>159</v>
      </c>
      <c r="O73" s="10" t="s">
        <v>154</v>
      </c>
      <c r="P73" s="11">
        <v>2</v>
      </c>
    </row>
    <row r="74" spans="1:16" hidden="1" x14ac:dyDescent="0.3">
      <c r="A74" t="s">
        <v>145</v>
      </c>
      <c r="B74" t="s">
        <v>146</v>
      </c>
      <c r="C74" t="s">
        <v>147</v>
      </c>
      <c r="D74" t="s">
        <v>345</v>
      </c>
      <c r="E74" t="s">
        <v>346</v>
      </c>
      <c r="F74" t="s">
        <v>347</v>
      </c>
      <c r="G74" t="s">
        <v>150</v>
      </c>
      <c r="H74" t="s">
        <v>151</v>
      </c>
      <c r="I74" t="s">
        <v>338</v>
      </c>
      <c r="J74" t="s">
        <v>339</v>
      </c>
      <c r="K74" t="s">
        <v>338</v>
      </c>
      <c r="L74" t="s">
        <v>339</v>
      </c>
      <c r="M74" t="s">
        <v>340</v>
      </c>
      <c r="O74" s="10" t="s">
        <v>154</v>
      </c>
      <c r="P74" s="11">
        <v>2</v>
      </c>
    </row>
    <row r="75" spans="1:16" hidden="1" x14ac:dyDescent="0.3">
      <c r="A75" t="s">
        <v>145</v>
      </c>
      <c r="B75" t="s">
        <v>146</v>
      </c>
      <c r="C75" t="s">
        <v>147</v>
      </c>
      <c r="D75" t="s">
        <v>348</v>
      </c>
      <c r="E75" t="s">
        <v>339</v>
      </c>
      <c r="F75" t="s">
        <v>339</v>
      </c>
      <c r="G75" t="s">
        <v>150</v>
      </c>
      <c r="H75" t="s">
        <v>151</v>
      </c>
      <c r="I75" t="s">
        <v>338</v>
      </c>
      <c r="J75" t="s">
        <v>339</v>
      </c>
      <c r="K75" t="s">
        <v>338</v>
      </c>
      <c r="L75" t="s">
        <v>339</v>
      </c>
      <c r="M75" t="s">
        <v>340</v>
      </c>
      <c r="O75" s="10" t="s">
        <v>154</v>
      </c>
      <c r="P75" s="11">
        <v>2</v>
      </c>
    </row>
    <row r="76" spans="1:16" hidden="1" x14ac:dyDescent="0.3">
      <c r="A76" t="s">
        <v>145</v>
      </c>
      <c r="B76" t="s">
        <v>146</v>
      </c>
      <c r="C76" t="s">
        <v>147</v>
      </c>
      <c r="D76" t="s">
        <v>349</v>
      </c>
      <c r="E76" t="s">
        <v>350</v>
      </c>
      <c r="F76" t="s">
        <v>350</v>
      </c>
      <c r="G76" t="s">
        <v>150</v>
      </c>
      <c r="H76" t="s">
        <v>151</v>
      </c>
      <c r="I76" t="s">
        <v>338</v>
      </c>
      <c r="J76" t="s">
        <v>339</v>
      </c>
      <c r="K76" t="s">
        <v>338</v>
      </c>
      <c r="L76" t="s">
        <v>339</v>
      </c>
      <c r="M76" t="s">
        <v>340</v>
      </c>
      <c r="N76" s="11" t="s">
        <v>159</v>
      </c>
      <c r="O76" s="10" t="s">
        <v>154</v>
      </c>
      <c r="P76" s="11">
        <v>2</v>
      </c>
    </row>
    <row r="77" spans="1:16" hidden="1" x14ac:dyDescent="0.3">
      <c r="A77" t="s">
        <v>145</v>
      </c>
      <c r="B77" t="s">
        <v>146</v>
      </c>
      <c r="C77" t="s">
        <v>147</v>
      </c>
      <c r="D77" t="s">
        <v>351</v>
      </c>
      <c r="E77" t="s">
        <v>352</v>
      </c>
      <c r="F77" t="s">
        <v>352</v>
      </c>
      <c r="G77" t="s">
        <v>150</v>
      </c>
      <c r="H77" t="s">
        <v>151</v>
      </c>
      <c r="I77" t="s">
        <v>338</v>
      </c>
      <c r="J77" t="s">
        <v>339</v>
      </c>
      <c r="K77" t="s">
        <v>338</v>
      </c>
      <c r="L77" t="s">
        <v>339</v>
      </c>
      <c r="M77" t="s">
        <v>340</v>
      </c>
      <c r="O77" s="10" t="s">
        <v>154</v>
      </c>
      <c r="P77" s="11">
        <v>2</v>
      </c>
    </row>
    <row r="78" spans="1:16" hidden="1" x14ac:dyDescent="0.3">
      <c r="A78" t="s">
        <v>145</v>
      </c>
      <c r="B78" t="s">
        <v>146</v>
      </c>
      <c r="C78" t="s">
        <v>147</v>
      </c>
      <c r="D78" s="12" t="s">
        <v>353</v>
      </c>
      <c r="E78" t="s">
        <v>354</v>
      </c>
      <c r="F78" t="s">
        <v>355</v>
      </c>
      <c r="G78" t="s">
        <v>150</v>
      </c>
      <c r="H78" t="s">
        <v>151</v>
      </c>
      <c r="I78" t="s">
        <v>338</v>
      </c>
      <c r="J78" t="s">
        <v>177</v>
      </c>
      <c r="K78" t="s">
        <v>338</v>
      </c>
      <c r="L78" t="s">
        <v>177</v>
      </c>
      <c r="M78" t="s">
        <v>179</v>
      </c>
      <c r="O78" s="10" t="s">
        <v>154</v>
      </c>
      <c r="P78" s="11">
        <v>4</v>
      </c>
    </row>
    <row r="79" spans="1:16" hidden="1" x14ac:dyDescent="0.3">
      <c r="A79" t="s">
        <v>145</v>
      </c>
      <c r="B79" t="s">
        <v>146</v>
      </c>
      <c r="C79" t="s">
        <v>147</v>
      </c>
      <c r="D79" t="s">
        <v>356</v>
      </c>
      <c r="E79" t="s">
        <v>357</v>
      </c>
      <c r="F79" t="s">
        <v>357</v>
      </c>
      <c r="G79" t="s">
        <v>150</v>
      </c>
      <c r="H79" t="s">
        <v>151</v>
      </c>
      <c r="I79" t="s">
        <v>338</v>
      </c>
      <c r="J79" t="s">
        <v>339</v>
      </c>
      <c r="K79" t="s">
        <v>338</v>
      </c>
      <c r="L79" t="s">
        <v>339</v>
      </c>
      <c r="M79" t="s">
        <v>340</v>
      </c>
      <c r="N79" s="11" t="s">
        <v>159</v>
      </c>
      <c r="O79" s="10" t="s">
        <v>154</v>
      </c>
      <c r="P79" s="11">
        <v>2</v>
      </c>
    </row>
    <row r="80" spans="1:16" hidden="1" x14ac:dyDescent="0.3">
      <c r="A80" t="s">
        <v>145</v>
      </c>
      <c r="B80" t="s">
        <v>146</v>
      </c>
      <c r="C80" t="s">
        <v>147</v>
      </c>
      <c r="D80" t="s">
        <v>358</v>
      </c>
      <c r="E80" t="s">
        <v>359</v>
      </c>
      <c r="F80" t="s">
        <v>360</v>
      </c>
      <c r="G80" t="s">
        <v>150</v>
      </c>
      <c r="H80" t="s">
        <v>151</v>
      </c>
      <c r="I80" t="s">
        <v>338</v>
      </c>
      <c r="J80" t="s">
        <v>177</v>
      </c>
      <c r="K80" t="s">
        <v>338</v>
      </c>
      <c r="L80" t="s">
        <v>177</v>
      </c>
      <c r="M80" t="s">
        <v>179</v>
      </c>
      <c r="O80" s="10" t="s">
        <v>154</v>
      </c>
      <c r="P80" s="11">
        <v>4</v>
      </c>
    </row>
    <row r="81" spans="1:16" hidden="1" x14ac:dyDescent="0.3">
      <c r="A81" t="s">
        <v>145</v>
      </c>
      <c r="B81" t="s">
        <v>146</v>
      </c>
      <c r="C81" t="s">
        <v>147</v>
      </c>
      <c r="D81" t="s">
        <v>361</v>
      </c>
      <c r="E81" t="s">
        <v>362</v>
      </c>
      <c r="F81" t="s">
        <v>362</v>
      </c>
      <c r="G81" t="s">
        <v>363</v>
      </c>
      <c r="H81" t="s">
        <v>364</v>
      </c>
      <c r="I81" t="s">
        <v>338</v>
      </c>
      <c r="J81" t="s">
        <v>339</v>
      </c>
      <c r="K81" t="s">
        <v>365</v>
      </c>
      <c r="L81" t="s">
        <v>366</v>
      </c>
      <c r="M81" t="s">
        <v>340</v>
      </c>
      <c r="O81" s="10" t="s">
        <v>154</v>
      </c>
      <c r="P81" s="11">
        <v>2</v>
      </c>
    </row>
    <row r="82" spans="1:16" hidden="1" x14ac:dyDescent="0.3">
      <c r="A82" t="s">
        <v>145</v>
      </c>
      <c r="B82" t="s">
        <v>146</v>
      </c>
      <c r="C82" t="s">
        <v>147</v>
      </c>
      <c r="D82" t="s">
        <v>367</v>
      </c>
      <c r="E82" t="s">
        <v>368</v>
      </c>
      <c r="F82" t="s">
        <v>368</v>
      </c>
      <c r="G82" t="s">
        <v>363</v>
      </c>
      <c r="H82" t="s">
        <v>364</v>
      </c>
      <c r="I82" t="s">
        <v>338</v>
      </c>
      <c r="J82" t="s">
        <v>339</v>
      </c>
      <c r="K82" t="s">
        <v>365</v>
      </c>
      <c r="L82" t="s">
        <v>366</v>
      </c>
      <c r="M82" t="s">
        <v>340</v>
      </c>
      <c r="O82" s="10" t="s">
        <v>154</v>
      </c>
      <c r="P82" s="11">
        <v>2</v>
      </c>
    </row>
    <row r="83" spans="1:16" hidden="1" x14ac:dyDescent="0.3">
      <c r="A83" t="s">
        <v>145</v>
      </c>
      <c r="B83" t="s">
        <v>146</v>
      </c>
      <c r="C83" t="s">
        <v>147</v>
      </c>
      <c r="D83" t="s">
        <v>369</v>
      </c>
      <c r="E83" t="s">
        <v>370</v>
      </c>
      <c r="F83" t="s">
        <v>370</v>
      </c>
      <c r="G83" t="s">
        <v>363</v>
      </c>
      <c r="H83" t="s">
        <v>364</v>
      </c>
      <c r="I83" t="s">
        <v>338</v>
      </c>
      <c r="J83" t="s">
        <v>339</v>
      </c>
      <c r="K83" t="s">
        <v>365</v>
      </c>
      <c r="L83" t="s">
        <v>366</v>
      </c>
      <c r="M83" t="s">
        <v>340</v>
      </c>
      <c r="N83" s="11" t="s">
        <v>159</v>
      </c>
      <c r="O83" s="10" t="s">
        <v>154</v>
      </c>
      <c r="P83" s="11">
        <v>2</v>
      </c>
    </row>
    <row r="84" spans="1:16" hidden="1" x14ac:dyDescent="0.3">
      <c r="A84" t="s">
        <v>145</v>
      </c>
      <c r="B84" t="s">
        <v>146</v>
      </c>
      <c r="C84" t="s">
        <v>212</v>
      </c>
      <c r="D84" t="s">
        <v>371</v>
      </c>
      <c r="E84" t="s">
        <v>372</v>
      </c>
      <c r="F84" t="s">
        <v>296</v>
      </c>
      <c r="G84" t="s">
        <v>373</v>
      </c>
      <c r="H84" t="s">
        <v>151</v>
      </c>
      <c r="I84" t="s">
        <v>374</v>
      </c>
      <c r="J84" t="s">
        <v>372</v>
      </c>
      <c r="K84" t="s">
        <v>374</v>
      </c>
      <c r="L84" t="s">
        <v>301</v>
      </c>
      <c r="M84" t="s">
        <v>375</v>
      </c>
      <c r="N84" s="11" t="s">
        <v>159</v>
      </c>
      <c r="O84" s="10" t="s">
        <v>154</v>
      </c>
      <c r="P84" s="11">
        <v>6</v>
      </c>
    </row>
    <row r="85" spans="1:16" hidden="1" x14ac:dyDescent="0.3">
      <c r="A85" t="s">
        <v>145</v>
      </c>
      <c r="B85" t="s">
        <v>376</v>
      </c>
      <c r="C85" t="s">
        <v>212</v>
      </c>
      <c r="D85" t="s">
        <v>377</v>
      </c>
      <c r="E85" t="s">
        <v>378</v>
      </c>
      <c r="F85" t="s">
        <v>379</v>
      </c>
      <c r="G85" t="s">
        <v>380</v>
      </c>
      <c r="H85" t="s">
        <v>376</v>
      </c>
      <c r="I85" t="s">
        <v>380</v>
      </c>
      <c r="J85" t="s">
        <v>381</v>
      </c>
      <c r="K85" t="s">
        <v>380</v>
      </c>
      <c r="L85" t="s">
        <v>378</v>
      </c>
      <c r="M85" t="s">
        <v>376</v>
      </c>
      <c r="O85" s="10" t="s">
        <v>154</v>
      </c>
      <c r="P85" s="11">
        <v>3</v>
      </c>
    </row>
    <row r="86" spans="1:16" hidden="1" x14ac:dyDescent="0.3">
      <c r="A86" t="s">
        <v>145</v>
      </c>
      <c r="B86" t="s">
        <v>376</v>
      </c>
      <c r="C86" t="s">
        <v>212</v>
      </c>
      <c r="D86" t="s">
        <v>382</v>
      </c>
      <c r="E86" t="s">
        <v>383</v>
      </c>
      <c r="F86" t="s">
        <v>384</v>
      </c>
      <c r="G86" t="s">
        <v>380</v>
      </c>
      <c r="H86" t="s">
        <v>376</v>
      </c>
      <c r="I86" t="s">
        <v>380</v>
      </c>
      <c r="J86" t="s">
        <v>381</v>
      </c>
      <c r="K86" t="s">
        <v>380</v>
      </c>
      <c r="L86" t="s">
        <v>383</v>
      </c>
      <c r="M86" t="s">
        <v>376</v>
      </c>
      <c r="O86" s="10" t="s">
        <v>154</v>
      </c>
      <c r="P86" s="11">
        <v>3</v>
      </c>
    </row>
    <row r="87" spans="1:16" hidden="1" x14ac:dyDescent="0.3">
      <c r="A87" t="s">
        <v>145</v>
      </c>
      <c r="B87" t="s">
        <v>376</v>
      </c>
      <c r="C87" t="s">
        <v>212</v>
      </c>
      <c r="D87" t="s">
        <v>385</v>
      </c>
      <c r="E87" t="s">
        <v>386</v>
      </c>
      <c r="F87" t="s">
        <v>387</v>
      </c>
      <c r="G87" t="s">
        <v>380</v>
      </c>
      <c r="H87" t="s">
        <v>376</v>
      </c>
      <c r="I87" t="s">
        <v>380</v>
      </c>
      <c r="J87" t="s">
        <v>381</v>
      </c>
      <c r="K87" t="s">
        <v>380</v>
      </c>
      <c r="L87" t="s">
        <v>386</v>
      </c>
      <c r="M87" t="s">
        <v>376</v>
      </c>
      <c r="O87" s="10" t="s">
        <v>154</v>
      </c>
      <c r="P87" s="11">
        <v>3</v>
      </c>
    </row>
    <row r="88" spans="1:16" hidden="1" x14ac:dyDescent="0.3">
      <c r="A88" t="s">
        <v>145</v>
      </c>
      <c r="B88" t="s">
        <v>376</v>
      </c>
      <c r="C88" t="s">
        <v>212</v>
      </c>
      <c r="D88" t="s">
        <v>388</v>
      </c>
      <c r="E88" t="s">
        <v>389</v>
      </c>
      <c r="F88" t="s">
        <v>390</v>
      </c>
      <c r="G88" t="s">
        <v>380</v>
      </c>
      <c r="H88" t="s">
        <v>376</v>
      </c>
      <c r="I88" t="s">
        <v>380</v>
      </c>
      <c r="J88" t="s">
        <v>381</v>
      </c>
      <c r="K88" t="s">
        <v>380</v>
      </c>
      <c r="L88" t="s">
        <v>389</v>
      </c>
      <c r="M88" t="s">
        <v>376</v>
      </c>
      <c r="O88" s="10" t="s">
        <v>154</v>
      </c>
      <c r="P88" s="11">
        <v>3</v>
      </c>
    </row>
    <row r="89" spans="1:16" hidden="1" x14ac:dyDescent="0.3">
      <c r="A89" t="s">
        <v>145</v>
      </c>
      <c r="B89" t="s">
        <v>376</v>
      </c>
      <c r="C89" t="s">
        <v>212</v>
      </c>
      <c r="D89" t="s">
        <v>391</v>
      </c>
      <c r="E89" t="s">
        <v>392</v>
      </c>
      <c r="F89" t="s">
        <v>393</v>
      </c>
      <c r="G89" t="s">
        <v>380</v>
      </c>
      <c r="H89" t="s">
        <v>376</v>
      </c>
      <c r="I89" t="s">
        <v>380</v>
      </c>
      <c r="J89" t="s">
        <v>381</v>
      </c>
      <c r="K89" t="s">
        <v>380</v>
      </c>
      <c r="L89" t="s">
        <v>392</v>
      </c>
      <c r="M89" t="s">
        <v>376</v>
      </c>
      <c r="O89" s="10" t="s">
        <v>154</v>
      </c>
      <c r="P89" s="11">
        <v>3</v>
      </c>
    </row>
    <row r="90" spans="1:16" hidden="1" x14ac:dyDescent="0.3">
      <c r="A90" t="s">
        <v>145</v>
      </c>
      <c r="B90" t="s">
        <v>376</v>
      </c>
      <c r="C90" t="s">
        <v>212</v>
      </c>
      <c r="D90" t="s">
        <v>394</v>
      </c>
      <c r="E90" t="s">
        <v>395</v>
      </c>
      <c r="F90" t="s">
        <v>395</v>
      </c>
      <c r="G90" t="s">
        <v>380</v>
      </c>
      <c r="H90" t="s">
        <v>376</v>
      </c>
      <c r="I90" t="s">
        <v>380</v>
      </c>
      <c r="J90" t="s">
        <v>381</v>
      </c>
      <c r="K90" t="s">
        <v>380</v>
      </c>
      <c r="L90" t="s">
        <v>395</v>
      </c>
      <c r="M90" t="s">
        <v>376</v>
      </c>
      <c r="O90" s="10" t="s">
        <v>154</v>
      </c>
      <c r="P90" s="11">
        <v>3</v>
      </c>
    </row>
    <row r="91" spans="1:16" hidden="1" x14ac:dyDescent="0.3">
      <c r="A91" t="s">
        <v>145</v>
      </c>
      <c r="B91" t="s">
        <v>376</v>
      </c>
      <c r="C91" t="s">
        <v>212</v>
      </c>
      <c r="D91" t="s">
        <v>396</v>
      </c>
      <c r="E91" t="s">
        <v>397</v>
      </c>
      <c r="F91" t="s">
        <v>397</v>
      </c>
      <c r="G91" t="s">
        <v>380</v>
      </c>
      <c r="H91" t="s">
        <v>376</v>
      </c>
      <c r="I91" t="s">
        <v>380</v>
      </c>
      <c r="J91" t="s">
        <v>397</v>
      </c>
      <c r="K91" t="s">
        <v>380</v>
      </c>
      <c r="L91" t="s">
        <v>395</v>
      </c>
      <c r="M91" t="s">
        <v>397</v>
      </c>
      <c r="N91" s="11"/>
      <c r="O91" s="10" t="s">
        <v>154</v>
      </c>
      <c r="P91" s="11">
        <v>4</v>
      </c>
    </row>
    <row r="92" spans="1:16" hidden="1" x14ac:dyDescent="0.3">
      <c r="A92" t="s">
        <v>145</v>
      </c>
      <c r="B92" t="s">
        <v>398</v>
      </c>
      <c r="C92" t="s">
        <v>212</v>
      </c>
      <c r="D92" t="s">
        <v>399</v>
      </c>
      <c r="E92" t="s">
        <v>331</v>
      </c>
      <c r="F92" t="s">
        <v>331</v>
      </c>
      <c r="G92" t="s">
        <v>331</v>
      </c>
      <c r="H92" t="s">
        <v>331</v>
      </c>
      <c r="I92" t="s">
        <v>331</v>
      </c>
      <c r="J92" t="s">
        <v>331</v>
      </c>
      <c r="K92" t="s">
        <v>331</v>
      </c>
      <c r="L92" t="s">
        <v>331</v>
      </c>
      <c r="M92" t="s">
        <v>331</v>
      </c>
      <c r="N92" s="11"/>
      <c r="O92" s="10" t="s">
        <v>154</v>
      </c>
      <c r="P92" s="11">
        <v>2</v>
      </c>
    </row>
    <row r="93" spans="1:16" hidden="1" x14ac:dyDescent="0.3">
      <c r="A93" t="s">
        <v>145</v>
      </c>
      <c r="B93" t="s">
        <v>328</v>
      </c>
      <c r="C93" t="s">
        <v>400</v>
      </c>
      <c r="D93" t="s">
        <v>126</v>
      </c>
      <c r="E93" t="s">
        <v>326</v>
      </c>
      <c r="F93" t="s">
        <v>326</v>
      </c>
      <c r="G93" t="s">
        <v>401</v>
      </c>
      <c r="H93" t="s">
        <v>328</v>
      </c>
      <c r="I93" t="s">
        <v>402</v>
      </c>
      <c r="J93" t="s">
        <v>326</v>
      </c>
      <c r="K93" t="s">
        <v>403</v>
      </c>
      <c r="L93" t="s">
        <v>328</v>
      </c>
      <c r="M93" t="s">
        <v>329</v>
      </c>
      <c r="O93" s="10" t="s">
        <v>328</v>
      </c>
      <c r="P93" s="11">
        <v>8</v>
      </c>
    </row>
    <row r="94" spans="1:16" hidden="1" x14ac:dyDescent="0.3">
      <c r="A94" t="s">
        <v>145</v>
      </c>
      <c r="B94" t="s">
        <v>328</v>
      </c>
      <c r="C94" t="s">
        <v>400</v>
      </c>
      <c r="D94" t="s">
        <v>97</v>
      </c>
      <c r="E94" t="s">
        <v>326</v>
      </c>
      <c r="F94" t="s">
        <v>326</v>
      </c>
      <c r="G94" t="s">
        <v>404</v>
      </c>
      <c r="H94" t="s">
        <v>328</v>
      </c>
      <c r="I94" t="s">
        <v>404</v>
      </c>
      <c r="J94" t="s">
        <v>326</v>
      </c>
      <c r="K94" t="s">
        <v>404</v>
      </c>
      <c r="L94" t="s">
        <v>328</v>
      </c>
      <c r="M94" t="s">
        <v>329</v>
      </c>
      <c r="O94" s="10" t="s">
        <v>328</v>
      </c>
      <c r="P94" s="11">
        <v>8</v>
      </c>
    </row>
    <row r="95" spans="1:16" hidden="1" x14ac:dyDescent="0.3">
      <c r="A95" t="s">
        <v>145</v>
      </c>
      <c r="B95" t="s">
        <v>328</v>
      </c>
      <c r="C95" t="s">
        <v>400</v>
      </c>
      <c r="D95" t="s">
        <v>42</v>
      </c>
      <c r="E95" t="s">
        <v>326</v>
      </c>
      <c r="F95" t="s">
        <v>326</v>
      </c>
      <c r="G95" t="s">
        <v>405</v>
      </c>
      <c r="H95" t="s">
        <v>328</v>
      </c>
      <c r="I95" t="s">
        <v>406</v>
      </c>
      <c r="J95" t="s">
        <v>326</v>
      </c>
      <c r="K95" t="s">
        <v>407</v>
      </c>
      <c r="L95" t="s">
        <v>328</v>
      </c>
      <c r="M95" t="s">
        <v>329</v>
      </c>
      <c r="O95" s="10" t="s">
        <v>328</v>
      </c>
      <c r="P95" s="11">
        <v>8</v>
      </c>
    </row>
    <row r="96" spans="1:16" hidden="1" x14ac:dyDescent="0.3">
      <c r="A96" t="s">
        <v>145</v>
      </c>
      <c r="B96" t="s">
        <v>328</v>
      </c>
      <c r="C96" t="s">
        <v>400</v>
      </c>
      <c r="D96" t="s">
        <v>70</v>
      </c>
      <c r="E96" t="s">
        <v>326</v>
      </c>
      <c r="F96" t="s">
        <v>326</v>
      </c>
      <c r="G96" t="s">
        <v>408</v>
      </c>
      <c r="H96" t="s">
        <v>328</v>
      </c>
      <c r="I96" t="s">
        <v>409</v>
      </c>
      <c r="J96" t="s">
        <v>326</v>
      </c>
      <c r="K96" t="s">
        <v>410</v>
      </c>
      <c r="L96" t="s">
        <v>328</v>
      </c>
      <c r="M96" t="s">
        <v>329</v>
      </c>
      <c r="O96" s="10" t="s">
        <v>328</v>
      </c>
      <c r="P96" s="11">
        <v>8</v>
      </c>
    </row>
    <row r="97" spans="1:16" hidden="1" x14ac:dyDescent="0.3">
      <c r="A97" t="s">
        <v>145</v>
      </c>
      <c r="B97" t="s">
        <v>411</v>
      </c>
      <c r="C97" t="s">
        <v>400</v>
      </c>
      <c r="D97" t="s">
        <v>22</v>
      </c>
      <c r="E97" t="s">
        <v>412</v>
      </c>
      <c r="F97" t="s">
        <v>413</v>
      </c>
      <c r="G97" t="s">
        <v>414</v>
      </c>
      <c r="H97" t="s">
        <v>415</v>
      </c>
      <c r="I97" t="s">
        <v>416</v>
      </c>
      <c r="J97" t="s">
        <v>290</v>
      </c>
      <c r="K97" t="s">
        <v>417</v>
      </c>
      <c r="L97" t="s">
        <v>418</v>
      </c>
      <c r="M97" t="s">
        <v>292</v>
      </c>
      <c r="O97" s="10" t="s">
        <v>419</v>
      </c>
      <c r="P97" s="11">
        <v>6</v>
      </c>
    </row>
    <row r="98" spans="1:16" hidden="1" x14ac:dyDescent="0.3">
      <c r="A98" t="s">
        <v>145</v>
      </c>
      <c r="B98" t="s">
        <v>411</v>
      </c>
      <c r="C98" t="s">
        <v>400</v>
      </c>
      <c r="D98" t="s">
        <v>25</v>
      </c>
      <c r="E98" t="s">
        <v>412</v>
      </c>
      <c r="F98" t="s">
        <v>413</v>
      </c>
      <c r="G98" t="s">
        <v>414</v>
      </c>
      <c r="H98" t="s">
        <v>415</v>
      </c>
      <c r="I98" t="s">
        <v>416</v>
      </c>
      <c r="J98" t="s">
        <v>290</v>
      </c>
      <c r="K98" t="s">
        <v>417</v>
      </c>
      <c r="L98" t="s">
        <v>418</v>
      </c>
      <c r="M98" t="s">
        <v>292</v>
      </c>
      <c r="O98" s="10" t="s">
        <v>419</v>
      </c>
      <c r="P98" s="11">
        <v>6</v>
      </c>
    </row>
    <row r="99" spans="1:16" hidden="1" x14ac:dyDescent="0.3">
      <c r="A99" t="s">
        <v>145</v>
      </c>
      <c r="B99" t="s">
        <v>411</v>
      </c>
      <c r="C99" t="s">
        <v>400</v>
      </c>
      <c r="D99" t="s">
        <v>30</v>
      </c>
      <c r="E99" t="s">
        <v>420</v>
      </c>
      <c r="F99" t="s">
        <v>413</v>
      </c>
      <c r="G99" t="s">
        <v>414</v>
      </c>
      <c r="H99" t="s">
        <v>415</v>
      </c>
      <c r="I99" t="s">
        <v>416</v>
      </c>
      <c r="J99" t="s">
        <v>290</v>
      </c>
      <c r="K99" t="s">
        <v>417</v>
      </c>
      <c r="L99" t="s">
        <v>418</v>
      </c>
      <c r="M99" t="s">
        <v>292</v>
      </c>
      <c r="O99" s="10" t="s">
        <v>419</v>
      </c>
      <c r="P99" s="11">
        <v>6</v>
      </c>
    </row>
    <row r="100" spans="1:16" hidden="1" x14ac:dyDescent="0.3">
      <c r="A100" t="s">
        <v>145</v>
      </c>
      <c r="B100" t="s">
        <v>411</v>
      </c>
      <c r="C100" t="s">
        <v>400</v>
      </c>
      <c r="D100" t="s">
        <v>19</v>
      </c>
      <c r="E100" t="s">
        <v>412</v>
      </c>
      <c r="F100" t="s">
        <v>413</v>
      </c>
      <c r="G100" t="s">
        <v>414</v>
      </c>
      <c r="H100" t="s">
        <v>415</v>
      </c>
      <c r="I100" t="s">
        <v>416</v>
      </c>
      <c r="J100" t="s">
        <v>290</v>
      </c>
      <c r="K100" t="s">
        <v>421</v>
      </c>
      <c r="L100" t="s">
        <v>418</v>
      </c>
      <c r="M100" t="s">
        <v>292</v>
      </c>
      <c r="O100" s="10" t="s">
        <v>419</v>
      </c>
      <c r="P100" s="11">
        <v>6</v>
      </c>
    </row>
    <row r="101" spans="1:16" hidden="1" x14ac:dyDescent="0.3">
      <c r="A101" t="s">
        <v>145</v>
      </c>
      <c r="B101" t="s">
        <v>411</v>
      </c>
      <c r="C101" t="s">
        <v>400</v>
      </c>
      <c r="D101" t="s">
        <v>36</v>
      </c>
      <c r="E101" t="s">
        <v>412</v>
      </c>
      <c r="F101" t="s">
        <v>422</v>
      </c>
      <c r="G101" t="s">
        <v>414</v>
      </c>
      <c r="H101" t="s">
        <v>415</v>
      </c>
      <c r="I101" t="s">
        <v>416</v>
      </c>
      <c r="J101" t="s">
        <v>290</v>
      </c>
      <c r="K101" t="s">
        <v>421</v>
      </c>
      <c r="L101" t="s">
        <v>422</v>
      </c>
      <c r="M101" t="s">
        <v>292</v>
      </c>
      <c r="O101" s="10" t="s">
        <v>419</v>
      </c>
      <c r="P101" s="11">
        <v>6</v>
      </c>
    </row>
    <row r="102" spans="1:16" hidden="1" x14ac:dyDescent="0.3">
      <c r="A102" t="s">
        <v>145</v>
      </c>
      <c r="B102" t="s">
        <v>411</v>
      </c>
      <c r="C102" t="s">
        <v>400</v>
      </c>
      <c r="D102" t="s">
        <v>37</v>
      </c>
      <c r="E102" t="s">
        <v>412</v>
      </c>
      <c r="F102" t="s">
        <v>423</v>
      </c>
      <c r="G102" t="s">
        <v>414</v>
      </c>
      <c r="H102" t="s">
        <v>415</v>
      </c>
      <c r="I102" t="s">
        <v>416</v>
      </c>
      <c r="J102" t="s">
        <v>290</v>
      </c>
      <c r="K102" t="s">
        <v>421</v>
      </c>
      <c r="L102" t="s">
        <v>423</v>
      </c>
      <c r="M102" t="s">
        <v>292</v>
      </c>
      <c r="O102" s="10" t="s">
        <v>419</v>
      </c>
      <c r="P102" s="11">
        <v>6</v>
      </c>
    </row>
    <row r="103" spans="1:16" hidden="1" x14ac:dyDescent="0.3">
      <c r="A103" t="s">
        <v>145</v>
      </c>
      <c r="B103" t="s">
        <v>411</v>
      </c>
      <c r="C103" t="s">
        <v>400</v>
      </c>
      <c r="D103" t="s">
        <v>23</v>
      </c>
      <c r="E103" t="s">
        <v>412</v>
      </c>
      <c r="F103" t="s">
        <v>413</v>
      </c>
      <c r="G103" t="s">
        <v>414</v>
      </c>
      <c r="H103" t="s">
        <v>415</v>
      </c>
      <c r="I103" t="s">
        <v>416</v>
      </c>
      <c r="J103" t="s">
        <v>290</v>
      </c>
      <c r="K103" t="s">
        <v>424</v>
      </c>
      <c r="L103" t="s">
        <v>418</v>
      </c>
      <c r="M103" t="s">
        <v>292</v>
      </c>
      <c r="O103" s="10" t="s">
        <v>419</v>
      </c>
      <c r="P103" s="11">
        <v>6</v>
      </c>
    </row>
    <row r="104" spans="1:16" hidden="1" x14ac:dyDescent="0.3">
      <c r="A104" t="s">
        <v>145</v>
      </c>
      <c r="B104" t="s">
        <v>411</v>
      </c>
      <c r="C104" t="s">
        <v>400</v>
      </c>
      <c r="D104" t="s">
        <v>27</v>
      </c>
      <c r="E104" t="s">
        <v>412</v>
      </c>
      <c r="F104" t="s">
        <v>413</v>
      </c>
      <c r="G104" t="s">
        <v>414</v>
      </c>
      <c r="H104" t="s">
        <v>415</v>
      </c>
      <c r="I104" t="s">
        <v>416</v>
      </c>
      <c r="J104" t="s">
        <v>290</v>
      </c>
      <c r="K104" t="s">
        <v>424</v>
      </c>
      <c r="L104" t="s">
        <v>418</v>
      </c>
      <c r="M104" t="s">
        <v>292</v>
      </c>
      <c r="O104" s="10" t="s">
        <v>419</v>
      </c>
      <c r="P104" s="11">
        <v>6</v>
      </c>
    </row>
    <row r="105" spans="1:16" hidden="1" x14ac:dyDescent="0.3">
      <c r="A105" t="s">
        <v>145</v>
      </c>
      <c r="B105" t="s">
        <v>411</v>
      </c>
      <c r="C105" t="s">
        <v>400</v>
      </c>
      <c r="D105" t="s">
        <v>28</v>
      </c>
      <c r="E105" t="s">
        <v>425</v>
      </c>
      <c r="F105" t="s">
        <v>413</v>
      </c>
      <c r="G105" t="s">
        <v>414</v>
      </c>
      <c r="H105" t="s">
        <v>415</v>
      </c>
      <c r="I105" t="s">
        <v>416</v>
      </c>
      <c r="J105" t="s">
        <v>290</v>
      </c>
      <c r="K105" t="s">
        <v>424</v>
      </c>
      <c r="L105" t="s">
        <v>418</v>
      </c>
      <c r="M105" t="s">
        <v>292</v>
      </c>
      <c r="O105" s="10" t="s">
        <v>419</v>
      </c>
      <c r="P105" s="11">
        <v>6</v>
      </c>
    </row>
    <row r="106" spans="1:16" hidden="1" x14ac:dyDescent="0.3">
      <c r="A106" t="s">
        <v>145</v>
      </c>
      <c r="B106" t="s">
        <v>411</v>
      </c>
      <c r="C106" t="s">
        <v>400</v>
      </c>
      <c r="D106" t="s">
        <v>24</v>
      </c>
      <c r="E106" t="s">
        <v>426</v>
      </c>
      <c r="F106" t="s">
        <v>413</v>
      </c>
      <c r="G106" t="s">
        <v>414</v>
      </c>
      <c r="H106" t="s">
        <v>415</v>
      </c>
      <c r="I106" t="s">
        <v>416</v>
      </c>
      <c r="J106" t="s">
        <v>290</v>
      </c>
      <c r="K106" t="s">
        <v>427</v>
      </c>
      <c r="L106" t="s">
        <v>418</v>
      </c>
      <c r="M106" t="s">
        <v>292</v>
      </c>
      <c r="O106" s="10" t="s">
        <v>419</v>
      </c>
      <c r="P106" s="11">
        <v>6</v>
      </c>
    </row>
    <row r="107" spans="1:16" hidden="1" x14ac:dyDescent="0.3">
      <c r="A107" t="s">
        <v>145</v>
      </c>
      <c r="B107" t="s">
        <v>411</v>
      </c>
      <c r="C107" t="s">
        <v>400</v>
      </c>
      <c r="D107" t="s">
        <v>26</v>
      </c>
      <c r="E107" t="s">
        <v>420</v>
      </c>
      <c r="F107" t="s">
        <v>296</v>
      </c>
      <c r="G107" t="s">
        <v>414</v>
      </c>
      <c r="H107" t="s">
        <v>415</v>
      </c>
      <c r="I107" t="s">
        <v>416</v>
      </c>
      <c r="J107" t="s">
        <v>290</v>
      </c>
      <c r="K107" t="s">
        <v>427</v>
      </c>
      <c r="L107" t="s">
        <v>428</v>
      </c>
      <c r="M107" t="s">
        <v>292</v>
      </c>
      <c r="O107" s="10" t="s">
        <v>419</v>
      </c>
      <c r="P107" s="11">
        <v>6</v>
      </c>
    </row>
    <row r="108" spans="1:16" hidden="1" x14ac:dyDescent="0.3">
      <c r="A108" t="s">
        <v>145</v>
      </c>
      <c r="B108" t="s">
        <v>411</v>
      </c>
      <c r="C108" t="s">
        <v>400</v>
      </c>
      <c r="D108" t="s">
        <v>29</v>
      </c>
      <c r="E108" t="s">
        <v>425</v>
      </c>
      <c r="F108" t="s">
        <v>413</v>
      </c>
      <c r="G108" t="s">
        <v>414</v>
      </c>
      <c r="H108" t="s">
        <v>415</v>
      </c>
      <c r="I108" t="s">
        <v>416</v>
      </c>
      <c r="J108" t="s">
        <v>290</v>
      </c>
      <c r="K108" t="s">
        <v>427</v>
      </c>
      <c r="L108" t="s">
        <v>418</v>
      </c>
      <c r="M108" t="s">
        <v>292</v>
      </c>
      <c r="O108" s="10" t="s">
        <v>419</v>
      </c>
      <c r="P108" s="11">
        <v>6</v>
      </c>
    </row>
    <row r="109" spans="1:16" hidden="1" x14ac:dyDescent="0.3">
      <c r="A109" t="s">
        <v>145</v>
      </c>
      <c r="B109" t="s">
        <v>411</v>
      </c>
      <c r="C109" t="s">
        <v>400</v>
      </c>
      <c r="D109" t="s">
        <v>31</v>
      </c>
      <c r="E109" t="s">
        <v>429</v>
      </c>
      <c r="F109" t="s">
        <v>430</v>
      </c>
      <c r="G109" t="s">
        <v>414</v>
      </c>
      <c r="H109" t="s">
        <v>415</v>
      </c>
      <c r="I109" t="s">
        <v>416</v>
      </c>
      <c r="J109" t="s">
        <v>290</v>
      </c>
      <c r="K109" t="s">
        <v>427</v>
      </c>
      <c r="L109" t="s">
        <v>430</v>
      </c>
      <c r="M109" t="s">
        <v>292</v>
      </c>
      <c r="N109" s="11" t="s">
        <v>159</v>
      </c>
      <c r="O109" s="10" t="s">
        <v>419</v>
      </c>
      <c r="P109" s="11">
        <v>6</v>
      </c>
    </row>
    <row r="110" spans="1:16" hidden="1" x14ac:dyDescent="0.3">
      <c r="A110" t="s">
        <v>145</v>
      </c>
      <c r="B110" t="s">
        <v>411</v>
      </c>
      <c r="C110" t="s">
        <v>400</v>
      </c>
      <c r="D110" t="s">
        <v>32</v>
      </c>
      <c r="E110" t="s">
        <v>412</v>
      </c>
      <c r="F110" t="s">
        <v>413</v>
      </c>
      <c r="G110" t="s">
        <v>414</v>
      </c>
      <c r="H110" t="s">
        <v>415</v>
      </c>
      <c r="I110" t="s">
        <v>416</v>
      </c>
      <c r="J110" t="s">
        <v>290</v>
      </c>
      <c r="K110" t="s">
        <v>427</v>
      </c>
      <c r="L110" t="s">
        <v>418</v>
      </c>
      <c r="M110" t="s">
        <v>292</v>
      </c>
      <c r="O110" s="10" t="s">
        <v>419</v>
      </c>
      <c r="P110" s="11">
        <v>6</v>
      </c>
    </row>
    <row r="111" spans="1:16" hidden="1" x14ac:dyDescent="0.3">
      <c r="A111" t="s">
        <v>145</v>
      </c>
      <c r="B111" t="s">
        <v>411</v>
      </c>
      <c r="C111" t="s">
        <v>400</v>
      </c>
      <c r="D111" t="s">
        <v>33</v>
      </c>
      <c r="E111" t="s">
        <v>420</v>
      </c>
      <c r="F111" t="s">
        <v>294</v>
      </c>
      <c r="G111" t="s">
        <v>414</v>
      </c>
      <c r="H111" t="s">
        <v>415</v>
      </c>
      <c r="I111" t="s">
        <v>416</v>
      </c>
      <c r="J111" t="s">
        <v>290</v>
      </c>
      <c r="K111" t="s">
        <v>427</v>
      </c>
      <c r="L111" t="s">
        <v>431</v>
      </c>
      <c r="M111" t="s">
        <v>292</v>
      </c>
      <c r="O111" s="10" t="s">
        <v>419</v>
      </c>
      <c r="P111" s="11">
        <v>6</v>
      </c>
    </row>
    <row r="112" spans="1:16" hidden="1" x14ac:dyDescent="0.3">
      <c r="A112" t="s">
        <v>145</v>
      </c>
      <c r="B112" t="s">
        <v>411</v>
      </c>
      <c r="C112" t="s">
        <v>400</v>
      </c>
      <c r="D112" t="s">
        <v>34</v>
      </c>
      <c r="E112" t="s">
        <v>412</v>
      </c>
      <c r="F112" t="s">
        <v>413</v>
      </c>
      <c r="G112" t="s">
        <v>414</v>
      </c>
      <c r="H112" t="s">
        <v>415</v>
      </c>
      <c r="I112" t="s">
        <v>416</v>
      </c>
      <c r="J112" t="s">
        <v>290</v>
      </c>
      <c r="K112" t="s">
        <v>427</v>
      </c>
      <c r="L112" t="s">
        <v>418</v>
      </c>
      <c r="M112" t="s">
        <v>292</v>
      </c>
      <c r="O112" s="10" t="s">
        <v>419</v>
      </c>
      <c r="P112" s="11">
        <v>6</v>
      </c>
    </row>
    <row r="113" spans="1:16" hidden="1" x14ac:dyDescent="0.3">
      <c r="A113" t="s">
        <v>145</v>
      </c>
      <c r="B113" t="s">
        <v>411</v>
      </c>
      <c r="C113" t="s">
        <v>400</v>
      </c>
      <c r="D113" t="s">
        <v>89</v>
      </c>
      <c r="E113" t="s">
        <v>432</v>
      </c>
      <c r="F113" t="s">
        <v>294</v>
      </c>
      <c r="G113" t="s">
        <v>433</v>
      </c>
      <c r="H113" t="s">
        <v>434</v>
      </c>
      <c r="I113" t="s">
        <v>433</v>
      </c>
      <c r="J113" t="s">
        <v>290</v>
      </c>
      <c r="K113" t="s">
        <v>433</v>
      </c>
      <c r="L113" t="s">
        <v>435</v>
      </c>
      <c r="M113" t="s">
        <v>292</v>
      </c>
      <c r="O113" s="10" t="s">
        <v>419</v>
      </c>
      <c r="P113" s="11">
        <v>6</v>
      </c>
    </row>
    <row r="114" spans="1:16" hidden="1" x14ac:dyDescent="0.3">
      <c r="A114" t="s">
        <v>145</v>
      </c>
      <c r="B114" t="s">
        <v>411</v>
      </c>
      <c r="C114" t="s">
        <v>400</v>
      </c>
      <c r="D114" t="s">
        <v>92</v>
      </c>
      <c r="E114" t="s">
        <v>436</v>
      </c>
      <c r="F114" t="s">
        <v>294</v>
      </c>
      <c r="G114" t="s">
        <v>433</v>
      </c>
      <c r="H114" t="s">
        <v>434</v>
      </c>
      <c r="I114" t="s">
        <v>433</v>
      </c>
      <c r="J114" t="s">
        <v>290</v>
      </c>
      <c r="K114" t="s">
        <v>433</v>
      </c>
      <c r="L114" t="s">
        <v>436</v>
      </c>
      <c r="M114" t="s">
        <v>292</v>
      </c>
      <c r="O114" s="10" t="s">
        <v>419</v>
      </c>
      <c r="P114" s="11">
        <v>6</v>
      </c>
    </row>
    <row r="115" spans="1:16" hidden="1" x14ac:dyDescent="0.3">
      <c r="A115" t="s">
        <v>145</v>
      </c>
      <c r="B115" t="s">
        <v>411</v>
      </c>
      <c r="C115" t="s">
        <v>400</v>
      </c>
      <c r="D115" t="s">
        <v>93</v>
      </c>
      <c r="E115" t="s">
        <v>437</v>
      </c>
      <c r="F115" t="s">
        <v>296</v>
      </c>
      <c r="G115" t="s">
        <v>433</v>
      </c>
      <c r="H115" t="s">
        <v>434</v>
      </c>
      <c r="I115" t="s">
        <v>433</v>
      </c>
      <c r="J115" t="s">
        <v>290</v>
      </c>
      <c r="K115" t="s">
        <v>433</v>
      </c>
      <c r="L115" t="s">
        <v>438</v>
      </c>
      <c r="M115" t="s">
        <v>292</v>
      </c>
      <c r="O115" s="10" t="s">
        <v>419</v>
      </c>
      <c r="P115" s="11">
        <v>6</v>
      </c>
    </row>
    <row r="116" spans="1:16" hidden="1" x14ac:dyDescent="0.3">
      <c r="A116" t="s">
        <v>145</v>
      </c>
      <c r="B116" t="s">
        <v>411</v>
      </c>
      <c r="C116" t="s">
        <v>400</v>
      </c>
      <c r="D116" t="s">
        <v>95</v>
      </c>
      <c r="E116" t="s">
        <v>439</v>
      </c>
      <c r="F116" t="s">
        <v>294</v>
      </c>
      <c r="G116" t="s">
        <v>433</v>
      </c>
      <c r="H116" t="s">
        <v>434</v>
      </c>
      <c r="I116" t="s">
        <v>433</v>
      </c>
      <c r="J116" t="s">
        <v>290</v>
      </c>
      <c r="K116" t="s">
        <v>433</v>
      </c>
      <c r="L116" t="s">
        <v>439</v>
      </c>
      <c r="M116" t="s">
        <v>292</v>
      </c>
      <c r="O116" s="10" t="s">
        <v>419</v>
      </c>
      <c r="P116" s="11">
        <v>6</v>
      </c>
    </row>
    <row r="117" spans="1:16" hidden="1" x14ac:dyDescent="0.3">
      <c r="A117" t="s">
        <v>145</v>
      </c>
      <c r="B117" t="s">
        <v>411</v>
      </c>
      <c r="C117" t="s">
        <v>400</v>
      </c>
      <c r="D117" t="s">
        <v>63</v>
      </c>
      <c r="E117" t="s">
        <v>432</v>
      </c>
      <c r="F117" t="s">
        <v>294</v>
      </c>
      <c r="G117" t="s">
        <v>440</v>
      </c>
      <c r="H117" t="s">
        <v>441</v>
      </c>
      <c r="I117" t="s">
        <v>440</v>
      </c>
      <c r="J117" t="s">
        <v>290</v>
      </c>
      <c r="K117" t="s">
        <v>440</v>
      </c>
      <c r="L117" t="s">
        <v>442</v>
      </c>
      <c r="M117" t="s">
        <v>292</v>
      </c>
      <c r="O117" s="10" t="s">
        <v>419</v>
      </c>
      <c r="P117" s="11">
        <v>6</v>
      </c>
    </row>
    <row r="118" spans="1:16" hidden="1" x14ac:dyDescent="0.3">
      <c r="A118" t="s">
        <v>145</v>
      </c>
      <c r="B118" t="s">
        <v>411</v>
      </c>
      <c r="C118" t="s">
        <v>400</v>
      </c>
      <c r="D118" t="s">
        <v>65</v>
      </c>
      <c r="E118" t="s">
        <v>436</v>
      </c>
      <c r="F118" t="s">
        <v>294</v>
      </c>
      <c r="G118" t="s">
        <v>440</v>
      </c>
      <c r="H118" t="s">
        <v>441</v>
      </c>
      <c r="I118" t="s">
        <v>440</v>
      </c>
      <c r="J118" t="s">
        <v>290</v>
      </c>
      <c r="K118" t="s">
        <v>440</v>
      </c>
      <c r="L118" t="s">
        <v>436</v>
      </c>
      <c r="M118" t="s">
        <v>292</v>
      </c>
      <c r="O118" s="10" t="s">
        <v>419</v>
      </c>
      <c r="P118" s="11">
        <v>6</v>
      </c>
    </row>
    <row r="119" spans="1:16" hidden="1" x14ac:dyDescent="0.3">
      <c r="A119" t="s">
        <v>145</v>
      </c>
      <c r="B119" t="s">
        <v>411</v>
      </c>
      <c r="C119" t="s">
        <v>400</v>
      </c>
      <c r="D119" t="s">
        <v>66</v>
      </c>
      <c r="E119" t="s">
        <v>437</v>
      </c>
      <c r="F119" t="s">
        <v>296</v>
      </c>
      <c r="G119" t="s">
        <v>440</v>
      </c>
      <c r="H119" t="s">
        <v>441</v>
      </c>
      <c r="I119" t="s">
        <v>440</v>
      </c>
      <c r="J119" t="s">
        <v>290</v>
      </c>
      <c r="K119" t="s">
        <v>440</v>
      </c>
      <c r="L119" t="s">
        <v>443</v>
      </c>
      <c r="M119" t="s">
        <v>292</v>
      </c>
      <c r="O119" s="10" t="s">
        <v>419</v>
      </c>
      <c r="P119" s="11">
        <v>6</v>
      </c>
    </row>
    <row r="120" spans="1:16" hidden="1" x14ac:dyDescent="0.3">
      <c r="A120" t="s">
        <v>145</v>
      </c>
      <c r="B120" t="s">
        <v>411</v>
      </c>
      <c r="C120" t="s">
        <v>400</v>
      </c>
      <c r="D120" t="s">
        <v>68</v>
      </c>
      <c r="E120" t="s">
        <v>439</v>
      </c>
      <c r="F120" t="s">
        <v>294</v>
      </c>
      <c r="G120" t="s">
        <v>440</v>
      </c>
      <c r="H120" t="s">
        <v>441</v>
      </c>
      <c r="I120" t="s">
        <v>440</v>
      </c>
      <c r="J120" t="s">
        <v>290</v>
      </c>
      <c r="K120" t="s">
        <v>440</v>
      </c>
      <c r="L120" t="s">
        <v>439</v>
      </c>
      <c r="M120" t="s">
        <v>292</v>
      </c>
      <c r="O120" s="10" t="s">
        <v>419</v>
      </c>
      <c r="P120" s="11">
        <v>6</v>
      </c>
    </row>
    <row r="121" spans="1:16" hidden="1" x14ac:dyDescent="0.3">
      <c r="A121" t="s">
        <v>145</v>
      </c>
      <c r="B121" t="s">
        <v>411</v>
      </c>
      <c r="C121" t="s">
        <v>400</v>
      </c>
      <c r="D121" t="s">
        <v>117</v>
      </c>
      <c r="E121" t="s">
        <v>413</v>
      </c>
      <c r="F121" t="s">
        <v>444</v>
      </c>
      <c r="G121" t="s">
        <v>445</v>
      </c>
      <c r="H121" t="s">
        <v>446</v>
      </c>
      <c r="I121" t="s">
        <v>445</v>
      </c>
      <c r="J121" t="s">
        <v>290</v>
      </c>
      <c r="K121" t="s">
        <v>447</v>
      </c>
      <c r="L121" t="s">
        <v>444</v>
      </c>
      <c r="M121" t="s">
        <v>292</v>
      </c>
      <c r="O121" s="10" t="s">
        <v>419</v>
      </c>
      <c r="P121" s="11">
        <v>6</v>
      </c>
    </row>
    <row r="122" spans="1:16" hidden="1" x14ac:dyDescent="0.3">
      <c r="A122" t="s">
        <v>145</v>
      </c>
      <c r="B122" t="s">
        <v>411</v>
      </c>
      <c r="C122" t="s">
        <v>400</v>
      </c>
      <c r="D122" t="s">
        <v>119</v>
      </c>
      <c r="E122" t="s">
        <v>436</v>
      </c>
      <c r="F122" t="s">
        <v>294</v>
      </c>
      <c r="G122" t="s">
        <v>445</v>
      </c>
      <c r="H122" t="s">
        <v>446</v>
      </c>
      <c r="I122" t="s">
        <v>445</v>
      </c>
      <c r="J122" t="s">
        <v>290</v>
      </c>
      <c r="K122" t="s">
        <v>447</v>
      </c>
      <c r="L122" t="s">
        <v>436</v>
      </c>
      <c r="M122" t="s">
        <v>292</v>
      </c>
      <c r="O122" s="10" t="s">
        <v>419</v>
      </c>
      <c r="P122" s="11">
        <v>6</v>
      </c>
    </row>
    <row r="123" spans="1:16" hidden="1" x14ac:dyDescent="0.3">
      <c r="A123" t="s">
        <v>145</v>
      </c>
      <c r="B123" t="s">
        <v>411</v>
      </c>
      <c r="C123" t="s">
        <v>400</v>
      </c>
      <c r="D123" t="s">
        <v>120</v>
      </c>
      <c r="E123" t="s">
        <v>437</v>
      </c>
      <c r="F123" t="s">
        <v>296</v>
      </c>
      <c r="G123" t="s">
        <v>445</v>
      </c>
      <c r="H123" t="s">
        <v>446</v>
      </c>
      <c r="I123" t="s">
        <v>445</v>
      </c>
      <c r="J123" t="s">
        <v>290</v>
      </c>
      <c r="K123" t="s">
        <v>447</v>
      </c>
      <c r="L123" t="s">
        <v>438</v>
      </c>
      <c r="M123" t="s">
        <v>292</v>
      </c>
      <c r="O123" s="10" t="s">
        <v>419</v>
      </c>
      <c r="P123" s="11">
        <v>6</v>
      </c>
    </row>
    <row r="124" spans="1:16" hidden="1" x14ac:dyDescent="0.3">
      <c r="A124" t="s">
        <v>145</v>
      </c>
      <c r="B124" t="s">
        <v>411</v>
      </c>
      <c r="C124" t="s">
        <v>400</v>
      </c>
      <c r="D124" t="s">
        <v>122</v>
      </c>
      <c r="E124" t="s">
        <v>439</v>
      </c>
      <c r="F124" t="s">
        <v>294</v>
      </c>
      <c r="G124" t="s">
        <v>445</v>
      </c>
      <c r="H124" t="s">
        <v>446</v>
      </c>
      <c r="I124" t="s">
        <v>445</v>
      </c>
      <c r="J124" t="s">
        <v>290</v>
      </c>
      <c r="K124" t="s">
        <v>447</v>
      </c>
      <c r="L124" t="s">
        <v>439</v>
      </c>
      <c r="M124" t="s">
        <v>292</v>
      </c>
      <c r="O124" s="10" t="s">
        <v>419</v>
      </c>
      <c r="P124" s="11">
        <v>6</v>
      </c>
    </row>
    <row r="125" spans="1:16" hidden="1" x14ac:dyDescent="0.3">
      <c r="A125" t="s">
        <v>145</v>
      </c>
      <c r="B125" t="s">
        <v>448</v>
      </c>
      <c r="C125" t="s">
        <v>448</v>
      </c>
      <c r="D125" t="s">
        <v>449</v>
      </c>
      <c r="E125" t="s">
        <v>450</v>
      </c>
      <c r="F125" t="s">
        <v>450</v>
      </c>
      <c r="G125" t="s">
        <v>451</v>
      </c>
      <c r="H125" t="s">
        <v>452</v>
      </c>
      <c r="I125" t="s">
        <v>451</v>
      </c>
      <c r="J125" t="s">
        <v>452</v>
      </c>
      <c r="K125" t="s">
        <v>453</v>
      </c>
      <c r="L125" t="s">
        <v>454</v>
      </c>
      <c r="M125" t="s">
        <v>455</v>
      </c>
      <c r="N125" s="11" t="s">
        <v>159</v>
      </c>
      <c r="O125" s="10" t="s">
        <v>154</v>
      </c>
      <c r="P125" s="11">
        <v>100</v>
      </c>
    </row>
    <row r="126" spans="1:16" hidden="1" x14ac:dyDescent="0.3">
      <c r="A126" t="s">
        <v>145</v>
      </c>
      <c r="B126" t="s">
        <v>448</v>
      </c>
      <c r="C126" t="s">
        <v>448</v>
      </c>
      <c r="D126" t="s">
        <v>456</v>
      </c>
      <c r="E126" t="s">
        <v>457</v>
      </c>
      <c r="F126" t="s">
        <v>457</v>
      </c>
      <c r="G126" t="s">
        <v>451</v>
      </c>
      <c r="H126" t="s">
        <v>452</v>
      </c>
      <c r="I126" t="s">
        <v>451</v>
      </c>
      <c r="J126" t="s">
        <v>452</v>
      </c>
      <c r="K126" t="s">
        <v>453</v>
      </c>
      <c r="L126" t="s">
        <v>454</v>
      </c>
      <c r="M126" t="s">
        <v>455</v>
      </c>
      <c r="O126" s="10" t="s">
        <v>154</v>
      </c>
      <c r="P126" s="11">
        <v>100</v>
      </c>
    </row>
    <row r="127" spans="1:16" hidden="1" x14ac:dyDescent="0.3">
      <c r="A127" t="s">
        <v>145</v>
      </c>
      <c r="B127" t="s">
        <v>448</v>
      </c>
      <c r="C127" t="s">
        <v>448</v>
      </c>
      <c r="D127" t="s">
        <v>458</v>
      </c>
      <c r="E127" t="s">
        <v>459</v>
      </c>
      <c r="F127" t="s">
        <v>459</v>
      </c>
      <c r="G127" t="s">
        <v>451</v>
      </c>
      <c r="H127" t="s">
        <v>452</v>
      </c>
      <c r="I127" t="s">
        <v>451</v>
      </c>
      <c r="J127" t="s">
        <v>452</v>
      </c>
      <c r="K127" t="s">
        <v>453</v>
      </c>
      <c r="L127" t="s">
        <v>454</v>
      </c>
      <c r="M127" t="s">
        <v>455</v>
      </c>
      <c r="N127" s="11" t="s">
        <v>159</v>
      </c>
      <c r="O127" s="10" t="s">
        <v>154</v>
      </c>
      <c r="P127" s="11">
        <v>100</v>
      </c>
    </row>
    <row r="128" spans="1:16" hidden="1" x14ac:dyDescent="0.3">
      <c r="A128" t="s">
        <v>145</v>
      </c>
      <c r="B128" t="s">
        <v>448</v>
      </c>
      <c r="C128" t="s">
        <v>448</v>
      </c>
      <c r="D128" t="s">
        <v>460</v>
      </c>
      <c r="E128" t="s">
        <v>461</v>
      </c>
      <c r="F128" t="s">
        <v>461</v>
      </c>
      <c r="G128" t="s">
        <v>451</v>
      </c>
      <c r="H128" t="s">
        <v>452</v>
      </c>
      <c r="I128" t="s">
        <v>451</v>
      </c>
      <c r="J128" t="s">
        <v>452</v>
      </c>
      <c r="K128" t="s">
        <v>453</v>
      </c>
      <c r="L128" t="s">
        <v>454</v>
      </c>
      <c r="M128" t="s">
        <v>455</v>
      </c>
      <c r="O128" s="10" t="s">
        <v>154</v>
      </c>
      <c r="P128" s="11">
        <v>100</v>
      </c>
    </row>
    <row r="129" spans="1:16" hidden="1" x14ac:dyDescent="0.3">
      <c r="A129" t="s">
        <v>145</v>
      </c>
      <c r="B129" t="s">
        <v>448</v>
      </c>
      <c r="C129" t="s">
        <v>448</v>
      </c>
      <c r="D129" t="s">
        <v>462</v>
      </c>
      <c r="E129" t="s">
        <v>463</v>
      </c>
      <c r="F129" t="s">
        <v>463</v>
      </c>
      <c r="G129" t="s">
        <v>451</v>
      </c>
      <c r="H129" t="s">
        <v>452</v>
      </c>
      <c r="I129" t="s">
        <v>451</v>
      </c>
      <c r="J129" t="s">
        <v>452</v>
      </c>
      <c r="K129" t="s">
        <v>464</v>
      </c>
      <c r="L129" t="s">
        <v>465</v>
      </c>
      <c r="M129" t="s">
        <v>455</v>
      </c>
      <c r="N129" s="11" t="s">
        <v>159</v>
      </c>
      <c r="O129" s="10" t="s">
        <v>154</v>
      </c>
      <c r="P129" s="11">
        <v>100</v>
      </c>
    </row>
    <row r="130" spans="1:16" hidden="1" x14ac:dyDescent="0.3">
      <c r="A130" t="s">
        <v>145</v>
      </c>
      <c r="B130" t="s">
        <v>466</v>
      </c>
      <c r="C130" t="s">
        <v>400</v>
      </c>
      <c r="D130" t="s">
        <v>35</v>
      </c>
      <c r="E130" t="s">
        <v>467</v>
      </c>
      <c r="F130" t="s">
        <v>306</v>
      </c>
      <c r="G130" t="s">
        <v>468</v>
      </c>
      <c r="H130" t="s">
        <v>469</v>
      </c>
      <c r="I130" t="s">
        <v>470</v>
      </c>
      <c r="J130" t="s">
        <v>300</v>
      </c>
      <c r="K130" t="s">
        <v>35</v>
      </c>
      <c r="L130" t="s">
        <v>471</v>
      </c>
      <c r="M130" t="s">
        <v>302</v>
      </c>
      <c r="O130" s="10" t="s">
        <v>154</v>
      </c>
      <c r="P130" s="11">
        <v>6</v>
      </c>
    </row>
    <row r="131" spans="1:16" hidden="1" x14ac:dyDescent="0.3">
      <c r="A131" t="s">
        <v>145</v>
      </c>
      <c r="B131" t="s">
        <v>466</v>
      </c>
      <c r="C131" t="s">
        <v>400</v>
      </c>
      <c r="D131" t="s">
        <v>2</v>
      </c>
      <c r="E131" t="s">
        <v>149</v>
      </c>
      <c r="F131" t="s">
        <v>156</v>
      </c>
      <c r="G131" t="s">
        <v>468</v>
      </c>
      <c r="H131" t="s">
        <v>469</v>
      </c>
      <c r="I131" t="s">
        <v>472</v>
      </c>
      <c r="J131" t="s">
        <v>149</v>
      </c>
      <c r="K131" t="s">
        <v>2</v>
      </c>
      <c r="L131" t="s">
        <v>473</v>
      </c>
      <c r="M131" t="s">
        <v>153</v>
      </c>
      <c r="O131" s="10" t="s">
        <v>154</v>
      </c>
      <c r="P131" s="11">
        <v>3</v>
      </c>
    </row>
    <row r="132" spans="1:16" hidden="1" x14ac:dyDescent="0.3">
      <c r="A132" t="s">
        <v>145</v>
      </c>
      <c r="B132" t="s">
        <v>466</v>
      </c>
      <c r="C132" t="s">
        <v>400</v>
      </c>
      <c r="D132" t="s">
        <v>3</v>
      </c>
      <c r="E132" t="s">
        <v>474</v>
      </c>
      <c r="F132" t="s">
        <v>339</v>
      </c>
      <c r="G132" t="s">
        <v>468</v>
      </c>
      <c r="H132" t="s">
        <v>469</v>
      </c>
      <c r="I132" t="s">
        <v>472</v>
      </c>
      <c r="J132" t="s">
        <v>339</v>
      </c>
      <c r="K132" t="s">
        <v>3</v>
      </c>
      <c r="L132" t="s">
        <v>475</v>
      </c>
      <c r="M132" t="s">
        <v>340</v>
      </c>
      <c r="O132" s="10" t="s">
        <v>154</v>
      </c>
      <c r="P132" s="11">
        <v>2</v>
      </c>
    </row>
    <row r="133" spans="1:16" hidden="1" x14ac:dyDescent="0.3">
      <c r="A133" t="s">
        <v>145</v>
      </c>
      <c r="B133" t="s">
        <v>466</v>
      </c>
      <c r="C133" t="s">
        <v>400</v>
      </c>
      <c r="D133" t="s">
        <v>4</v>
      </c>
      <c r="E133" t="s">
        <v>476</v>
      </c>
      <c r="F133" t="s">
        <v>477</v>
      </c>
      <c r="G133" t="s">
        <v>468</v>
      </c>
      <c r="H133" t="s">
        <v>469</v>
      </c>
      <c r="I133" t="s">
        <v>472</v>
      </c>
      <c r="J133" t="s">
        <v>177</v>
      </c>
      <c r="K133" t="s">
        <v>4</v>
      </c>
      <c r="L133" t="s">
        <v>478</v>
      </c>
      <c r="M133" t="s">
        <v>179</v>
      </c>
      <c r="O133" s="10" t="s">
        <v>154</v>
      </c>
      <c r="P133" s="11">
        <v>4</v>
      </c>
    </row>
    <row r="134" spans="1:16" hidden="1" x14ac:dyDescent="0.3">
      <c r="A134" t="s">
        <v>145</v>
      </c>
      <c r="B134" t="s">
        <v>466</v>
      </c>
      <c r="C134" t="s">
        <v>400</v>
      </c>
      <c r="D134" t="s">
        <v>10</v>
      </c>
      <c r="E134" t="s">
        <v>224</v>
      </c>
      <c r="F134" t="s">
        <v>224</v>
      </c>
      <c r="G134" t="s">
        <v>468</v>
      </c>
      <c r="H134" t="s">
        <v>469</v>
      </c>
      <c r="I134" t="s">
        <v>479</v>
      </c>
      <c r="J134" t="s">
        <v>220</v>
      </c>
      <c r="K134" t="s">
        <v>480</v>
      </c>
      <c r="L134" t="s">
        <v>481</v>
      </c>
      <c r="M134" t="s">
        <v>222</v>
      </c>
      <c r="O134" s="10" t="s">
        <v>154</v>
      </c>
      <c r="P134" s="11">
        <v>1</v>
      </c>
    </row>
    <row r="135" spans="1:16" hidden="1" x14ac:dyDescent="0.3">
      <c r="A135" t="s">
        <v>145</v>
      </c>
      <c r="B135" t="s">
        <v>466</v>
      </c>
      <c r="C135" t="s">
        <v>400</v>
      </c>
      <c r="D135" t="s">
        <v>11</v>
      </c>
      <c r="E135" t="s">
        <v>231</v>
      </c>
      <c r="F135" t="s">
        <v>220</v>
      </c>
      <c r="G135" t="s">
        <v>468</v>
      </c>
      <c r="H135" t="s">
        <v>469</v>
      </c>
      <c r="I135" t="s">
        <v>479</v>
      </c>
      <c r="J135" t="s">
        <v>220</v>
      </c>
      <c r="K135" t="s">
        <v>480</v>
      </c>
      <c r="L135" t="s">
        <v>482</v>
      </c>
      <c r="M135" t="s">
        <v>222</v>
      </c>
      <c r="O135" s="10" t="s">
        <v>154</v>
      </c>
      <c r="P135" s="11">
        <v>1</v>
      </c>
    </row>
    <row r="136" spans="1:16" hidden="1" x14ac:dyDescent="0.3">
      <c r="A136" t="s">
        <v>145</v>
      </c>
      <c r="B136" t="s">
        <v>466</v>
      </c>
      <c r="C136" t="s">
        <v>400</v>
      </c>
      <c r="D136" t="s">
        <v>12</v>
      </c>
      <c r="E136" t="s">
        <v>226</v>
      </c>
      <c r="F136" t="s">
        <v>226</v>
      </c>
      <c r="G136" t="s">
        <v>468</v>
      </c>
      <c r="H136" t="s">
        <v>469</v>
      </c>
      <c r="I136" t="s">
        <v>479</v>
      </c>
      <c r="J136" t="s">
        <v>220</v>
      </c>
      <c r="K136" t="s">
        <v>480</v>
      </c>
      <c r="L136" t="s">
        <v>483</v>
      </c>
      <c r="M136" t="s">
        <v>222</v>
      </c>
      <c r="O136" s="10" t="s">
        <v>154</v>
      </c>
      <c r="P136" s="11">
        <v>1</v>
      </c>
    </row>
    <row r="137" spans="1:16" hidden="1" x14ac:dyDescent="0.3">
      <c r="A137" t="s">
        <v>145</v>
      </c>
      <c r="B137" t="s">
        <v>466</v>
      </c>
      <c r="C137" t="s">
        <v>400</v>
      </c>
      <c r="D137" t="s">
        <v>13</v>
      </c>
      <c r="E137" t="s">
        <v>242</v>
      </c>
      <c r="F137" t="s">
        <v>242</v>
      </c>
      <c r="G137" t="s">
        <v>468</v>
      </c>
      <c r="H137" t="s">
        <v>469</v>
      </c>
      <c r="I137" t="s">
        <v>479</v>
      </c>
      <c r="J137" t="s">
        <v>220</v>
      </c>
      <c r="K137" t="s">
        <v>480</v>
      </c>
      <c r="L137" t="s">
        <v>484</v>
      </c>
      <c r="M137" t="s">
        <v>222</v>
      </c>
      <c r="O137" s="10" t="s">
        <v>154</v>
      </c>
      <c r="P137" s="11">
        <v>1</v>
      </c>
    </row>
    <row r="138" spans="1:16" hidden="1" x14ac:dyDescent="0.3">
      <c r="A138" t="s">
        <v>145</v>
      </c>
      <c r="B138" t="s">
        <v>466</v>
      </c>
      <c r="C138" t="s">
        <v>400</v>
      </c>
      <c r="D138" t="s">
        <v>485</v>
      </c>
      <c r="E138" t="s">
        <v>240</v>
      </c>
      <c r="F138" t="s">
        <v>486</v>
      </c>
      <c r="G138" t="s">
        <v>468</v>
      </c>
      <c r="H138" t="s">
        <v>469</v>
      </c>
      <c r="I138" t="s">
        <v>479</v>
      </c>
      <c r="J138" t="s">
        <v>220</v>
      </c>
      <c r="K138" t="s">
        <v>480</v>
      </c>
      <c r="L138" t="s">
        <v>487</v>
      </c>
      <c r="M138" t="s">
        <v>222</v>
      </c>
      <c r="N138" s="11" t="s">
        <v>159</v>
      </c>
      <c r="O138" s="10" t="s">
        <v>154</v>
      </c>
      <c r="P138" s="11">
        <v>1</v>
      </c>
    </row>
    <row r="139" spans="1:16" hidden="1" x14ac:dyDescent="0.3">
      <c r="A139" t="s">
        <v>145</v>
      </c>
      <c r="B139" t="s">
        <v>466</v>
      </c>
      <c r="C139" t="s">
        <v>400</v>
      </c>
      <c r="D139" t="s">
        <v>16</v>
      </c>
      <c r="E139" t="s">
        <v>233</v>
      </c>
      <c r="F139" t="s">
        <v>233</v>
      </c>
      <c r="G139" t="s">
        <v>468</v>
      </c>
      <c r="H139" t="s">
        <v>469</v>
      </c>
      <c r="I139" t="s">
        <v>479</v>
      </c>
      <c r="J139" t="s">
        <v>220</v>
      </c>
      <c r="K139" t="s">
        <v>480</v>
      </c>
      <c r="L139" t="s">
        <v>488</v>
      </c>
      <c r="M139" t="s">
        <v>222</v>
      </c>
      <c r="O139" s="10" t="s">
        <v>154</v>
      </c>
      <c r="P139" s="11">
        <v>1</v>
      </c>
    </row>
    <row r="140" spans="1:16" hidden="1" x14ac:dyDescent="0.3">
      <c r="A140" t="s">
        <v>145</v>
      </c>
      <c r="B140" t="s">
        <v>466</v>
      </c>
      <c r="C140" t="s">
        <v>400</v>
      </c>
      <c r="D140" t="s">
        <v>15</v>
      </c>
      <c r="E140" t="s">
        <v>489</v>
      </c>
      <c r="F140" t="s">
        <v>347</v>
      </c>
      <c r="G140" t="s">
        <v>468</v>
      </c>
      <c r="H140" t="s">
        <v>469</v>
      </c>
      <c r="I140" t="s">
        <v>479</v>
      </c>
      <c r="J140" t="s">
        <v>339</v>
      </c>
      <c r="K140" t="s">
        <v>480</v>
      </c>
      <c r="L140" t="s">
        <v>490</v>
      </c>
      <c r="M140" t="s">
        <v>340</v>
      </c>
      <c r="O140" s="10" t="s">
        <v>154</v>
      </c>
      <c r="P140" s="11">
        <v>2</v>
      </c>
    </row>
    <row r="141" spans="1:16" hidden="1" x14ac:dyDescent="0.3">
      <c r="A141" t="s">
        <v>145</v>
      </c>
      <c r="B141" t="s">
        <v>466</v>
      </c>
      <c r="C141" t="s">
        <v>400</v>
      </c>
      <c r="D141" t="s">
        <v>14</v>
      </c>
      <c r="E141" t="s">
        <v>237</v>
      </c>
      <c r="F141" t="s">
        <v>491</v>
      </c>
      <c r="G141" t="s">
        <v>468</v>
      </c>
      <c r="H141" t="s">
        <v>469</v>
      </c>
      <c r="I141" t="s">
        <v>479</v>
      </c>
      <c r="J141" t="s">
        <v>220</v>
      </c>
      <c r="K141" t="s">
        <v>480</v>
      </c>
      <c r="L141" t="s">
        <v>492</v>
      </c>
      <c r="M141" t="s">
        <v>222</v>
      </c>
      <c r="O141" s="10" t="s">
        <v>154</v>
      </c>
      <c r="P141" s="11">
        <v>1</v>
      </c>
    </row>
    <row r="142" spans="1:16" hidden="1" x14ac:dyDescent="0.3">
      <c r="A142" t="s">
        <v>145</v>
      </c>
      <c r="B142" t="s">
        <v>466</v>
      </c>
      <c r="C142" t="s">
        <v>400</v>
      </c>
      <c r="D142" t="s">
        <v>20</v>
      </c>
      <c r="E142" t="s">
        <v>493</v>
      </c>
      <c r="F142" t="s">
        <v>413</v>
      </c>
      <c r="G142" t="s">
        <v>468</v>
      </c>
      <c r="H142" t="s">
        <v>469</v>
      </c>
      <c r="I142" t="s">
        <v>494</v>
      </c>
      <c r="J142" t="s">
        <v>290</v>
      </c>
      <c r="K142" t="s">
        <v>20</v>
      </c>
      <c r="L142" t="s">
        <v>418</v>
      </c>
      <c r="M142" t="s">
        <v>292</v>
      </c>
      <c r="O142" s="10" t="s">
        <v>154</v>
      </c>
      <c r="P142" s="11">
        <v>6</v>
      </c>
    </row>
    <row r="143" spans="1:16" hidden="1" x14ac:dyDescent="0.3">
      <c r="A143" t="s">
        <v>145</v>
      </c>
      <c r="B143" t="s">
        <v>466</v>
      </c>
      <c r="C143" t="s">
        <v>400</v>
      </c>
      <c r="D143" t="s">
        <v>21</v>
      </c>
      <c r="E143" t="s">
        <v>469</v>
      </c>
      <c r="F143" t="s">
        <v>294</v>
      </c>
      <c r="G143" t="s">
        <v>468</v>
      </c>
      <c r="H143" t="s">
        <v>469</v>
      </c>
      <c r="I143" t="s">
        <v>494</v>
      </c>
      <c r="J143" t="s">
        <v>290</v>
      </c>
      <c r="K143" t="s">
        <v>21</v>
      </c>
      <c r="L143" t="s">
        <v>431</v>
      </c>
      <c r="M143" t="s">
        <v>292</v>
      </c>
      <c r="O143" s="10" t="s">
        <v>154</v>
      </c>
      <c r="P143" s="11">
        <v>6</v>
      </c>
    </row>
    <row r="144" spans="1:16" hidden="1" x14ac:dyDescent="0.3">
      <c r="A144" t="s">
        <v>145</v>
      </c>
      <c r="B144" t="s">
        <v>466</v>
      </c>
      <c r="C144" t="s">
        <v>400</v>
      </c>
      <c r="D144" t="s">
        <v>17</v>
      </c>
      <c r="E144" t="s">
        <v>495</v>
      </c>
      <c r="F144" t="s">
        <v>247</v>
      </c>
      <c r="G144" t="s">
        <v>468</v>
      </c>
      <c r="H144" t="s">
        <v>469</v>
      </c>
      <c r="I144" t="s">
        <v>496</v>
      </c>
      <c r="J144" t="s">
        <v>249</v>
      </c>
      <c r="K144" t="s">
        <v>497</v>
      </c>
      <c r="L144" t="s">
        <v>495</v>
      </c>
      <c r="M144" t="s">
        <v>250</v>
      </c>
      <c r="O144" s="10" t="s">
        <v>154</v>
      </c>
      <c r="P144" s="11">
        <v>5</v>
      </c>
    </row>
    <row r="145" spans="1:16" hidden="1" x14ac:dyDescent="0.3">
      <c r="A145" t="s">
        <v>145</v>
      </c>
      <c r="B145" t="s">
        <v>466</v>
      </c>
      <c r="C145" t="s">
        <v>400</v>
      </c>
      <c r="D145" t="s">
        <v>18</v>
      </c>
      <c r="E145" t="s">
        <v>498</v>
      </c>
      <c r="F145" t="s">
        <v>249</v>
      </c>
      <c r="G145" t="s">
        <v>468</v>
      </c>
      <c r="H145" t="s">
        <v>469</v>
      </c>
      <c r="I145" t="s">
        <v>496</v>
      </c>
      <c r="J145" t="s">
        <v>249</v>
      </c>
      <c r="K145" t="s">
        <v>497</v>
      </c>
      <c r="L145" t="s">
        <v>499</v>
      </c>
      <c r="M145" t="s">
        <v>250</v>
      </c>
      <c r="O145" s="10" t="s">
        <v>154</v>
      </c>
      <c r="P145" s="11">
        <v>5</v>
      </c>
    </row>
    <row r="146" spans="1:16" hidden="1" x14ac:dyDescent="0.3">
      <c r="A146" t="s">
        <v>145</v>
      </c>
      <c r="B146" t="s">
        <v>466</v>
      </c>
      <c r="C146" t="s">
        <v>400</v>
      </c>
      <c r="D146" t="s">
        <v>40</v>
      </c>
      <c r="E146" t="s">
        <v>500</v>
      </c>
      <c r="F146" t="s">
        <v>312</v>
      </c>
      <c r="G146" t="s">
        <v>468</v>
      </c>
      <c r="H146" t="s">
        <v>469</v>
      </c>
      <c r="I146" t="s">
        <v>501</v>
      </c>
      <c r="J146" t="s">
        <v>300</v>
      </c>
      <c r="K146" t="s">
        <v>40</v>
      </c>
      <c r="L146" t="s">
        <v>502</v>
      </c>
      <c r="M146" t="s">
        <v>302</v>
      </c>
      <c r="O146" s="10" t="s">
        <v>154</v>
      </c>
      <c r="P146" s="11">
        <v>6</v>
      </c>
    </row>
    <row r="147" spans="1:16" hidden="1" x14ac:dyDescent="0.3">
      <c r="A147" t="s">
        <v>145</v>
      </c>
      <c r="B147" t="s">
        <v>466</v>
      </c>
      <c r="C147" t="s">
        <v>400</v>
      </c>
      <c r="D147" t="s">
        <v>0</v>
      </c>
      <c r="E147" t="s">
        <v>503</v>
      </c>
      <c r="F147" t="s">
        <v>320</v>
      </c>
      <c r="G147" t="s">
        <v>468</v>
      </c>
      <c r="H147" t="s">
        <v>469</v>
      </c>
      <c r="I147" t="s">
        <v>504</v>
      </c>
      <c r="J147" t="s">
        <v>315</v>
      </c>
      <c r="K147" t="s">
        <v>0</v>
      </c>
      <c r="L147" t="s">
        <v>320</v>
      </c>
      <c r="M147" t="s">
        <v>317</v>
      </c>
      <c r="O147" s="10" t="s">
        <v>154</v>
      </c>
      <c r="P147" s="11">
        <v>7</v>
      </c>
    </row>
    <row r="148" spans="1:16" hidden="1" x14ac:dyDescent="0.3">
      <c r="A148" t="s">
        <v>145</v>
      </c>
      <c r="B148" t="s">
        <v>466</v>
      </c>
      <c r="C148" t="s">
        <v>400</v>
      </c>
      <c r="D148" t="s">
        <v>41</v>
      </c>
      <c r="E148" t="s">
        <v>505</v>
      </c>
      <c r="F148" t="s">
        <v>315</v>
      </c>
      <c r="G148" t="s">
        <v>468</v>
      </c>
      <c r="H148" t="s">
        <v>469</v>
      </c>
      <c r="I148" t="s">
        <v>504</v>
      </c>
      <c r="J148" t="s">
        <v>315</v>
      </c>
      <c r="K148" t="s">
        <v>41</v>
      </c>
      <c r="L148" t="s">
        <v>506</v>
      </c>
      <c r="M148" t="s">
        <v>317</v>
      </c>
      <c r="O148" s="10" t="s">
        <v>154</v>
      </c>
      <c r="P148" s="11">
        <v>7</v>
      </c>
    </row>
    <row r="149" spans="1:16" hidden="1" x14ac:dyDescent="0.3">
      <c r="A149" t="s">
        <v>145</v>
      </c>
      <c r="B149" t="s">
        <v>466</v>
      </c>
      <c r="C149" t="s">
        <v>400</v>
      </c>
      <c r="D149" t="s">
        <v>45</v>
      </c>
      <c r="E149" t="s">
        <v>149</v>
      </c>
      <c r="F149" t="s">
        <v>156</v>
      </c>
      <c r="G149" t="s">
        <v>507</v>
      </c>
      <c r="H149" t="s">
        <v>469</v>
      </c>
      <c r="I149" t="s">
        <v>508</v>
      </c>
      <c r="J149" t="s">
        <v>149</v>
      </c>
      <c r="K149" t="s">
        <v>45</v>
      </c>
      <c r="L149" t="s">
        <v>473</v>
      </c>
      <c r="M149" t="s">
        <v>153</v>
      </c>
      <c r="O149" s="10" t="s">
        <v>154</v>
      </c>
      <c r="P149" s="11">
        <v>3</v>
      </c>
    </row>
    <row r="150" spans="1:16" hidden="1" x14ac:dyDescent="0.3">
      <c r="A150" t="s">
        <v>145</v>
      </c>
      <c r="B150" t="s">
        <v>466</v>
      </c>
      <c r="C150" t="s">
        <v>400</v>
      </c>
      <c r="D150" t="s">
        <v>46</v>
      </c>
      <c r="E150" t="s">
        <v>474</v>
      </c>
      <c r="F150" t="s">
        <v>339</v>
      </c>
      <c r="G150" t="s">
        <v>507</v>
      </c>
      <c r="H150" t="s">
        <v>469</v>
      </c>
      <c r="I150" t="s">
        <v>508</v>
      </c>
      <c r="J150" t="s">
        <v>339</v>
      </c>
      <c r="K150" t="s">
        <v>46</v>
      </c>
      <c r="L150" t="s">
        <v>475</v>
      </c>
      <c r="M150" t="s">
        <v>340</v>
      </c>
      <c r="O150" s="10" t="s">
        <v>154</v>
      </c>
      <c r="P150" s="11">
        <v>2</v>
      </c>
    </row>
    <row r="151" spans="1:16" hidden="1" x14ac:dyDescent="0.3">
      <c r="A151" t="s">
        <v>145</v>
      </c>
      <c r="B151" t="s">
        <v>466</v>
      </c>
      <c r="C151" t="s">
        <v>400</v>
      </c>
      <c r="D151" t="s">
        <v>47</v>
      </c>
      <c r="E151" t="s">
        <v>476</v>
      </c>
      <c r="F151" t="s">
        <v>477</v>
      </c>
      <c r="G151" t="s">
        <v>507</v>
      </c>
      <c r="H151" t="s">
        <v>469</v>
      </c>
      <c r="I151" t="s">
        <v>508</v>
      </c>
      <c r="J151" t="s">
        <v>177</v>
      </c>
      <c r="K151" t="s">
        <v>47</v>
      </c>
      <c r="L151" t="s">
        <v>478</v>
      </c>
      <c r="M151" t="s">
        <v>179</v>
      </c>
      <c r="O151" s="10" t="s">
        <v>154</v>
      </c>
      <c r="P151" s="11">
        <v>4</v>
      </c>
    </row>
    <row r="152" spans="1:16" hidden="1" x14ac:dyDescent="0.3">
      <c r="A152" t="s">
        <v>145</v>
      </c>
      <c r="B152" t="s">
        <v>466</v>
      </c>
      <c r="C152" t="s">
        <v>400</v>
      </c>
      <c r="D152" t="s">
        <v>53</v>
      </c>
      <c r="E152" t="s">
        <v>231</v>
      </c>
      <c r="F152" t="s">
        <v>220</v>
      </c>
      <c r="G152" t="s">
        <v>507</v>
      </c>
      <c r="H152" t="s">
        <v>469</v>
      </c>
      <c r="I152" t="s">
        <v>509</v>
      </c>
      <c r="J152" t="s">
        <v>220</v>
      </c>
      <c r="K152" t="s">
        <v>53</v>
      </c>
      <c r="L152" t="s">
        <v>482</v>
      </c>
      <c r="M152" t="s">
        <v>222</v>
      </c>
      <c r="O152" s="10" t="s">
        <v>154</v>
      </c>
      <c r="P152" s="11">
        <v>1</v>
      </c>
    </row>
    <row r="153" spans="1:16" hidden="1" x14ac:dyDescent="0.3">
      <c r="A153" t="s">
        <v>145</v>
      </c>
      <c r="B153" t="s">
        <v>466</v>
      </c>
      <c r="C153" t="s">
        <v>400</v>
      </c>
      <c r="D153" t="s">
        <v>54</v>
      </c>
      <c r="E153" t="s">
        <v>226</v>
      </c>
      <c r="F153" t="s">
        <v>226</v>
      </c>
      <c r="G153" t="s">
        <v>507</v>
      </c>
      <c r="H153" t="s">
        <v>469</v>
      </c>
      <c r="I153" t="s">
        <v>509</v>
      </c>
      <c r="J153" t="s">
        <v>220</v>
      </c>
      <c r="K153" t="s">
        <v>54</v>
      </c>
      <c r="L153" t="s">
        <v>483</v>
      </c>
      <c r="M153" t="s">
        <v>222</v>
      </c>
      <c r="O153" s="10" t="s">
        <v>154</v>
      </c>
      <c r="P153" s="11">
        <v>1</v>
      </c>
    </row>
    <row r="154" spans="1:16" hidden="1" x14ac:dyDescent="0.3">
      <c r="A154" t="s">
        <v>145</v>
      </c>
      <c r="B154" t="s">
        <v>466</v>
      </c>
      <c r="C154" t="s">
        <v>400</v>
      </c>
      <c r="D154" t="s">
        <v>510</v>
      </c>
      <c r="E154" t="s">
        <v>240</v>
      </c>
      <c r="F154" t="s">
        <v>486</v>
      </c>
      <c r="G154" t="s">
        <v>507</v>
      </c>
      <c r="H154" t="s">
        <v>469</v>
      </c>
      <c r="I154" t="s">
        <v>509</v>
      </c>
      <c r="J154" t="s">
        <v>220</v>
      </c>
      <c r="K154" t="s">
        <v>510</v>
      </c>
      <c r="L154" t="s">
        <v>487</v>
      </c>
      <c r="M154" t="s">
        <v>222</v>
      </c>
      <c r="N154" s="11" t="s">
        <v>159</v>
      </c>
      <c r="O154" s="10" t="s">
        <v>154</v>
      </c>
      <c r="P154" s="11">
        <v>1</v>
      </c>
    </row>
    <row r="155" spans="1:16" hidden="1" x14ac:dyDescent="0.3">
      <c r="A155" t="s">
        <v>145</v>
      </c>
      <c r="B155" t="s">
        <v>466</v>
      </c>
      <c r="C155" t="s">
        <v>400</v>
      </c>
      <c r="D155" t="s">
        <v>55</v>
      </c>
      <c r="E155" t="s">
        <v>242</v>
      </c>
      <c r="F155" t="s">
        <v>242</v>
      </c>
      <c r="G155" t="s">
        <v>507</v>
      </c>
      <c r="H155" t="s">
        <v>469</v>
      </c>
      <c r="I155" t="s">
        <v>509</v>
      </c>
      <c r="J155" t="s">
        <v>220</v>
      </c>
      <c r="K155" t="s">
        <v>55</v>
      </c>
      <c r="L155" t="s">
        <v>484</v>
      </c>
      <c r="M155" t="s">
        <v>222</v>
      </c>
      <c r="O155" s="10" t="s">
        <v>154</v>
      </c>
      <c r="P155" s="11">
        <v>1</v>
      </c>
    </row>
    <row r="156" spans="1:16" hidden="1" x14ac:dyDescent="0.3">
      <c r="A156" t="s">
        <v>145</v>
      </c>
      <c r="B156" t="s">
        <v>466</v>
      </c>
      <c r="C156" t="s">
        <v>400</v>
      </c>
      <c r="D156" t="s">
        <v>56</v>
      </c>
      <c r="E156" t="s">
        <v>233</v>
      </c>
      <c r="F156" t="s">
        <v>233</v>
      </c>
      <c r="G156" t="s">
        <v>507</v>
      </c>
      <c r="H156" t="s">
        <v>469</v>
      </c>
      <c r="I156" t="s">
        <v>509</v>
      </c>
      <c r="J156" t="s">
        <v>220</v>
      </c>
      <c r="K156" t="s">
        <v>56</v>
      </c>
      <c r="L156" t="s">
        <v>488</v>
      </c>
      <c r="M156" t="s">
        <v>222</v>
      </c>
      <c r="O156" s="10" t="s">
        <v>154</v>
      </c>
      <c r="P156" s="11">
        <v>1</v>
      </c>
    </row>
    <row r="157" spans="1:16" hidden="1" x14ac:dyDescent="0.3">
      <c r="A157" t="s">
        <v>145</v>
      </c>
      <c r="B157" t="s">
        <v>466</v>
      </c>
      <c r="C157" t="s">
        <v>400</v>
      </c>
      <c r="D157" t="s">
        <v>58</v>
      </c>
      <c r="E157" t="s">
        <v>489</v>
      </c>
      <c r="F157" t="s">
        <v>347</v>
      </c>
      <c r="G157" t="s">
        <v>507</v>
      </c>
      <c r="H157" t="s">
        <v>469</v>
      </c>
      <c r="I157" t="s">
        <v>509</v>
      </c>
      <c r="J157" t="s">
        <v>339</v>
      </c>
      <c r="K157" t="s">
        <v>58</v>
      </c>
      <c r="L157" t="s">
        <v>490</v>
      </c>
      <c r="M157" t="s">
        <v>340</v>
      </c>
      <c r="O157" s="10" t="s">
        <v>154</v>
      </c>
      <c r="P157" s="11">
        <v>2</v>
      </c>
    </row>
    <row r="158" spans="1:16" hidden="1" x14ac:dyDescent="0.3">
      <c r="A158" t="s">
        <v>145</v>
      </c>
      <c r="B158" t="s">
        <v>466</v>
      </c>
      <c r="C158" t="s">
        <v>400</v>
      </c>
      <c r="D158" t="s">
        <v>59</v>
      </c>
      <c r="E158" t="s">
        <v>224</v>
      </c>
      <c r="F158" t="s">
        <v>224</v>
      </c>
      <c r="G158" t="s">
        <v>507</v>
      </c>
      <c r="H158" t="s">
        <v>469</v>
      </c>
      <c r="I158" t="s">
        <v>509</v>
      </c>
      <c r="J158" t="s">
        <v>220</v>
      </c>
      <c r="K158" t="s">
        <v>59</v>
      </c>
      <c r="L158" t="s">
        <v>481</v>
      </c>
      <c r="M158" t="s">
        <v>222</v>
      </c>
      <c r="O158" s="10" t="s">
        <v>154</v>
      </c>
      <c r="P158" s="11">
        <v>1</v>
      </c>
    </row>
    <row r="159" spans="1:16" hidden="1" x14ac:dyDescent="0.3">
      <c r="A159" t="s">
        <v>145</v>
      </c>
      <c r="B159" t="s">
        <v>466</v>
      </c>
      <c r="C159" t="s">
        <v>400</v>
      </c>
      <c r="D159" t="s">
        <v>60</v>
      </c>
      <c r="E159" t="s">
        <v>237</v>
      </c>
      <c r="F159" t="s">
        <v>491</v>
      </c>
      <c r="G159" t="s">
        <v>507</v>
      </c>
      <c r="H159" t="s">
        <v>469</v>
      </c>
      <c r="I159" t="s">
        <v>509</v>
      </c>
      <c r="J159" t="s">
        <v>220</v>
      </c>
      <c r="K159" t="s">
        <v>60</v>
      </c>
      <c r="L159" t="s">
        <v>492</v>
      </c>
      <c r="M159" t="s">
        <v>222</v>
      </c>
      <c r="O159" s="10" t="s">
        <v>154</v>
      </c>
      <c r="P159" s="11">
        <v>1</v>
      </c>
    </row>
    <row r="160" spans="1:16" hidden="1" x14ac:dyDescent="0.3">
      <c r="A160" t="s">
        <v>145</v>
      </c>
      <c r="B160" t="s">
        <v>466</v>
      </c>
      <c r="C160" t="s">
        <v>400</v>
      </c>
      <c r="D160" t="s">
        <v>62</v>
      </c>
      <c r="E160" t="s">
        <v>511</v>
      </c>
      <c r="F160" t="s">
        <v>296</v>
      </c>
      <c r="G160" t="s">
        <v>507</v>
      </c>
      <c r="H160" t="s">
        <v>469</v>
      </c>
      <c r="I160" t="s">
        <v>512</v>
      </c>
      <c r="J160" t="s">
        <v>290</v>
      </c>
      <c r="K160" t="s">
        <v>62</v>
      </c>
      <c r="L160" t="s">
        <v>513</v>
      </c>
      <c r="M160" t="s">
        <v>292</v>
      </c>
      <c r="O160" s="10" t="s">
        <v>154</v>
      </c>
      <c r="P160" s="11">
        <v>6</v>
      </c>
    </row>
    <row r="161" spans="1:16" hidden="1" x14ac:dyDescent="0.3">
      <c r="A161" t="s">
        <v>145</v>
      </c>
      <c r="B161" t="s">
        <v>466</v>
      </c>
      <c r="C161" t="s">
        <v>400</v>
      </c>
      <c r="D161" t="s">
        <v>64</v>
      </c>
      <c r="E161" t="s">
        <v>467</v>
      </c>
      <c r="F161" t="s">
        <v>306</v>
      </c>
      <c r="G161" t="s">
        <v>507</v>
      </c>
      <c r="H161" t="s">
        <v>469</v>
      </c>
      <c r="I161" t="s">
        <v>512</v>
      </c>
      <c r="J161" t="s">
        <v>300</v>
      </c>
      <c r="K161" t="s">
        <v>64</v>
      </c>
      <c r="L161" t="s">
        <v>471</v>
      </c>
      <c r="M161" t="s">
        <v>302</v>
      </c>
      <c r="O161" s="10" t="s">
        <v>154</v>
      </c>
      <c r="P161" s="11">
        <v>6</v>
      </c>
    </row>
    <row r="162" spans="1:16" hidden="1" x14ac:dyDescent="0.3">
      <c r="A162" t="s">
        <v>145</v>
      </c>
      <c r="B162" t="s">
        <v>466</v>
      </c>
      <c r="C162" t="s">
        <v>400</v>
      </c>
      <c r="D162" t="s">
        <v>67</v>
      </c>
      <c r="E162" t="s">
        <v>514</v>
      </c>
      <c r="F162" t="s">
        <v>515</v>
      </c>
      <c r="G162" t="s">
        <v>507</v>
      </c>
      <c r="H162" t="s">
        <v>469</v>
      </c>
      <c r="I162" t="s">
        <v>512</v>
      </c>
      <c r="J162" t="s">
        <v>290</v>
      </c>
      <c r="K162" t="s">
        <v>67</v>
      </c>
      <c r="L162" t="s">
        <v>515</v>
      </c>
      <c r="M162" t="s">
        <v>292</v>
      </c>
      <c r="O162" s="10" t="s">
        <v>154</v>
      </c>
      <c r="P162" s="11">
        <v>6</v>
      </c>
    </row>
    <row r="163" spans="1:16" hidden="1" x14ac:dyDescent="0.3">
      <c r="A163" t="s">
        <v>145</v>
      </c>
      <c r="B163" t="s">
        <v>466</v>
      </c>
      <c r="C163" t="s">
        <v>400</v>
      </c>
      <c r="D163" t="s">
        <v>57</v>
      </c>
      <c r="E163" t="s">
        <v>495</v>
      </c>
      <c r="F163" t="s">
        <v>247</v>
      </c>
      <c r="G163" t="s">
        <v>507</v>
      </c>
      <c r="H163" t="s">
        <v>469</v>
      </c>
      <c r="I163" t="s">
        <v>516</v>
      </c>
      <c r="J163" t="s">
        <v>249</v>
      </c>
      <c r="K163" t="s">
        <v>57</v>
      </c>
      <c r="L163" t="s">
        <v>495</v>
      </c>
      <c r="M163" t="s">
        <v>250</v>
      </c>
      <c r="O163" s="10" t="s">
        <v>154</v>
      </c>
      <c r="P163" s="11">
        <v>5</v>
      </c>
    </row>
    <row r="164" spans="1:16" hidden="1" x14ac:dyDescent="0.3">
      <c r="A164" t="s">
        <v>145</v>
      </c>
      <c r="B164" t="s">
        <v>466</v>
      </c>
      <c r="C164" t="s">
        <v>400</v>
      </c>
      <c r="D164" t="s">
        <v>61</v>
      </c>
      <c r="E164" t="s">
        <v>498</v>
      </c>
      <c r="F164" t="s">
        <v>249</v>
      </c>
      <c r="G164" t="s">
        <v>507</v>
      </c>
      <c r="H164" t="s">
        <v>469</v>
      </c>
      <c r="I164" t="s">
        <v>516</v>
      </c>
      <c r="J164" t="s">
        <v>249</v>
      </c>
      <c r="K164" t="s">
        <v>61</v>
      </c>
      <c r="L164" t="s">
        <v>499</v>
      </c>
      <c r="M164" t="s">
        <v>250</v>
      </c>
      <c r="O164" s="10" t="s">
        <v>154</v>
      </c>
      <c r="P164" s="11">
        <v>5</v>
      </c>
    </row>
    <row r="165" spans="1:16" hidden="1" x14ac:dyDescent="0.3">
      <c r="A165" t="s">
        <v>145</v>
      </c>
      <c r="B165" t="s">
        <v>466</v>
      </c>
      <c r="C165" t="s">
        <v>400</v>
      </c>
      <c r="D165" t="s">
        <v>69</v>
      </c>
      <c r="E165" t="s">
        <v>500</v>
      </c>
      <c r="F165" t="s">
        <v>312</v>
      </c>
      <c r="G165" t="s">
        <v>507</v>
      </c>
      <c r="H165" t="s">
        <v>469</v>
      </c>
      <c r="I165" t="s">
        <v>517</v>
      </c>
      <c r="J165" t="s">
        <v>300</v>
      </c>
      <c r="K165" t="s">
        <v>69</v>
      </c>
      <c r="L165" t="s">
        <v>502</v>
      </c>
      <c r="M165" t="s">
        <v>302</v>
      </c>
      <c r="O165" s="10" t="s">
        <v>154</v>
      </c>
      <c r="P165" s="11">
        <v>6</v>
      </c>
    </row>
    <row r="166" spans="1:16" hidden="1" x14ac:dyDescent="0.3">
      <c r="A166" t="s">
        <v>145</v>
      </c>
      <c r="B166" t="s">
        <v>466</v>
      </c>
      <c r="C166" t="s">
        <v>400</v>
      </c>
      <c r="D166" t="s">
        <v>43</v>
      </c>
      <c r="E166" t="s">
        <v>518</v>
      </c>
      <c r="F166" t="s">
        <v>315</v>
      </c>
      <c r="G166" t="s">
        <v>507</v>
      </c>
      <c r="H166" t="s">
        <v>469</v>
      </c>
      <c r="I166" t="s">
        <v>519</v>
      </c>
      <c r="J166" t="s">
        <v>315</v>
      </c>
      <c r="K166" t="s">
        <v>43</v>
      </c>
      <c r="L166" t="s">
        <v>506</v>
      </c>
      <c r="M166" t="s">
        <v>317</v>
      </c>
      <c r="O166" s="10" t="s">
        <v>154</v>
      </c>
      <c r="P166" s="11">
        <v>7</v>
      </c>
    </row>
    <row r="167" spans="1:16" hidden="1" x14ac:dyDescent="0.3">
      <c r="A167" t="s">
        <v>145</v>
      </c>
      <c r="B167" t="s">
        <v>466</v>
      </c>
      <c r="C167" t="s">
        <v>400</v>
      </c>
      <c r="D167" t="s">
        <v>72</v>
      </c>
      <c r="E167" t="s">
        <v>149</v>
      </c>
      <c r="F167" t="s">
        <v>156</v>
      </c>
      <c r="G167" t="s">
        <v>520</v>
      </c>
      <c r="H167" t="s">
        <v>469</v>
      </c>
      <c r="I167" t="s">
        <v>521</v>
      </c>
      <c r="J167" t="s">
        <v>149</v>
      </c>
      <c r="K167" t="s">
        <v>72</v>
      </c>
      <c r="L167" t="s">
        <v>473</v>
      </c>
      <c r="M167" t="s">
        <v>153</v>
      </c>
      <c r="O167" s="10" t="s">
        <v>154</v>
      </c>
      <c r="P167" s="11">
        <v>3</v>
      </c>
    </row>
    <row r="168" spans="1:16" hidden="1" x14ac:dyDescent="0.3">
      <c r="A168" t="s">
        <v>145</v>
      </c>
      <c r="B168" t="s">
        <v>466</v>
      </c>
      <c r="C168" t="s">
        <v>400</v>
      </c>
      <c r="D168" t="s">
        <v>73</v>
      </c>
      <c r="E168" t="s">
        <v>474</v>
      </c>
      <c r="F168" t="s">
        <v>339</v>
      </c>
      <c r="G168" t="s">
        <v>520</v>
      </c>
      <c r="H168" t="s">
        <v>469</v>
      </c>
      <c r="I168" t="s">
        <v>521</v>
      </c>
      <c r="J168" t="s">
        <v>339</v>
      </c>
      <c r="K168" t="s">
        <v>73</v>
      </c>
      <c r="L168" t="s">
        <v>475</v>
      </c>
      <c r="M168" t="s">
        <v>340</v>
      </c>
      <c r="O168" s="10" t="s">
        <v>154</v>
      </c>
      <c r="P168" s="11">
        <v>2</v>
      </c>
    </row>
    <row r="169" spans="1:16" hidden="1" x14ac:dyDescent="0.3">
      <c r="A169" t="s">
        <v>145</v>
      </c>
      <c r="B169" t="s">
        <v>466</v>
      </c>
      <c r="C169" t="s">
        <v>400</v>
      </c>
      <c r="D169" t="s">
        <v>74</v>
      </c>
      <c r="E169" t="s">
        <v>476</v>
      </c>
      <c r="F169" t="s">
        <v>477</v>
      </c>
      <c r="G169" t="s">
        <v>520</v>
      </c>
      <c r="H169" t="s">
        <v>469</v>
      </c>
      <c r="I169" t="s">
        <v>521</v>
      </c>
      <c r="J169" t="s">
        <v>177</v>
      </c>
      <c r="K169" t="s">
        <v>74</v>
      </c>
      <c r="L169" t="s">
        <v>478</v>
      </c>
      <c r="M169" t="s">
        <v>179</v>
      </c>
      <c r="O169" s="10" t="s">
        <v>154</v>
      </c>
      <c r="P169" s="11">
        <v>4</v>
      </c>
    </row>
    <row r="170" spans="1:16" hidden="1" x14ac:dyDescent="0.3">
      <c r="A170" t="s">
        <v>145</v>
      </c>
      <c r="B170" t="s">
        <v>466</v>
      </c>
      <c r="C170" t="s">
        <v>400</v>
      </c>
      <c r="D170" t="s">
        <v>79</v>
      </c>
      <c r="E170" t="s">
        <v>231</v>
      </c>
      <c r="F170" t="s">
        <v>220</v>
      </c>
      <c r="G170" t="s">
        <v>520</v>
      </c>
      <c r="H170" t="s">
        <v>469</v>
      </c>
      <c r="I170" t="s">
        <v>522</v>
      </c>
      <c r="J170" t="s">
        <v>220</v>
      </c>
      <c r="K170" t="s">
        <v>79</v>
      </c>
      <c r="L170" t="s">
        <v>482</v>
      </c>
      <c r="M170" t="s">
        <v>222</v>
      </c>
      <c r="O170" s="10" t="s">
        <v>154</v>
      </c>
      <c r="P170" s="11">
        <v>1</v>
      </c>
    </row>
    <row r="171" spans="1:16" hidden="1" x14ac:dyDescent="0.3">
      <c r="A171" t="s">
        <v>145</v>
      </c>
      <c r="B171" t="s">
        <v>466</v>
      </c>
      <c r="C171" t="s">
        <v>400</v>
      </c>
      <c r="D171" t="s">
        <v>80</v>
      </c>
      <c r="E171" t="s">
        <v>226</v>
      </c>
      <c r="F171" t="s">
        <v>226</v>
      </c>
      <c r="G171" t="s">
        <v>520</v>
      </c>
      <c r="H171" t="s">
        <v>469</v>
      </c>
      <c r="I171" t="s">
        <v>522</v>
      </c>
      <c r="J171" t="s">
        <v>220</v>
      </c>
      <c r="K171" t="s">
        <v>80</v>
      </c>
      <c r="L171" t="s">
        <v>483</v>
      </c>
      <c r="M171" t="s">
        <v>222</v>
      </c>
      <c r="O171" s="10" t="s">
        <v>154</v>
      </c>
      <c r="P171" s="11">
        <v>1</v>
      </c>
    </row>
    <row r="172" spans="1:16" hidden="1" x14ac:dyDescent="0.3">
      <c r="A172" t="s">
        <v>145</v>
      </c>
      <c r="B172" t="s">
        <v>466</v>
      </c>
      <c r="C172" t="s">
        <v>400</v>
      </c>
      <c r="D172" t="s">
        <v>81</v>
      </c>
      <c r="E172" t="s">
        <v>237</v>
      </c>
      <c r="F172" t="s">
        <v>491</v>
      </c>
      <c r="G172" t="s">
        <v>520</v>
      </c>
      <c r="H172" t="s">
        <v>469</v>
      </c>
      <c r="I172" t="s">
        <v>522</v>
      </c>
      <c r="J172" t="s">
        <v>220</v>
      </c>
      <c r="K172" t="s">
        <v>81</v>
      </c>
      <c r="L172" t="s">
        <v>492</v>
      </c>
      <c r="M172" t="s">
        <v>222</v>
      </c>
      <c r="O172" s="10" t="s">
        <v>154</v>
      </c>
      <c r="P172" s="11">
        <v>1</v>
      </c>
    </row>
    <row r="173" spans="1:16" hidden="1" x14ac:dyDescent="0.3">
      <c r="A173" t="s">
        <v>145</v>
      </c>
      <c r="B173" t="s">
        <v>466</v>
      </c>
      <c r="C173" t="s">
        <v>400</v>
      </c>
      <c r="D173" t="s">
        <v>82</v>
      </c>
      <c r="E173" t="s">
        <v>489</v>
      </c>
      <c r="F173" t="s">
        <v>347</v>
      </c>
      <c r="G173" t="s">
        <v>520</v>
      </c>
      <c r="H173" t="s">
        <v>469</v>
      </c>
      <c r="I173" t="s">
        <v>522</v>
      </c>
      <c r="J173" t="s">
        <v>339</v>
      </c>
      <c r="K173" t="s">
        <v>82</v>
      </c>
      <c r="L173" t="s">
        <v>490</v>
      </c>
      <c r="M173" t="s">
        <v>340</v>
      </c>
      <c r="O173" s="10" t="s">
        <v>154</v>
      </c>
      <c r="P173" s="11">
        <v>2</v>
      </c>
    </row>
    <row r="174" spans="1:16" hidden="1" x14ac:dyDescent="0.3">
      <c r="A174" t="s">
        <v>145</v>
      </c>
      <c r="B174" t="s">
        <v>466</v>
      </c>
      <c r="C174" t="s">
        <v>400</v>
      </c>
      <c r="D174" t="s">
        <v>83</v>
      </c>
      <c r="E174" t="s">
        <v>224</v>
      </c>
      <c r="F174" t="s">
        <v>224</v>
      </c>
      <c r="G174" t="s">
        <v>520</v>
      </c>
      <c r="H174" t="s">
        <v>469</v>
      </c>
      <c r="I174" t="s">
        <v>522</v>
      </c>
      <c r="J174" t="s">
        <v>220</v>
      </c>
      <c r="K174" t="s">
        <v>83</v>
      </c>
      <c r="L174" t="s">
        <v>481</v>
      </c>
      <c r="M174" t="s">
        <v>222</v>
      </c>
      <c r="O174" s="10" t="s">
        <v>154</v>
      </c>
      <c r="P174" s="11">
        <v>1</v>
      </c>
    </row>
    <row r="175" spans="1:16" hidden="1" x14ac:dyDescent="0.3">
      <c r="A175" t="s">
        <v>145</v>
      </c>
      <c r="B175" t="s">
        <v>466</v>
      </c>
      <c r="C175" t="s">
        <v>400</v>
      </c>
      <c r="D175" t="s">
        <v>523</v>
      </c>
      <c r="E175" t="s">
        <v>240</v>
      </c>
      <c r="F175" t="s">
        <v>486</v>
      </c>
      <c r="G175" t="s">
        <v>520</v>
      </c>
      <c r="H175" t="s">
        <v>469</v>
      </c>
      <c r="I175" t="s">
        <v>522</v>
      </c>
      <c r="J175" t="s">
        <v>220</v>
      </c>
      <c r="K175" t="s">
        <v>523</v>
      </c>
      <c r="L175" t="s">
        <v>487</v>
      </c>
      <c r="M175" t="s">
        <v>222</v>
      </c>
      <c r="N175" s="11" t="s">
        <v>159</v>
      </c>
      <c r="O175" s="10" t="s">
        <v>154</v>
      </c>
      <c r="P175" s="11">
        <v>1</v>
      </c>
    </row>
    <row r="176" spans="1:16" hidden="1" x14ac:dyDescent="0.3">
      <c r="A176" t="s">
        <v>145</v>
      </c>
      <c r="B176" t="s">
        <v>466</v>
      </c>
      <c r="C176" t="s">
        <v>400</v>
      </c>
      <c r="D176" t="s">
        <v>84</v>
      </c>
      <c r="E176" t="s">
        <v>242</v>
      </c>
      <c r="F176" t="s">
        <v>242</v>
      </c>
      <c r="G176" t="s">
        <v>520</v>
      </c>
      <c r="H176" t="s">
        <v>469</v>
      </c>
      <c r="I176" t="s">
        <v>522</v>
      </c>
      <c r="J176" t="s">
        <v>220</v>
      </c>
      <c r="K176" t="s">
        <v>84</v>
      </c>
      <c r="L176" t="s">
        <v>484</v>
      </c>
      <c r="M176" t="s">
        <v>222</v>
      </c>
      <c r="O176" s="10" t="s">
        <v>154</v>
      </c>
      <c r="P176" s="11">
        <v>1</v>
      </c>
    </row>
    <row r="177" spans="1:16" hidden="1" x14ac:dyDescent="0.3">
      <c r="A177" t="s">
        <v>145</v>
      </c>
      <c r="B177" t="s">
        <v>466</v>
      </c>
      <c r="C177" t="s">
        <v>400</v>
      </c>
      <c r="D177" t="s">
        <v>85</v>
      </c>
      <c r="E177" t="s">
        <v>233</v>
      </c>
      <c r="F177" t="s">
        <v>233</v>
      </c>
      <c r="G177" t="s">
        <v>520</v>
      </c>
      <c r="H177" t="s">
        <v>469</v>
      </c>
      <c r="I177" t="s">
        <v>522</v>
      </c>
      <c r="J177" t="s">
        <v>220</v>
      </c>
      <c r="K177" t="s">
        <v>85</v>
      </c>
      <c r="L177" t="s">
        <v>488</v>
      </c>
      <c r="M177" t="s">
        <v>222</v>
      </c>
      <c r="O177" s="10" t="s">
        <v>154</v>
      </c>
      <c r="P177" s="11">
        <v>1</v>
      </c>
    </row>
    <row r="178" spans="1:16" hidden="1" x14ac:dyDescent="0.3">
      <c r="A178" t="s">
        <v>145</v>
      </c>
      <c r="B178" t="s">
        <v>466</v>
      </c>
      <c r="C178" t="s">
        <v>400</v>
      </c>
      <c r="D178" t="s">
        <v>86</v>
      </c>
      <c r="E178" t="s">
        <v>495</v>
      </c>
      <c r="F178" t="s">
        <v>247</v>
      </c>
      <c r="G178" t="s">
        <v>520</v>
      </c>
      <c r="H178" t="s">
        <v>469</v>
      </c>
      <c r="I178" t="s">
        <v>524</v>
      </c>
      <c r="J178" t="s">
        <v>249</v>
      </c>
      <c r="K178" t="s">
        <v>86</v>
      </c>
      <c r="L178" t="s">
        <v>495</v>
      </c>
      <c r="M178" t="s">
        <v>250</v>
      </c>
      <c r="O178" s="10" t="s">
        <v>154</v>
      </c>
      <c r="P178" s="11">
        <v>5</v>
      </c>
    </row>
    <row r="179" spans="1:16" hidden="1" x14ac:dyDescent="0.3">
      <c r="A179" t="s">
        <v>145</v>
      </c>
      <c r="B179" t="s">
        <v>466</v>
      </c>
      <c r="C179" t="s">
        <v>400</v>
      </c>
      <c r="D179" t="s">
        <v>87</v>
      </c>
      <c r="E179" t="s">
        <v>525</v>
      </c>
      <c r="F179" t="s">
        <v>526</v>
      </c>
      <c r="G179" t="s">
        <v>520</v>
      </c>
      <c r="H179" t="s">
        <v>469</v>
      </c>
      <c r="I179" t="s">
        <v>524</v>
      </c>
      <c r="J179" t="s">
        <v>290</v>
      </c>
      <c r="K179" t="s">
        <v>87</v>
      </c>
      <c r="L179" t="s">
        <v>526</v>
      </c>
      <c r="M179" t="s">
        <v>292</v>
      </c>
      <c r="O179" s="10" t="s">
        <v>154</v>
      </c>
      <c r="P179" s="11">
        <v>6</v>
      </c>
    </row>
    <row r="180" spans="1:16" hidden="1" x14ac:dyDescent="0.3">
      <c r="A180" t="s">
        <v>145</v>
      </c>
      <c r="B180" t="s">
        <v>466</v>
      </c>
      <c r="C180" t="s">
        <v>400</v>
      </c>
      <c r="D180" t="s">
        <v>88</v>
      </c>
      <c r="E180" t="s">
        <v>498</v>
      </c>
      <c r="F180" t="s">
        <v>249</v>
      </c>
      <c r="G180" t="s">
        <v>520</v>
      </c>
      <c r="H180" t="s">
        <v>469</v>
      </c>
      <c r="I180" t="s">
        <v>524</v>
      </c>
      <c r="J180" t="s">
        <v>249</v>
      </c>
      <c r="K180" t="s">
        <v>88</v>
      </c>
      <c r="L180" t="s">
        <v>499</v>
      </c>
      <c r="M180" t="s">
        <v>250</v>
      </c>
      <c r="O180" s="10" t="s">
        <v>154</v>
      </c>
      <c r="P180" s="11">
        <v>5</v>
      </c>
    </row>
    <row r="181" spans="1:16" hidden="1" x14ac:dyDescent="0.3">
      <c r="A181" t="s">
        <v>145</v>
      </c>
      <c r="B181" t="s">
        <v>466</v>
      </c>
      <c r="C181" t="s">
        <v>400</v>
      </c>
      <c r="D181" t="s">
        <v>90</v>
      </c>
      <c r="E181" t="s">
        <v>467</v>
      </c>
      <c r="F181" t="s">
        <v>306</v>
      </c>
      <c r="G181" t="s">
        <v>520</v>
      </c>
      <c r="H181" t="s">
        <v>469</v>
      </c>
      <c r="I181" t="s">
        <v>527</v>
      </c>
      <c r="J181" t="s">
        <v>300</v>
      </c>
      <c r="K181" t="s">
        <v>90</v>
      </c>
      <c r="L181" t="s">
        <v>471</v>
      </c>
      <c r="M181" t="s">
        <v>302</v>
      </c>
      <c r="O181" s="10" t="s">
        <v>154</v>
      </c>
      <c r="P181" s="11">
        <v>6</v>
      </c>
    </row>
    <row r="182" spans="1:16" hidden="1" x14ac:dyDescent="0.3">
      <c r="A182" t="s">
        <v>145</v>
      </c>
      <c r="B182" t="s">
        <v>466</v>
      </c>
      <c r="C182" t="s">
        <v>400</v>
      </c>
      <c r="D182" t="s">
        <v>91</v>
      </c>
      <c r="E182" t="s">
        <v>500</v>
      </c>
      <c r="F182" t="s">
        <v>312</v>
      </c>
      <c r="G182" t="s">
        <v>520</v>
      </c>
      <c r="H182" t="s">
        <v>469</v>
      </c>
      <c r="I182" t="s">
        <v>527</v>
      </c>
      <c r="J182" t="s">
        <v>300</v>
      </c>
      <c r="K182" t="s">
        <v>91</v>
      </c>
      <c r="L182" t="s">
        <v>502</v>
      </c>
      <c r="M182" t="s">
        <v>302</v>
      </c>
      <c r="O182" s="10" t="s">
        <v>154</v>
      </c>
      <c r="P182" s="11">
        <v>6</v>
      </c>
    </row>
    <row r="183" spans="1:16" hidden="1" x14ac:dyDescent="0.3">
      <c r="A183" t="s">
        <v>145</v>
      </c>
      <c r="B183" t="s">
        <v>466</v>
      </c>
      <c r="C183" t="s">
        <v>400</v>
      </c>
      <c r="D183" t="s">
        <v>94</v>
      </c>
      <c r="E183" t="s">
        <v>514</v>
      </c>
      <c r="F183" t="s">
        <v>515</v>
      </c>
      <c r="G183" t="s">
        <v>520</v>
      </c>
      <c r="H183" t="s">
        <v>469</v>
      </c>
      <c r="I183" t="s">
        <v>527</v>
      </c>
      <c r="J183" t="s">
        <v>290</v>
      </c>
      <c r="K183" t="s">
        <v>94</v>
      </c>
      <c r="L183" t="s">
        <v>515</v>
      </c>
      <c r="M183" t="s">
        <v>292</v>
      </c>
      <c r="O183" s="10" t="s">
        <v>154</v>
      </c>
      <c r="P183" s="11">
        <v>6</v>
      </c>
    </row>
    <row r="184" spans="1:16" hidden="1" x14ac:dyDescent="0.3">
      <c r="A184" t="s">
        <v>145</v>
      </c>
      <c r="B184" t="s">
        <v>466</v>
      </c>
      <c r="C184" t="s">
        <v>400</v>
      </c>
      <c r="D184" t="s">
        <v>96</v>
      </c>
      <c r="E184" t="s">
        <v>528</v>
      </c>
      <c r="F184" t="s">
        <v>315</v>
      </c>
      <c r="G184" t="s">
        <v>520</v>
      </c>
      <c r="H184" t="s">
        <v>469</v>
      </c>
      <c r="I184" t="s">
        <v>529</v>
      </c>
      <c r="J184" t="s">
        <v>315</v>
      </c>
      <c r="K184" t="s">
        <v>96</v>
      </c>
      <c r="L184" t="s">
        <v>506</v>
      </c>
      <c r="M184" t="s">
        <v>317</v>
      </c>
      <c r="O184" s="10" t="s">
        <v>154</v>
      </c>
      <c r="P184" s="11">
        <v>7</v>
      </c>
    </row>
    <row r="185" spans="1:16" hidden="1" x14ac:dyDescent="0.3">
      <c r="A185" t="s">
        <v>145</v>
      </c>
      <c r="B185" t="s">
        <v>466</v>
      </c>
      <c r="C185" t="s">
        <v>400</v>
      </c>
      <c r="D185" t="s">
        <v>99</v>
      </c>
      <c r="E185" t="s">
        <v>149</v>
      </c>
      <c r="F185" t="s">
        <v>156</v>
      </c>
      <c r="G185" t="s">
        <v>530</v>
      </c>
      <c r="H185" t="s">
        <v>469</v>
      </c>
      <c r="I185" t="s">
        <v>531</v>
      </c>
      <c r="J185" t="s">
        <v>149</v>
      </c>
      <c r="K185" t="s">
        <v>99</v>
      </c>
      <c r="L185" t="s">
        <v>473</v>
      </c>
      <c r="M185" t="s">
        <v>153</v>
      </c>
      <c r="O185" s="10" t="s">
        <v>154</v>
      </c>
      <c r="P185" s="11">
        <v>3</v>
      </c>
    </row>
    <row r="186" spans="1:16" hidden="1" x14ac:dyDescent="0.3">
      <c r="A186" t="s">
        <v>145</v>
      </c>
      <c r="B186" t="s">
        <v>466</v>
      </c>
      <c r="C186" t="s">
        <v>400</v>
      </c>
      <c r="D186" t="s">
        <v>100</v>
      </c>
      <c r="E186" t="s">
        <v>474</v>
      </c>
      <c r="F186" t="s">
        <v>339</v>
      </c>
      <c r="G186" t="s">
        <v>530</v>
      </c>
      <c r="H186" t="s">
        <v>469</v>
      </c>
      <c r="I186" t="s">
        <v>531</v>
      </c>
      <c r="J186" t="s">
        <v>339</v>
      </c>
      <c r="K186" t="s">
        <v>100</v>
      </c>
      <c r="L186" t="s">
        <v>475</v>
      </c>
      <c r="M186" t="s">
        <v>340</v>
      </c>
      <c r="O186" s="10" t="s">
        <v>154</v>
      </c>
      <c r="P186" s="11">
        <v>2</v>
      </c>
    </row>
    <row r="187" spans="1:16" hidden="1" x14ac:dyDescent="0.3">
      <c r="A187" t="s">
        <v>145</v>
      </c>
      <c r="B187" t="s">
        <v>466</v>
      </c>
      <c r="C187" t="s">
        <v>400</v>
      </c>
      <c r="D187" t="s">
        <v>101</v>
      </c>
      <c r="E187" t="s">
        <v>476</v>
      </c>
      <c r="F187" t="s">
        <v>477</v>
      </c>
      <c r="G187" t="s">
        <v>530</v>
      </c>
      <c r="H187" t="s">
        <v>469</v>
      </c>
      <c r="I187" t="s">
        <v>531</v>
      </c>
      <c r="J187" t="s">
        <v>177</v>
      </c>
      <c r="K187" t="s">
        <v>101</v>
      </c>
      <c r="L187" t="s">
        <v>478</v>
      </c>
      <c r="M187" t="s">
        <v>179</v>
      </c>
      <c r="O187" s="10" t="s">
        <v>154</v>
      </c>
      <c r="P187" s="11">
        <v>4</v>
      </c>
    </row>
    <row r="188" spans="1:16" hidden="1" x14ac:dyDescent="0.3">
      <c r="A188" t="s">
        <v>145</v>
      </c>
      <c r="B188" t="s">
        <v>466</v>
      </c>
      <c r="C188" t="s">
        <v>400</v>
      </c>
      <c r="D188" t="s">
        <v>107</v>
      </c>
      <c r="E188" t="s">
        <v>231</v>
      </c>
      <c r="F188" t="s">
        <v>220</v>
      </c>
      <c r="G188" t="s">
        <v>530</v>
      </c>
      <c r="H188" t="s">
        <v>469</v>
      </c>
      <c r="I188" t="s">
        <v>532</v>
      </c>
      <c r="J188" t="s">
        <v>220</v>
      </c>
      <c r="K188" t="s">
        <v>107</v>
      </c>
      <c r="L188" t="s">
        <v>482</v>
      </c>
      <c r="M188" t="s">
        <v>222</v>
      </c>
      <c r="O188" s="10" t="s">
        <v>154</v>
      </c>
      <c r="P188" s="11">
        <v>1</v>
      </c>
    </row>
    <row r="189" spans="1:16" hidden="1" x14ac:dyDescent="0.3">
      <c r="A189" t="s">
        <v>145</v>
      </c>
      <c r="B189" t="s">
        <v>466</v>
      </c>
      <c r="C189" t="s">
        <v>400</v>
      </c>
      <c r="D189" t="s">
        <v>108</v>
      </c>
      <c r="E189" t="s">
        <v>226</v>
      </c>
      <c r="F189" t="s">
        <v>226</v>
      </c>
      <c r="G189" t="s">
        <v>530</v>
      </c>
      <c r="H189" t="s">
        <v>469</v>
      </c>
      <c r="I189" t="s">
        <v>532</v>
      </c>
      <c r="J189" t="s">
        <v>220</v>
      </c>
      <c r="K189" t="s">
        <v>108</v>
      </c>
      <c r="L189" t="s">
        <v>483</v>
      </c>
      <c r="M189" t="s">
        <v>222</v>
      </c>
      <c r="O189" s="10" t="s">
        <v>154</v>
      </c>
      <c r="P189" s="11">
        <v>1</v>
      </c>
    </row>
    <row r="190" spans="1:16" hidden="1" x14ac:dyDescent="0.3">
      <c r="A190" t="s">
        <v>145</v>
      </c>
      <c r="B190" t="s">
        <v>466</v>
      </c>
      <c r="C190" t="s">
        <v>400</v>
      </c>
      <c r="D190" t="s">
        <v>109</v>
      </c>
      <c r="E190" t="s">
        <v>233</v>
      </c>
      <c r="F190" t="s">
        <v>233</v>
      </c>
      <c r="G190" t="s">
        <v>530</v>
      </c>
      <c r="H190" t="s">
        <v>469</v>
      </c>
      <c r="I190" t="s">
        <v>532</v>
      </c>
      <c r="J190" t="s">
        <v>220</v>
      </c>
      <c r="K190" t="s">
        <v>109</v>
      </c>
      <c r="L190" t="s">
        <v>488</v>
      </c>
      <c r="M190" t="s">
        <v>222</v>
      </c>
      <c r="O190" s="10" t="s">
        <v>154</v>
      </c>
      <c r="P190" s="11">
        <v>1</v>
      </c>
    </row>
    <row r="191" spans="1:16" hidden="1" x14ac:dyDescent="0.3">
      <c r="A191" t="s">
        <v>145</v>
      </c>
      <c r="B191" t="s">
        <v>466</v>
      </c>
      <c r="C191" t="s">
        <v>400</v>
      </c>
      <c r="D191" t="s">
        <v>533</v>
      </c>
      <c r="E191" t="s">
        <v>240</v>
      </c>
      <c r="F191" t="s">
        <v>486</v>
      </c>
      <c r="G191" t="s">
        <v>530</v>
      </c>
      <c r="H191" t="s">
        <v>469</v>
      </c>
      <c r="I191" t="s">
        <v>532</v>
      </c>
      <c r="J191" t="s">
        <v>220</v>
      </c>
      <c r="K191" t="s">
        <v>533</v>
      </c>
      <c r="L191" t="s">
        <v>487</v>
      </c>
      <c r="M191" t="s">
        <v>222</v>
      </c>
      <c r="N191" s="11" t="s">
        <v>159</v>
      </c>
      <c r="O191" s="10" t="s">
        <v>154</v>
      </c>
      <c r="P191" s="11">
        <v>1</v>
      </c>
    </row>
    <row r="192" spans="1:16" hidden="1" x14ac:dyDescent="0.3">
      <c r="A192" t="s">
        <v>145</v>
      </c>
      <c r="B192" t="s">
        <v>466</v>
      </c>
      <c r="C192" t="s">
        <v>400</v>
      </c>
      <c r="D192" t="s">
        <v>110</v>
      </c>
      <c r="E192" t="s">
        <v>224</v>
      </c>
      <c r="F192" t="s">
        <v>224</v>
      </c>
      <c r="G192" t="s">
        <v>530</v>
      </c>
      <c r="H192" t="s">
        <v>469</v>
      </c>
      <c r="I192" t="s">
        <v>532</v>
      </c>
      <c r="J192" t="s">
        <v>220</v>
      </c>
      <c r="K192" t="s">
        <v>110</v>
      </c>
      <c r="L192" t="s">
        <v>481</v>
      </c>
      <c r="M192" t="s">
        <v>222</v>
      </c>
      <c r="O192" s="10" t="s">
        <v>154</v>
      </c>
      <c r="P192" s="11">
        <v>1</v>
      </c>
    </row>
    <row r="193" spans="1:16" hidden="1" x14ac:dyDescent="0.3">
      <c r="A193" t="s">
        <v>145</v>
      </c>
      <c r="B193" t="s">
        <v>466</v>
      </c>
      <c r="C193" t="s">
        <v>400</v>
      </c>
      <c r="D193" t="s">
        <v>111</v>
      </c>
      <c r="E193" t="s">
        <v>489</v>
      </c>
      <c r="F193" t="s">
        <v>347</v>
      </c>
      <c r="G193" t="s">
        <v>530</v>
      </c>
      <c r="H193" t="s">
        <v>469</v>
      </c>
      <c r="I193" t="s">
        <v>532</v>
      </c>
      <c r="J193" t="s">
        <v>339</v>
      </c>
      <c r="K193" t="s">
        <v>111</v>
      </c>
      <c r="L193" t="s">
        <v>490</v>
      </c>
      <c r="M193" t="s">
        <v>340</v>
      </c>
      <c r="O193" s="10" t="s">
        <v>154</v>
      </c>
      <c r="P193" s="11">
        <v>2</v>
      </c>
    </row>
    <row r="194" spans="1:16" hidden="1" x14ac:dyDescent="0.3">
      <c r="A194" t="s">
        <v>145</v>
      </c>
      <c r="B194" t="s">
        <v>466</v>
      </c>
      <c r="C194" t="s">
        <v>400</v>
      </c>
      <c r="D194" t="s">
        <v>113</v>
      </c>
      <c r="E194" t="s">
        <v>242</v>
      </c>
      <c r="F194" t="s">
        <v>242</v>
      </c>
      <c r="G194" t="s">
        <v>530</v>
      </c>
      <c r="H194" t="s">
        <v>469</v>
      </c>
      <c r="I194" t="s">
        <v>532</v>
      </c>
      <c r="J194" t="s">
        <v>220</v>
      </c>
      <c r="K194" t="s">
        <v>113</v>
      </c>
      <c r="L194" t="s">
        <v>484</v>
      </c>
      <c r="M194" t="s">
        <v>222</v>
      </c>
      <c r="O194" s="10" t="s">
        <v>154</v>
      </c>
      <c r="P194" s="11">
        <v>1</v>
      </c>
    </row>
    <row r="195" spans="1:16" hidden="1" x14ac:dyDescent="0.3">
      <c r="A195" t="s">
        <v>145</v>
      </c>
      <c r="B195" t="s">
        <v>466</v>
      </c>
      <c r="C195" t="s">
        <v>400</v>
      </c>
      <c r="D195" t="s">
        <v>114</v>
      </c>
      <c r="E195" t="s">
        <v>237</v>
      </c>
      <c r="F195" t="s">
        <v>491</v>
      </c>
      <c r="G195" t="s">
        <v>530</v>
      </c>
      <c r="H195" t="s">
        <v>469</v>
      </c>
      <c r="I195" t="s">
        <v>532</v>
      </c>
      <c r="J195" t="s">
        <v>220</v>
      </c>
      <c r="K195" t="s">
        <v>114</v>
      </c>
      <c r="L195" t="s">
        <v>492</v>
      </c>
      <c r="M195" t="s">
        <v>222</v>
      </c>
      <c r="O195" s="10" t="s">
        <v>154</v>
      </c>
      <c r="P195" s="11">
        <v>1</v>
      </c>
    </row>
    <row r="196" spans="1:16" hidden="1" x14ac:dyDescent="0.3">
      <c r="A196" t="s">
        <v>145</v>
      </c>
      <c r="B196" t="s">
        <v>466</v>
      </c>
      <c r="C196" t="s">
        <v>400</v>
      </c>
      <c r="D196" t="s">
        <v>112</v>
      </c>
      <c r="E196" t="s">
        <v>495</v>
      </c>
      <c r="F196" t="s">
        <v>247</v>
      </c>
      <c r="G196" t="s">
        <v>530</v>
      </c>
      <c r="H196" t="s">
        <v>469</v>
      </c>
      <c r="I196" t="s">
        <v>534</v>
      </c>
      <c r="J196" t="s">
        <v>249</v>
      </c>
      <c r="K196" t="s">
        <v>112</v>
      </c>
      <c r="L196" t="s">
        <v>495</v>
      </c>
      <c r="M196" t="s">
        <v>250</v>
      </c>
      <c r="O196" s="10" t="s">
        <v>154</v>
      </c>
      <c r="P196" s="11">
        <v>5</v>
      </c>
    </row>
    <row r="197" spans="1:16" hidden="1" x14ac:dyDescent="0.3">
      <c r="A197" t="s">
        <v>145</v>
      </c>
      <c r="B197" t="s">
        <v>466</v>
      </c>
      <c r="C197" t="s">
        <v>400</v>
      </c>
      <c r="D197" t="s">
        <v>115</v>
      </c>
      <c r="E197" t="s">
        <v>498</v>
      </c>
      <c r="F197" t="s">
        <v>249</v>
      </c>
      <c r="G197" t="s">
        <v>530</v>
      </c>
      <c r="H197" t="s">
        <v>469</v>
      </c>
      <c r="I197" t="s">
        <v>534</v>
      </c>
      <c r="J197" t="s">
        <v>249</v>
      </c>
      <c r="K197" t="s">
        <v>115</v>
      </c>
      <c r="L197" t="s">
        <v>499</v>
      </c>
      <c r="M197" t="s">
        <v>250</v>
      </c>
      <c r="O197" s="10" t="s">
        <v>154</v>
      </c>
      <c r="P197" s="11">
        <v>5</v>
      </c>
    </row>
    <row r="198" spans="1:16" hidden="1" x14ac:dyDescent="0.3">
      <c r="A198" t="s">
        <v>145</v>
      </c>
      <c r="B198" t="s">
        <v>466</v>
      </c>
      <c r="C198" t="s">
        <v>400</v>
      </c>
      <c r="D198" t="s">
        <v>116</v>
      </c>
      <c r="E198" t="s">
        <v>535</v>
      </c>
      <c r="F198" t="s">
        <v>444</v>
      </c>
      <c r="G198" t="s">
        <v>530</v>
      </c>
      <c r="H198" t="s">
        <v>469</v>
      </c>
      <c r="I198" t="s">
        <v>536</v>
      </c>
      <c r="J198" t="s">
        <v>290</v>
      </c>
      <c r="K198" t="s">
        <v>116</v>
      </c>
      <c r="L198" t="s">
        <v>444</v>
      </c>
      <c r="M198" t="s">
        <v>292</v>
      </c>
      <c r="O198" s="10" t="s">
        <v>154</v>
      </c>
      <c r="P198" s="11">
        <v>6</v>
      </c>
    </row>
    <row r="199" spans="1:16" hidden="1" x14ac:dyDescent="0.3">
      <c r="A199" t="s">
        <v>145</v>
      </c>
      <c r="B199" t="s">
        <v>466</v>
      </c>
      <c r="C199" t="s">
        <v>400</v>
      </c>
      <c r="D199" t="s">
        <v>118</v>
      </c>
      <c r="E199" t="s">
        <v>467</v>
      </c>
      <c r="F199" t="s">
        <v>306</v>
      </c>
      <c r="G199" t="s">
        <v>530</v>
      </c>
      <c r="H199" t="s">
        <v>469</v>
      </c>
      <c r="I199" t="s">
        <v>536</v>
      </c>
      <c r="J199" t="s">
        <v>300</v>
      </c>
      <c r="K199" t="s">
        <v>118</v>
      </c>
      <c r="L199" t="s">
        <v>471</v>
      </c>
      <c r="M199" t="s">
        <v>302</v>
      </c>
      <c r="O199" s="10" t="s">
        <v>154</v>
      </c>
      <c r="P199" s="11">
        <v>6</v>
      </c>
    </row>
    <row r="200" spans="1:16" hidden="1" x14ac:dyDescent="0.3">
      <c r="A200" t="s">
        <v>145</v>
      </c>
      <c r="B200" t="s">
        <v>466</v>
      </c>
      <c r="C200" t="s">
        <v>400</v>
      </c>
      <c r="D200" t="s">
        <v>121</v>
      </c>
      <c r="E200" t="s">
        <v>514</v>
      </c>
      <c r="F200" t="s">
        <v>515</v>
      </c>
      <c r="G200" t="s">
        <v>530</v>
      </c>
      <c r="H200" t="s">
        <v>469</v>
      </c>
      <c r="I200" t="s">
        <v>536</v>
      </c>
      <c r="J200" t="s">
        <v>290</v>
      </c>
      <c r="K200" t="s">
        <v>121</v>
      </c>
      <c r="L200" t="s">
        <v>515</v>
      </c>
      <c r="M200" t="s">
        <v>292</v>
      </c>
      <c r="O200" s="10" t="s">
        <v>154</v>
      </c>
      <c r="P200" s="11">
        <v>6</v>
      </c>
    </row>
    <row r="201" spans="1:16" hidden="1" x14ac:dyDescent="0.3">
      <c r="A201" t="s">
        <v>145</v>
      </c>
      <c r="B201" t="s">
        <v>466</v>
      </c>
      <c r="C201" t="s">
        <v>400</v>
      </c>
      <c r="D201" t="s">
        <v>123</v>
      </c>
      <c r="E201" t="s">
        <v>500</v>
      </c>
      <c r="F201" t="s">
        <v>312</v>
      </c>
      <c r="G201" t="s">
        <v>530</v>
      </c>
      <c r="H201" t="s">
        <v>469</v>
      </c>
      <c r="I201" t="s">
        <v>537</v>
      </c>
      <c r="J201" t="s">
        <v>300</v>
      </c>
      <c r="K201" t="s">
        <v>123</v>
      </c>
      <c r="L201" t="s">
        <v>502</v>
      </c>
      <c r="M201" t="s">
        <v>302</v>
      </c>
      <c r="O201" s="10" t="s">
        <v>154</v>
      </c>
      <c r="P201" s="11">
        <v>6</v>
      </c>
    </row>
    <row r="202" spans="1:16" hidden="1" x14ac:dyDescent="0.3">
      <c r="A202" t="s">
        <v>145</v>
      </c>
      <c r="B202" t="s">
        <v>466</v>
      </c>
      <c r="C202" t="s">
        <v>400</v>
      </c>
      <c r="D202" t="s">
        <v>124</v>
      </c>
      <c r="E202" t="s">
        <v>538</v>
      </c>
      <c r="F202" t="s">
        <v>315</v>
      </c>
      <c r="G202" t="s">
        <v>530</v>
      </c>
      <c r="H202" t="s">
        <v>469</v>
      </c>
      <c r="I202" t="s">
        <v>539</v>
      </c>
      <c r="J202" t="s">
        <v>315</v>
      </c>
      <c r="K202" t="s">
        <v>124</v>
      </c>
      <c r="L202" t="s">
        <v>506</v>
      </c>
      <c r="M202" t="s">
        <v>317</v>
      </c>
      <c r="O202" s="10" t="s">
        <v>154</v>
      </c>
      <c r="P202" s="11">
        <v>7</v>
      </c>
    </row>
    <row r="203" spans="1:16" hidden="1" x14ac:dyDescent="0.3">
      <c r="A203" t="s">
        <v>145</v>
      </c>
      <c r="B203" t="s">
        <v>466</v>
      </c>
      <c r="C203" t="s">
        <v>400</v>
      </c>
      <c r="D203" t="s">
        <v>125</v>
      </c>
      <c r="E203" t="s">
        <v>540</v>
      </c>
      <c r="F203" t="s">
        <v>320</v>
      </c>
      <c r="G203" t="s">
        <v>530</v>
      </c>
      <c r="H203" t="s">
        <v>469</v>
      </c>
      <c r="I203" t="s">
        <v>539</v>
      </c>
      <c r="J203" t="s">
        <v>315</v>
      </c>
      <c r="K203" t="s">
        <v>125</v>
      </c>
      <c r="L203" t="s">
        <v>320</v>
      </c>
      <c r="M203" t="s">
        <v>317</v>
      </c>
      <c r="O203" s="10" t="s">
        <v>154</v>
      </c>
      <c r="P203" s="11">
        <v>7</v>
      </c>
    </row>
    <row r="204" spans="1:16" hidden="1" x14ac:dyDescent="0.3">
      <c r="A204" t="s">
        <v>145</v>
      </c>
      <c r="B204" t="s">
        <v>466</v>
      </c>
      <c r="C204" t="s">
        <v>400</v>
      </c>
      <c r="D204" t="s">
        <v>541</v>
      </c>
      <c r="E204" t="s">
        <v>542</v>
      </c>
      <c r="F204" t="s">
        <v>543</v>
      </c>
      <c r="G204" t="s">
        <v>520</v>
      </c>
      <c r="H204" t="s">
        <v>469</v>
      </c>
      <c r="I204" t="s">
        <v>527</v>
      </c>
      <c r="J204" t="s">
        <v>290</v>
      </c>
      <c r="K204" t="s">
        <v>541</v>
      </c>
      <c r="L204" t="s">
        <v>542</v>
      </c>
      <c r="M204" t="s">
        <v>292</v>
      </c>
      <c r="N204" s="11" t="s">
        <v>159</v>
      </c>
      <c r="O204" s="10" t="s">
        <v>154</v>
      </c>
      <c r="P204" s="11">
        <v>6</v>
      </c>
    </row>
    <row r="205" spans="1:16" s="13" customFormat="1" hidden="1" x14ac:dyDescent="0.3">
      <c r="A205" s="13" t="s">
        <v>145</v>
      </c>
      <c r="B205" s="13" t="s">
        <v>466</v>
      </c>
      <c r="C205" s="13" t="s">
        <v>400</v>
      </c>
      <c r="D205" s="13" t="s">
        <v>1</v>
      </c>
      <c r="E205" s="13" t="s">
        <v>544</v>
      </c>
      <c r="F205" s="13" t="s">
        <v>146</v>
      </c>
      <c r="G205" s="13" t="s">
        <v>472</v>
      </c>
      <c r="H205" s="13" t="s">
        <v>469</v>
      </c>
      <c r="I205" s="13" t="s">
        <v>472</v>
      </c>
      <c r="J205" s="13" t="s">
        <v>544</v>
      </c>
      <c r="K205" s="13" t="s">
        <v>1</v>
      </c>
      <c r="L205" s="13" t="s">
        <v>209</v>
      </c>
      <c r="M205" s="13" t="s">
        <v>211</v>
      </c>
      <c r="O205" s="10" t="s">
        <v>154</v>
      </c>
      <c r="P205" s="14">
        <v>11</v>
      </c>
    </row>
    <row r="206" spans="1:16" s="13" customFormat="1" hidden="1" x14ac:dyDescent="0.3">
      <c r="A206" s="13" t="s">
        <v>145</v>
      </c>
      <c r="B206" s="13" t="s">
        <v>466</v>
      </c>
      <c r="C206" s="13" t="s">
        <v>400</v>
      </c>
      <c r="D206" s="13" t="s">
        <v>44</v>
      </c>
      <c r="E206" s="13" t="s">
        <v>544</v>
      </c>
      <c r="F206" s="13" t="s">
        <v>146</v>
      </c>
      <c r="G206" s="13" t="s">
        <v>508</v>
      </c>
      <c r="H206" s="13" t="s">
        <v>469</v>
      </c>
      <c r="I206" s="13" t="s">
        <v>508</v>
      </c>
      <c r="J206" s="13" t="s">
        <v>544</v>
      </c>
      <c r="K206" s="13" t="s">
        <v>44</v>
      </c>
      <c r="L206" s="13" t="s">
        <v>209</v>
      </c>
      <c r="M206" s="13" t="s">
        <v>211</v>
      </c>
      <c r="O206" s="10" t="s">
        <v>154</v>
      </c>
      <c r="P206" s="14">
        <v>11</v>
      </c>
    </row>
    <row r="207" spans="1:16" s="13" customFormat="1" hidden="1" x14ac:dyDescent="0.3">
      <c r="A207" s="13" t="s">
        <v>145</v>
      </c>
      <c r="B207" s="13" t="s">
        <v>466</v>
      </c>
      <c r="C207" s="13" t="s">
        <v>400</v>
      </c>
      <c r="D207" s="13" t="s">
        <v>71</v>
      </c>
      <c r="E207" s="13" t="s">
        <v>544</v>
      </c>
      <c r="F207" s="13" t="s">
        <v>146</v>
      </c>
      <c r="G207" s="13" t="s">
        <v>521</v>
      </c>
      <c r="H207" s="13" t="s">
        <v>469</v>
      </c>
      <c r="I207" s="13" t="s">
        <v>521</v>
      </c>
      <c r="J207" s="13" t="s">
        <v>544</v>
      </c>
      <c r="K207" s="13" t="s">
        <v>71</v>
      </c>
      <c r="L207" s="13" t="s">
        <v>209</v>
      </c>
      <c r="M207" s="13" t="s">
        <v>211</v>
      </c>
      <c r="O207" s="10" t="s">
        <v>154</v>
      </c>
      <c r="P207" s="14">
        <v>11</v>
      </c>
    </row>
    <row r="208" spans="1:16" hidden="1" x14ac:dyDescent="0.3">
      <c r="A208" t="s">
        <v>145</v>
      </c>
      <c r="B208" t="s">
        <v>466</v>
      </c>
      <c r="C208" t="s">
        <v>400</v>
      </c>
      <c r="D208" t="s">
        <v>545</v>
      </c>
      <c r="E208" t="s">
        <v>546</v>
      </c>
      <c r="F208" t="s">
        <v>477</v>
      </c>
      <c r="G208" t="s">
        <v>531</v>
      </c>
      <c r="H208" t="s">
        <v>469</v>
      </c>
      <c r="I208" t="s">
        <v>531</v>
      </c>
      <c r="J208" t="s">
        <v>547</v>
      </c>
      <c r="K208" t="s">
        <v>545</v>
      </c>
      <c r="L208" t="s">
        <v>546</v>
      </c>
      <c r="M208" t="s">
        <v>547</v>
      </c>
      <c r="N208" s="11" t="s">
        <v>159</v>
      </c>
      <c r="O208" s="10" t="s">
        <v>154</v>
      </c>
    </row>
    <row r="209" spans="1:16" hidden="1" x14ac:dyDescent="0.3">
      <c r="A209" t="s">
        <v>145</v>
      </c>
      <c r="B209" t="s">
        <v>411</v>
      </c>
      <c r="C209" t="s">
        <v>400</v>
      </c>
      <c r="D209" t="s">
        <v>548</v>
      </c>
      <c r="E209" t="s">
        <v>549</v>
      </c>
      <c r="F209" t="s">
        <v>550</v>
      </c>
      <c r="G209" t="s">
        <v>551</v>
      </c>
      <c r="H209" t="s">
        <v>469</v>
      </c>
      <c r="I209" t="s">
        <v>551</v>
      </c>
      <c r="J209" t="s">
        <v>547</v>
      </c>
      <c r="K209" t="s">
        <v>548</v>
      </c>
      <c r="L209" t="s">
        <v>549</v>
      </c>
      <c r="M209" t="s">
        <v>547</v>
      </c>
      <c r="N209" s="11" t="s">
        <v>159</v>
      </c>
      <c r="O209" s="10" t="s">
        <v>419</v>
      </c>
    </row>
    <row r="210" spans="1:16" hidden="1" x14ac:dyDescent="0.3">
      <c r="A210" t="s">
        <v>145</v>
      </c>
      <c r="B210" t="s">
        <v>466</v>
      </c>
      <c r="C210" t="s">
        <v>400</v>
      </c>
      <c r="D210" t="s">
        <v>552</v>
      </c>
      <c r="E210" t="s">
        <v>553</v>
      </c>
      <c r="F210" t="s">
        <v>554</v>
      </c>
      <c r="G210" t="s">
        <v>555</v>
      </c>
      <c r="H210" t="s">
        <v>553</v>
      </c>
      <c r="I210" t="s">
        <v>555</v>
      </c>
      <c r="J210" t="s">
        <v>547</v>
      </c>
      <c r="K210" t="s">
        <v>552</v>
      </c>
      <c r="L210" t="s">
        <v>553</v>
      </c>
      <c r="M210" t="s">
        <v>547</v>
      </c>
      <c r="N210" s="11" t="s">
        <v>159</v>
      </c>
      <c r="O210" s="10" t="s">
        <v>154</v>
      </c>
    </row>
    <row r="211" spans="1:16" hidden="1" x14ac:dyDescent="0.3">
      <c r="A211" t="s">
        <v>145</v>
      </c>
      <c r="B211" t="s">
        <v>411</v>
      </c>
      <c r="C211" t="s">
        <v>400</v>
      </c>
      <c r="D211" t="s">
        <v>556</v>
      </c>
      <c r="E211" t="s">
        <v>557</v>
      </c>
      <c r="F211" t="s">
        <v>558</v>
      </c>
      <c r="G211" t="s">
        <v>559</v>
      </c>
      <c r="H211" t="s">
        <v>560</v>
      </c>
      <c r="I211" t="s">
        <v>559</v>
      </c>
      <c r="J211" t="s">
        <v>547</v>
      </c>
      <c r="K211" t="s">
        <v>556</v>
      </c>
      <c r="L211" t="s">
        <v>557</v>
      </c>
      <c r="M211" t="s">
        <v>547</v>
      </c>
      <c r="N211" s="11" t="s">
        <v>159</v>
      </c>
      <c r="O211" s="10" t="s">
        <v>419</v>
      </c>
    </row>
    <row r="212" spans="1:16" hidden="1" x14ac:dyDescent="0.3">
      <c r="A212" t="s">
        <v>145</v>
      </c>
      <c r="B212" t="s">
        <v>466</v>
      </c>
      <c r="C212" t="s">
        <v>400</v>
      </c>
      <c r="D212" t="s">
        <v>561</v>
      </c>
      <c r="E212" t="s">
        <v>553</v>
      </c>
      <c r="F212" t="s">
        <v>554</v>
      </c>
      <c r="G212" t="s">
        <v>509</v>
      </c>
      <c r="H212" t="s">
        <v>469</v>
      </c>
      <c r="I212" t="s">
        <v>509</v>
      </c>
      <c r="J212" t="s">
        <v>547</v>
      </c>
      <c r="K212" t="s">
        <v>561</v>
      </c>
      <c r="L212" t="s">
        <v>553</v>
      </c>
      <c r="M212" t="s">
        <v>547</v>
      </c>
      <c r="N212" s="11" t="s">
        <v>159</v>
      </c>
      <c r="O212" s="10" t="s">
        <v>154</v>
      </c>
    </row>
    <row r="213" spans="1:16" hidden="1" x14ac:dyDescent="0.3">
      <c r="A213" t="s">
        <v>145</v>
      </c>
      <c r="B213" t="s">
        <v>411</v>
      </c>
      <c r="C213" t="s">
        <v>400</v>
      </c>
      <c r="D213" t="s">
        <v>562</v>
      </c>
      <c r="E213" t="s">
        <v>563</v>
      </c>
      <c r="F213" t="s">
        <v>564</v>
      </c>
      <c r="G213" t="s">
        <v>440</v>
      </c>
      <c r="H213" t="s">
        <v>441</v>
      </c>
      <c r="I213" t="s">
        <v>440</v>
      </c>
      <c r="J213" t="s">
        <v>547</v>
      </c>
      <c r="K213" t="s">
        <v>562</v>
      </c>
      <c r="L213" t="s">
        <v>563</v>
      </c>
      <c r="M213" t="s">
        <v>547</v>
      </c>
      <c r="N213" s="11" t="s">
        <v>159</v>
      </c>
      <c r="O213" s="10" t="s">
        <v>419</v>
      </c>
    </row>
    <row r="214" spans="1:16" hidden="1" x14ac:dyDescent="0.3">
      <c r="A214" t="s">
        <v>145</v>
      </c>
      <c r="B214" t="s">
        <v>411</v>
      </c>
      <c r="C214" t="s">
        <v>400</v>
      </c>
      <c r="D214" t="s">
        <v>565</v>
      </c>
      <c r="E214" t="s">
        <v>566</v>
      </c>
      <c r="F214" t="s">
        <v>566</v>
      </c>
      <c r="G214" t="s">
        <v>440</v>
      </c>
      <c r="H214" t="s">
        <v>441</v>
      </c>
      <c r="I214" t="s">
        <v>440</v>
      </c>
      <c r="J214" t="s">
        <v>547</v>
      </c>
      <c r="K214" t="s">
        <v>565</v>
      </c>
      <c r="L214" t="s">
        <v>566</v>
      </c>
      <c r="M214" t="s">
        <v>547</v>
      </c>
      <c r="N214" s="11" t="s">
        <v>159</v>
      </c>
      <c r="O214" s="10" t="s">
        <v>419</v>
      </c>
    </row>
    <row r="215" spans="1:16" hidden="1" x14ac:dyDescent="0.3">
      <c r="A215" t="s">
        <v>145</v>
      </c>
      <c r="B215" t="s">
        <v>466</v>
      </c>
      <c r="C215" t="s">
        <v>400</v>
      </c>
      <c r="D215" t="s">
        <v>567</v>
      </c>
      <c r="E215" t="s">
        <v>568</v>
      </c>
      <c r="F215" t="s">
        <v>477</v>
      </c>
      <c r="G215" t="s">
        <v>569</v>
      </c>
      <c r="H215" t="s">
        <v>570</v>
      </c>
      <c r="I215" t="s">
        <v>569</v>
      </c>
      <c r="J215" t="s">
        <v>547</v>
      </c>
      <c r="K215" t="s">
        <v>567</v>
      </c>
      <c r="L215" t="s">
        <v>568</v>
      </c>
      <c r="M215" t="s">
        <v>547</v>
      </c>
      <c r="N215" s="11" t="s">
        <v>159</v>
      </c>
      <c r="O215" s="10" t="s">
        <v>154</v>
      </c>
    </row>
    <row r="216" spans="1:16" hidden="1" x14ac:dyDescent="0.3">
      <c r="A216" t="s">
        <v>145</v>
      </c>
      <c r="B216" t="s">
        <v>466</v>
      </c>
      <c r="C216" t="s">
        <v>400</v>
      </c>
      <c r="D216" t="s">
        <v>571</v>
      </c>
      <c r="E216" t="s">
        <v>553</v>
      </c>
      <c r="F216" t="s">
        <v>554</v>
      </c>
      <c r="G216" t="s">
        <v>522</v>
      </c>
      <c r="H216" t="s">
        <v>469</v>
      </c>
      <c r="I216" t="s">
        <v>522</v>
      </c>
      <c r="J216" t="s">
        <v>547</v>
      </c>
      <c r="K216" t="s">
        <v>571</v>
      </c>
      <c r="L216" t="s">
        <v>553</v>
      </c>
      <c r="M216" t="s">
        <v>547</v>
      </c>
      <c r="N216" s="11" t="s">
        <v>159</v>
      </c>
      <c r="O216" s="10" t="s">
        <v>154</v>
      </c>
    </row>
    <row r="217" spans="1:16" hidden="1" x14ac:dyDescent="0.3">
      <c r="A217" t="s">
        <v>145</v>
      </c>
      <c r="B217" t="s">
        <v>411</v>
      </c>
      <c r="C217" t="s">
        <v>400</v>
      </c>
      <c r="D217" t="s">
        <v>572</v>
      </c>
      <c r="E217" t="s">
        <v>573</v>
      </c>
      <c r="F217" t="s">
        <v>220</v>
      </c>
      <c r="G217" t="s">
        <v>433</v>
      </c>
      <c r="H217" t="s">
        <v>434</v>
      </c>
      <c r="I217" t="s">
        <v>433</v>
      </c>
      <c r="J217" t="s">
        <v>547</v>
      </c>
      <c r="K217" t="s">
        <v>572</v>
      </c>
      <c r="L217" t="s">
        <v>573</v>
      </c>
      <c r="M217" t="s">
        <v>547</v>
      </c>
      <c r="N217" s="11" t="s">
        <v>159</v>
      </c>
      <c r="O217" s="10" t="s">
        <v>419</v>
      </c>
    </row>
    <row r="218" spans="1:16" hidden="1" x14ac:dyDescent="0.3">
      <c r="A218" t="s">
        <v>145</v>
      </c>
      <c r="B218" t="s">
        <v>466</v>
      </c>
      <c r="C218" t="s">
        <v>400</v>
      </c>
      <c r="D218" t="s">
        <v>574</v>
      </c>
      <c r="E218" t="s">
        <v>553</v>
      </c>
      <c r="F218" t="s">
        <v>554</v>
      </c>
      <c r="G218" t="s">
        <v>532</v>
      </c>
      <c r="H218" t="s">
        <v>469</v>
      </c>
      <c r="I218" t="s">
        <v>532</v>
      </c>
      <c r="J218" t="s">
        <v>547</v>
      </c>
      <c r="K218" t="s">
        <v>574</v>
      </c>
      <c r="L218" t="s">
        <v>553</v>
      </c>
      <c r="M218" t="s">
        <v>547</v>
      </c>
      <c r="N218" s="11" t="s">
        <v>159</v>
      </c>
      <c r="O218" s="10" t="s">
        <v>154</v>
      </c>
    </row>
    <row r="219" spans="1:16" hidden="1" x14ac:dyDescent="0.3">
      <c r="A219" t="s">
        <v>145</v>
      </c>
      <c r="B219" t="s">
        <v>146</v>
      </c>
      <c r="C219" t="s">
        <v>575</v>
      </c>
      <c r="D219" t="s">
        <v>576</v>
      </c>
      <c r="E219" t="s">
        <v>577</v>
      </c>
      <c r="F219" t="s">
        <v>575</v>
      </c>
      <c r="G219" t="s">
        <v>578</v>
      </c>
      <c r="H219" t="s">
        <v>575</v>
      </c>
      <c r="I219" t="s">
        <v>578</v>
      </c>
      <c r="J219" t="s">
        <v>575</v>
      </c>
      <c r="K219" t="s">
        <v>576</v>
      </c>
      <c r="L219" t="s">
        <v>575</v>
      </c>
      <c r="M219" t="s">
        <v>579</v>
      </c>
      <c r="O219" s="10" t="s">
        <v>154</v>
      </c>
      <c r="P219" s="11">
        <v>200</v>
      </c>
    </row>
    <row r="220" spans="1:16" hidden="1" x14ac:dyDescent="0.3">
      <c r="A220" t="s">
        <v>145</v>
      </c>
      <c r="B220" t="s">
        <v>146</v>
      </c>
      <c r="C220" t="s">
        <v>575</v>
      </c>
      <c r="D220" t="s">
        <v>580</v>
      </c>
      <c r="E220" t="s">
        <v>581</v>
      </c>
      <c r="F220" t="s">
        <v>575</v>
      </c>
      <c r="G220" t="s">
        <v>578</v>
      </c>
      <c r="H220" t="s">
        <v>575</v>
      </c>
      <c r="I220" t="s">
        <v>578</v>
      </c>
      <c r="J220" t="s">
        <v>575</v>
      </c>
      <c r="K220" t="s">
        <v>580</v>
      </c>
      <c r="L220" t="s">
        <v>575</v>
      </c>
      <c r="M220" t="s">
        <v>579</v>
      </c>
      <c r="O220" s="10" t="s">
        <v>154</v>
      </c>
      <c r="P220" s="11">
        <v>200</v>
      </c>
    </row>
    <row r="221" spans="1:16" hidden="1" x14ac:dyDescent="0.3">
      <c r="A221" t="s">
        <v>145</v>
      </c>
      <c r="B221" t="s">
        <v>146</v>
      </c>
      <c r="C221" t="s">
        <v>575</v>
      </c>
      <c r="D221" t="s">
        <v>582</v>
      </c>
      <c r="E221" t="s">
        <v>583</v>
      </c>
      <c r="F221" t="s">
        <v>575</v>
      </c>
      <c r="G221" t="s">
        <v>578</v>
      </c>
      <c r="H221" t="s">
        <v>575</v>
      </c>
      <c r="I221" t="s">
        <v>578</v>
      </c>
      <c r="J221" t="s">
        <v>575</v>
      </c>
      <c r="K221" t="s">
        <v>582</v>
      </c>
      <c r="L221" t="s">
        <v>575</v>
      </c>
      <c r="M221" t="s">
        <v>579</v>
      </c>
      <c r="O221" s="10" t="s">
        <v>154</v>
      </c>
      <c r="P221" s="11">
        <v>200</v>
      </c>
    </row>
    <row r="222" spans="1:16" hidden="1" x14ac:dyDescent="0.3">
      <c r="A222" t="s">
        <v>145</v>
      </c>
      <c r="B222" t="s">
        <v>146</v>
      </c>
      <c r="C222" t="s">
        <v>575</v>
      </c>
      <c r="D222" t="s">
        <v>584</v>
      </c>
      <c r="E222" t="s">
        <v>161</v>
      </c>
      <c r="F222" t="s">
        <v>575</v>
      </c>
      <c r="G222" t="s">
        <v>578</v>
      </c>
      <c r="H222" t="s">
        <v>575</v>
      </c>
      <c r="I222" t="s">
        <v>578</v>
      </c>
      <c r="J222" t="s">
        <v>575</v>
      </c>
      <c r="K222" t="s">
        <v>584</v>
      </c>
      <c r="L222" t="s">
        <v>575</v>
      </c>
      <c r="M222" t="s">
        <v>579</v>
      </c>
      <c r="O222" s="10" t="s">
        <v>154</v>
      </c>
      <c r="P222" s="11">
        <v>200</v>
      </c>
    </row>
    <row r="223" spans="1:16" hidden="1" x14ac:dyDescent="0.3">
      <c r="A223" t="s">
        <v>145</v>
      </c>
      <c r="B223" t="s">
        <v>146</v>
      </c>
      <c r="C223" t="s">
        <v>575</v>
      </c>
      <c r="D223" t="s">
        <v>585</v>
      </c>
      <c r="E223" t="s">
        <v>586</v>
      </c>
      <c r="F223" t="s">
        <v>575</v>
      </c>
      <c r="G223" t="s">
        <v>578</v>
      </c>
      <c r="H223" t="s">
        <v>575</v>
      </c>
      <c r="I223" t="s">
        <v>578</v>
      </c>
      <c r="J223" t="s">
        <v>575</v>
      </c>
      <c r="K223" t="s">
        <v>585</v>
      </c>
      <c r="L223" t="s">
        <v>575</v>
      </c>
      <c r="M223" t="s">
        <v>579</v>
      </c>
      <c r="O223" s="10" t="s">
        <v>154</v>
      </c>
      <c r="P223" s="11">
        <v>200</v>
      </c>
    </row>
    <row r="224" spans="1:16" hidden="1" x14ac:dyDescent="0.3">
      <c r="A224" t="s">
        <v>145</v>
      </c>
      <c r="B224" t="s">
        <v>146</v>
      </c>
      <c r="C224" t="s">
        <v>575</v>
      </c>
      <c r="D224" t="s">
        <v>587</v>
      </c>
      <c r="E224" t="s">
        <v>588</v>
      </c>
      <c r="F224" t="s">
        <v>575</v>
      </c>
      <c r="G224" t="s">
        <v>578</v>
      </c>
      <c r="H224" t="s">
        <v>575</v>
      </c>
      <c r="I224" t="s">
        <v>578</v>
      </c>
      <c r="J224" t="s">
        <v>575</v>
      </c>
      <c r="K224" t="s">
        <v>587</v>
      </c>
      <c r="L224" t="s">
        <v>575</v>
      </c>
      <c r="M224" t="s">
        <v>579</v>
      </c>
      <c r="O224" s="10" t="s">
        <v>154</v>
      </c>
      <c r="P224" s="11">
        <v>200</v>
      </c>
    </row>
    <row r="225" spans="1:16" hidden="1" x14ac:dyDescent="0.3">
      <c r="A225" t="s">
        <v>145</v>
      </c>
      <c r="B225" t="s">
        <v>146</v>
      </c>
      <c r="C225" t="s">
        <v>575</v>
      </c>
      <c r="D225" t="s">
        <v>589</v>
      </c>
      <c r="E225" t="s">
        <v>590</v>
      </c>
      <c r="F225" t="s">
        <v>575</v>
      </c>
      <c r="G225" t="s">
        <v>578</v>
      </c>
      <c r="H225" t="s">
        <v>575</v>
      </c>
      <c r="I225" t="s">
        <v>578</v>
      </c>
      <c r="J225" t="s">
        <v>575</v>
      </c>
      <c r="K225" t="s">
        <v>589</v>
      </c>
      <c r="L225" t="s">
        <v>575</v>
      </c>
      <c r="M225" t="s">
        <v>579</v>
      </c>
      <c r="O225" s="10" t="s">
        <v>154</v>
      </c>
      <c r="P225" s="11">
        <v>200</v>
      </c>
    </row>
    <row r="226" spans="1:16" hidden="1" x14ac:dyDescent="0.3">
      <c r="A226" t="s">
        <v>145</v>
      </c>
      <c r="B226" t="s">
        <v>411</v>
      </c>
      <c r="C226" t="s">
        <v>400</v>
      </c>
      <c r="D226" t="s">
        <v>591</v>
      </c>
      <c r="E226" t="s">
        <v>335</v>
      </c>
      <c r="F226" t="s">
        <v>335</v>
      </c>
      <c r="G226" t="s">
        <v>414</v>
      </c>
      <c r="H226" t="s">
        <v>592</v>
      </c>
      <c r="I226" t="s">
        <v>427</v>
      </c>
      <c r="J226" t="s">
        <v>290</v>
      </c>
      <c r="K226" t="s">
        <v>591</v>
      </c>
      <c r="L226" t="s">
        <v>335</v>
      </c>
      <c r="M226" t="s">
        <v>292</v>
      </c>
      <c r="O226" s="10" t="s">
        <v>419</v>
      </c>
      <c r="P226" s="11">
        <v>6</v>
      </c>
    </row>
    <row r="227" spans="1:16" hidden="1" x14ac:dyDescent="0.3">
      <c r="A227" t="s">
        <v>145</v>
      </c>
      <c r="B227" t="s">
        <v>146</v>
      </c>
      <c r="C227" t="s">
        <v>147</v>
      </c>
      <c r="D227" t="s">
        <v>593</v>
      </c>
      <c r="E227" t="s">
        <v>594</v>
      </c>
      <c r="F227" t="s">
        <v>594</v>
      </c>
      <c r="G227" t="s">
        <v>150</v>
      </c>
      <c r="H227" t="s">
        <v>151</v>
      </c>
      <c r="I227" t="s">
        <v>338</v>
      </c>
      <c r="J227" t="s">
        <v>339</v>
      </c>
      <c r="K227" t="s">
        <v>593</v>
      </c>
      <c r="L227" t="s">
        <v>594</v>
      </c>
      <c r="M227" t="s">
        <v>340</v>
      </c>
      <c r="O227" s="10" t="s">
        <v>154</v>
      </c>
      <c r="P227" s="11">
        <v>2</v>
      </c>
    </row>
    <row r="228" spans="1:16" hidden="1" x14ac:dyDescent="0.3">
      <c r="A228" t="s">
        <v>145</v>
      </c>
      <c r="B228" t="s">
        <v>146</v>
      </c>
      <c r="C228" t="s">
        <v>147</v>
      </c>
      <c r="D228" s="12" t="s">
        <v>595</v>
      </c>
      <c r="E228" t="s">
        <v>596</v>
      </c>
      <c r="F228" t="s">
        <v>596</v>
      </c>
      <c r="G228" t="s">
        <v>150</v>
      </c>
      <c r="H228" t="s">
        <v>151</v>
      </c>
      <c r="I228" t="s">
        <v>178</v>
      </c>
      <c r="J228" t="s">
        <v>177</v>
      </c>
      <c r="K228" t="s">
        <v>178</v>
      </c>
      <c r="L228" t="s">
        <v>177</v>
      </c>
      <c r="M228" t="s">
        <v>179</v>
      </c>
      <c r="O228" s="10" t="s">
        <v>154</v>
      </c>
      <c r="P228" s="11">
        <v>4</v>
      </c>
    </row>
    <row r="229" spans="1:16" hidden="1" x14ac:dyDescent="0.3">
      <c r="A229" t="s">
        <v>145</v>
      </c>
      <c r="B229" t="s">
        <v>146</v>
      </c>
      <c r="C229" t="s">
        <v>575</v>
      </c>
      <c r="D229" t="s">
        <v>597</v>
      </c>
      <c r="E229" t="s">
        <v>598</v>
      </c>
      <c r="F229" t="s">
        <v>575</v>
      </c>
      <c r="G229" t="s">
        <v>578</v>
      </c>
      <c r="H229" t="s">
        <v>575</v>
      </c>
      <c r="I229" t="s">
        <v>578</v>
      </c>
      <c r="J229" t="s">
        <v>575</v>
      </c>
      <c r="K229" t="s">
        <v>589</v>
      </c>
      <c r="L229" t="s">
        <v>575</v>
      </c>
      <c r="M229" t="s">
        <v>579</v>
      </c>
      <c r="O229" s="10" t="s">
        <v>154</v>
      </c>
      <c r="P229" s="11">
        <v>200</v>
      </c>
    </row>
    <row r="230" spans="1:16" hidden="1" x14ac:dyDescent="0.3">
      <c r="A230" t="s">
        <v>145</v>
      </c>
      <c r="B230" t="s">
        <v>146</v>
      </c>
      <c r="C230" t="s">
        <v>147</v>
      </c>
      <c r="D230" t="s">
        <v>599</v>
      </c>
      <c r="E230" t="s">
        <v>600</v>
      </c>
      <c r="F230" t="s">
        <v>600</v>
      </c>
      <c r="G230" t="s">
        <v>150</v>
      </c>
      <c r="H230" t="s">
        <v>151</v>
      </c>
      <c r="I230" t="s">
        <v>221</v>
      </c>
      <c r="J230" t="s">
        <v>220</v>
      </c>
      <c r="K230" t="s">
        <v>599</v>
      </c>
      <c r="L230" t="s">
        <v>220</v>
      </c>
      <c r="M230" t="s">
        <v>222</v>
      </c>
      <c r="O230" s="10" t="s">
        <v>154</v>
      </c>
      <c r="P230" s="11">
        <v>1</v>
      </c>
    </row>
    <row r="231" spans="1:16" hidden="1" x14ac:dyDescent="0.3">
      <c r="A231" t="s">
        <v>145</v>
      </c>
      <c r="B231" t="s">
        <v>146</v>
      </c>
      <c r="C231" t="s">
        <v>147</v>
      </c>
      <c r="D231" t="s">
        <v>601</v>
      </c>
      <c r="E231" t="s">
        <v>602</v>
      </c>
      <c r="F231" t="s">
        <v>602</v>
      </c>
      <c r="G231" t="s">
        <v>150</v>
      </c>
      <c r="H231" t="s">
        <v>151</v>
      </c>
      <c r="I231" t="s">
        <v>221</v>
      </c>
      <c r="J231" t="s">
        <v>220</v>
      </c>
      <c r="K231" t="s">
        <v>601</v>
      </c>
      <c r="L231" t="s">
        <v>220</v>
      </c>
      <c r="M231" t="s">
        <v>222</v>
      </c>
      <c r="O231" s="10" t="s">
        <v>154</v>
      </c>
      <c r="P231" s="11">
        <v>1</v>
      </c>
    </row>
    <row r="232" spans="1:16" hidden="1" x14ac:dyDescent="0.3">
      <c r="A232" t="s">
        <v>145</v>
      </c>
      <c r="B232" t="s">
        <v>146</v>
      </c>
      <c r="C232" t="s">
        <v>575</v>
      </c>
      <c r="D232" t="s">
        <v>603</v>
      </c>
      <c r="E232" t="s">
        <v>604</v>
      </c>
      <c r="F232" t="s">
        <v>575</v>
      </c>
      <c r="G232" t="s">
        <v>578</v>
      </c>
      <c r="H232" t="s">
        <v>575</v>
      </c>
      <c r="I232" t="s">
        <v>578</v>
      </c>
      <c r="J232" t="s">
        <v>575</v>
      </c>
      <c r="K232" t="s">
        <v>603</v>
      </c>
      <c r="L232" t="s">
        <v>575</v>
      </c>
      <c r="M232" t="s">
        <v>579</v>
      </c>
      <c r="O232" s="10" t="s">
        <v>154</v>
      </c>
      <c r="P232" s="11">
        <v>200</v>
      </c>
    </row>
    <row r="233" spans="1:16" hidden="1" x14ac:dyDescent="0.3">
      <c r="A233" t="s">
        <v>145</v>
      </c>
      <c r="B233" t="s">
        <v>146</v>
      </c>
      <c r="C233" t="s">
        <v>147</v>
      </c>
      <c r="D233" s="15" t="s">
        <v>605</v>
      </c>
      <c r="E233" t="s">
        <v>606</v>
      </c>
      <c r="F233" t="s">
        <v>606</v>
      </c>
      <c r="G233" t="s">
        <v>150</v>
      </c>
      <c r="H233" t="s">
        <v>151</v>
      </c>
      <c r="I233" t="s">
        <v>338</v>
      </c>
      <c r="J233" t="s">
        <v>177</v>
      </c>
      <c r="K233" t="s">
        <v>338</v>
      </c>
      <c r="L233" t="s">
        <v>177</v>
      </c>
      <c r="M233" t="s">
        <v>179</v>
      </c>
      <c r="O233" s="10" t="s">
        <v>154</v>
      </c>
      <c r="P233" s="11">
        <v>4</v>
      </c>
    </row>
    <row r="234" spans="1:16" hidden="1" x14ac:dyDescent="0.3">
      <c r="A234" t="s">
        <v>550</v>
      </c>
      <c r="B234" t="s">
        <v>550</v>
      </c>
      <c r="C234" t="s">
        <v>550</v>
      </c>
      <c r="D234" s="3" t="s">
        <v>607</v>
      </c>
      <c r="E234" t="s">
        <v>608</v>
      </c>
      <c r="F234" t="s">
        <v>608</v>
      </c>
      <c r="G234" t="s">
        <v>609</v>
      </c>
      <c r="H234" t="s">
        <v>610</v>
      </c>
      <c r="I234" s="16" t="s">
        <v>611</v>
      </c>
      <c r="J234" t="s">
        <v>612</v>
      </c>
      <c r="K234" s="3" t="s">
        <v>607</v>
      </c>
      <c r="L234" t="s">
        <v>608</v>
      </c>
      <c r="M234" t="s">
        <v>201</v>
      </c>
      <c r="O234" s="10" t="s">
        <v>154</v>
      </c>
      <c r="P234" s="11">
        <v>9</v>
      </c>
    </row>
    <row r="235" spans="1:16" hidden="1" x14ac:dyDescent="0.3">
      <c r="A235" t="s">
        <v>463</v>
      </c>
      <c r="B235" t="s">
        <v>463</v>
      </c>
      <c r="C235" t="s">
        <v>463</v>
      </c>
      <c r="D235" s="3" t="s">
        <v>613</v>
      </c>
      <c r="E235" t="s">
        <v>463</v>
      </c>
      <c r="F235" t="s">
        <v>463</v>
      </c>
      <c r="G235" t="s">
        <v>614</v>
      </c>
      <c r="H235" t="s">
        <v>615</v>
      </c>
      <c r="I235" s="3" t="s">
        <v>613</v>
      </c>
      <c r="J235" t="s">
        <v>463</v>
      </c>
      <c r="K235" s="3" t="s">
        <v>613</v>
      </c>
      <c r="L235" t="s">
        <v>463</v>
      </c>
      <c r="M235" t="s">
        <v>547</v>
      </c>
      <c r="O235" s="10" t="s">
        <v>154</v>
      </c>
    </row>
    <row r="236" spans="1:16" hidden="1" x14ac:dyDescent="0.3">
      <c r="A236" t="s">
        <v>616</v>
      </c>
      <c r="B236" t="s">
        <v>616</v>
      </c>
      <c r="C236" t="s">
        <v>616</v>
      </c>
      <c r="D236" s="3" t="s">
        <v>617</v>
      </c>
      <c r="E236" t="s">
        <v>616</v>
      </c>
      <c r="F236" t="s">
        <v>616</v>
      </c>
      <c r="G236" t="s">
        <v>618</v>
      </c>
      <c r="H236" t="s">
        <v>619</v>
      </c>
      <c r="I236" t="s">
        <v>620</v>
      </c>
      <c r="J236" t="s">
        <v>621</v>
      </c>
      <c r="K236" s="3" t="s">
        <v>617</v>
      </c>
      <c r="L236" t="s">
        <v>616</v>
      </c>
      <c r="M236" t="s">
        <v>547</v>
      </c>
      <c r="O236" s="10" t="s">
        <v>154</v>
      </c>
    </row>
    <row r="237" spans="1:16" hidden="1" x14ac:dyDescent="0.3">
      <c r="A237" t="s">
        <v>550</v>
      </c>
      <c r="B237" t="s">
        <v>550</v>
      </c>
      <c r="C237" t="s">
        <v>550</v>
      </c>
      <c r="D237" s="3" t="s">
        <v>622</v>
      </c>
      <c r="E237" t="s">
        <v>623</v>
      </c>
      <c r="F237" t="s">
        <v>624</v>
      </c>
      <c r="G237" t="s">
        <v>625</v>
      </c>
      <c r="H237" t="s">
        <v>626</v>
      </c>
      <c r="I237" t="s">
        <v>627</v>
      </c>
      <c r="J237" t="s">
        <v>612</v>
      </c>
      <c r="K237" s="3" t="s">
        <v>622</v>
      </c>
      <c r="L237" t="s">
        <v>623</v>
      </c>
      <c r="M237" t="s">
        <v>201</v>
      </c>
      <c r="O237" s="10" t="s">
        <v>154</v>
      </c>
      <c r="P237" s="11">
        <v>9</v>
      </c>
    </row>
    <row r="238" spans="1:16" hidden="1" x14ac:dyDescent="0.3">
      <c r="A238" t="s">
        <v>550</v>
      </c>
      <c r="B238" t="s">
        <v>550</v>
      </c>
      <c r="C238" t="s">
        <v>550</v>
      </c>
      <c r="D238" s="3" t="s">
        <v>628</v>
      </c>
      <c r="E238" t="s">
        <v>629</v>
      </c>
      <c r="F238" t="s">
        <v>630</v>
      </c>
      <c r="G238" t="s">
        <v>625</v>
      </c>
      <c r="H238" t="s">
        <v>626</v>
      </c>
      <c r="I238" t="s">
        <v>627</v>
      </c>
      <c r="J238" t="s">
        <v>612</v>
      </c>
      <c r="K238" s="3" t="s">
        <v>628</v>
      </c>
      <c r="L238" t="s">
        <v>629</v>
      </c>
      <c r="M238" t="s">
        <v>201</v>
      </c>
      <c r="O238" s="10" t="s">
        <v>154</v>
      </c>
      <c r="P238" s="11">
        <v>9</v>
      </c>
    </row>
    <row r="239" spans="1:16" hidden="1" x14ac:dyDescent="0.3">
      <c r="A239" t="s">
        <v>550</v>
      </c>
      <c r="B239" t="s">
        <v>550</v>
      </c>
      <c r="C239" t="s">
        <v>550</v>
      </c>
      <c r="D239" s="3" t="s">
        <v>631</v>
      </c>
      <c r="E239" t="s">
        <v>632</v>
      </c>
      <c r="F239" t="s">
        <v>633</v>
      </c>
      <c r="G239" t="s">
        <v>625</v>
      </c>
      <c r="H239" t="s">
        <v>626</v>
      </c>
      <c r="I239" t="s">
        <v>627</v>
      </c>
      <c r="J239" t="s">
        <v>612</v>
      </c>
      <c r="K239" s="3" t="s">
        <v>631</v>
      </c>
      <c r="L239" t="s">
        <v>632</v>
      </c>
      <c r="M239" t="s">
        <v>201</v>
      </c>
      <c r="O239" s="10" t="s">
        <v>154</v>
      </c>
      <c r="P239" s="11">
        <v>9</v>
      </c>
    </row>
    <row r="240" spans="1:16" hidden="1" x14ac:dyDescent="0.3">
      <c r="A240" t="s">
        <v>550</v>
      </c>
      <c r="B240" t="s">
        <v>550</v>
      </c>
      <c r="C240" t="s">
        <v>550</v>
      </c>
      <c r="D240" s="3" t="s">
        <v>634</v>
      </c>
      <c r="E240" t="s">
        <v>635</v>
      </c>
      <c r="F240" t="s">
        <v>636</v>
      </c>
      <c r="G240" t="s">
        <v>625</v>
      </c>
      <c r="H240" t="s">
        <v>626</v>
      </c>
      <c r="I240" t="s">
        <v>627</v>
      </c>
      <c r="J240" t="s">
        <v>612</v>
      </c>
      <c r="K240" s="3" t="s">
        <v>634</v>
      </c>
      <c r="L240" t="s">
        <v>635</v>
      </c>
      <c r="M240" t="s">
        <v>201</v>
      </c>
      <c r="O240" s="10" t="s">
        <v>154</v>
      </c>
      <c r="P240" s="11">
        <v>9</v>
      </c>
    </row>
    <row r="241" spans="1:16" hidden="1" x14ac:dyDescent="0.3">
      <c r="A241" t="s">
        <v>550</v>
      </c>
      <c r="B241" t="s">
        <v>550</v>
      </c>
      <c r="C241" t="s">
        <v>550</v>
      </c>
      <c r="D241" s="3" t="s">
        <v>637</v>
      </c>
      <c r="E241" t="s">
        <v>638</v>
      </c>
      <c r="F241" t="s">
        <v>639</v>
      </c>
      <c r="G241" t="s">
        <v>625</v>
      </c>
      <c r="H241" t="s">
        <v>626</v>
      </c>
      <c r="I241" t="s">
        <v>627</v>
      </c>
      <c r="J241" t="s">
        <v>612</v>
      </c>
      <c r="K241" s="3" t="s">
        <v>637</v>
      </c>
      <c r="L241" t="s">
        <v>638</v>
      </c>
      <c r="M241" t="s">
        <v>201</v>
      </c>
      <c r="O241" s="10" t="s">
        <v>154</v>
      </c>
      <c r="P241" s="11">
        <v>9</v>
      </c>
    </row>
    <row r="242" spans="1:16" hidden="1" x14ac:dyDescent="0.3">
      <c r="A242" t="s">
        <v>550</v>
      </c>
      <c r="B242" t="s">
        <v>550</v>
      </c>
      <c r="C242" t="s">
        <v>550</v>
      </c>
      <c r="D242" s="3" t="s">
        <v>640</v>
      </c>
      <c r="E242" t="s">
        <v>641</v>
      </c>
      <c r="F242" t="s">
        <v>642</v>
      </c>
      <c r="G242" t="s">
        <v>625</v>
      </c>
      <c r="H242" t="s">
        <v>626</v>
      </c>
      <c r="I242" t="s">
        <v>627</v>
      </c>
      <c r="J242" t="s">
        <v>612</v>
      </c>
      <c r="K242" s="3" t="s">
        <v>640</v>
      </c>
      <c r="L242" t="s">
        <v>641</v>
      </c>
      <c r="M242" t="s">
        <v>201</v>
      </c>
      <c r="O242" s="10" t="s">
        <v>154</v>
      </c>
      <c r="P242" s="11">
        <v>9</v>
      </c>
    </row>
    <row r="243" spans="1:16" hidden="1" x14ac:dyDescent="0.3">
      <c r="A243" t="s">
        <v>550</v>
      </c>
      <c r="B243" t="s">
        <v>550</v>
      </c>
      <c r="C243" t="s">
        <v>550</v>
      </c>
      <c r="D243" s="3" t="s">
        <v>643</v>
      </c>
      <c r="E243" t="s">
        <v>644</v>
      </c>
      <c r="F243" t="s">
        <v>645</v>
      </c>
      <c r="G243" t="s">
        <v>625</v>
      </c>
      <c r="H243" t="s">
        <v>626</v>
      </c>
      <c r="I243" t="s">
        <v>627</v>
      </c>
      <c r="J243" t="s">
        <v>612</v>
      </c>
      <c r="K243" s="3" t="s">
        <v>643</v>
      </c>
      <c r="L243" t="s">
        <v>644</v>
      </c>
      <c r="M243" t="s">
        <v>201</v>
      </c>
      <c r="O243" s="10" t="s">
        <v>154</v>
      </c>
      <c r="P243" s="11">
        <v>9</v>
      </c>
    </row>
    <row r="244" spans="1:16" hidden="1" x14ac:dyDescent="0.3">
      <c r="A244" t="s">
        <v>145</v>
      </c>
      <c r="B244" t="s">
        <v>411</v>
      </c>
      <c r="C244" t="s">
        <v>400</v>
      </c>
      <c r="D244" s="3" t="s">
        <v>5</v>
      </c>
      <c r="E244" t="s">
        <v>646</v>
      </c>
      <c r="F244" t="s">
        <v>647</v>
      </c>
      <c r="G244" t="s">
        <v>414</v>
      </c>
      <c r="H244" t="s">
        <v>415</v>
      </c>
      <c r="I244" t="s">
        <v>416</v>
      </c>
      <c r="J244" t="s">
        <v>290</v>
      </c>
      <c r="K244" s="3" t="s">
        <v>427</v>
      </c>
      <c r="L244" t="s">
        <v>648</v>
      </c>
      <c r="M244" t="s">
        <v>292</v>
      </c>
      <c r="O244" s="10" t="s">
        <v>419</v>
      </c>
      <c r="P244" s="11">
        <v>6</v>
      </c>
    </row>
    <row r="245" spans="1:16" hidden="1" x14ac:dyDescent="0.3">
      <c r="A245" t="s">
        <v>145</v>
      </c>
      <c r="B245" t="s">
        <v>466</v>
      </c>
      <c r="C245" t="s">
        <v>400</v>
      </c>
      <c r="D245" s="3" t="s">
        <v>6</v>
      </c>
      <c r="E245" t="s">
        <v>649</v>
      </c>
      <c r="F245" t="s">
        <v>650</v>
      </c>
      <c r="G245" t="s">
        <v>651</v>
      </c>
      <c r="H245" t="s">
        <v>652</v>
      </c>
      <c r="I245" t="s">
        <v>468</v>
      </c>
      <c r="J245" t="s">
        <v>220</v>
      </c>
      <c r="K245" t="s">
        <v>479</v>
      </c>
      <c r="L245" t="s">
        <v>653</v>
      </c>
      <c r="M245" t="s">
        <v>222</v>
      </c>
      <c r="O245" s="10" t="s">
        <v>154</v>
      </c>
      <c r="P245" s="11">
        <v>1</v>
      </c>
    </row>
    <row r="246" spans="1:16" hidden="1" x14ac:dyDescent="0.3">
      <c r="A246" t="s">
        <v>145</v>
      </c>
      <c r="B246" t="s">
        <v>466</v>
      </c>
      <c r="C246" t="s">
        <v>400</v>
      </c>
      <c r="D246" s="3" t="s">
        <v>7</v>
      </c>
      <c r="E246" t="s">
        <v>654</v>
      </c>
      <c r="F246" t="s">
        <v>655</v>
      </c>
      <c r="G246" t="s">
        <v>651</v>
      </c>
      <c r="H246" t="s">
        <v>652</v>
      </c>
      <c r="I246" t="s">
        <v>468</v>
      </c>
      <c r="J246" t="s">
        <v>315</v>
      </c>
      <c r="K246" s="3" t="s">
        <v>656</v>
      </c>
      <c r="L246" t="s">
        <v>654</v>
      </c>
      <c r="M246" t="s">
        <v>317</v>
      </c>
      <c r="O246" s="10" t="s">
        <v>154</v>
      </c>
      <c r="P246" s="11">
        <v>7</v>
      </c>
    </row>
    <row r="247" spans="1:16" hidden="1" x14ac:dyDescent="0.3">
      <c r="A247" t="s">
        <v>145</v>
      </c>
      <c r="B247" t="s">
        <v>466</v>
      </c>
      <c r="C247" t="s">
        <v>400</v>
      </c>
      <c r="D247" s="3" t="s">
        <v>8</v>
      </c>
      <c r="E247" t="s">
        <v>657</v>
      </c>
      <c r="F247" t="s">
        <v>658</v>
      </c>
      <c r="G247" t="s">
        <v>414</v>
      </c>
      <c r="H247" t="s">
        <v>415</v>
      </c>
      <c r="I247" t="s">
        <v>659</v>
      </c>
      <c r="J247" t="s">
        <v>198</v>
      </c>
      <c r="K247" s="3" t="s">
        <v>551</v>
      </c>
      <c r="L247" t="s">
        <v>657</v>
      </c>
      <c r="M247" t="s">
        <v>201</v>
      </c>
      <c r="O247" s="10" t="s">
        <v>419</v>
      </c>
      <c r="P247" s="11">
        <v>9</v>
      </c>
    </row>
    <row r="248" spans="1:16" hidden="1" x14ac:dyDescent="0.3">
      <c r="A248" t="s">
        <v>145</v>
      </c>
      <c r="B248" t="s">
        <v>466</v>
      </c>
      <c r="C248" t="s">
        <v>400</v>
      </c>
      <c r="D248" s="3" t="s">
        <v>9</v>
      </c>
      <c r="E248" t="s">
        <v>660</v>
      </c>
      <c r="F248" t="s">
        <v>660</v>
      </c>
      <c r="G248" t="s">
        <v>651</v>
      </c>
      <c r="H248" t="s">
        <v>652</v>
      </c>
      <c r="I248" t="s">
        <v>468</v>
      </c>
      <c r="J248" t="s">
        <v>300</v>
      </c>
      <c r="K248" t="s">
        <v>494</v>
      </c>
      <c r="L248" t="s">
        <v>661</v>
      </c>
      <c r="M248" t="s">
        <v>302</v>
      </c>
      <c r="O248" s="10" t="s">
        <v>154</v>
      </c>
      <c r="P248" s="11">
        <v>6</v>
      </c>
    </row>
    <row r="249" spans="1:16" hidden="1" x14ac:dyDescent="0.3">
      <c r="A249" t="s">
        <v>145</v>
      </c>
      <c r="B249" t="s">
        <v>466</v>
      </c>
      <c r="C249" t="s">
        <v>400</v>
      </c>
      <c r="D249" s="3" t="s">
        <v>38</v>
      </c>
      <c r="E249" t="s">
        <v>437</v>
      </c>
      <c r="F249" t="s">
        <v>437</v>
      </c>
      <c r="G249" t="s">
        <v>414</v>
      </c>
      <c r="H249" t="s">
        <v>415</v>
      </c>
      <c r="I249" t="s">
        <v>416</v>
      </c>
      <c r="J249" t="s">
        <v>290</v>
      </c>
      <c r="K249" s="3" t="s">
        <v>427</v>
      </c>
      <c r="L249" t="s">
        <v>648</v>
      </c>
      <c r="M249" t="s">
        <v>292</v>
      </c>
      <c r="O249" s="10" t="s">
        <v>419</v>
      </c>
      <c r="P249" s="11">
        <v>6</v>
      </c>
    </row>
    <row r="250" spans="1:16" hidden="1" x14ac:dyDescent="0.3">
      <c r="A250" t="s">
        <v>145</v>
      </c>
      <c r="B250" t="s">
        <v>466</v>
      </c>
      <c r="C250" t="s">
        <v>400</v>
      </c>
      <c r="D250" s="3" t="s">
        <v>39</v>
      </c>
      <c r="E250" t="s">
        <v>436</v>
      </c>
      <c r="F250" t="s">
        <v>436</v>
      </c>
      <c r="G250" t="s">
        <v>414</v>
      </c>
      <c r="H250" t="s">
        <v>415</v>
      </c>
      <c r="I250" t="s">
        <v>416</v>
      </c>
      <c r="J250" t="s">
        <v>290</v>
      </c>
      <c r="K250" s="3" t="s">
        <v>427</v>
      </c>
      <c r="L250" t="s">
        <v>648</v>
      </c>
      <c r="M250" t="s">
        <v>292</v>
      </c>
      <c r="O250" s="10" t="s">
        <v>419</v>
      </c>
      <c r="P250" s="11">
        <v>6</v>
      </c>
    </row>
    <row r="251" spans="1:16" hidden="1" x14ac:dyDescent="0.3">
      <c r="A251" t="s">
        <v>145</v>
      </c>
      <c r="B251" t="s">
        <v>411</v>
      </c>
      <c r="C251" t="s">
        <v>400</v>
      </c>
      <c r="D251" s="3" t="s">
        <v>48</v>
      </c>
      <c r="E251" t="s">
        <v>646</v>
      </c>
      <c r="F251" t="s">
        <v>647</v>
      </c>
      <c r="G251" t="s">
        <v>440</v>
      </c>
      <c r="H251" t="s">
        <v>441</v>
      </c>
      <c r="I251" s="3" t="s">
        <v>48</v>
      </c>
      <c r="J251" t="s">
        <v>290</v>
      </c>
      <c r="K251" s="3" t="s">
        <v>48</v>
      </c>
      <c r="L251" t="s">
        <v>646</v>
      </c>
      <c r="M251" t="s">
        <v>292</v>
      </c>
      <c r="O251" s="10" t="s">
        <v>419</v>
      </c>
      <c r="P251" s="11">
        <v>6</v>
      </c>
    </row>
    <row r="252" spans="1:16" hidden="1" x14ac:dyDescent="0.3">
      <c r="A252" t="s">
        <v>145</v>
      </c>
      <c r="B252" t="s">
        <v>466</v>
      </c>
      <c r="C252" t="s">
        <v>400</v>
      </c>
      <c r="D252" s="3" t="s">
        <v>49</v>
      </c>
      <c r="E252" t="s">
        <v>649</v>
      </c>
      <c r="F252" t="s">
        <v>650</v>
      </c>
      <c r="G252" t="s">
        <v>662</v>
      </c>
      <c r="H252" t="s">
        <v>663</v>
      </c>
      <c r="I252" t="s">
        <v>507</v>
      </c>
      <c r="J252" t="s">
        <v>220</v>
      </c>
      <c r="K252" t="s">
        <v>508</v>
      </c>
      <c r="L252" t="s">
        <v>664</v>
      </c>
      <c r="M252" t="s">
        <v>222</v>
      </c>
      <c r="O252" s="10" t="s">
        <v>154</v>
      </c>
      <c r="P252" s="11">
        <v>1</v>
      </c>
    </row>
    <row r="253" spans="1:16" hidden="1" x14ac:dyDescent="0.3">
      <c r="A253" t="s">
        <v>145</v>
      </c>
      <c r="B253" t="s">
        <v>466</v>
      </c>
      <c r="C253" t="s">
        <v>400</v>
      </c>
      <c r="D253" s="3" t="s">
        <v>50</v>
      </c>
      <c r="E253" t="s">
        <v>654</v>
      </c>
      <c r="F253" t="s">
        <v>655</v>
      </c>
      <c r="G253" t="s">
        <v>662</v>
      </c>
      <c r="H253" t="s">
        <v>663</v>
      </c>
      <c r="I253" t="s">
        <v>507</v>
      </c>
      <c r="J253" t="s">
        <v>315</v>
      </c>
      <c r="K253" t="s">
        <v>508</v>
      </c>
      <c r="L253" t="s">
        <v>654</v>
      </c>
      <c r="M253" t="s">
        <v>317</v>
      </c>
      <c r="O253" s="10" t="s">
        <v>154</v>
      </c>
      <c r="P253" s="11">
        <v>7</v>
      </c>
    </row>
    <row r="254" spans="1:16" hidden="1" x14ac:dyDescent="0.3">
      <c r="A254" t="s">
        <v>145</v>
      </c>
      <c r="B254" t="s">
        <v>466</v>
      </c>
      <c r="C254" t="s">
        <v>400</v>
      </c>
      <c r="D254" s="3" t="s">
        <v>51</v>
      </c>
      <c r="E254" t="s">
        <v>657</v>
      </c>
      <c r="F254" t="s">
        <v>658</v>
      </c>
      <c r="G254" t="s">
        <v>440</v>
      </c>
      <c r="H254" t="s">
        <v>441</v>
      </c>
      <c r="I254" s="3" t="s">
        <v>51</v>
      </c>
      <c r="J254" t="s">
        <v>198</v>
      </c>
      <c r="K254" s="3" t="s">
        <v>51</v>
      </c>
      <c r="L254" t="s">
        <v>657</v>
      </c>
      <c r="M254" t="s">
        <v>201</v>
      </c>
      <c r="O254" s="10" t="s">
        <v>419</v>
      </c>
      <c r="P254" s="11">
        <v>9</v>
      </c>
    </row>
    <row r="255" spans="1:16" hidden="1" x14ac:dyDescent="0.3">
      <c r="A255" t="s">
        <v>145</v>
      </c>
      <c r="B255" t="s">
        <v>466</v>
      </c>
      <c r="C255" t="s">
        <v>400</v>
      </c>
      <c r="D255" s="3" t="s">
        <v>52</v>
      </c>
      <c r="E255" t="s">
        <v>660</v>
      </c>
      <c r="F255" t="s">
        <v>660</v>
      </c>
      <c r="G255" t="s">
        <v>662</v>
      </c>
      <c r="H255" t="s">
        <v>663</v>
      </c>
      <c r="I255" t="s">
        <v>507</v>
      </c>
      <c r="J255" t="s">
        <v>300</v>
      </c>
      <c r="K255" t="s">
        <v>508</v>
      </c>
      <c r="L255" t="s">
        <v>664</v>
      </c>
      <c r="M255" t="s">
        <v>302</v>
      </c>
      <c r="O255" s="10" t="s">
        <v>154</v>
      </c>
      <c r="P255" s="11">
        <v>6</v>
      </c>
    </row>
    <row r="256" spans="1:16" hidden="1" x14ac:dyDescent="0.3">
      <c r="A256" t="s">
        <v>145</v>
      </c>
      <c r="B256" t="s">
        <v>411</v>
      </c>
      <c r="C256" t="s">
        <v>400</v>
      </c>
      <c r="D256" s="3" t="s">
        <v>75</v>
      </c>
      <c r="E256" t="s">
        <v>646</v>
      </c>
      <c r="F256" t="s">
        <v>647</v>
      </c>
      <c r="G256" t="s">
        <v>433</v>
      </c>
      <c r="H256" t="s">
        <v>434</v>
      </c>
      <c r="I256" s="3" t="s">
        <v>75</v>
      </c>
      <c r="J256" t="s">
        <v>290</v>
      </c>
      <c r="K256" s="3" t="s">
        <v>75</v>
      </c>
      <c r="L256" t="s">
        <v>646</v>
      </c>
      <c r="M256" t="s">
        <v>292</v>
      </c>
      <c r="O256" s="10" t="s">
        <v>419</v>
      </c>
      <c r="P256" s="11">
        <v>6</v>
      </c>
    </row>
    <row r="257" spans="1:16" hidden="1" x14ac:dyDescent="0.3">
      <c r="A257" t="s">
        <v>145</v>
      </c>
      <c r="B257" t="s">
        <v>466</v>
      </c>
      <c r="C257" t="s">
        <v>400</v>
      </c>
      <c r="D257" s="3" t="s">
        <v>76</v>
      </c>
      <c r="E257" t="s">
        <v>649</v>
      </c>
      <c r="F257" t="s">
        <v>650</v>
      </c>
      <c r="G257" t="s">
        <v>665</v>
      </c>
      <c r="H257" t="s">
        <v>666</v>
      </c>
      <c r="I257" t="s">
        <v>520</v>
      </c>
      <c r="J257" t="s">
        <v>220</v>
      </c>
      <c r="K257" t="s">
        <v>521</v>
      </c>
      <c r="L257" t="s">
        <v>664</v>
      </c>
      <c r="M257" t="s">
        <v>222</v>
      </c>
      <c r="O257" s="10" t="s">
        <v>154</v>
      </c>
      <c r="P257" s="11">
        <v>1</v>
      </c>
    </row>
    <row r="258" spans="1:16" hidden="1" x14ac:dyDescent="0.3">
      <c r="A258" t="s">
        <v>145</v>
      </c>
      <c r="B258" t="s">
        <v>466</v>
      </c>
      <c r="C258" t="s">
        <v>400</v>
      </c>
      <c r="D258" s="3" t="s">
        <v>77</v>
      </c>
      <c r="E258" t="s">
        <v>654</v>
      </c>
      <c r="F258" t="s">
        <v>655</v>
      </c>
      <c r="G258" t="s">
        <v>665</v>
      </c>
      <c r="H258" t="s">
        <v>666</v>
      </c>
      <c r="I258" t="s">
        <v>520</v>
      </c>
      <c r="J258" t="s">
        <v>315</v>
      </c>
      <c r="K258" t="s">
        <v>521</v>
      </c>
      <c r="L258" t="s">
        <v>654</v>
      </c>
      <c r="M258" t="s">
        <v>317</v>
      </c>
      <c r="O258" s="10" t="s">
        <v>154</v>
      </c>
      <c r="P258" s="11">
        <v>7</v>
      </c>
    </row>
    <row r="259" spans="1:16" hidden="1" x14ac:dyDescent="0.3">
      <c r="A259" t="s">
        <v>145</v>
      </c>
      <c r="B259" t="s">
        <v>466</v>
      </c>
      <c r="C259" t="s">
        <v>400</v>
      </c>
      <c r="D259" s="3" t="s">
        <v>78</v>
      </c>
      <c r="E259" t="s">
        <v>660</v>
      </c>
      <c r="F259" t="s">
        <v>660</v>
      </c>
      <c r="G259" t="s">
        <v>665</v>
      </c>
      <c r="H259" t="s">
        <v>666</v>
      </c>
      <c r="I259" t="s">
        <v>520</v>
      </c>
      <c r="J259" t="s">
        <v>300</v>
      </c>
      <c r="K259" t="s">
        <v>521</v>
      </c>
      <c r="L259" t="s">
        <v>664</v>
      </c>
      <c r="M259" t="s">
        <v>302</v>
      </c>
      <c r="O259" s="10" t="s">
        <v>154</v>
      </c>
      <c r="P259" s="11">
        <v>6</v>
      </c>
    </row>
    <row r="260" spans="1:16" s="13" customFormat="1" hidden="1" x14ac:dyDescent="0.3">
      <c r="A260" s="13" t="s">
        <v>145</v>
      </c>
      <c r="B260" s="13" t="s">
        <v>466</v>
      </c>
      <c r="C260" s="13" t="s">
        <v>400</v>
      </c>
      <c r="D260" s="17" t="s">
        <v>98</v>
      </c>
      <c r="E260" s="13" t="s">
        <v>544</v>
      </c>
      <c r="F260" s="13" t="s">
        <v>146</v>
      </c>
      <c r="G260" s="13" t="s">
        <v>667</v>
      </c>
      <c r="H260" s="13" t="s">
        <v>668</v>
      </c>
      <c r="I260" s="13" t="s">
        <v>530</v>
      </c>
      <c r="J260" s="13" t="s">
        <v>544</v>
      </c>
      <c r="K260" s="13" t="s">
        <v>531</v>
      </c>
      <c r="L260" s="13" t="s">
        <v>209</v>
      </c>
      <c r="M260" s="13" t="s">
        <v>211</v>
      </c>
      <c r="O260" s="10" t="s">
        <v>154</v>
      </c>
      <c r="P260" s="14">
        <v>11</v>
      </c>
    </row>
    <row r="261" spans="1:16" hidden="1" x14ac:dyDescent="0.3">
      <c r="A261" t="s">
        <v>145</v>
      </c>
      <c r="B261" t="s">
        <v>411</v>
      </c>
      <c r="C261" t="s">
        <v>400</v>
      </c>
      <c r="D261" s="3" t="s">
        <v>102</v>
      </c>
      <c r="E261" t="s">
        <v>646</v>
      </c>
      <c r="F261" t="s">
        <v>647</v>
      </c>
      <c r="G261" t="s">
        <v>445</v>
      </c>
      <c r="H261" t="s">
        <v>669</v>
      </c>
      <c r="I261" t="s">
        <v>447</v>
      </c>
      <c r="J261" t="s">
        <v>290</v>
      </c>
      <c r="K261" s="3" t="s">
        <v>102</v>
      </c>
      <c r="L261" t="s">
        <v>646</v>
      </c>
      <c r="M261" t="s">
        <v>292</v>
      </c>
      <c r="O261" s="10" t="s">
        <v>419</v>
      </c>
      <c r="P261" s="11">
        <v>6</v>
      </c>
    </row>
    <row r="262" spans="1:16" hidden="1" x14ac:dyDescent="0.3">
      <c r="A262" t="s">
        <v>145</v>
      </c>
      <c r="B262" t="s">
        <v>466</v>
      </c>
      <c r="C262" t="s">
        <v>400</v>
      </c>
      <c r="D262" s="3" t="s">
        <v>103</v>
      </c>
      <c r="E262" t="s">
        <v>649</v>
      </c>
      <c r="F262" t="s">
        <v>650</v>
      </c>
      <c r="G262" t="s">
        <v>667</v>
      </c>
      <c r="H262" t="s">
        <v>668</v>
      </c>
      <c r="I262" t="s">
        <v>530</v>
      </c>
      <c r="J262" t="s">
        <v>220</v>
      </c>
      <c r="K262" t="s">
        <v>531</v>
      </c>
      <c r="L262" t="s">
        <v>664</v>
      </c>
      <c r="M262" t="s">
        <v>222</v>
      </c>
      <c r="O262" s="10" t="s">
        <v>154</v>
      </c>
      <c r="P262" s="11">
        <v>1</v>
      </c>
    </row>
    <row r="263" spans="1:16" hidden="1" x14ac:dyDescent="0.3">
      <c r="A263" t="s">
        <v>145</v>
      </c>
      <c r="B263" t="s">
        <v>466</v>
      </c>
      <c r="C263" t="s">
        <v>400</v>
      </c>
      <c r="D263" s="3" t="s">
        <v>104</v>
      </c>
      <c r="E263" t="s">
        <v>654</v>
      </c>
      <c r="F263" t="s">
        <v>655</v>
      </c>
      <c r="G263" t="s">
        <v>667</v>
      </c>
      <c r="H263" t="s">
        <v>668</v>
      </c>
      <c r="I263" t="s">
        <v>530</v>
      </c>
      <c r="J263" t="s">
        <v>315</v>
      </c>
      <c r="K263" t="s">
        <v>531</v>
      </c>
      <c r="L263" t="s">
        <v>654</v>
      </c>
      <c r="M263" t="s">
        <v>317</v>
      </c>
      <c r="O263" s="10" t="s">
        <v>154</v>
      </c>
      <c r="P263" s="11">
        <v>7</v>
      </c>
    </row>
    <row r="264" spans="1:16" hidden="1" x14ac:dyDescent="0.3">
      <c r="A264" t="s">
        <v>145</v>
      </c>
      <c r="B264" t="s">
        <v>466</v>
      </c>
      <c r="C264" t="s">
        <v>400</v>
      </c>
      <c r="D264" s="3" t="s">
        <v>105</v>
      </c>
      <c r="E264" t="s">
        <v>657</v>
      </c>
      <c r="F264" t="s">
        <v>658</v>
      </c>
      <c r="G264" t="s">
        <v>445</v>
      </c>
      <c r="H264" t="s">
        <v>669</v>
      </c>
      <c r="I264" t="s">
        <v>670</v>
      </c>
      <c r="J264" t="s">
        <v>198</v>
      </c>
      <c r="K264" s="3" t="s">
        <v>105</v>
      </c>
      <c r="L264" t="s">
        <v>657</v>
      </c>
      <c r="M264" t="s">
        <v>201</v>
      </c>
      <c r="O264" s="10" t="s">
        <v>419</v>
      </c>
      <c r="P264" s="11">
        <v>9</v>
      </c>
    </row>
    <row r="265" spans="1:16" hidden="1" x14ac:dyDescent="0.3">
      <c r="A265" t="s">
        <v>145</v>
      </c>
      <c r="B265" t="s">
        <v>466</v>
      </c>
      <c r="C265" t="s">
        <v>400</v>
      </c>
      <c r="D265" s="3" t="s">
        <v>106</v>
      </c>
      <c r="E265" t="s">
        <v>660</v>
      </c>
      <c r="F265" t="s">
        <v>660</v>
      </c>
      <c r="G265" t="s">
        <v>667</v>
      </c>
      <c r="H265" t="s">
        <v>668</v>
      </c>
      <c r="I265" t="s">
        <v>530</v>
      </c>
      <c r="J265" t="s">
        <v>300</v>
      </c>
      <c r="K265" t="s">
        <v>531</v>
      </c>
      <c r="L265" t="s">
        <v>664</v>
      </c>
      <c r="M265" t="s">
        <v>302</v>
      </c>
      <c r="O265" s="10" t="s">
        <v>154</v>
      </c>
      <c r="P265" s="11">
        <v>6</v>
      </c>
    </row>
    <row r="266" spans="1:16" hidden="1" x14ac:dyDescent="0.3">
      <c r="A266" t="s">
        <v>145</v>
      </c>
      <c r="B266" t="s">
        <v>146</v>
      </c>
      <c r="C266" t="s">
        <v>575</v>
      </c>
      <c r="D266" s="3" t="s">
        <v>671</v>
      </c>
      <c r="E266" t="s">
        <v>672</v>
      </c>
      <c r="F266" t="s">
        <v>672</v>
      </c>
      <c r="G266" t="s">
        <v>673</v>
      </c>
      <c r="H266" t="s">
        <v>674</v>
      </c>
      <c r="I266" t="s">
        <v>675</v>
      </c>
      <c r="J266" t="s">
        <v>575</v>
      </c>
      <c r="K266" s="3" t="s">
        <v>671</v>
      </c>
      <c r="L266" t="s">
        <v>676</v>
      </c>
      <c r="M266" t="s">
        <v>579</v>
      </c>
      <c r="O266" s="10" t="s">
        <v>154</v>
      </c>
      <c r="P266" s="11">
        <v>200</v>
      </c>
    </row>
    <row r="267" spans="1:16" hidden="1" x14ac:dyDescent="0.3">
      <c r="A267" t="s">
        <v>145</v>
      </c>
      <c r="B267" t="s">
        <v>146</v>
      </c>
      <c r="C267" t="s">
        <v>147</v>
      </c>
      <c r="D267" t="s">
        <v>677</v>
      </c>
      <c r="E267" t="s">
        <v>300</v>
      </c>
      <c r="F267" t="s">
        <v>300</v>
      </c>
      <c r="G267" t="s">
        <v>150</v>
      </c>
      <c r="H267" t="s">
        <v>151</v>
      </c>
      <c r="I267" t="s">
        <v>299</v>
      </c>
      <c r="J267" t="s">
        <v>300</v>
      </c>
      <c r="K267" t="s">
        <v>299</v>
      </c>
      <c r="L267" t="s">
        <v>300</v>
      </c>
      <c r="M267" t="s">
        <v>302</v>
      </c>
      <c r="O267" s="10" t="s">
        <v>154</v>
      </c>
      <c r="P267" s="11">
        <v>6</v>
      </c>
    </row>
    <row r="268" spans="1:16" s="18" customFormat="1" ht="14.4" hidden="1" x14ac:dyDescent="0.3">
      <c r="A268" s="18" t="s">
        <v>145</v>
      </c>
      <c r="B268" s="18" t="s">
        <v>466</v>
      </c>
      <c r="C268" s="18" t="s">
        <v>400</v>
      </c>
      <c r="D268" s="18" t="s">
        <v>678</v>
      </c>
      <c r="E268" s="18" t="s">
        <v>489</v>
      </c>
      <c r="F268" s="18" t="s">
        <v>347</v>
      </c>
      <c r="G268" s="18" t="s">
        <v>468</v>
      </c>
      <c r="H268" s="18" t="s">
        <v>469</v>
      </c>
      <c r="I268" s="18" t="s">
        <v>479</v>
      </c>
      <c r="J268" s="18" t="s">
        <v>339</v>
      </c>
      <c r="K268" s="18" t="s">
        <v>480</v>
      </c>
      <c r="L268" s="18" t="s">
        <v>490</v>
      </c>
      <c r="M268" s="18" t="s">
        <v>340</v>
      </c>
      <c r="O268" s="19" t="s">
        <v>154</v>
      </c>
      <c r="P268" s="20">
        <v>2</v>
      </c>
    </row>
    <row r="269" spans="1:16" s="18" customFormat="1" ht="14.4" hidden="1" x14ac:dyDescent="0.3">
      <c r="A269" s="18" t="s">
        <v>145</v>
      </c>
      <c r="B269" s="18" t="s">
        <v>466</v>
      </c>
      <c r="C269" s="18" t="s">
        <v>400</v>
      </c>
      <c r="D269" s="18" t="s">
        <v>679</v>
      </c>
      <c r="E269" s="18" t="s">
        <v>489</v>
      </c>
      <c r="F269" s="18" t="s">
        <v>347</v>
      </c>
      <c r="G269" s="18" t="s">
        <v>507</v>
      </c>
      <c r="H269" s="18" t="s">
        <v>469</v>
      </c>
      <c r="I269" s="18" t="s">
        <v>509</v>
      </c>
      <c r="J269" s="18" t="s">
        <v>339</v>
      </c>
      <c r="K269" s="18" t="s">
        <v>58</v>
      </c>
      <c r="L269" s="18" t="s">
        <v>490</v>
      </c>
      <c r="M269" s="18" t="s">
        <v>340</v>
      </c>
      <c r="O269" s="19" t="s">
        <v>154</v>
      </c>
      <c r="P269" s="20">
        <v>2</v>
      </c>
    </row>
    <row r="270" spans="1:16" s="18" customFormat="1" ht="14.4" hidden="1" x14ac:dyDescent="0.3">
      <c r="A270" s="18" t="s">
        <v>145</v>
      </c>
      <c r="B270" s="18" t="s">
        <v>466</v>
      </c>
      <c r="C270" s="18" t="s">
        <v>400</v>
      </c>
      <c r="D270" s="18" t="s">
        <v>680</v>
      </c>
      <c r="E270" s="18" t="s">
        <v>489</v>
      </c>
      <c r="F270" s="18" t="s">
        <v>347</v>
      </c>
      <c r="G270" s="18" t="s">
        <v>520</v>
      </c>
      <c r="H270" s="18" t="s">
        <v>469</v>
      </c>
      <c r="I270" s="18" t="s">
        <v>522</v>
      </c>
      <c r="J270" s="18" t="s">
        <v>339</v>
      </c>
      <c r="K270" s="18" t="s">
        <v>82</v>
      </c>
      <c r="L270" s="18" t="s">
        <v>490</v>
      </c>
      <c r="M270" s="18" t="s">
        <v>340</v>
      </c>
      <c r="O270" s="19" t="s">
        <v>154</v>
      </c>
      <c r="P270" s="20">
        <v>2</v>
      </c>
    </row>
    <row r="271" spans="1:16" s="18" customFormat="1" ht="14.4" hidden="1" x14ac:dyDescent="0.3">
      <c r="A271" s="18" t="s">
        <v>145</v>
      </c>
      <c r="B271" s="18" t="s">
        <v>466</v>
      </c>
      <c r="C271" s="18" t="s">
        <v>400</v>
      </c>
      <c r="D271" s="18" t="s">
        <v>681</v>
      </c>
      <c r="E271" s="18" t="s">
        <v>489</v>
      </c>
      <c r="F271" s="18" t="s">
        <v>347</v>
      </c>
      <c r="G271" s="18" t="s">
        <v>530</v>
      </c>
      <c r="H271" s="18" t="s">
        <v>469</v>
      </c>
      <c r="I271" s="18" t="s">
        <v>532</v>
      </c>
      <c r="J271" s="18" t="s">
        <v>339</v>
      </c>
      <c r="K271" s="18" t="s">
        <v>111</v>
      </c>
      <c r="L271" s="18" t="s">
        <v>490</v>
      </c>
      <c r="M271" s="18" t="s">
        <v>340</v>
      </c>
      <c r="O271" s="19" t="s">
        <v>154</v>
      </c>
      <c r="P271" s="20">
        <v>2</v>
      </c>
    </row>
    <row r="272" spans="1:16" s="18" customFormat="1" ht="14.4" hidden="1" x14ac:dyDescent="0.3">
      <c r="A272" s="18" t="s">
        <v>145</v>
      </c>
      <c r="B272" s="18" t="s">
        <v>146</v>
      </c>
      <c r="C272" s="18" t="s">
        <v>147</v>
      </c>
      <c r="D272" s="21" t="s">
        <v>682</v>
      </c>
      <c r="E272" s="18" t="s">
        <v>683</v>
      </c>
      <c r="F272" s="18" t="s">
        <v>683</v>
      </c>
      <c r="G272" s="18" t="s">
        <v>150</v>
      </c>
      <c r="H272" s="18" t="s">
        <v>151</v>
      </c>
      <c r="I272" s="18" t="s">
        <v>152</v>
      </c>
      <c r="J272" s="18" t="s">
        <v>149</v>
      </c>
      <c r="K272" s="18" t="s">
        <v>152</v>
      </c>
      <c r="L272" s="18" t="s">
        <v>149</v>
      </c>
      <c r="M272" s="18" t="s">
        <v>153</v>
      </c>
      <c r="O272" s="19" t="s">
        <v>154</v>
      </c>
      <c r="P272" s="20">
        <v>3</v>
      </c>
    </row>
    <row r="273" spans="1:16" s="18" customFormat="1" ht="14.4" hidden="1" x14ac:dyDescent="0.3">
      <c r="A273" s="18" t="s">
        <v>145</v>
      </c>
      <c r="B273" s="18" t="s">
        <v>411</v>
      </c>
      <c r="C273" s="18" t="s">
        <v>400</v>
      </c>
      <c r="D273" s="21" t="s">
        <v>684</v>
      </c>
      <c r="E273" s="18" t="s">
        <v>685</v>
      </c>
      <c r="F273" s="18" t="s">
        <v>685</v>
      </c>
      <c r="G273" s="18" t="s">
        <v>414</v>
      </c>
      <c r="H273" s="18" t="s">
        <v>415</v>
      </c>
      <c r="I273" s="18" t="s">
        <v>416</v>
      </c>
      <c r="J273" s="18" t="s">
        <v>290</v>
      </c>
      <c r="K273" s="21" t="s">
        <v>427</v>
      </c>
      <c r="L273" s="18" t="s">
        <v>648</v>
      </c>
      <c r="M273" s="18" t="s">
        <v>292</v>
      </c>
      <c r="O273" s="19" t="s">
        <v>419</v>
      </c>
      <c r="P273" s="20">
        <v>6</v>
      </c>
    </row>
    <row r="274" spans="1:16" s="18" customFormat="1" ht="14.4" hidden="1" x14ac:dyDescent="0.3">
      <c r="A274" s="18" t="s">
        <v>550</v>
      </c>
      <c r="B274" s="18" t="s">
        <v>550</v>
      </c>
      <c r="C274" s="18" t="s">
        <v>550</v>
      </c>
      <c r="D274" s="18" t="s">
        <v>686</v>
      </c>
      <c r="E274" s="18" t="s">
        <v>687</v>
      </c>
      <c r="F274" s="18" t="s">
        <v>688</v>
      </c>
      <c r="G274" s="18" t="s">
        <v>625</v>
      </c>
      <c r="J274" s="18" t="s">
        <v>612</v>
      </c>
      <c r="K274" s="18" t="s">
        <v>686</v>
      </c>
      <c r="L274" s="18" t="s">
        <v>687</v>
      </c>
      <c r="M274" s="18" t="s">
        <v>201</v>
      </c>
      <c r="O274" s="20" t="s">
        <v>154</v>
      </c>
      <c r="P274" s="20">
        <v>9</v>
      </c>
    </row>
    <row r="275" spans="1:16" s="18" customFormat="1" ht="14.4" hidden="1" x14ac:dyDescent="0.3">
      <c r="A275" s="18" t="s">
        <v>550</v>
      </c>
      <c r="B275" s="18" t="s">
        <v>550</v>
      </c>
      <c r="C275" s="18" t="s">
        <v>550</v>
      </c>
      <c r="D275" s="18" t="s">
        <v>689</v>
      </c>
      <c r="E275" s="18" t="s">
        <v>690</v>
      </c>
      <c r="F275" s="18" t="s">
        <v>691</v>
      </c>
      <c r="G275" s="18" t="s">
        <v>625</v>
      </c>
      <c r="J275" s="18" t="s">
        <v>612</v>
      </c>
      <c r="K275" s="18" t="s">
        <v>689</v>
      </c>
      <c r="L275" s="18" t="s">
        <v>690</v>
      </c>
      <c r="M275" s="18" t="s">
        <v>201</v>
      </c>
      <c r="O275" s="20" t="s">
        <v>154</v>
      </c>
      <c r="P275" s="20">
        <v>9</v>
      </c>
    </row>
    <row r="276" spans="1:16" s="18" customFormat="1" ht="14.4" hidden="1" x14ac:dyDescent="0.3">
      <c r="A276" s="18" t="s">
        <v>550</v>
      </c>
      <c r="B276" s="18" t="s">
        <v>550</v>
      </c>
      <c r="C276" s="18" t="s">
        <v>550</v>
      </c>
      <c r="D276" s="18" t="s">
        <v>692</v>
      </c>
      <c r="E276" s="18" t="s">
        <v>693</v>
      </c>
      <c r="F276" s="18" t="s">
        <v>693</v>
      </c>
      <c r="G276" s="18" t="s">
        <v>625</v>
      </c>
      <c r="H276" s="18" t="s">
        <v>626</v>
      </c>
      <c r="I276" s="18" t="s">
        <v>627</v>
      </c>
      <c r="J276" s="18" t="s">
        <v>612</v>
      </c>
      <c r="K276" s="18" t="s">
        <v>694</v>
      </c>
      <c r="L276" s="18" t="s">
        <v>693</v>
      </c>
      <c r="M276" s="18" t="s">
        <v>201</v>
      </c>
      <c r="O276" s="20" t="s">
        <v>154</v>
      </c>
      <c r="P276" s="20">
        <v>9</v>
      </c>
    </row>
    <row r="277" spans="1:16" s="18" customFormat="1" ht="14.4" hidden="1" x14ac:dyDescent="0.3">
      <c r="A277" s="18" t="s">
        <v>145</v>
      </c>
      <c r="B277" s="18" t="s">
        <v>695</v>
      </c>
      <c r="C277" s="18" t="s">
        <v>695</v>
      </c>
      <c r="D277" s="18" t="s">
        <v>696</v>
      </c>
      <c r="E277" s="18" t="s">
        <v>697</v>
      </c>
      <c r="F277" s="18" t="s">
        <v>695</v>
      </c>
      <c r="G277" s="18" t="s">
        <v>698</v>
      </c>
      <c r="H277" s="18" t="s">
        <v>695</v>
      </c>
      <c r="I277" s="18" t="s">
        <v>698</v>
      </c>
      <c r="J277" s="18" t="s">
        <v>695</v>
      </c>
      <c r="K277" s="18" t="s">
        <v>698</v>
      </c>
      <c r="L277" s="18" t="s">
        <v>695</v>
      </c>
      <c r="M277" s="18" t="s">
        <v>699</v>
      </c>
      <c r="O277" s="20" t="s">
        <v>154</v>
      </c>
      <c r="P277" s="20">
        <v>100</v>
      </c>
    </row>
    <row r="278" spans="1:16" s="18" customFormat="1" ht="14.4" hidden="1" x14ac:dyDescent="0.3">
      <c r="A278" s="18" t="s">
        <v>145</v>
      </c>
      <c r="B278" s="18" t="s">
        <v>700</v>
      </c>
      <c r="C278" s="18" t="s">
        <v>700</v>
      </c>
      <c r="D278" s="22" t="s">
        <v>701</v>
      </c>
      <c r="E278" s="18" t="s">
        <v>702</v>
      </c>
      <c r="F278" s="18" t="s">
        <v>700</v>
      </c>
      <c r="G278" s="18" t="s">
        <v>703</v>
      </c>
      <c r="H278" s="18" t="s">
        <v>700</v>
      </c>
      <c r="I278" s="18" t="s">
        <v>703</v>
      </c>
      <c r="J278" s="18" t="s">
        <v>700</v>
      </c>
      <c r="K278" s="18" t="s">
        <v>703</v>
      </c>
      <c r="L278" s="18" t="s">
        <v>704</v>
      </c>
      <c r="M278" s="18" t="s">
        <v>705</v>
      </c>
      <c r="O278" s="20" t="s">
        <v>154</v>
      </c>
      <c r="P278" s="20">
        <v>100</v>
      </c>
    </row>
    <row r="279" spans="1:16" s="18" customFormat="1" ht="14.4" hidden="1" x14ac:dyDescent="0.3">
      <c r="A279" s="18" t="s">
        <v>145</v>
      </c>
      <c r="B279" s="18" t="s">
        <v>376</v>
      </c>
      <c r="C279" s="18" t="s">
        <v>381</v>
      </c>
      <c r="D279" s="18" t="s">
        <v>706</v>
      </c>
      <c r="E279" s="18" t="s">
        <v>707</v>
      </c>
      <c r="F279" s="18" t="s">
        <v>381</v>
      </c>
      <c r="G279" s="18" t="s">
        <v>380</v>
      </c>
      <c r="I279" s="18" t="s">
        <v>708</v>
      </c>
      <c r="J279" s="18" t="s">
        <v>381</v>
      </c>
      <c r="K279" s="18" t="s">
        <v>709</v>
      </c>
      <c r="L279" s="18" t="s">
        <v>376</v>
      </c>
      <c r="M279" s="18" t="s">
        <v>376</v>
      </c>
      <c r="O279" s="20" t="s">
        <v>419</v>
      </c>
      <c r="P279" s="20">
        <v>3</v>
      </c>
    </row>
    <row r="280" spans="1:16" s="18" customFormat="1" ht="14.4" hidden="1" x14ac:dyDescent="0.3">
      <c r="A280" s="18" t="s">
        <v>145</v>
      </c>
      <c r="B280" s="18" t="s">
        <v>710</v>
      </c>
      <c r="C280" s="18" t="s">
        <v>710</v>
      </c>
      <c r="D280" s="18" t="s">
        <v>711</v>
      </c>
      <c r="E280" s="18" t="s">
        <v>710</v>
      </c>
      <c r="F280" s="18" t="s">
        <v>710</v>
      </c>
      <c r="G280" s="18" t="s">
        <v>578</v>
      </c>
      <c r="H280" s="18" t="s">
        <v>575</v>
      </c>
      <c r="I280" s="18" t="s">
        <v>578</v>
      </c>
      <c r="J280" s="18" t="s">
        <v>575</v>
      </c>
      <c r="K280" s="18" t="s">
        <v>711</v>
      </c>
      <c r="L280" s="18" t="s">
        <v>575</v>
      </c>
      <c r="M280" s="18" t="s">
        <v>579</v>
      </c>
      <c r="O280" s="20" t="s">
        <v>154</v>
      </c>
      <c r="P280" s="20">
        <v>200</v>
      </c>
    </row>
  </sheetData>
  <autoFilter ref="A1:P280" xr:uid="{14BA5B6B-A12E-4D3F-86BD-A155D4DC00AD}">
    <filterColumn colId="9">
      <filters>
        <filter val="Presidencia Ejecutiva"/>
      </filters>
    </filterColumn>
  </autoFilter>
  <conditionalFormatting sqref="D1:D273 D280">
    <cfRule type="duplicateValues" dxfId="10" priority="1"/>
    <cfRule type="duplicateValues" dxfId="9" priority="11"/>
  </conditionalFormatting>
  <conditionalFormatting sqref="I251">
    <cfRule type="duplicateValues" dxfId="8" priority="10"/>
  </conditionalFormatting>
  <conditionalFormatting sqref="I254">
    <cfRule type="duplicateValues" dxfId="7" priority="8"/>
  </conditionalFormatting>
  <conditionalFormatting sqref="I256">
    <cfRule type="duplicateValues" dxfId="6" priority="6"/>
  </conditionalFormatting>
  <conditionalFormatting sqref="K251">
    <cfRule type="duplicateValues" dxfId="5" priority="9"/>
  </conditionalFormatting>
  <conditionalFormatting sqref="K254">
    <cfRule type="duplicateValues" dxfId="4" priority="7"/>
  </conditionalFormatting>
  <conditionalFormatting sqref="K256">
    <cfRule type="duplicateValues" dxfId="3" priority="5"/>
  </conditionalFormatting>
  <conditionalFormatting sqref="K261">
    <cfRule type="duplicateValues" dxfId="2" priority="4"/>
  </conditionalFormatting>
  <conditionalFormatting sqref="K264">
    <cfRule type="duplicateValues" dxfId="1" priority="3"/>
  </conditionalFormatting>
  <conditionalFormatting sqref="K266">
    <cfRule type="duplicateValues" dxfId="0" priority="2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MLP</vt:lpstr>
      <vt:lpstr>ANT</vt:lpstr>
      <vt:lpstr>CEN</vt:lpstr>
      <vt:lpstr>CMZ</vt:lpstr>
      <vt:lpstr>CECOS</vt:lpstr>
      <vt:lpstr>CECOS Corporativos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Manuel San Martin</dc:creator>
  <cp:lastModifiedBy>Michelle Belen Madrid Araya</cp:lastModifiedBy>
  <dcterms:created xsi:type="dcterms:W3CDTF">2026-03-26T13:20:55Z</dcterms:created>
  <dcterms:modified xsi:type="dcterms:W3CDTF">2026-06-09T13:47:10Z</dcterms:modified>
</cp:coreProperties>
</file>