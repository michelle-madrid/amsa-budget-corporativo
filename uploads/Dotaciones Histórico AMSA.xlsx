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FTE/"/>
    </mc:Choice>
  </mc:AlternateContent>
  <xr:revisionPtr revIDLastSave="852" documentId="11_AD4D2F04E46CFB4ACB3E20581593C05A683EDF21" xr6:coauthVersionLast="47" xr6:coauthVersionMax="47" xr10:uidLastSave="{639B67AF-A04D-4832-8044-78654DB6BE76}"/>
  <bookViews>
    <workbookView xWindow="-108" yWindow="-108" windowWidth="23256" windowHeight="12576" activeTab="1" xr2:uid="{00000000-000D-0000-FFFF-FFFF00000000}"/>
  </bookViews>
  <sheets>
    <sheet name="Consolidado Propios" sheetId="5" r:id="rId1"/>
    <sheet name="Consolidado Contratista" sheetId="6" r:id="rId2"/>
    <sheet name="2026" sheetId="7" r:id="rId3"/>
    <sheet name="2025" sheetId="1" r:id="rId4"/>
    <sheet name="2024" sheetId="2" r:id="rId5"/>
    <sheet name="2023" sheetId="3" r:id="rId6"/>
    <sheet name="2022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5" l="1"/>
  <c r="K10" i="5"/>
  <c r="J10" i="5"/>
  <c r="I10" i="5"/>
  <c r="H10" i="5"/>
  <c r="G10" i="5"/>
  <c r="F10" i="5"/>
  <c r="E10" i="5"/>
  <c r="D10" i="5"/>
  <c r="C10" i="5"/>
  <c r="B10" i="5"/>
  <c r="L8" i="5"/>
  <c r="K8" i="5"/>
  <c r="J8" i="5"/>
  <c r="I8" i="5"/>
  <c r="H8" i="5"/>
  <c r="G8" i="5"/>
  <c r="F8" i="5"/>
  <c r="E8" i="5"/>
  <c r="D8" i="5"/>
  <c r="C8" i="5"/>
  <c r="B8" i="5"/>
  <c r="L6" i="5"/>
  <c r="K6" i="5"/>
  <c r="J6" i="5"/>
  <c r="I6" i="5"/>
  <c r="H6" i="5"/>
  <c r="G6" i="5"/>
  <c r="F6" i="5"/>
  <c r="E6" i="5"/>
  <c r="D6" i="5"/>
  <c r="C6" i="5"/>
  <c r="B6" i="5"/>
  <c r="L11" i="5"/>
  <c r="K11" i="5"/>
  <c r="J11" i="5"/>
  <c r="I11" i="5"/>
  <c r="H11" i="5"/>
  <c r="G11" i="5"/>
  <c r="F11" i="5"/>
  <c r="E11" i="5"/>
  <c r="D11" i="5"/>
  <c r="C11" i="5"/>
  <c r="B11" i="5"/>
  <c r="L9" i="5"/>
  <c r="K9" i="5"/>
  <c r="J9" i="5"/>
  <c r="I9" i="5"/>
  <c r="H9" i="5"/>
  <c r="G9" i="5"/>
  <c r="F9" i="5"/>
  <c r="E9" i="5"/>
  <c r="D9" i="5"/>
  <c r="C9" i="5"/>
  <c r="B9" i="5"/>
  <c r="L7" i="5"/>
  <c r="K7" i="5"/>
  <c r="J7" i="5"/>
  <c r="I7" i="5"/>
  <c r="H7" i="5"/>
  <c r="G7" i="5"/>
  <c r="F7" i="5"/>
  <c r="E7" i="5"/>
  <c r="D7" i="5"/>
  <c r="C7" i="5"/>
  <c r="B7" i="5"/>
  <c r="L6" i="6"/>
  <c r="K6" i="6"/>
  <c r="J6" i="6"/>
  <c r="I6" i="6"/>
  <c r="H6" i="6"/>
  <c r="G6" i="6"/>
  <c r="F6" i="6"/>
  <c r="E6" i="6"/>
  <c r="D6" i="6"/>
  <c r="C6" i="6"/>
  <c r="B6" i="6"/>
  <c r="L7" i="6"/>
  <c r="K7" i="6"/>
  <c r="J7" i="6"/>
  <c r="I7" i="6"/>
  <c r="H7" i="6"/>
  <c r="G7" i="6"/>
  <c r="F7" i="6"/>
  <c r="J15" i="6"/>
  <c r="I15" i="6"/>
  <c r="H15" i="6"/>
  <c r="G15" i="6"/>
  <c r="F15" i="6"/>
  <c r="E15" i="6"/>
  <c r="D15" i="6"/>
  <c r="C15" i="6"/>
  <c r="B15" i="6"/>
  <c r="L16" i="6"/>
  <c r="L15" i="6" s="1"/>
  <c r="K16" i="6"/>
  <c r="K15" i="6" s="1"/>
  <c r="J16" i="6"/>
  <c r="I28" i="6"/>
  <c r="H28" i="6"/>
  <c r="B28" i="6"/>
  <c r="L29" i="6"/>
  <c r="L28" i="6" s="1"/>
  <c r="K29" i="6"/>
  <c r="K28" i="6" s="1"/>
  <c r="J29" i="6"/>
  <c r="J28" i="6" s="1"/>
  <c r="I29" i="6"/>
  <c r="H29" i="6"/>
  <c r="G29" i="6"/>
  <c r="G28" i="6" s="1"/>
  <c r="F29" i="6"/>
  <c r="F28" i="6" s="1"/>
  <c r="E29" i="6"/>
  <c r="E28" i="6" s="1"/>
  <c r="D29" i="6"/>
  <c r="D28" i="6" s="1"/>
  <c r="C29" i="6"/>
  <c r="C28" i="6" s="1"/>
  <c r="B29" i="6"/>
  <c r="L9" i="6"/>
  <c r="L10" i="6"/>
  <c r="L14" i="6"/>
  <c r="L11" i="6" s="1"/>
  <c r="L18" i="6"/>
  <c r="L19" i="6"/>
  <c r="L24" i="6"/>
  <c r="L25" i="6"/>
  <c r="L27" i="6"/>
  <c r="L31" i="6"/>
  <c r="L30" i="6" s="1"/>
  <c r="L34" i="6"/>
  <c r="L35" i="6"/>
  <c r="L36" i="6"/>
  <c r="L42" i="6"/>
  <c r="K9" i="6"/>
  <c r="K10" i="6"/>
  <c r="K14" i="6"/>
  <c r="K11" i="6" s="1"/>
  <c r="K18" i="6"/>
  <c r="K19" i="6"/>
  <c r="K24" i="6"/>
  <c r="K25" i="6"/>
  <c r="K27" i="6"/>
  <c r="K31" i="6"/>
  <c r="K30" i="6" s="1"/>
  <c r="K34" i="6"/>
  <c r="K35" i="6"/>
  <c r="K36" i="6"/>
  <c r="K42" i="6"/>
  <c r="J9" i="6"/>
  <c r="J10" i="6"/>
  <c r="J14" i="6"/>
  <c r="J11" i="6" s="1"/>
  <c r="J18" i="6"/>
  <c r="J19" i="6"/>
  <c r="J24" i="6"/>
  <c r="J25" i="6"/>
  <c r="J27" i="6"/>
  <c r="J31" i="6"/>
  <c r="J30" i="6" s="1"/>
  <c r="J34" i="6"/>
  <c r="J35" i="6"/>
  <c r="J36" i="6"/>
  <c r="J42" i="6"/>
  <c r="L13" i="5"/>
  <c r="L12" i="5" s="1"/>
  <c r="L14" i="5"/>
  <c r="L15" i="5"/>
  <c r="L18" i="5"/>
  <c r="L19" i="5"/>
  <c r="L20" i="5"/>
  <c r="L21" i="5"/>
  <c r="L23" i="5"/>
  <c r="L24" i="5"/>
  <c r="L26" i="5"/>
  <c r="L28" i="5"/>
  <c r="L29" i="5"/>
  <c r="L32" i="5"/>
  <c r="L27" i="5" s="1"/>
  <c r="L34" i="5"/>
  <c r="L35" i="5"/>
  <c r="L36" i="5"/>
  <c r="L37" i="5"/>
  <c r="L40" i="5"/>
  <c r="L42" i="5"/>
  <c r="L43" i="5"/>
  <c r="L44" i="5"/>
  <c r="L45" i="5"/>
  <c r="L47" i="5"/>
  <c r="L48" i="5"/>
  <c r="L50" i="5"/>
  <c r="L52" i="5"/>
  <c r="L53" i="5"/>
  <c r="L54" i="5"/>
  <c r="L59" i="5"/>
  <c r="L55" i="5" s="1"/>
  <c r="L61" i="5"/>
  <c r="L62" i="5"/>
  <c r="L63" i="5"/>
  <c r="L64" i="5"/>
  <c r="L66" i="5"/>
  <c r="L67" i="5"/>
  <c r="L69" i="5"/>
  <c r="L71" i="5"/>
  <c r="L72" i="5"/>
  <c r="L73" i="5"/>
  <c r="L75" i="5"/>
  <c r="L77" i="5"/>
  <c r="L78" i="5"/>
  <c r="L79" i="5"/>
  <c r="L80" i="5"/>
  <c r="L88" i="5"/>
  <c r="L96" i="5"/>
  <c r="K13" i="5"/>
  <c r="K14" i="5"/>
  <c r="K15" i="5"/>
  <c r="K18" i="5"/>
  <c r="K19" i="5"/>
  <c r="K20" i="5"/>
  <c r="K21" i="5"/>
  <c r="K23" i="5"/>
  <c r="K24" i="5"/>
  <c r="K26" i="5"/>
  <c r="K28" i="5"/>
  <c r="K29" i="5"/>
  <c r="K32" i="5"/>
  <c r="K34" i="5"/>
  <c r="K35" i="5"/>
  <c r="K36" i="5"/>
  <c r="K37" i="5"/>
  <c r="K40" i="5"/>
  <c r="K42" i="5"/>
  <c r="K43" i="5"/>
  <c r="K44" i="5"/>
  <c r="K45" i="5"/>
  <c r="K47" i="5"/>
  <c r="K48" i="5"/>
  <c r="K50" i="5"/>
  <c r="K52" i="5"/>
  <c r="K53" i="5"/>
  <c r="K54" i="5"/>
  <c r="K59" i="5"/>
  <c r="K55" i="5" s="1"/>
  <c r="K61" i="5"/>
  <c r="K62" i="5"/>
  <c r="K63" i="5"/>
  <c r="K64" i="5"/>
  <c r="K66" i="5"/>
  <c r="K67" i="5"/>
  <c r="K69" i="5"/>
  <c r="K71" i="5"/>
  <c r="K72" i="5"/>
  <c r="K73" i="5"/>
  <c r="K75" i="5"/>
  <c r="K77" i="5"/>
  <c r="K78" i="5"/>
  <c r="K79" i="5"/>
  <c r="K80" i="5"/>
  <c r="K88" i="5"/>
  <c r="K96" i="5"/>
  <c r="J13" i="5"/>
  <c r="J14" i="5"/>
  <c r="J12" i="5" s="1"/>
  <c r="J15" i="5"/>
  <c r="J18" i="5"/>
  <c r="J19" i="5"/>
  <c r="J20" i="5"/>
  <c r="J21" i="5"/>
  <c r="J23" i="5"/>
  <c r="J24" i="5"/>
  <c r="J26" i="5"/>
  <c r="J28" i="5"/>
  <c r="J29" i="5"/>
  <c r="J32" i="5"/>
  <c r="J34" i="5"/>
  <c r="J35" i="5"/>
  <c r="J36" i="5"/>
  <c r="J37" i="5"/>
  <c r="J40" i="5"/>
  <c r="J42" i="5"/>
  <c r="J43" i="5"/>
  <c r="J44" i="5"/>
  <c r="J45" i="5"/>
  <c r="J47" i="5"/>
  <c r="J48" i="5"/>
  <c r="J50" i="5"/>
  <c r="J52" i="5"/>
  <c r="J53" i="5"/>
  <c r="J54" i="5"/>
  <c r="J59" i="5"/>
  <c r="J55" i="5" s="1"/>
  <c r="J61" i="5"/>
  <c r="J62" i="5"/>
  <c r="J63" i="5"/>
  <c r="J64" i="5"/>
  <c r="J66" i="5"/>
  <c r="J67" i="5"/>
  <c r="J69" i="5"/>
  <c r="J71" i="5"/>
  <c r="J72" i="5"/>
  <c r="J73" i="5"/>
  <c r="J75" i="5"/>
  <c r="J77" i="5"/>
  <c r="J78" i="5"/>
  <c r="J79" i="5"/>
  <c r="J80" i="5"/>
  <c r="J88" i="5"/>
  <c r="J96" i="5"/>
  <c r="K51" i="5" l="1"/>
  <c r="L51" i="5"/>
  <c r="J16" i="5"/>
  <c r="K76" i="5"/>
  <c r="L76" i="5"/>
  <c r="K12" i="5"/>
  <c r="L16" i="5"/>
  <c r="K60" i="5"/>
  <c r="J22" i="5"/>
  <c r="K22" i="5"/>
  <c r="K33" i="5"/>
  <c r="K27" i="5"/>
  <c r="J65" i="5"/>
  <c r="L22" i="5"/>
  <c r="J33" i="5"/>
  <c r="K65" i="5"/>
  <c r="K41" i="5"/>
  <c r="K16" i="5"/>
  <c r="J60" i="5"/>
  <c r="L65" i="5"/>
  <c r="L41" i="5"/>
  <c r="J27" i="5"/>
  <c r="L33" i="5"/>
  <c r="J76" i="5"/>
  <c r="J51" i="5"/>
  <c r="L60" i="5"/>
  <c r="J41" i="5"/>
  <c r="L8" i="6"/>
  <c r="K8" i="6"/>
  <c r="J8" i="6"/>
  <c r="L22" i="6"/>
  <c r="K17" i="6"/>
  <c r="K45" i="6" s="1"/>
  <c r="L17" i="6"/>
  <c r="L33" i="6"/>
  <c r="J33" i="6"/>
  <c r="K33" i="6"/>
  <c r="J22" i="6"/>
  <c r="J17" i="6"/>
  <c r="K22" i="6"/>
  <c r="J45" i="6" l="1"/>
  <c r="L45" i="6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N211" i="7"/>
  <c r="K211" i="7"/>
  <c r="J211" i="7"/>
  <c r="I211" i="7"/>
  <c r="H211" i="7"/>
  <c r="U210" i="7"/>
  <c r="M210" i="7"/>
  <c r="L210" i="7"/>
  <c r="K210" i="7"/>
  <c r="J210" i="7"/>
  <c r="I210" i="7"/>
  <c r="H210" i="7"/>
  <c r="G210" i="7"/>
  <c r="U209" i="7"/>
  <c r="U208" i="7"/>
  <c r="U207" i="7"/>
  <c r="U206" i="7"/>
  <c r="U205" i="7"/>
  <c r="U204" i="7"/>
  <c r="R203" i="7"/>
  <c r="Q203" i="7"/>
  <c r="P203" i="7"/>
  <c r="H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R170" i="7"/>
  <c r="Q170" i="7"/>
  <c r="P170" i="7"/>
  <c r="O170" i="7"/>
  <c r="O203" i="7" s="1"/>
  <c r="N170" i="7"/>
  <c r="N203" i="7" s="1"/>
  <c r="M170" i="7"/>
  <c r="M203" i="7" s="1"/>
  <c r="L170" i="7"/>
  <c r="L203" i="7" s="1"/>
  <c r="H170" i="7"/>
  <c r="G170" i="7"/>
  <c r="G203" i="7" s="1"/>
  <c r="U203" i="7" s="1"/>
  <c r="U169" i="7"/>
  <c r="R169" i="7"/>
  <c r="Q169" i="7"/>
  <c r="P169" i="7"/>
  <c r="O169" i="7"/>
  <c r="N169" i="7"/>
  <c r="N210" i="7" s="1"/>
  <c r="M169" i="7"/>
  <c r="L169" i="7"/>
  <c r="H169" i="7"/>
  <c r="G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B8" i="6"/>
  <c r="C8" i="6"/>
  <c r="D8" i="6"/>
  <c r="E8" i="6"/>
  <c r="F8" i="6"/>
  <c r="G8" i="6"/>
  <c r="H9" i="6"/>
  <c r="I9" i="6"/>
  <c r="H10" i="6"/>
  <c r="I10" i="6"/>
  <c r="B11" i="6"/>
  <c r="C11" i="6"/>
  <c r="D11" i="6"/>
  <c r="E11" i="6"/>
  <c r="F12" i="6"/>
  <c r="G12" i="6"/>
  <c r="F13" i="6"/>
  <c r="G13" i="6"/>
  <c r="F14" i="6"/>
  <c r="G14" i="6"/>
  <c r="H14" i="6"/>
  <c r="H11" i="6" s="1"/>
  <c r="I14" i="6"/>
  <c r="I11" i="6" s="1"/>
  <c r="H18" i="6"/>
  <c r="F19" i="6"/>
  <c r="G19" i="6"/>
  <c r="H19" i="6"/>
  <c r="I19" i="6"/>
  <c r="I17" i="6" s="1"/>
  <c r="B20" i="6"/>
  <c r="B17" i="6" s="1"/>
  <c r="C20" i="6"/>
  <c r="C17" i="6" s="1"/>
  <c r="D20" i="6"/>
  <c r="D17" i="6" s="1"/>
  <c r="E20" i="6"/>
  <c r="E17" i="6" s="1"/>
  <c r="F21" i="6"/>
  <c r="G21" i="6"/>
  <c r="H21" i="6"/>
  <c r="B23" i="6"/>
  <c r="C23" i="6"/>
  <c r="D23" i="6"/>
  <c r="E23" i="6"/>
  <c r="F23" i="6"/>
  <c r="G23" i="6"/>
  <c r="I23" i="6"/>
  <c r="B24" i="6"/>
  <c r="C24" i="6"/>
  <c r="D24" i="6"/>
  <c r="E24" i="6"/>
  <c r="F24" i="6"/>
  <c r="G24" i="6"/>
  <c r="H24" i="6"/>
  <c r="I24" i="6"/>
  <c r="D25" i="6"/>
  <c r="E25" i="6"/>
  <c r="F25" i="6"/>
  <c r="G25" i="6"/>
  <c r="H25" i="6"/>
  <c r="I25" i="6"/>
  <c r="B26" i="6"/>
  <c r="C26" i="6"/>
  <c r="D26" i="6"/>
  <c r="E26" i="6"/>
  <c r="F26" i="6"/>
  <c r="G26" i="6"/>
  <c r="F27" i="6"/>
  <c r="G27" i="6"/>
  <c r="H27" i="6"/>
  <c r="I27" i="6"/>
  <c r="B30" i="6"/>
  <c r="C30" i="6"/>
  <c r="F31" i="6"/>
  <c r="F30" i="6" s="1"/>
  <c r="G31" i="6"/>
  <c r="G30" i="6" s="1"/>
  <c r="H31" i="6"/>
  <c r="H30" i="6" s="1"/>
  <c r="I31" i="6"/>
  <c r="I30" i="6" s="1"/>
  <c r="D32" i="6"/>
  <c r="D30" i="6" s="1"/>
  <c r="E32" i="6"/>
  <c r="E30" i="6" s="1"/>
  <c r="B33" i="6"/>
  <c r="C33" i="6"/>
  <c r="D33" i="6"/>
  <c r="E33" i="6"/>
  <c r="F33" i="6"/>
  <c r="G33" i="6"/>
  <c r="H34" i="6"/>
  <c r="I34" i="6"/>
  <c r="H35" i="6"/>
  <c r="I35" i="6"/>
  <c r="H36" i="6"/>
  <c r="I36" i="6"/>
  <c r="B37" i="6"/>
  <c r="C37" i="6"/>
  <c r="D37" i="6"/>
  <c r="E37" i="6"/>
  <c r="F37" i="6"/>
  <c r="G37" i="6"/>
  <c r="D38" i="6"/>
  <c r="E38" i="6"/>
  <c r="F38" i="6"/>
  <c r="G38" i="6"/>
  <c r="B39" i="6"/>
  <c r="C39" i="6"/>
  <c r="D39" i="6"/>
  <c r="E39" i="6"/>
  <c r="F39" i="6"/>
  <c r="G39" i="6"/>
  <c r="B40" i="6"/>
  <c r="C40" i="6"/>
  <c r="D40" i="6"/>
  <c r="E40" i="6"/>
  <c r="F40" i="6"/>
  <c r="G40" i="6"/>
  <c r="B41" i="6"/>
  <c r="C41" i="6"/>
  <c r="D41" i="6"/>
  <c r="E41" i="6"/>
  <c r="F42" i="6"/>
  <c r="G42" i="6"/>
  <c r="H42" i="6"/>
  <c r="I42" i="6"/>
  <c r="D43" i="6"/>
  <c r="E43" i="6"/>
  <c r="B44" i="6"/>
  <c r="B42" i="6" s="1"/>
  <c r="C44" i="6"/>
  <c r="C42" i="6" s="1"/>
  <c r="D44" i="6"/>
  <c r="E44" i="6"/>
  <c r="B13" i="5"/>
  <c r="C13" i="5"/>
  <c r="D13" i="5"/>
  <c r="E13" i="5"/>
  <c r="F13" i="5"/>
  <c r="G13" i="5"/>
  <c r="H13" i="5"/>
  <c r="I13" i="5"/>
  <c r="B14" i="5"/>
  <c r="C14" i="5"/>
  <c r="D14" i="5"/>
  <c r="D12" i="5" s="1"/>
  <c r="E14" i="5"/>
  <c r="F14" i="5"/>
  <c r="G14" i="5"/>
  <c r="H14" i="5"/>
  <c r="I14" i="5"/>
  <c r="B15" i="5"/>
  <c r="C15" i="5"/>
  <c r="D15" i="5"/>
  <c r="E15" i="5"/>
  <c r="F15" i="5"/>
  <c r="G15" i="5"/>
  <c r="H15" i="5"/>
  <c r="I15" i="5"/>
  <c r="B16" i="5"/>
  <c r="C16" i="5"/>
  <c r="D16" i="5"/>
  <c r="E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H16" i="5" s="1"/>
  <c r="I20" i="5"/>
  <c r="I16" i="5" s="1"/>
  <c r="F21" i="5"/>
  <c r="G21" i="5"/>
  <c r="H21" i="5"/>
  <c r="I21" i="5"/>
  <c r="B23" i="5"/>
  <c r="C23" i="5"/>
  <c r="D23" i="5"/>
  <c r="E23" i="5"/>
  <c r="F23" i="5"/>
  <c r="G23" i="5"/>
  <c r="H23" i="5"/>
  <c r="I23" i="5"/>
  <c r="B24" i="5"/>
  <c r="B22" i="5" s="1"/>
  <c r="C24" i="5"/>
  <c r="D24" i="5"/>
  <c r="E24" i="5"/>
  <c r="F24" i="5"/>
  <c r="F22" i="5" s="1"/>
  <c r="G24" i="5"/>
  <c r="H24" i="5"/>
  <c r="I24" i="5"/>
  <c r="F25" i="5"/>
  <c r="G25" i="5"/>
  <c r="B26" i="5"/>
  <c r="C26" i="5"/>
  <c r="D26" i="5"/>
  <c r="E26" i="5"/>
  <c r="F26" i="5"/>
  <c r="G26" i="5"/>
  <c r="H26" i="5"/>
  <c r="I26" i="5"/>
  <c r="B28" i="5"/>
  <c r="B27" i="5" s="1"/>
  <c r="C28" i="5"/>
  <c r="C27" i="5" s="1"/>
  <c r="D28" i="5"/>
  <c r="E28" i="5"/>
  <c r="F28" i="5"/>
  <c r="G28" i="5"/>
  <c r="H28" i="5"/>
  <c r="I28" i="5"/>
  <c r="B29" i="5"/>
  <c r="C29" i="5"/>
  <c r="D29" i="5"/>
  <c r="E29" i="5"/>
  <c r="F29" i="5"/>
  <c r="G29" i="5"/>
  <c r="H29" i="5"/>
  <c r="I29" i="5"/>
  <c r="D30" i="5"/>
  <c r="E30" i="5"/>
  <c r="D31" i="5"/>
  <c r="E31" i="5"/>
  <c r="B32" i="5"/>
  <c r="C32" i="5"/>
  <c r="D32" i="5"/>
  <c r="E32" i="5"/>
  <c r="F32" i="5"/>
  <c r="G32" i="5"/>
  <c r="H32" i="5"/>
  <c r="I32" i="5"/>
  <c r="B34" i="5"/>
  <c r="C34" i="5"/>
  <c r="D34" i="5"/>
  <c r="E34" i="5"/>
  <c r="F34" i="5"/>
  <c r="G34" i="5"/>
  <c r="H34" i="5"/>
  <c r="I34" i="5"/>
  <c r="B35" i="5"/>
  <c r="C35" i="5"/>
  <c r="D35" i="5"/>
  <c r="E35" i="5"/>
  <c r="F35" i="5"/>
  <c r="G35" i="5"/>
  <c r="H35" i="5"/>
  <c r="I35" i="5"/>
  <c r="F36" i="5"/>
  <c r="G36" i="5"/>
  <c r="H36" i="5"/>
  <c r="I36" i="5"/>
  <c r="F37" i="5"/>
  <c r="G37" i="5"/>
  <c r="H37" i="5"/>
  <c r="I37" i="5"/>
  <c r="B38" i="5"/>
  <c r="C38" i="5"/>
  <c r="D38" i="5"/>
  <c r="E38" i="5"/>
  <c r="B39" i="5"/>
  <c r="C39" i="5"/>
  <c r="D39" i="5"/>
  <c r="E39" i="5"/>
  <c r="B40" i="5"/>
  <c r="C40" i="5"/>
  <c r="D40" i="5"/>
  <c r="E40" i="5"/>
  <c r="F40" i="5"/>
  <c r="G40" i="5"/>
  <c r="H40" i="5"/>
  <c r="I40" i="5"/>
  <c r="B42" i="5"/>
  <c r="C42" i="5"/>
  <c r="D42" i="5"/>
  <c r="E42" i="5"/>
  <c r="F42" i="5"/>
  <c r="G42" i="5"/>
  <c r="H42" i="5"/>
  <c r="I42" i="5"/>
  <c r="B43" i="5"/>
  <c r="C43" i="5"/>
  <c r="D43" i="5"/>
  <c r="E43" i="5"/>
  <c r="F43" i="5"/>
  <c r="G43" i="5"/>
  <c r="G41" i="5" s="1"/>
  <c r="H43" i="5"/>
  <c r="I43" i="5"/>
  <c r="F44" i="5"/>
  <c r="H44" i="5"/>
  <c r="I44" i="5"/>
  <c r="B45" i="5"/>
  <c r="C45" i="5"/>
  <c r="D45" i="5"/>
  <c r="E45" i="5"/>
  <c r="F45" i="5"/>
  <c r="G45" i="5"/>
  <c r="H45" i="5"/>
  <c r="I45" i="5"/>
  <c r="F46" i="5"/>
  <c r="I46" i="5"/>
  <c r="B47" i="5"/>
  <c r="C47" i="5"/>
  <c r="D47" i="5"/>
  <c r="E47" i="5"/>
  <c r="F47" i="5"/>
  <c r="G47" i="5"/>
  <c r="H47" i="5"/>
  <c r="I47" i="5"/>
  <c r="B48" i="5"/>
  <c r="C48" i="5"/>
  <c r="D48" i="5"/>
  <c r="E48" i="5"/>
  <c r="F48" i="5"/>
  <c r="G48" i="5"/>
  <c r="H48" i="5"/>
  <c r="I48" i="5"/>
  <c r="D49" i="5"/>
  <c r="E49" i="5"/>
  <c r="F49" i="5"/>
  <c r="G49" i="5"/>
  <c r="B50" i="5"/>
  <c r="C50" i="5"/>
  <c r="D50" i="5"/>
  <c r="E50" i="5"/>
  <c r="F50" i="5"/>
  <c r="G50" i="5"/>
  <c r="H50" i="5"/>
  <c r="I50" i="5"/>
  <c r="B52" i="5"/>
  <c r="C52" i="5"/>
  <c r="D52" i="5"/>
  <c r="E52" i="5"/>
  <c r="E51" i="5" s="1"/>
  <c r="F52" i="5"/>
  <c r="G52" i="5"/>
  <c r="H52" i="5"/>
  <c r="I52" i="5"/>
  <c r="B53" i="5"/>
  <c r="C53" i="5"/>
  <c r="D53" i="5"/>
  <c r="E53" i="5"/>
  <c r="F53" i="5"/>
  <c r="G53" i="5"/>
  <c r="H53" i="5"/>
  <c r="I53" i="5"/>
  <c r="B54" i="5"/>
  <c r="C54" i="5"/>
  <c r="D54" i="5"/>
  <c r="E54" i="5"/>
  <c r="F54" i="5"/>
  <c r="G54" i="5"/>
  <c r="H54" i="5"/>
  <c r="I54" i="5"/>
  <c r="I55" i="5"/>
  <c r="B56" i="5"/>
  <c r="C56" i="5"/>
  <c r="D56" i="5"/>
  <c r="E56" i="5"/>
  <c r="B57" i="5"/>
  <c r="C57" i="5"/>
  <c r="D57" i="5"/>
  <c r="E57" i="5"/>
  <c r="B58" i="5"/>
  <c r="C58" i="5"/>
  <c r="D58" i="5"/>
  <c r="E58" i="5"/>
  <c r="B59" i="5"/>
  <c r="C59" i="5"/>
  <c r="D59" i="5"/>
  <c r="E59" i="5"/>
  <c r="F59" i="5"/>
  <c r="F55" i="5" s="1"/>
  <c r="G59" i="5"/>
  <c r="G55" i="5" s="1"/>
  <c r="H59" i="5"/>
  <c r="H55" i="5" s="1"/>
  <c r="B60" i="5"/>
  <c r="C60" i="5"/>
  <c r="D61" i="5"/>
  <c r="E61" i="5"/>
  <c r="F61" i="5"/>
  <c r="G61" i="5"/>
  <c r="H61" i="5"/>
  <c r="I61" i="5"/>
  <c r="D62" i="5"/>
  <c r="E62" i="5"/>
  <c r="F62" i="5"/>
  <c r="G62" i="5"/>
  <c r="H62" i="5"/>
  <c r="I62" i="5"/>
  <c r="D63" i="5"/>
  <c r="E63" i="5"/>
  <c r="F63" i="5"/>
  <c r="G63" i="5"/>
  <c r="H63" i="5"/>
  <c r="I63" i="5"/>
  <c r="D64" i="5"/>
  <c r="E64" i="5"/>
  <c r="F64" i="5"/>
  <c r="G64" i="5"/>
  <c r="H64" i="5"/>
  <c r="I64" i="5"/>
  <c r="B65" i="5"/>
  <c r="C65" i="5"/>
  <c r="F66" i="5"/>
  <c r="G66" i="5"/>
  <c r="H66" i="5"/>
  <c r="I66" i="5"/>
  <c r="F67" i="5"/>
  <c r="G67" i="5"/>
  <c r="H67" i="5"/>
  <c r="I67" i="5"/>
  <c r="F68" i="5"/>
  <c r="G68" i="5"/>
  <c r="H68" i="5"/>
  <c r="I68" i="5"/>
  <c r="H69" i="5"/>
  <c r="D70" i="5"/>
  <c r="E70" i="5"/>
  <c r="F70" i="5"/>
  <c r="G70" i="5"/>
  <c r="H70" i="5"/>
  <c r="I70" i="5"/>
  <c r="D71" i="5"/>
  <c r="E71" i="5"/>
  <c r="F71" i="5"/>
  <c r="G71" i="5"/>
  <c r="H71" i="5"/>
  <c r="I71" i="5"/>
  <c r="D72" i="5"/>
  <c r="E72" i="5"/>
  <c r="F72" i="5"/>
  <c r="G72" i="5"/>
  <c r="H72" i="5"/>
  <c r="I72" i="5"/>
  <c r="D73" i="5"/>
  <c r="E73" i="5"/>
  <c r="F73" i="5"/>
  <c r="G73" i="5"/>
  <c r="H73" i="5"/>
  <c r="I73" i="5"/>
  <c r="D74" i="5"/>
  <c r="E74" i="5"/>
  <c r="D75" i="5"/>
  <c r="E75" i="5"/>
  <c r="F75" i="5"/>
  <c r="G75" i="5"/>
  <c r="H75" i="5"/>
  <c r="I75" i="5"/>
  <c r="B76" i="5"/>
  <c r="C76" i="5"/>
  <c r="D76" i="5"/>
  <c r="E76" i="5"/>
  <c r="F77" i="5"/>
  <c r="G77" i="5"/>
  <c r="H77" i="5"/>
  <c r="I77" i="5"/>
  <c r="F78" i="5"/>
  <c r="G78" i="5"/>
  <c r="H78" i="5"/>
  <c r="I78" i="5"/>
  <c r="F79" i="5"/>
  <c r="G79" i="5"/>
  <c r="H79" i="5"/>
  <c r="I79" i="5"/>
  <c r="H80" i="5"/>
  <c r="I80" i="5"/>
  <c r="B81" i="5"/>
  <c r="C81" i="5"/>
  <c r="D81" i="5"/>
  <c r="E81" i="5"/>
  <c r="F81" i="5"/>
  <c r="G81" i="5"/>
  <c r="B82" i="5"/>
  <c r="C82" i="5"/>
  <c r="D82" i="5"/>
  <c r="E82" i="5"/>
  <c r="F82" i="5"/>
  <c r="G8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B86" i="5"/>
  <c r="C86" i="5"/>
  <c r="D86" i="5"/>
  <c r="E86" i="5"/>
  <c r="F86" i="5"/>
  <c r="G86" i="5"/>
  <c r="B87" i="5"/>
  <c r="C87" i="5"/>
  <c r="D87" i="5"/>
  <c r="E87" i="5"/>
  <c r="F87" i="5"/>
  <c r="G87" i="5"/>
  <c r="F88" i="5"/>
  <c r="G88" i="5"/>
  <c r="H88" i="5"/>
  <c r="I88" i="5"/>
  <c r="B89" i="5"/>
  <c r="C89" i="5"/>
  <c r="D89" i="5"/>
  <c r="E89" i="5"/>
  <c r="B90" i="5"/>
  <c r="C90" i="5"/>
  <c r="D90" i="5"/>
  <c r="E90" i="5"/>
  <c r="B91" i="5"/>
  <c r="C91" i="5"/>
  <c r="D91" i="5"/>
  <c r="E91" i="5"/>
  <c r="B92" i="5"/>
  <c r="C92" i="5"/>
  <c r="D92" i="5"/>
  <c r="E92" i="5"/>
  <c r="B93" i="5"/>
  <c r="C93" i="5"/>
  <c r="B94" i="5"/>
  <c r="C94" i="5"/>
  <c r="B95" i="5"/>
  <c r="C95" i="5"/>
  <c r="D95" i="5"/>
  <c r="E95" i="5"/>
  <c r="B96" i="5"/>
  <c r="C96" i="5"/>
  <c r="D96" i="5"/>
  <c r="E96" i="5"/>
  <c r="F96" i="5"/>
  <c r="G96" i="5"/>
  <c r="H96" i="5"/>
  <c r="I96" i="5"/>
  <c r="I27" i="5" l="1"/>
  <c r="F27" i="5"/>
  <c r="H51" i="5"/>
  <c r="I60" i="5"/>
  <c r="F80" i="5"/>
  <c r="C51" i="5"/>
  <c r="H76" i="5"/>
  <c r="B80" i="5"/>
  <c r="I12" i="5"/>
  <c r="F76" i="5"/>
  <c r="E88" i="5"/>
  <c r="F60" i="5"/>
  <c r="H12" i="5"/>
  <c r="E41" i="5"/>
  <c r="G12" i="5"/>
  <c r="D55" i="5"/>
  <c r="I76" i="5"/>
  <c r="H65" i="5"/>
  <c r="D88" i="5"/>
  <c r="E80" i="5"/>
  <c r="G76" i="5"/>
  <c r="B41" i="5"/>
  <c r="D65" i="5"/>
  <c r="I65" i="5"/>
  <c r="I33" i="5"/>
  <c r="G22" i="5"/>
  <c r="C55" i="5"/>
  <c r="C80" i="5"/>
  <c r="D27" i="5"/>
  <c r="B55" i="5"/>
  <c r="G33" i="5"/>
  <c r="E22" i="5"/>
  <c r="F12" i="5"/>
  <c r="C88" i="5"/>
  <c r="E65" i="5"/>
  <c r="F65" i="5"/>
  <c r="D51" i="5"/>
  <c r="F33" i="5"/>
  <c r="D22" i="5"/>
  <c r="E12" i="5"/>
  <c r="F51" i="5"/>
  <c r="C22" i="5"/>
  <c r="H27" i="5"/>
  <c r="F16" i="5"/>
  <c r="C12" i="5"/>
  <c r="I51" i="5"/>
  <c r="C41" i="5"/>
  <c r="G27" i="5"/>
  <c r="B12" i="5"/>
  <c r="D80" i="5"/>
  <c r="B88" i="5"/>
  <c r="H41" i="5"/>
  <c r="G65" i="5"/>
  <c r="E33" i="5"/>
  <c r="G80" i="5"/>
  <c r="D41" i="5"/>
  <c r="E55" i="5"/>
  <c r="B33" i="5"/>
  <c r="H22" i="5"/>
  <c r="G51" i="5"/>
  <c r="I41" i="5"/>
  <c r="E27" i="5"/>
  <c r="G16" i="5"/>
  <c r="H33" i="5"/>
  <c r="G60" i="5"/>
  <c r="F41" i="5"/>
  <c r="E60" i="5"/>
  <c r="H60" i="5"/>
  <c r="D60" i="5"/>
  <c r="B51" i="5"/>
  <c r="D33" i="5"/>
  <c r="C33" i="5"/>
  <c r="I22" i="5"/>
  <c r="E42" i="6"/>
  <c r="H8" i="6"/>
  <c r="C36" i="6"/>
  <c r="C45" i="6" s="1"/>
  <c r="G17" i="6"/>
  <c r="B36" i="6"/>
  <c r="F17" i="6"/>
  <c r="E36" i="6"/>
  <c r="D36" i="6"/>
  <c r="G36" i="6"/>
  <c r="G22" i="6"/>
  <c r="D22" i="6"/>
  <c r="F36" i="6"/>
  <c r="C22" i="6"/>
  <c r="D42" i="6"/>
  <c r="G11" i="6"/>
  <c r="I22" i="6"/>
  <c r="H22" i="6"/>
  <c r="F11" i="6"/>
  <c r="F45" i="6" s="1"/>
  <c r="B22" i="6"/>
  <c r="I33" i="6"/>
  <c r="H33" i="6"/>
  <c r="F22" i="6"/>
  <c r="H17" i="6"/>
  <c r="I8" i="6"/>
  <c r="E22" i="6"/>
  <c r="G211" i="7"/>
  <c r="U211" i="7" s="1"/>
  <c r="L211" i="7"/>
  <c r="U170" i="7"/>
  <c r="M211" i="7"/>
  <c r="U283" i="2"/>
  <c r="U282" i="2"/>
  <c r="U281" i="2"/>
  <c r="U280" i="2"/>
  <c r="U279" i="2"/>
  <c r="U278" i="2"/>
  <c r="U277" i="2"/>
  <c r="U276" i="2"/>
  <c r="U275" i="2"/>
  <c r="U274" i="2"/>
  <c r="U273" i="2"/>
  <c r="U270" i="2"/>
  <c r="U269" i="2"/>
  <c r="U266" i="2"/>
  <c r="U265" i="2"/>
  <c r="U260" i="2"/>
  <c r="U259" i="2"/>
  <c r="U256" i="2"/>
  <c r="U255" i="2"/>
  <c r="U254" i="2"/>
  <c r="U253" i="2"/>
  <c r="U252" i="2"/>
  <c r="U251" i="2"/>
  <c r="U250" i="2"/>
  <c r="U249" i="2"/>
  <c r="U244" i="2"/>
  <c r="U243" i="2"/>
  <c r="U242" i="2"/>
  <c r="U241" i="2"/>
  <c r="U240" i="2"/>
  <c r="U239" i="2"/>
  <c r="U238" i="2"/>
  <c r="U237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3" i="2"/>
  <c r="U202" i="2"/>
  <c r="U200" i="2"/>
  <c r="U199" i="2"/>
  <c r="U198" i="2"/>
  <c r="U197" i="2"/>
  <c r="U196" i="2"/>
  <c r="U195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1" i="2"/>
  <c r="U170" i="2"/>
  <c r="U4" i="2"/>
  <c r="U3" i="2"/>
  <c r="T224" i="4"/>
  <c r="T152" i="4"/>
  <c r="T126" i="4"/>
  <c r="S3" i="4"/>
  <c r="Q3" i="4"/>
  <c r="O3" i="4"/>
  <c r="N3" i="4"/>
  <c r="M3" i="4"/>
  <c r="L3" i="4"/>
  <c r="J3" i="4"/>
  <c r="I3" i="4"/>
  <c r="H3" i="4"/>
  <c r="S2" i="4"/>
  <c r="R2" i="4"/>
  <c r="R3" i="4" s="1"/>
  <c r="Q2" i="4"/>
  <c r="P2" i="4"/>
  <c r="P3" i="4" s="1"/>
  <c r="O2" i="4"/>
  <c r="N2" i="4"/>
  <c r="M2" i="4"/>
  <c r="L2" i="4"/>
  <c r="K2" i="4"/>
  <c r="K3" i="4" s="1"/>
  <c r="J2" i="4"/>
  <c r="I2" i="4"/>
  <c r="H2" i="4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E45" i="6" l="1"/>
  <c r="H45" i="6"/>
  <c r="D45" i="6"/>
  <c r="I45" i="6"/>
  <c r="B45" i="6"/>
  <c r="G45" i="6"/>
</calcChain>
</file>

<file path=xl/sharedStrings.xml><?xml version="1.0" encoding="utf-8"?>
<sst xmlns="http://schemas.openxmlformats.org/spreadsheetml/2006/main" count="3027" uniqueCount="270">
  <si>
    <t>Libro Dotación Minera AMSA</t>
  </si>
  <si>
    <t xml:space="preserve">Total Dotación Propia Actividad Corporativa                 </t>
  </si>
  <si>
    <t>Real</t>
  </si>
  <si>
    <t>Ppto</t>
  </si>
  <si>
    <t>Propia</t>
  </si>
  <si>
    <t/>
  </si>
  <si>
    <t>N°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</si>
  <si>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</si>
  <si>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</si>
  <si>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</si>
  <si>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</si>
  <si>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</si>
  <si>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</si>
  <si>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</si>
  <si>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</si>
  <si>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</si>
  <si>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</si>
  <si>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</si>
  <si>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</si>
  <si>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FY</t>
  </si>
  <si>
    <t>Q1</t>
  </si>
  <si>
    <t>Q2</t>
  </si>
  <si>
    <t>Q3</t>
  </si>
  <si>
    <t>Q4</t>
  </si>
  <si>
    <t>MES</t>
  </si>
  <si>
    <t>YTD</t>
  </si>
  <si>
    <t>Auditoria</t>
  </si>
  <si>
    <t>Directorio</t>
  </si>
  <si>
    <t>Presidencia Ejecutiva</t>
  </si>
  <si>
    <t>Vicepresidencia ComercializaciÃ³n</t>
  </si>
  <si>
    <t>Ventas CÃ¡todos Molibdeno y Hedge</t>
  </si>
  <si>
    <t>Ventas Concentrado Acido</t>
  </si>
  <si>
    <t>Vicepresidencia de Asuntos Corporativos</t>
  </si>
  <si>
    <t>Asuntos PÃºblicos Corporativo</t>
  </si>
  <si>
    <t>Asuntos PÃºblicos Norte</t>
  </si>
  <si>
    <t>Asuntos Publicos MLP</t>
  </si>
  <si>
    <t>Comunicaciones</t>
  </si>
  <si>
    <t>Vicepresidencia Asuntos Corporativos</t>
  </si>
  <si>
    <t>Vicepresidencia de Proyectos</t>
  </si>
  <si>
    <t>Finanzas VPP</t>
  </si>
  <si>
    <t>Ingenieria y Construccion</t>
  </si>
  <si>
    <t>Vicepresidencia de Proyectos + Proyecto INCO + Proyecto Estudio</t>
  </si>
  <si>
    <t>Vicepresidencia Desarrollo</t>
  </si>
  <si>
    <t>AdministraciÃ³n MIC</t>
  </si>
  <si>
    <t>Desarrollo</t>
  </si>
  <si>
    <t>Vicepresidencia Estrategia e InnovaciÃ³n</t>
  </si>
  <si>
    <t>Data y AnalÃ­tica Avanzada</t>
  </si>
  <si>
    <t>InnovaciÃ³n + EnergÃ­a y Recursos HÃ­dricos</t>
  </si>
  <si>
    <t>Proyecto DescarbonizaciÃ³n</t>
  </si>
  <si>
    <t>Tecnologia</t>
  </si>
  <si>
    <t>Vicepresidencia Finanzas</t>
  </si>
  <si>
    <t>Abastecimiento</t>
  </si>
  <si>
    <t>Contabilidad</t>
  </si>
  <si>
    <t>EnergÃ­a y Servicios EstratÃ©gicos</t>
  </si>
  <si>
    <t>Finanzas e Impuestos + PlanificaciÃ³n Financiera</t>
  </si>
  <si>
    <t>Gerencia Competitividad</t>
  </si>
  <si>
    <t>Planificacion y Control de Gestion</t>
  </si>
  <si>
    <t>Riesgo Compliance y Control Interno</t>
  </si>
  <si>
    <t>Vicepresidencia Legal</t>
  </si>
  <si>
    <t>Legal</t>
  </si>
  <si>
    <t>Propiedad Minera</t>
  </si>
  <si>
    <t>Vicepresidencia Operaciones</t>
  </si>
  <si>
    <t>Vicepresidencia Personas y OrganizaciÃ³n</t>
  </si>
  <si>
    <t>Desarrollo Organizacional y Compensaciones</t>
  </si>
  <si>
    <t>Efectividad Organizacional</t>
  </si>
  <si>
    <t>Relaciones Laborales</t>
  </si>
  <si>
    <t>Vicepresidencia PlanificaciÃ³n y Servicios TÃ©cnicos</t>
  </si>
  <si>
    <t>Excelencia Operacional</t>
  </si>
  <si>
    <t>Mantenimiento</t>
  </si>
  <si>
    <t>Mineria</t>
  </si>
  <si>
    <t>PlanificaciÃ³n Minera</t>
  </si>
  <si>
    <t>PlanificaciÃ³n Minera MetalÃºrgica</t>
  </si>
  <si>
    <t>Procesos</t>
  </si>
  <si>
    <t>Recursos HÃ­dricos</t>
  </si>
  <si>
    <t>Relaves</t>
  </si>
  <si>
    <t>Vicepresidencia Sustentabilidad</t>
  </si>
  <si>
    <t>Medio Ambiente</t>
  </si>
  <si>
    <t>Seguridad y Salud Ocupacional</t>
  </si>
  <si>
    <r>
      <rPr>
        <b/>
        <sz val="10"/>
        <color rgb="FFFFFFFF"/>
        <rFont val="Trebuchet MS"/>
      </rPr>
      <t xml:space="preserve">Total Dotación Contratista Act. Corporativa  </t>
    </r>
    <r>
      <rPr>
        <b/>
        <sz val="11"/>
        <color rgb="FFFFFFFF"/>
        <rFont val="Trebuchet MS"/>
      </rPr>
      <t xml:space="preserve">      </t>
    </r>
  </si>
  <si>
    <t xml:space="preserve">Total Dotación Contratista Perm.        </t>
  </si>
  <si>
    <t xml:space="preserve">Total Dotación Contratista  Temp.       </t>
  </si>
  <si>
    <t>Contratista</t>
  </si>
  <si>
    <t>Temporal</t>
  </si>
  <si>
    <t>Permanente</t>
  </si>
  <si>
    <r>
      <rPr>
        <b/>
        <sz val="11"/>
        <color rgb="FFFFFFFF"/>
        <rFont val="Trebuchet MS"/>
      </rPr>
      <t>Proyectos y Desarrollo Propio</t>
    </r>
    <r>
      <rPr>
        <b/>
        <sz val="10"/>
        <color rgb="FFFFFFFF"/>
        <rFont val="Trebuchet MS"/>
      </rPr>
      <t xml:space="preserve">                 </t>
    </r>
  </si>
  <si>
    <t>Proyectos y Desarrollo Contratista</t>
  </si>
  <si>
    <t>Otros</t>
  </si>
  <si>
    <t>Expatriado - Oficina Internacional</t>
  </si>
  <si>
    <t>Supernumerario</t>
  </si>
  <si>
    <t>Total Dotación Propia</t>
  </si>
  <si>
    <t>Total Dotación Contratista</t>
  </si>
  <si>
    <t>Total Dotación</t>
  </si>
  <si>
    <t>Teletrabajo (OPEX)</t>
  </si>
  <si>
    <t>Dotación Contratista Permanentes Teletrabajo</t>
  </si>
  <si>
    <t>Dotación Contratista Temporal Teletrabajo</t>
  </si>
  <si>
    <t>Teletrabajo (CAPEX)</t>
  </si>
  <si>
    <t>Dotación Propia por Nivel</t>
  </si>
  <si>
    <t>Ejecutivos</t>
  </si>
  <si>
    <t>Empleados</t>
  </si>
  <si>
    <t>Supervisores</t>
  </si>
  <si>
    <t>Aprendices/Secondees/Supernumerarios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</si>
  <si>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</si>
  <si>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</si>
  <si>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</si>
  <si>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</si>
  <si>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</si>
  <si>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</si>
  <si>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</si>
  <si>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</si>
  <si>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</si>
  <si>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</si>
  <si>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</si>
  <si>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</si>
  <si>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Vicepresidencia Asuntos Corporativos y Sustentabilidad</t>
  </si>
  <si>
    <t>Asuntos Públicos Corporativo</t>
  </si>
  <si>
    <t>Asuntos Públicos Norte</t>
  </si>
  <si>
    <t>SSO</t>
  </si>
  <si>
    <t>Vicepresidencia Comercialización</t>
  </si>
  <si>
    <t>Ventas Cátodos Molibdeno y Hedge</t>
  </si>
  <si>
    <t>Vicepresidencia de Proyectos + Proyecto INCO</t>
  </si>
  <si>
    <t>Administración MIC</t>
  </si>
  <si>
    <t>Vicepresidencia Estrategia e Innovación</t>
  </si>
  <si>
    <t>Data y Analítica Avanzada</t>
  </si>
  <si>
    <t>Estrategia Recursos Mineros</t>
  </si>
  <si>
    <t>Innovación + Energía y Recursos Hídricos</t>
  </si>
  <si>
    <t>TICA</t>
  </si>
  <si>
    <t>Finanzas e Impuestos + Planificación Financiera</t>
  </si>
  <si>
    <t>Mantenimiento y Excelencia Operacional</t>
  </si>
  <si>
    <t>Minería</t>
  </si>
  <si>
    <t>Procesos + Tanques y Releves</t>
  </si>
  <si>
    <t>Vicepresidencia Recursos Humanos</t>
  </si>
  <si>
    <t>Compensaciones</t>
  </si>
  <si>
    <t>Desarrollo Organizacional</t>
  </si>
  <si>
    <t>Remuneraciones y Gestión de Recursos Humanos</t>
  </si>
  <si>
    <r>
      <rPr>
        <b/>
        <sz val="10"/>
        <color rgb="FFFFFFFF"/>
        <rFont val="Trebuchet MS"/>
        <family val="2"/>
      </rPr>
      <t xml:space="preserve">Total Dotación Contratista Act. Corporativa  </t>
    </r>
    <r>
      <rPr>
        <b/>
        <sz val="11"/>
        <color rgb="FFFFFFFF"/>
        <rFont val="Trebuchet MS"/>
        <family val="2"/>
      </rPr>
      <t xml:space="preserve">      </t>
    </r>
  </si>
  <si>
    <r>
      <rPr>
        <b/>
        <sz val="11"/>
        <color rgb="FFFFFFFF"/>
        <rFont val="Trebuchet MS"/>
        <family val="2"/>
      </rPr>
      <t>Proyectos y Desarrollo Propio</t>
    </r>
    <r>
      <rPr>
        <b/>
        <sz val="10"/>
        <color rgb="FFFFFFFF"/>
        <rFont val="Trebuchet MS"/>
        <family val="2"/>
      </rPr>
      <t xml:space="preserve">                 </t>
    </r>
  </si>
  <si>
    <t>Suspensión de contratos</t>
  </si>
  <si>
    <t>Vicepresidencia Recursos Humanos + Vicepresidencia Finanzas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</si>
  <si>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</si>
  <si>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</si>
  <si>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</si>
  <si>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</si>
  <si>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</si>
  <si>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</si>
  <si>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</si>
  <si>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</si>
  <si>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</si>
  <si>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</si>
  <si>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</si>
  <si>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</si>
  <si>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Proyecto MLP Largo Plazo</t>
  </si>
  <si>
    <t>Proyecto Descarbonización</t>
  </si>
  <si>
    <t>Energia y Recursos Hidricos</t>
  </si>
  <si>
    <t>Energía y Servicios Estratégicos</t>
  </si>
  <si>
    <t>Vicepresidencia Personas y Organización</t>
  </si>
  <si>
    <t>Vicepresidencia Planificación y Servicios Técnicos</t>
  </si>
  <si>
    <t>Planificación Minera Metalúrgica</t>
  </si>
  <si>
    <t>Recursos Hídricos</t>
  </si>
  <si>
    <t>Habilitadores CMZ</t>
  </si>
  <si>
    <t>Proyecto MLP Largo plazo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</si>
  <si>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</si>
  <si>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</si>
  <si>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</si>
  <si>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</si>
  <si>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</si>
  <si>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</si>
  <si>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</si>
  <si>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</si>
  <si>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</si>
  <si>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</si>
  <si>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</si>
  <si>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</si>
  <si>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Exploraciones Global</t>
  </si>
  <si>
    <t>Geología</t>
  </si>
  <si>
    <t>suma de otros</t>
  </si>
  <si>
    <t>Contratistas Real</t>
  </si>
  <si>
    <t>Contratistas Pto</t>
  </si>
  <si>
    <t>Dotación Propia Actividad Corporativa · Promedio anual (N°) · Real vs Presupuesto</t>
  </si>
  <si>
    <t>Vicepresidencia / Gerencia</t>
  </si>
  <si>
    <t xml:space="preserve">      Ventas Cátodos Molibdeno y Hedge</t>
  </si>
  <si>
    <t xml:space="preserve">      Ventas Concentrado Acido</t>
  </si>
  <si>
    <t xml:space="preserve">      Asuntos Públicos Corporativo</t>
  </si>
  <si>
    <t xml:space="preserve">      Asuntos Públicos Norte</t>
  </si>
  <si>
    <t xml:space="preserve">      Asuntos Publicos MLP</t>
  </si>
  <si>
    <t xml:space="preserve">      Comunicaciones</t>
  </si>
  <si>
    <t xml:space="preserve">      Finanzas VPP</t>
  </si>
  <si>
    <t xml:space="preserve">      Ingenieria y Construccion</t>
  </si>
  <si>
    <t xml:space="preserve">      Proyecto MLP Largo Plazo</t>
  </si>
  <si>
    <t xml:space="preserve">      Administración MIC</t>
  </si>
  <si>
    <t xml:space="preserve">      Desarrollo</t>
  </si>
  <si>
    <t xml:space="preserve">      Exploraciones Global</t>
  </si>
  <si>
    <t xml:space="preserve">      Geología</t>
  </si>
  <si>
    <t xml:space="preserve">      Data y Analítica Avanzada</t>
  </si>
  <si>
    <t xml:space="preserve">      Innovación + Energía y Recursos Hídricos</t>
  </si>
  <si>
    <t xml:space="preserve">      Proyecto Descarbonización</t>
  </si>
  <si>
    <t xml:space="preserve">      Tecnologia</t>
  </si>
  <si>
    <t xml:space="preserve">      Estrategia Recursos Mineros</t>
  </si>
  <si>
    <t xml:space="preserve">      TICA</t>
  </si>
  <si>
    <t xml:space="preserve">      Abastecimiento</t>
  </si>
  <si>
    <t xml:space="preserve">      Contabilidad</t>
  </si>
  <si>
    <t xml:space="preserve">      Energía y Servicios Estratégicos</t>
  </si>
  <si>
    <t xml:space="preserve">      Finanzas e Impuestos + Planificación Financiera</t>
  </si>
  <si>
    <t xml:space="preserve">      Gerencia Competitividad</t>
  </si>
  <si>
    <t xml:space="preserve">      Planificacion y Control de Gestion</t>
  </si>
  <si>
    <t xml:space="preserve">      Riesgo Compliance y Control Interno</t>
  </si>
  <si>
    <t xml:space="preserve">      Energia y Recursos Hidricos</t>
  </si>
  <si>
    <t xml:space="preserve">      Legal</t>
  </si>
  <si>
    <t xml:space="preserve">      Propiedad Minera</t>
  </si>
  <si>
    <t xml:space="preserve">      Mantenimiento y Excelencia Operacional</t>
  </si>
  <si>
    <t xml:space="preserve">      Minería</t>
  </si>
  <si>
    <t xml:space="preserve">      Procesos + Tanques y Releves</t>
  </si>
  <si>
    <t xml:space="preserve">      Desarrollo Organizacional y Compensaciones</t>
  </si>
  <si>
    <t xml:space="preserve">      Efectividad Organizacional</t>
  </si>
  <si>
    <t xml:space="preserve">      Relaciones Laborales</t>
  </si>
  <si>
    <t xml:space="preserve">      Excelencia Operacional</t>
  </si>
  <si>
    <t xml:space="preserve">      Mantenimiento</t>
  </si>
  <si>
    <t xml:space="preserve">      Mineria</t>
  </si>
  <si>
    <t xml:space="preserve">      Planificación Minera</t>
  </si>
  <si>
    <t xml:space="preserve">      Planificación Minera Metalúrgica</t>
  </si>
  <si>
    <t xml:space="preserve">      Procesos</t>
  </si>
  <si>
    <t xml:space="preserve">      Recursos Hídricos</t>
  </si>
  <si>
    <t xml:space="preserve">      Relaves</t>
  </si>
  <si>
    <t xml:space="preserve">      Medio Ambiente</t>
  </si>
  <si>
    <t xml:space="preserve">      Seguridad y Salud Ocupacional</t>
  </si>
  <si>
    <t xml:space="preserve">      SSO</t>
  </si>
  <si>
    <t xml:space="preserve">      Remuneraciones y Gestión de Recursos Humanos</t>
  </si>
  <si>
    <t xml:space="preserve">      Compensaciones</t>
  </si>
  <si>
    <t xml:space="preserve">      Desarrollo Organizacional</t>
  </si>
  <si>
    <t>TOTAL DOTACIÓN PROPIA ACT. CORPORATIVA</t>
  </si>
  <si>
    <t>Nota: total por VP = suma de sus gerencias + 'Dirección VP' (personal de la dirección, fila aditiva en origen). Valores = promedio de 12 meses (Dotación Propia Actividad Corporativa). Celdas vacías = la VP/Gerencia no existía ese año. Verde = enlaces a hojas anuales.</t>
  </si>
  <si>
    <t xml:space="preserve">      Habilitadores CMZ</t>
  </si>
  <si>
    <t xml:space="preserve">      Proyecto MLP Largo plazo</t>
  </si>
  <si>
    <t>TOTAL DOTACIÓN CONTRATISTA ACT. CORPORATIVA</t>
  </si>
  <si>
    <t>Dotación Contratista Actividad Corporativa · Promedio anual (N°) · Real vs Presupuesto · (Permanente + Temporal)</t>
  </si>
  <si>
    <t>Nota: Dotación Contratista Actividad Corporativa (Permanente + Temporal). Total por VP = suma de gerencias + 'Dirección VP'. Valores = promedio de 12 meses. Vacío = no existía ese año. Verde = enlaces a hojas anuales.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</si>
  <si>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</si>
  <si>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</si>
  <si>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</si>
  <si>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</si>
  <si>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</si>
  <si>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</si>
  <si>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</si>
  <si>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</si>
  <si>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</si>
  <si>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</si>
  <si>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</si>
  <si>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</si>
  <si>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Exploraciones</t>
  </si>
  <si>
    <t>2026 YTD</t>
  </si>
  <si>
    <t>2026 FY</t>
  </si>
  <si>
    <t>=</t>
  </si>
  <si>
    <t xml:space="preserve">      Auditoria</t>
  </si>
  <si>
    <t xml:space="preserve">      Vicepresidencia de Proyectos + Proyecto INCO + Proyecto Estudio</t>
  </si>
  <si>
    <t xml:space="preserve">      Vicepresidencia Desarrollo</t>
  </si>
  <si>
    <t xml:space="preserve">      Vicepresidencia Estrategia e Innovación</t>
  </si>
  <si>
    <t xml:space="preserve">      Vicepresidencia Finanzas</t>
  </si>
  <si>
    <t xml:space="preserve">      Vicepresidencia Comercialización</t>
  </si>
  <si>
    <t xml:space="preserve">      Vicepresidencia Asuntos Corporativos</t>
  </si>
  <si>
    <t xml:space="preserve">      Vicepresidencia de Proyectos + Proyecto INCO</t>
  </si>
  <si>
    <t xml:space="preserve">      Vicepresidencia Legal</t>
  </si>
  <si>
    <t xml:space="preserve">      Vicepresidencia Operaciones</t>
  </si>
  <si>
    <t xml:space="preserve">      Vicepresidencia Personas y Organización</t>
  </si>
  <si>
    <t xml:space="preserve">      Vicepresidencia Planificación y Servicios Técnicos</t>
  </si>
  <si>
    <t xml:space="preserve">      Vicepresidencia Sustentabilidad</t>
  </si>
  <si>
    <t xml:space="preserve">      Vicepresidencia Asuntos Corporativos y Sustentabilidad</t>
  </si>
  <si>
    <t xml:space="preserve">      Vicepresidencia Recursos Humanos</t>
  </si>
  <si>
    <t xml:space="preserve">      Directorio</t>
  </si>
  <si>
    <t xml:space="preserve">      Presidencia Ejecutiva</t>
  </si>
  <si>
    <t>Dotación Histórica AMSA — Consolidado por Vicepresidencia y Gerencia 2022–2026</t>
  </si>
  <si>
    <t>Dotación Histórica AMSA — Consolidado Contratista por Vicepresidencia y Gerencia 2022–2026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</si>
</sst>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rgb="FF000000"/>
      <name val="Segoe UI Light"/>
    </font>
    <font>
      <sz val="11"/>
      <name val="Calibri"/>
    </font>
    <font>
      <b/>
      <sz val="10"/>
      <color rgb="FFFFFFFF"/>
      <name val="Trebuchet MS"/>
    </font>
    <font>
      <sz val="10"/>
      <color rgb="FF333333"/>
      <name val="Trebuchet MS"/>
    </font>
    <font>
      <b/>
      <sz val="11"/>
      <color rgb="FFFFFFFF"/>
      <name val="Trebuchet MS"/>
    </font>
    <font>
      <b/>
      <sz val="11"/>
      <color rgb="FF666666"/>
      <name val="Trebuchet MS"/>
    </font>
    <font>
      <b/>
      <i/>
      <sz val="11"/>
      <color rgb="FFFFFFFF"/>
      <name val="Trebuchet MS"/>
    </font>
    <font>
      <sz val="11"/>
      <color rgb="FFFFFFFF"/>
      <name val="Trebuchet MS"/>
    </font>
    <font>
      <b/>
      <sz val="9"/>
      <color rgb="FFFFFFFF"/>
      <name val="Trebuchet MS"/>
    </font>
    <font>
      <b/>
      <sz val="10"/>
      <color rgb="FF333333"/>
      <name val="Trebuchet MS"/>
    </font>
    <font>
      <sz val="24"/>
      <color rgb="FF000000"/>
      <name val="Segoe UI Light"/>
      <family val="2"/>
    </font>
    <font>
      <sz val="11"/>
      <name val="Calibri"/>
      <family val="2"/>
    </font>
    <font>
      <b/>
      <sz val="10"/>
      <color rgb="FFFFFFFF"/>
      <name val="Trebuchet MS"/>
      <family val="2"/>
    </font>
    <font>
      <sz val="10"/>
      <color rgb="FF333333"/>
      <name val="Trebuchet MS"/>
      <family val="2"/>
    </font>
    <font>
      <b/>
      <sz val="11"/>
      <color rgb="FFFFFFFF"/>
      <name val="Trebuchet MS"/>
      <family val="2"/>
    </font>
    <font>
      <b/>
      <sz val="11"/>
      <color rgb="FF666666"/>
      <name val="Trebuchet MS"/>
      <family val="2"/>
    </font>
    <font>
      <b/>
      <i/>
      <sz val="11"/>
      <color rgb="FFFFFFFF"/>
      <name val="Trebuchet MS"/>
      <family val="2"/>
    </font>
    <font>
      <sz val="11"/>
      <color rgb="FFFFFFFF"/>
      <name val="Trebuchet MS"/>
      <family val="2"/>
    </font>
    <font>
      <b/>
      <sz val="9"/>
      <color rgb="FFFFFFFF"/>
      <name val="Trebuchet MS"/>
      <family val="2"/>
    </font>
    <font>
      <b/>
      <sz val="10"/>
      <color rgb="FF333333"/>
      <name val="Trebuchet MS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</font>
    <font>
      <b/>
      <sz val="14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3B49"/>
        <bgColor rgb="FF003B49"/>
      </patternFill>
    </fill>
    <fill>
      <patternFill patternType="solid">
        <fgColor rgb="FFD3D3D3"/>
        <bgColor rgb="FFD3D3D3"/>
      </patternFill>
    </fill>
    <fill>
      <patternFill patternType="solid">
        <fgColor theme="9" tint="0.79998168889431442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D3D3D3"/>
      </patternFill>
    </fill>
    <fill>
      <patternFill patternType="solid">
        <fgColor theme="5"/>
        <bgColor rgb="FFD3D3D3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3D3D3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3" fillId="0" borderId="0"/>
    <xf numFmtId="41" fontId="23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vertical="top" wrapText="1" readingOrder="1"/>
    </xf>
    <xf numFmtId="0" fontId="5" fillId="3" borderId="0" xfId="0" applyFont="1" applyFill="1" applyAlignment="1">
      <alignment vertical="top" wrapText="1" readingOrder="1"/>
    </xf>
    <xf numFmtId="41" fontId="5" fillId="4" borderId="0" xfId="1" applyFont="1" applyFill="1" applyAlignment="1">
      <alignment vertical="top" wrapText="1" readingOrder="1"/>
    </xf>
    <xf numFmtId="0" fontId="6" fillId="2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8" fillId="2" borderId="1" xfId="0" applyFont="1" applyFill="1" applyBorder="1" applyAlignment="1">
      <alignment horizontal="right" vertical="top" wrapText="1" readingOrder="1"/>
    </xf>
    <xf numFmtId="0" fontId="9" fillId="2" borderId="1" xfId="0" applyFont="1" applyFill="1" applyBorder="1" applyAlignment="1">
      <alignment horizontal="right" vertical="top" wrapText="1" readingOrder="1"/>
    </xf>
    <xf numFmtId="0" fontId="5" fillId="5" borderId="1" xfId="0" applyFont="1" applyFill="1" applyBorder="1" applyAlignment="1">
      <alignment vertical="top" wrapText="1" readingOrder="1"/>
    </xf>
    <xf numFmtId="0" fontId="5" fillId="5" borderId="0" xfId="0" applyFont="1" applyFill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13" fillId="0" borderId="0" xfId="0" applyFont="1"/>
    <xf numFmtId="41" fontId="13" fillId="0" borderId="0" xfId="1" applyFont="1"/>
    <xf numFmtId="0" fontId="15" fillId="3" borderId="1" xfId="0" applyFont="1" applyFill="1" applyBorder="1" applyAlignment="1">
      <alignment vertical="top" wrapText="1" readingOrder="1"/>
    </xf>
    <xf numFmtId="0" fontId="15" fillId="3" borderId="0" xfId="0" applyFont="1" applyFill="1" applyAlignment="1">
      <alignment vertical="top" wrapText="1" readingOrder="1"/>
    </xf>
    <xf numFmtId="0" fontId="16" fillId="2" borderId="1" xfId="0" applyFont="1" applyFill="1" applyBorder="1" applyAlignment="1">
      <alignment horizontal="left" vertical="top" wrapText="1" readingOrder="1"/>
    </xf>
    <xf numFmtId="0" fontId="17" fillId="2" borderId="1" xfId="0" applyFont="1" applyFill="1" applyBorder="1" applyAlignment="1">
      <alignment horizontal="right" vertical="top" wrapText="1" readingOrder="1"/>
    </xf>
    <xf numFmtId="0" fontId="18" fillId="2" borderId="1" xfId="0" applyFont="1" applyFill="1" applyBorder="1" applyAlignment="1">
      <alignment horizontal="right" vertical="top" wrapText="1" readingOrder="1"/>
    </xf>
    <xf numFmtId="0" fontId="19" fillId="2" borderId="1" xfId="0" applyFont="1" applyFill="1" applyBorder="1" applyAlignment="1">
      <alignment horizontal="right" vertical="top" wrapText="1" readingOrder="1"/>
    </xf>
    <xf numFmtId="0" fontId="15" fillId="5" borderId="1" xfId="0" applyFont="1" applyFill="1" applyBorder="1" applyAlignment="1">
      <alignment vertical="top" wrapText="1" readingOrder="1"/>
    </xf>
    <xf numFmtId="0" fontId="15" fillId="5" borderId="0" xfId="0" applyFont="1" applyFill="1" applyAlignment="1">
      <alignment vertical="top" wrapText="1" readingOrder="1"/>
    </xf>
    <xf numFmtId="0" fontId="13" fillId="5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0" borderId="1" xfId="0" applyFont="1" applyBorder="1" applyAlignment="1">
      <alignment vertical="top" wrapText="1" readingOrder="1"/>
    </xf>
    <xf numFmtId="0" fontId="15" fillId="0" borderId="0" xfId="0" applyFont="1" applyAlignment="1">
      <alignment vertical="top" wrapText="1" readingOrder="1"/>
    </xf>
    <xf numFmtId="0" fontId="15" fillId="6" borderId="0" xfId="0" applyFont="1" applyFill="1" applyAlignment="1">
      <alignment vertical="top" wrapText="1" readingOrder="1"/>
    </xf>
    <xf numFmtId="0" fontId="13" fillId="0" borderId="0" xfId="2" applyFont="1"/>
    <xf numFmtId="0" fontId="15" fillId="3" borderId="1" xfId="2" applyFont="1" applyFill="1" applyBorder="1" applyAlignment="1">
      <alignment vertical="top" wrapText="1" readingOrder="1"/>
    </xf>
    <xf numFmtId="0" fontId="15" fillId="3" borderId="0" xfId="2" applyFont="1" applyFill="1" applyAlignment="1">
      <alignment vertical="top" wrapText="1" readingOrder="1"/>
    </xf>
    <xf numFmtId="0" fontId="16" fillId="2" borderId="1" xfId="2" applyFont="1" applyFill="1" applyBorder="1" applyAlignment="1">
      <alignment horizontal="left" vertical="top" wrapText="1" readingOrder="1"/>
    </xf>
    <xf numFmtId="0" fontId="17" fillId="2" borderId="1" xfId="2" applyFont="1" applyFill="1" applyBorder="1" applyAlignment="1">
      <alignment horizontal="right" vertical="top" wrapText="1" readingOrder="1"/>
    </xf>
    <xf numFmtId="0" fontId="18" fillId="2" borderId="1" xfId="2" applyFont="1" applyFill="1" applyBorder="1" applyAlignment="1">
      <alignment horizontal="right" vertical="top" wrapText="1" readingOrder="1"/>
    </xf>
    <xf numFmtId="0" fontId="19" fillId="2" borderId="1" xfId="2" applyFont="1" applyFill="1" applyBorder="1" applyAlignment="1">
      <alignment horizontal="right" vertical="top" wrapText="1" readingOrder="1"/>
    </xf>
    <xf numFmtId="0" fontId="15" fillId="5" borderId="1" xfId="2" applyFont="1" applyFill="1" applyBorder="1" applyAlignment="1">
      <alignment vertical="top" wrapText="1" readingOrder="1"/>
    </xf>
    <xf numFmtId="0" fontId="15" fillId="5" borderId="0" xfId="2" applyFont="1" applyFill="1" applyAlignment="1">
      <alignment vertical="top" wrapText="1" readingOrder="1"/>
    </xf>
    <xf numFmtId="0" fontId="15" fillId="0" borderId="1" xfId="2" applyFont="1" applyBorder="1" applyAlignment="1">
      <alignment vertical="top" wrapText="1" readingOrder="1"/>
    </xf>
    <xf numFmtId="0" fontId="15" fillId="0" borderId="0" xfId="2" applyFont="1" applyAlignment="1">
      <alignment vertical="top" wrapText="1" readingOrder="1"/>
    </xf>
    <xf numFmtId="0" fontId="12" fillId="0" borderId="0" xfId="2" applyFont="1" applyAlignment="1">
      <alignment vertical="top" wrapText="1" readingOrder="1"/>
    </xf>
    <xf numFmtId="0" fontId="13" fillId="0" borderId="1" xfId="2" applyFont="1" applyBorder="1" applyAlignment="1">
      <alignment vertical="top" wrapText="1"/>
    </xf>
    <xf numFmtId="0" fontId="16" fillId="2" borderId="1" xfId="2" applyFont="1" applyFill="1" applyBorder="1" applyAlignment="1">
      <alignment horizontal="center" vertical="center" wrapText="1" readingOrder="1"/>
    </xf>
    <xf numFmtId="0" fontId="15" fillId="7" borderId="0" xfId="2" applyFont="1" applyFill="1" applyAlignment="1">
      <alignment vertical="top" wrapText="1" readingOrder="1"/>
    </xf>
    <xf numFmtId="41" fontId="13" fillId="0" borderId="0" xfId="3" applyFont="1"/>
    <xf numFmtId="41" fontId="13" fillId="8" borderId="0" xfId="3" applyFont="1" applyFill="1"/>
    <xf numFmtId="41" fontId="13" fillId="9" borderId="0" xfId="3" applyFont="1" applyFill="1"/>
    <xf numFmtId="41" fontId="13" fillId="10" borderId="0" xfId="3" applyFont="1" applyFill="1"/>
    <xf numFmtId="41" fontId="13" fillId="11" borderId="0" xfId="3" applyFont="1" applyFill="1"/>
    <xf numFmtId="41" fontId="13" fillId="12" borderId="0" xfId="3" applyFont="1" applyFill="1"/>
    <xf numFmtId="41" fontId="13" fillId="13" borderId="0" xfId="3" applyFont="1" applyFill="1"/>
    <xf numFmtId="41" fontId="13" fillId="0" borderId="2" xfId="3" applyFont="1" applyBorder="1"/>
    <xf numFmtId="41" fontId="24" fillId="14" borderId="2" xfId="3" applyFont="1" applyFill="1" applyBorder="1"/>
    <xf numFmtId="0" fontId="13" fillId="0" borderId="0" xfId="2" applyFont="1" applyAlignment="1">
      <alignment horizontal="right"/>
    </xf>
    <xf numFmtId="41" fontId="13" fillId="0" borderId="0" xfId="2" applyNumberFormat="1" applyFont="1"/>
    <xf numFmtId="0" fontId="25" fillId="0" borderId="0" xfId="0" applyFont="1"/>
    <xf numFmtId="0" fontId="26" fillId="0" borderId="0" xfId="0" applyFont="1"/>
    <xf numFmtId="0" fontId="29" fillId="0" borderId="0" xfId="0" applyFont="1"/>
    <xf numFmtId="0" fontId="27" fillId="15" borderId="3" xfId="0" applyFont="1" applyFill="1" applyBorder="1" applyAlignment="1">
      <alignment horizontal="center"/>
    </xf>
    <xf numFmtId="0" fontId="22" fillId="16" borderId="3" xfId="0" applyFont="1" applyFill="1" applyBorder="1"/>
    <xf numFmtId="3" fontId="30" fillId="16" borderId="3" xfId="0" applyNumberFormat="1" applyFont="1" applyFill="1" applyBorder="1" applyAlignment="1">
      <alignment horizontal="center"/>
    </xf>
    <xf numFmtId="0" fontId="0" fillId="0" borderId="3" xfId="0" applyBorder="1"/>
    <xf numFmtId="3" fontId="28" fillId="0" borderId="3" xfId="0" applyNumberFormat="1" applyFont="1" applyBorder="1" applyAlignment="1">
      <alignment horizontal="center"/>
    </xf>
    <xf numFmtId="0" fontId="27" fillId="15" borderId="3" xfId="0" applyFont="1" applyFill="1" applyBorder="1"/>
    <xf numFmtId="3" fontId="27" fillId="15" borderId="3" xfId="0" applyNumberFormat="1" applyFont="1" applyFill="1" applyBorder="1" applyAlignment="1">
      <alignment horizontal="center"/>
    </xf>
    <xf numFmtId="0" fontId="13" fillId="0" borderId="1" xfId="0" applyFont="1" applyBorder="1" applyAlignment="1">
      <alignment vertical="top" wrapText="1"/>
    </xf>
    <xf numFmtId="49" fontId="27" fillId="15" borderId="0" xfId="0" applyNumberFormat="1" applyFont="1" applyFill="1" applyAlignment="1">
      <alignment horizontal="center"/>
    </xf>
    <xf numFmtId="49" fontId="27" fillId="15" borderId="5" xfId="0" applyNumberFormat="1" applyFont="1" applyFill="1" applyBorder="1" applyAlignment="1">
      <alignment horizontal="center"/>
    </xf>
    <xf numFmtId="49" fontId="27" fillId="15" borderId="6" xfId="0" applyNumberFormat="1" applyFont="1" applyFill="1" applyBorder="1" applyAlignment="1">
      <alignment horizontal="center"/>
    </xf>
    <xf numFmtId="0" fontId="27" fillId="15" borderId="3" xfId="0" applyFont="1" applyFill="1" applyBorder="1" applyAlignment="1">
      <alignment horizontal="left" vertical="center"/>
    </xf>
    <xf numFmtId="0" fontId="27" fillId="15" borderId="3" xfId="0" applyFont="1" applyFill="1" applyBorder="1" applyAlignment="1">
      <alignment horizontal="center"/>
    </xf>
    <xf numFmtId="0" fontId="21" fillId="0" borderId="1" xfId="0" applyFont="1" applyBorder="1" applyAlignment="1">
      <alignment vertical="top" wrapText="1" readingOrder="1"/>
    </xf>
    <xf numFmtId="0" fontId="13" fillId="0" borderId="0" xfId="0" applyFont="1"/>
    <xf numFmtId="0" fontId="13" fillId="0" borderId="1" xfId="0" applyFont="1" applyBorder="1" applyAlignment="1">
      <alignment vertical="top" wrapText="1"/>
    </xf>
    <xf numFmtId="0" fontId="20" fillId="2" borderId="1" xfId="0" applyFont="1" applyFill="1" applyBorder="1" applyAlignment="1">
      <alignment horizontal="left" vertical="top" wrapText="1" readingOrder="1"/>
    </xf>
    <xf numFmtId="0" fontId="15" fillId="5" borderId="1" xfId="0" applyFont="1" applyFill="1" applyBorder="1" applyAlignment="1">
      <alignment vertical="top" wrapText="1" readingOrder="1"/>
    </xf>
    <xf numFmtId="0" fontId="13" fillId="5" borderId="1" xfId="0" applyFont="1" applyFill="1" applyBorder="1" applyAlignment="1">
      <alignment vertical="top" wrapText="1"/>
    </xf>
    <xf numFmtId="0" fontId="18" fillId="2" borderId="1" xfId="0" applyFont="1" applyFill="1" applyBorder="1" applyAlignment="1">
      <alignment horizontal="right" vertical="top" wrapText="1" readingOrder="1"/>
    </xf>
    <xf numFmtId="0" fontId="16" fillId="2" borderId="1" xfId="0" applyFont="1" applyFill="1" applyBorder="1" applyAlignment="1">
      <alignment horizontal="left" vertical="top" wrapText="1" readingOrder="1"/>
    </xf>
    <xf numFmtId="0" fontId="15" fillId="5" borderId="4" xfId="0" applyFont="1" applyFill="1" applyBorder="1" applyAlignment="1">
      <alignment horizontal="center" vertical="top" wrapText="1" readingOrder="1"/>
    </xf>
    <xf numFmtId="0" fontId="15" fillId="5" borderId="1" xfId="0" applyFont="1" applyFill="1" applyBorder="1" applyAlignment="1">
      <alignment horizontal="center" vertical="top" wrapText="1" readingOrder="1"/>
    </xf>
    <xf numFmtId="0" fontId="13" fillId="5" borderId="0" xfId="0" applyFont="1" applyFill="1" applyAlignment="1">
      <alignment vertical="top" wrapText="1"/>
    </xf>
    <xf numFmtId="0" fontId="16" fillId="2" borderId="1" xfId="0" applyFont="1" applyFill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left" vertical="top" wrapText="1" readingOrder="1"/>
    </xf>
    <xf numFmtId="0" fontId="17" fillId="2" borderId="1" xfId="0" applyFont="1" applyFill="1" applyBorder="1" applyAlignment="1">
      <alignment horizontal="right" vertical="top" wrapText="1" readingOrder="1"/>
    </xf>
    <xf numFmtId="0" fontId="12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/>
    <xf numFmtId="0" fontId="4" fillId="2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5" fillId="5" borderId="1" xfId="0" applyFont="1" applyFill="1" applyBorder="1" applyAlignment="1">
      <alignment vertical="top" wrapText="1" readingOrder="1"/>
    </xf>
    <xf numFmtId="0" fontId="3" fillId="5" borderId="1" xfId="0" applyFont="1" applyFill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left" vertical="top" wrapText="1" readingOrder="1"/>
    </xf>
    <xf numFmtId="0" fontId="11" fillId="0" borderId="1" xfId="0" applyFont="1" applyBorder="1" applyAlignment="1">
      <alignment vertical="top" wrapText="1" readingOrder="1"/>
    </xf>
    <xf numFmtId="0" fontId="8" fillId="2" borderId="1" xfId="0" applyFont="1" applyFill="1" applyBorder="1" applyAlignment="1">
      <alignment horizontal="right" vertical="top" wrapText="1" readingOrder="1"/>
    </xf>
    <xf numFmtId="0" fontId="14" fillId="2" borderId="1" xfId="2" applyFont="1" applyFill="1" applyBorder="1" applyAlignment="1">
      <alignment horizontal="left" vertical="top" wrapText="1" readingOrder="1"/>
    </xf>
    <xf numFmtId="0" fontId="13" fillId="0" borderId="1" xfId="2" applyFont="1" applyBorder="1" applyAlignment="1">
      <alignment vertical="top" wrapText="1"/>
    </xf>
    <xf numFmtId="0" fontId="16" fillId="2" borderId="1" xfId="2" applyFont="1" applyFill="1" applyBorder="1" applyAlignment="1">
      <alignment horizontal="left" vertical="top" wrapText="1" readingOrder="1"/>
    </xf>
    <xf numFmtId="0" fontId="21" fillId="0" borderId="1" xfId="2" applyFont="1" applyBorder="1" applyAlignment="1">
      <alignment vertical="top" wrapText="1" readingOrder="1"/>
    </xf>
    <xf numFmtId="0" fontId="13" fillId="0" borderId="0" xfId="2" applyFont="1"/>
    <xf numFmtId="0" fontId="20" fillId="2" borderId="1" xfId="2" applyFont="1" applyFill="1" applyBorder="1" applyAlignment="1">
      <alignment horizontal="left" vertical="top" wrapText="1" readingOrder="1"/>
    </xf>
    <xf numFmtId="0" fontId="15" fillId="5" borderId="1" xfId="2" applyFont="1" applyFill="1" applyBorder="1" applyAlignment="1">
      <alignment vertical="top" wrapText="1" readingOrder="1"/>
    </xf>
    <xf numFmtId="0" fontId="13" fillId="5" borderId="1" xfId="2" applyFont="1" applyFill="1" applyBorder="1" applyAlignment="1">
      <alignment vertical="top" wrapText="1"/>
    </xf>
    <xf numFmtId="0" fontId="18" fillId="2" borderId="1" xfId="2" applyFont="1" applyFill="1" applyBorder="1" applyAlignment="1">
      <alignment horizontal="right" vertical="top" wrapText="1" readingOrder="1"/>
    </xf>
    <xf numFmtId="0" fontId="13" fillId="5" borderId="0" xfId="2" applyFont="1" applyFill="1" applyAlignment="1">
      <alignment vertical="top" wrapText="1"/>
    </xf>
    <xf numFmtId="0" fontId="16" fillId="2" borderId="1" xfId="2" applyFont="1" applyFill="1" applyBorder="1" applyAlignment="1">
      <alignment horizontal="center" vertical="center" wrapText="1" readingOrder="1"/>
    </xf>
    <xf numFmtId="0" fontId="17" fillId="2" borderId="1" xfId="2" applyFont="1" applyFill="1" applyBorder="1" applyAlignment="1">
      <alignment horizontal="right" vertical="top" wrapText="1" readingOrder="1"/>
    </xf>
  </cellXfs>
  <cellStyles count="4">
    <cellStyle name="Millares [0]" xfId="1" builtinId="6"/>
    <cellStyle name="Millares [0] 2" xfId="3" xr:uid="{3AB7C693-463A-4201-ADC0-639D92468099}"/>
    <cellStyle name="Normal" xfId="0" builtinId="0"/>
    <cellStyle name="Normal 2" xfId="2" xr:uid="{126A8516-D153-4CF8-82F8-A77B1EF98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655E1E-244D-4CF3-AA29-6471B2E0CAD1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d8903e3e-0f2b-4ace-8391-b7e6f3c7928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B7F6-53C2-4184-86D5-9655E0E424D7}">
  <dimension ref="A1:M98"/>
  <sheetViews>
    <sheetView workbookViewId="0">
      <selection activeCell="A2" sqref="A2"/>
    </sheetView>
  </sheetViews>
  <sheetFormatPr baseColWidth="10" defaultRowHeight="14.4" x14ac:dyDescent="0.3"/>
  <cols>
    <col min="1" max="1" width="55.5546875" customWidth="1"/>
    <col min="2" max="12" width="9.6640625" customWidth="1"/>
  </cols>
  <sheetData>
    <row r="1" spans="1:12" ht="18" x14ac:dyDescent="0.35">
      <c r="A1" s="55" t="s">
        <v>268</v>
      </c>
    </row>
    <row r="2" spans="1:12" x14ac:dyDescent="0.3">
      <c r="A2" s="56" t="s">
        <v>177</v>
      </c>
    </row>
    <row r="4" spans="1:12" x14ac:dyDescent="0.3">
      <c r="A4" s="69" t="s">
        <v>178</v>
      </c>
      <c r="B4" s="70">
        <v>2022</v>
      </c>
      <c r="C4" s="70"/>
      <c r="D4" s="70">
        <v>2023</v>
      </c>
      <c r="E4" s="70"/>
      <c r="F4" s="70">
        <v>2024</v>
      </c>
      <c r="G4" s="70"/>
      <c r="H4" s="70">
        <v>2025</v>
      </c>
      <c r="I4" s="70"/>
      <c r="J4" s="67" t="s">
        <v>248</v>
      </c>
      <c r="K4" s="68"/>
      <c r="L4" s="66" t="s">
        <v>249</v>
      </c>
    </row>
    <row r="5" spans="1:12" x14ac:dyDescent="0.3">
      <c r="A5" s="69"/>
      <c r="B5" s="58" t="s">
        <v>2</v>
      </c>
      <c r="C5" s="58" t="s">
        <v>3</v>
      </c>
      <c r="D5" s="58" t="s">
        <v>2</v>
      </c>
      <c r="E5" s="58" t="s">
        <v>3</v>
      </c>
      <c r="F5" s="58" t="s">
        <v>2</v>
      </c>
      <c r="G5" s="58" t="s">
        <v>3</v>
      </c>
      <c r="H5" s="58" t="s">
        <v>2</v>
      </c>
      <c r="I5" s="58" t="s">
        <v>3</v>
      </c>
      <c r="J5" s="58" t="s">
        <v>2</v>
      </c>
      <c r="K5" s="58" t="s">
        <v>3</v>
      </c>
      <c r="L5" s="58" t="s">
        <v>3</v>
      </c>
    </row>
    <row r="6" spans="1:12" x14ac:dyDescent="0.3">
      <c r="A6" s="59" t="s">
        <v>26</v>
      </c>
      <c r="B6" s="60">
        <f>IF(COUNT(B7:B7)=0,"",SUM(B7:B7))</f>
        <v>11.666666666666666</v>
      </c>
      <c r="C6" s="60">
        <f>IF(COUNT(C7:C7)=0,"",SUM(C7:C7))</f>
        <v>12</v>
      </c>
      <c r="D6" s="60">
        <f>IF(COUNT(D7:D7)=0,"",SUM(D7:D7))</f>
        <v>11.5</v>
      </c>
      <c r="E6" s="60">
        <f>IF(COUNT(E7:E7)=0,"",SUM(E7:E7))</f>
        <v>12</v>
      </c>
      <c r="F6" s="60">
        <f>IF(COUNT(F7:F7)=0,"",SUM(F7:F7))</f>
        <v>13.416666666666666</v>
      </c>
      <c r="G6" s="60">
        <f>IF(COUNT(G7:G7)=0,"",SUM(G7:G7))</f>
        <v>14</v>
      </c>
      <c r="H6" s="60">
        <f>IF(COUNT(H7:H7)=0,"",SUM(H7:H7))</f>
        <v>14.416666666666666</v>
      </c>
      <c r="I6" s="60">
        <f>IF(COUNT(I7:I7)=0,"",SUM(I7:I7))</f>
        <v>15</v>
      </c>
      <c r="J6" s="60">
        <f>IF(COUNT(J7:J7)=0,"",SUM(J7:J7))</f>
        <v>15</v>
      </c>
      <c r="K6" s="60">
        <f>IF(COUNT(K7:K7)=0,"",SUM(K7:K7))</f>
        <v>15</v>
      </c>
      <c r="L6" s="60">
        <f>IF(COUNT(L7:L7)=0,"",SUM(L7:L7))</f>
        <v>15</v>
      </c>
    </row>
    <row r="7" spans="1:12" x14ac:dyDescent="0.3">
      <c r="A7" s="61" t="s">
        <v>251</v>
      </c>
      <c r="B7" s="62">
        <f>IFERROR(AVERAGE('2022'!H8:S8),"")</f>
        <v>11.666666666666666</v>
      </c>
      <c r="C7" s="62">
        <f>IFERROR(AVERAGE('2022'!H9:S9),"")</f>
        <v>12</v>
      </c>
      <c r="D7" s="62">
        <f>IFERROR(AVERAGE('2023'!G7:R7),"")</f>
        <v>11.5</v>
      </c>
      <c r="E7" s="62">
        <f>IFERROR(AVERAGE('2023'!G8:R8),"")</f>
        <v>12</v>
      </c>
      <c r="F7" s="62">
        <f>IFERROR(AVERAGE('2024'!G7:R7),"")</f>
        <v>13.416666666666666</v>
      </c>
      <c r="G7" s="62">
        <f>IFERROR(AVERAGE('2024'!G8:R8),"")</f>
        <v>14</v>
      </c>
      <c r="H7" s="62">
        <f>IFERROR(AVERAGE('2025'!G7:R7),"")</f>
        <v>14.416666666666666</v>
      </c>
      <c r="I7" s="62">
        <f>IFERROR(AVERAGE('2025'!G8:R8),"")</f>
        <v>15</v>
      </c>
      <c r="J7" s="62">
        <f>IFERROR(AVERAGE('2026'!G7:K7),"")</f>
        <v>15</v>
      </c>
      <c r="K7" s="62">
        <f>IFERROR(AVERAGE('2026'!G8:K8),"")</f>
        <v>15</v>
      </c>
      <c r="L7" s="62">
        <f>IFERROR(AVERAGE('2026'!G8:R8),"")</f>
        <v>15</v>
      </c>
    </row>
    <row r="8" spans="1:12" x14ac:dyDescent="0.3">
      <c r="A8" s="59" t="s">
        <v>27</v>
      </c>
      <c r="B8" s="60">
        <f>IF(COUNT(B9:B9)=0,"",SUM(B9:B9))</f>
        <v>3</v>
      </c>
      <c r="C8" s="60">
        <f>IF(COUNT(C9:C9)=0,"",SUM(C9:C9))</f>
        <v>3</v>
      </c>
      <c r="D8" s="60">
        <f>IF(COUNT(D9:D9)=0,"",SUM(D9:D9))</f>
        <v>3</v>
      </c>
      <c r="E8" s="60">
        <f>IF(COUNT(E9:E9)=0,"",SUM(E9:E9))</f>
        <v>3</v>
      </c>
      <c r="F8" s="60">
        <f>IF(COUNT(F9:F9)=0,"",SUM(F9:F9))</f>
        <v>3</v>
      </c>
      <c r="G8" s="60">
        <f>IF(COUNT(G9:G9)=0,"",SUM(G9:G9))</f>
        <v>3</v>
      </c>
      <c r="H8" s="60">
        <f>IF(COUNT(H9:H9)=0,"",SUM(H9:H9))</f>
        <v>3</v>
      </c>
      <c r="I8" s="60">
        <f>IF(COUNT(I9:I9)=0,"",SUM(I9:I9))</f>
        <v>3</v>
      </c>
      <c r="J8" s="60">
        <f>IF(COUNT(J9:J9)=0,"",SUM(J9:J9))</f>
        <v>3</v>
      </c>
      <c r="K8" s="60">
        <f>IF(COUNT(K9:K9)=0,"",SUM(K9:K9))</f>
        <v>3</v>
      </c>
      <c r="L8" s="60">
        <f>IF(COUNT(L9:L9)=0,"",SUM(L9:L9))</f>
        <v>3</v>
      </c>
    </row>
    <row r="9" spans="1:12" x14ac:dyDescent="0.3">
      <c r="A9" s="61" t="s">
        <v>266</v>
      </c>
      <c r="B9" s="62">
        <f>IFERROR(AVERAGE('2022'!H10:S10),"")</f>
        <v>3</v>
      </c>
      <c r="C9" s="62">
        <f>IFERROR(AVERAGE('2022'!H11:S11),"")</f>
        <v>3</v>
      </c>
      <c r="D9" s="62">
        <f>IFERROR(AVERAGE('2023'!G9:R9),"")</f>
        <v>3</v>
      </c>
      <c r="E9" s="62">
        <f>IFERROR(AVERAGE('2023'!G10:R10),"")</f>
        <v>3</v>
      </c>
      <c r="F9" s="62">
        <f>IFERROR(AVERAGE('2024'!G9:R9),"")</f>
        <v>3</v>
      </c>
      <c r="G9" s="62">
        <f>IFERROR(AVERAGE('2024'!G10:R10),"")</f>
        <v>3</v>
      </c>
      <c r="H9" s="62">
        <f>IFERROR(AVERAGE('2025'!G9:R9),"")</f>
        <v>3</v>
      </c>
      <c r="I9" s="62">
        <f>IFERROR(AVERAGE('2025'!G10:R10),"")</f>
        <v>3</v>
      </c>
      <c r="J9" s="62">
        <f>IFERROR(AVERAGE('2026'!G9:K9),"")</f>
        <v>3</v>
      </c>
      <c r="K9" s="62">
        <f>IFERROR(AVERAGE('2026'!G10:K10),"")</f>
        <v>3</v>
      </c>
      <c r="L9" s="62">
        <f>IFERROR(AVERAGE('2026'!G10:R10),"")</f>
        <v>3</v>
      </c>
    </row>
    <row r="10" spans="1:12" x14ac:dyDescent="0.3">
      <c r="A10" s="59" t="s">
        <v>28</v>
      </c>
      <c r="B10" s="60">
        <f>IF(COUNT(B11:B11)=0,"",SUM(B11:B11))</f>
        <v>1.8333333333333333</v>
      </c>
      <c r="C10" s="60">
        <f>IF(COUNT(C11:C11)=0,"",SUM(C11:C11))</f>
        <v>2</v>
      </c>
      <c r="D10" s="60">
        <f>IF(COUNT(D11:D11)=0,"",SUM(D11:D11))</f>
        <v>2</v>
      </c>
      <c r="E10" s="60">
        <f>IF(COUNT(E11:E11)=0,"",SUM(E11:E11))</f>
        <v>2</v>
      </c>
      <c r="F10" s="60">
        <f>IF(COUNT(F11:F11)=0,"",SUM(F11:F11))</f>
        <v>2</v>
      </c>
      <c r="G10" s="60">
        <f>IF(COUNT(G11:G11)=0,"",SUM(G11:G11))</f>
        <v>2</v>
      </c>
      <c r="H10" s="60">
        <f>IF(COUNT(H11:H11)=0,"",SUM(H11:H11))</f>
        <v>2</v>
      </c>
      <c r="I10" s="60">
        <f>IF(COUNT(I11:I11)=0,"",SUM(I11:I11))</f>
        <v>2</v>
      </c>
      <c r="J10" s="60">
        <f>IF(COUNT(J11:J11)=0,"",SUM(J11:J11))</f>
        <v>2</v>
      </c>
      <c r="K10" s="60">
        <f>IF(COUNT(K11:K11)=0,"",SUM(K11:K11))</f>
        <v>2</v>
      </c>
      <c r="L10" s="60">
        <f>IF(COUNT(L11:L11)=0,"",SUM(L11:L11))</f>
        <v>2</v>
      </c>
    </row>
    <row r="11" spans="1:12" x14ac:dyDescent="0.3">
      <c r="A11" s="61" t="s">
        <v>267</v>
      </c>
      <c r="B11" s="62">
        <f>IFERROR(AVERAGE('2022'!H12:S12),"")</f>
        <v>1.8333333333333333</v>
      </c>
      <c r="C11" s="62">
        <f>IFERROR(AVERAGE('2022'!H13:S13),"")</f>
        <v>2</v>
      </c>
      <c r="D11" s="62">
        <f>IFERROR(AVERAGE('2023'!G11:R11),"")</f>
        <v>2</v>
      </c>
      <c r="E11" s="62">
        <f>IFERROR(AVERAGE('2023'!G12:R12),"")</f>
        <v>2</v>
      </c>
      <c r="F11" s="62">
        <f>IFERROR(AVERAGE('2024'!G11:R11),"")</f>
        <v>2</v>
      </c>
      <c r="G11" s="62">
        <f>IFERROR(AVERAGE('2024'!G12:R12),"")</f>
        <v>2</v>
      </c>
      <c r="H11" s="62">
        <f>IFERROR(AVERAGE('2025'!G11:R11),"")</f>
        <v>2</v>
      </c>
      <c r="I11" s="62">
        <f>IFERROR(AVERAGE('2025'!G12:R12),"")</f>
        <v>2</v>
      </c>
      <c r="J11" s="62">
        <f>IFERROR(AVERAGE('2026'!G11:K11),"")</f>
        <v>2</v>
      </c>
      <c r="K11" s="62">
        <f>IFERROR(AVERAGE('2026'!G12:K12),"")</f>
        <v>2</v>
      </c>
      <c r="L11" s="62">
        <f>IFERROR(AVERAGE('2026'!G12:R12),"")</f>
        <v>2</v>
      </c>
    </row>
    <row r="12" spans="1:12" x14ac:dyDescent="0.3">
      <c r="A12" s="59" t="s">
        <v>117</v>
      </c>
      <c r="B12" s="60">
        <f t="shared" ref="B12:I12" si="0">IF(COUNT(B13:B15)=0,"",SUM(B13:B15))</f>
        <v>19</v>
      </c>
      <c r="C12" s="60">
        <f t="shared" si="0"/>
        <v>19</v>
      </c>
      <c r="D12" s="60">
        <f t="shared" si="0"/>
        <v>18.166666666666668</v>
      </c>
      <c r="E12" s="60">
        <f t="shared" si="0"/>
        <v>19.083333333333336</v>
      </c>
      <c r="F12" s="60">
        <f t="shared" si="0"/>
        <v>18.833333333333336</v>
      </c>
      <c r="G12" s="60">
        <f t="shared" si="0"/>
        <v>19.75</v>
      </c>
      <c r="H12" s="60">
        <f t="shared" si="0"/>
        <v>18.75</v>
      </c>
      <c r="I12" s="60">
        <f t="shared" si="0"/>
        <v>20</v>
      </c>
      <c r="J12" s="60">
        <f>IF(COUNT(J13:J15)=0,"",SUM(J13:J15))</f>
        <v>19</v>
      </c>
      <c r="K12" s="60">
        <f>IF(COUNT(K13:K15)=0,"",SUM(K13:K15))</f>
        <v>19</v>
      </c>
      <c r="L12" s="60">
        <f>IF(COUNT(L13:L15)=0,"",SUM(L13:L15))</f>
        <v>19</v>
      </c>
    </row>
    <row r="13" spans="1:12" x14ac:dyDescent="0.3">
      <c r="A13" s="61" t="s">
        <v>179</v>
      </c>
      <c r="B13" s="62">
        <f>IFERROR(AVERAGE('2022'!H28:S28),"")</f>
        <v>5.25</v>
      </c>
      <c r="C13" s="62">
        <f>IFERROR(AVERAGE('2022'!H29:S29),"")</f>
        <v>6</v>
      </c>
      <c r="D13" s="62">
        <f>IFERROR(AVERAGE('2023'!G27:R27),"")</f>
        <v>4.166666666666667</v>
      </c>
      <c r="E13" s="62">
        <f>IFERROR(AVERAGE('2023'!G28:R28),"")</f>
        <v>4.25</v>
      </c>
      <c r="F13" s="62">
        <f>IFERROR(AVERAGE('2024'!G27:R27),"")</f>
        <v>4.833333333333333</v>
      </c>
      <c r="G13" s="62">
        <f>IFERROR(AVERAGE('2024'!G28:R28),"")</f>
        <v>5.75</v>
      </c>
      <c r="H13" s="62">
        <f>IFERROR(AVERAGE('2025'!G13:R13),"")</f>
        <v>5</v>
      </c>
      <c r="I13" s="62">
        <f>IFERROR(AVERAGE('2025'!G14:R14),"")</f>
        <v>5</v>
      </c>
      <c r="J13" s="62">
        <f>IFERROR(AVERAGE('2026'!G13:K13),"")</f>
        <v>5</v>
      </c>
      <c r="K13" s="62">
        <f>IFERROR(AVERAGE('2026'!G14:K14),"")</f>
        <v>5</v>
      </c>
      <c r="L13" s="62">
        <f>IFERROR(AVERAGE('2026'!G14:R14),"")</f>
        <v>5</v>
      </c>
    </row>
    <row r="14" spans="1:12" x14ac:dyDescent="0.3">
      <c r="A14" s="61" t="s">
        <v>180</v>
      </c>
      <c r="B14" s="62">
        <f>IFERROR(AVERAGE('2022'!H30:S30),"")</f>
        <v>4</v>
      </c>
      <c r="C14" s="62">
        <f>IFERROR(AVERAGE('2022'!H31:S31),"")</f>
        <v>3</v>
      </c>
      <c r="D14" s="62">
        <f>IFERROR(AVERAGE('2023'!G29:R29),"")</f>
        <v>4</v>
      </c>
      <c r="E14" s="62">
        <f>IFERROR(AVERAGE('2023'!G30:R30),"")</f>
        <v>4</v>
      </c>
      <c r="F14" s="62">
        <f>IFERROR(AVERAGE('2024'!G29:R29),"")</f>
        <v>4.666666666666667</v>
      </c>
      <c r="G14" s="62">
        <f>IFERROR(AVERAGE('2024'!G30:R30),"")</f>
        <v>4</v>
      </c>
      <c r="H14" s="62">
        <f>IFERROR(AVERAGE('2025'!G15:R15),"")</f>
        <v>4.916666666666667</v>
      </c>
      <c r="I14" s="62">
        <f>IFERROR(AVERAGE('2025'!G16:R16),"")</f>
        <v>5</v>
      </c>
      <c r="J14" s="62">
        <f>IFERROR(AVERAGE('2026'!G15:K15),"")</f>
        <v>5</v>
      </c>
      <c r="K14" s="62">
        <f>IFERROR(AVERAGE('2026'!G16:K16),"")</f>
        <v>5</v>
      </c>
      <c r="L14" s="62">
        <f>IFERROR(AVERAGE('2026'!G16:R16),"")</f>
        <v>5</v>
      </c>
    </row>
    <row r="15" spans="1:12" x14ac:dyDescent="0.3">
      <c r="A15" s="61" t="s">
        <v>256</v>
      </c>
      <c r="B15" s="62">
        <f>IFERROR(AVERAGE('2022'!H32:S32),"")</f>
        <v>9.75</v>
      </c>
      <c r="C15" s="62">
        <f>IFERROR(AVERAGE('2022'!H33:S33),"")</f>
        <v>10</v>
      </c>
      <c r="D15" s="62">
        <f>IFERROR(AVERAGE('2023'!G31:R31),"")</f>
        <v>10</v>
      </c>
      <c r="E15" s="62">
        <f>IFERROR(AVERAGE('2023'!G32:R32),"")</f>
        <v>10.833333333333334</v>
      </c>
      <c r="F15" s="62">
        <f>IFERROR(AVERAGE('2024'!G31:R31),"")</f>
        <v>9.3333333333333339</v>
      </c>
      <c r="G15" s="62">
        <f>IFERROR(AVERAGE('2024'!G32:R32),"")</f>
        <v>10</v>
      </c>
      <c r="H15" s="62">
        <f>IFERROR(AVERAGE('2025'!G17:R17),"")</f>
        <v>8.8333333333333339</v>
      </c>
      <c r="I15" s="62">
        <f>IFERROR(AVERAGE('2025'!G18:R18),"")</f>
        <v>10</v>
      </c>
      <c r="J15" s="62">
        <f>IFERROR(AVERAGE('2026'!G17:K17),"")</f>
        <v>9</v>
      </c>
      <c r="K15" s="62">
        <f>IFERROR(AVERAGE('2026'!G18:K18),"")</f>
        <v>9</v>
      </c>
      <c r="L15" s="62">
        <f>IFERROR(AVERAGE('2026'!G18:R18),"")</f>
        <v>9</v>
      </c>
    </row>
    <row r="16" spans="1:12" x14ac:dyDescent="0.3">
      <c r="A16" s="59" t="s">
        <v>32</v>
      </c>
      <c r="B16" s="60" t="str">
        <f t="shared" ref="B16:I16" si="1">IF(COUNT(B17:B21)=0,"",SUM(B17:B21))</f>
        <v/>
      </c>
      <c r="C16" s="60" t="str">
        <f t="shared" si="1"/>
        <v/>
      </c>
      <c r="D16" s="60" t="str">
        <f t="shared" si="1"/>
        <v/>
      </c>
      <c r="E16" s="60" t="str">
        <f t="shared" si="1"/>
        <v/>
      </c>
      <c r="F16" s="60">
        <f t="shared" si="1"/>
        <v>19.666666666666668</v>
      </c>
      <c r="G16" s="60">
        <f t="shared" si="1"/>
        <v>0</v>
      </c>
      <c r="H16" s="60">
        <f t="shared" si="1"/>
        <v>45.25</v>
      </c>
      <c r="I16" s="60">
        <f t="shared" si="1"/>
        <v>49</v>
      </c>
      <c r="J16" s="60">
        <f>IF(COUNT(J17:J21)=0,"",SUM(J17:J21))</f>
        <v>48.599999999999994</v>
      </c>
      <c r="K16" s="60">
        <f>IF(COUNT(K17:K21)=0,"",SUM(K17:K21))</f>
        <v>52</v>
      </c>
      <c r="L16" s="60">
        <f>IF(COUNT(L17:L21)=0,"",SUM(L17:L21))</f>
        <v>52</v>
      </c>
    </row>
    <row r="17" spans="1:12" x14ac:dyDescent="0.3">
      <c r="A17" s="61" t="s">
        <v>181</v>
      </c>
      <c r="B17" s="62"/>
      <c r="C17" s="62"/>
      <c r="D17" s="62"/>
      <c r="E17" s="62"/>
      <c r="F17" s="62">
        <f>IFERROR(AVERAGE('2024'!G33:R33),"")</f>
        <v>1.6666666666666667</v>
      </c>
      <c r="G17" s="62">
        <f>IFERROR(AVERAGE('2024'!G34:R34),"")</f>
        <v>0</v>
      </c>
      <c r="H17" s="62">
        <f>IFERROR(AVERAGE('2025'!G19:R19),"")</f>
        <v>2.1666666666666665</v>
      </c>
      <c r="I17" s="62">
        <f>IFERROR(AVERAGE('2025'!G20:R20),"")</f>
        <v>5</v>
      </c>
      <c r="J17" s="62"/>
      <c r="K17" s="62"/>
      <c r="L17" s="62"/>
    </row>
    <row r="18" spans="1:12" x14ac:dyDescent="0.3">
      <c r="A18" s="61" t="s">
        <v>182</v>
      </c>
      <c r="B18" s="62"/>
      <c r="C18" s="62"/>
      <c r="D18" s="62"/>
      <c r="E18" s="62"/>
      <c r="F18" s="62">
        <f>IFERROR(AVERAGE('2024'!G37:R37),"")</f>
        <v>5.583333333333333</v>
      </c>
      <c r="G18" s="62">
        <f>IFERROR(AVERAGE('2024'!G38:R38),"")</f>
        <v>0</v>
      </c>
      <c r="H18" s="62">
        <f>IFERROR(AVERAGE('2025'!G21:R21),"")</f>
        <v>12.416666666666666</v>
      </c>
      <c r="I18" s="62">
        <f>IFERROR(AVERAGE('2025'!G22:R22),"")</f>
        <v>13</v>
      </c>
      <c r="J18" s="62">
        <f>IFERROR(AVERAGE('2026'!G21:K21),"")</f>
        <v>13</v>
      </c>
      <c r="K18" s="62">
        <f>IFERROR(AVERAGE('2026'!G22:K22),"")</f>
        <v>15</v>
      </c>
      <c r="L18" s="62">
        <f>IFERROR(AVERAGE('2026'!G22:R22),"")</f>
        <v>15</v>
      </c>
    </row>
    <row r="19" spans="1:12" x14ac:dyDescent="0.3">
      <c r="A19" s="61" t="s">
        <v>183</v>
      </c>
      <c r="B19" s="62"/>
      <c r="C19" s="62"/>
      <c r="D19" s="62"/>
      <c r="E19" s="62"/>
      <c r="F19" s="62">
        <f>IFERROR(AVERAGE('2024'!G35:R35),"")</f>
        <v>8.0833333333333339</v>
      </c>
      <c r="G19" s="62">
        <f>IFERROR(AVERAGE('2024'!G36:R36),"")</f>
        <v>0</v>
      </c>
      <c r="H19" s="62">
        <f>IFERROR(AVERAGE('2025'!G23:R23),"")</f>
        <v>18.583333333333332</v>
      </c>
      <c r="I19" s="62">
        <f>IFERROR(AVERAGE('2025'!G24:R24),"")</f>
        <v>20</v>
      </c>
      <c r="J19" s="62">
        <f>IFERROR(AVERAGE('2026'!G19:K19),"")</f>
        <v>17.399999999999999</v>
      </c>
      <c r="K19" s="62">
        <f>IFERROR(AVERAGE('2026'!G20:K20),"")</f>
        <v>18</v>
      </c>
      <c r="L19" s="62">
        <f>IFERROR(AVERAGE('2026'!G20:R20),"")</f>
        <v>18</v>
      </c>
    </row>
    <row r="20" spans="1:12" x14ac:dyDescent="0.3">
      <c r="A20" s="61" t="s">
        <v>184</v>
      </c>
      <c r="B20" s="62"/>
      <c r="C20" s="62"/>
      <c r="D20" s="62"/>
      <c r="E20" s="62"/>
      <c r="F20" s="62">
        <f>IFERROR(AVERAGE('2024'!G39:R39),"")</f>
        <v>3.3333333333333335</v>
      </c>
      <c r="G20" s="62">
        <f>IFERROR(AVERAGE('2024'!G40:R40),"")</f>
        <v>0</v>
      </c>
      <c r="H20" s="62">
        <f>IFERROR(AVERAGE('2025'!G25:R25),"")</f>
        <v>7.583333333333333</v>
      </c>
      <c r="I20" s="62">
        <f>IFERROR(AVERAGE('2025'!G26:R26),"")</f>
        <v>8</v>
      </c>
      <c r="J20" s="62">
        <f>IFERROR(AVERAGE('2026'!G23:K23),"")</f>
        <v>7.8</v>
      </c>
      <c r="K20" s="62">
        <f>IFERROR(AVERAGE('2026'!G24:K24),"")</f>
        <v>8</v>
      </c>
      <c r="L20" s="62">
        <f>IFERROR(AVERAGE('2026'!G24:R24),"")</f>
        <v>8</v>
      </c>
    </row>
    <row r="21" spans="1:12" x14ac:dyDescent="0.3">
      <c r="A21" s="61" t="s">
        <v>257</v>
      </c>
      <c r="B21" s="62"/>
      <c r="C21" s="62"/>
      <c r="D21" s="62"/>
      <c r="E21" s="62"/>
      <c r="F21" s="62">
        <f>IFERROR(AVERAGE('2024'!G41:R41),"")</f>
        <v>1</v>
      </c>
      <c r="G21" s="62">
        <f>IFERROR(AVERAGE('2024'!G42:R42),"")</f>
        <v>0</v>
      </c>
      <c r="H21" s="62">
        <f>IFERROR(AVERAGE('2025'!G27:R27),"")</f>
        <v>4.5</v>
      </c>
      <c r="I21" s="62">
        <f>IFERROR(AVERAGE('2025'!G28:R28),"")</f>
        <v>3</v>
      </c>
      <c r="J21" s="62">
        <f>IFERROR(AVERAGE('2026'!G25:K25),"")</f>
        <v>10.4</v>
      </c>
      <c r="K21" s="62">
        <f>IFERROR(AVERAGE('2026'!G26:K26),"")</f>
        <v>11</v>
      </c>
      <c r="L21" s="62">
        <f>IFERROR(AVERAGE('2026'!G26:R26),"")</f>
        <v>11</v>
      </c>
    </row>
    <row r="22" spans="1:12" x14ac:dyDescent="0.3">
      <c r="A22" s="59" t="s">
        <v>38</v>
      </c>
      <c r="B22" s="60">
        <f t="shared" ref="B22:I22" si="2">IF(COUNT(B23:B26)=0,"",SUM(B23:B26))</f>
        <v>13.25</v>
      </c>
      <c r="C22" s="60">
        <f t="shared" si="2"/>
        <v>15</v>
      </c>
      <c r="D22" s="60">
        <f t="shared" si="2"/>
        <v>12.333333333333334</v>
      </c>
      <c r="E22" s="60">
        <f t="shared" si="2"/>
        <v>14</v>
      </c>
      <c r="F22" s="60">
        <f t="shared" si="2"/>
        <v>15</v>
      </c>
      <c r="G22" s="60">
        <f t="shared" si="2"/>
        <v>14</v>
      </c>
      <c r="H22" s="60">
        <f t="shared" si="2"/>
        <v>23.666666666666664</v>
      </c>
      <c r="I22" s="60">
        <f t="shared" si="2"/>
        <v>27</v>
      </c>
      <c r="J22" s="60">
        <f>IF(COUNT(J23:J26)=0,"",SUM(J23:J26))</f>
        <v>24.4</v>
      </c>
      <c r="K22" s="60">
        <f>IF(COUNT(K23:K26)=0,"",SUM(K23:K26))</f>
        <v>27</v>
      </c>
      <c r="L22" s="60">
        <f>IF(COUNT(L23:L26)=0,"",SUM(L23:L26))</f>
        <v>27</v>
      </c>
    </row>
    <row r="23" spans="1:12" x14ac:dyDescent="0.3">
      <c r="A23" s="61" t="s">
        <v>185</v>
      </c>
      <c r="B23" s="62">
        <f>IFERROR(AVERAGE('2022'!H34:S34),"")</f>
        <v>7</v>
      </c>
      <c r="C23" s="62">
        <f>IFERROR(AVERAGE('2022'!H35:S35),"")</f>
        <v>8</v>
      </c>
      <c r="D23" s="62">
        <f>IFERROR(AVERAGE('2023'!G33:R33),"")</f>
        <v>6.166666666666667</v>
      </c>
      <c r="E23" s="62">
        <f>IFERROR(AVERAGE('2023'!G34:R34),"")</f>
        <v>7</v>
      </c>
      <c r="F23" s="62">
        <f>IFERROR(AVERAGE('2024'!G43:R43),"")</f>
        <v>7.583333333333333</v>
      </c>
      <c r="G23" s="62">
        <f>IFERROR(AVERAGE('2024'!G44:R44),"")</f>
        <v>7</v>
      </c>
      <c r="H23" s="62">
        <f>IFERROR(AVERAGE('2025'!G29:R29),"")</f>
        <v>12.166666666666666</v>
      </c>
      <c r="I23" s="62">
        <f>IFERROR(AVERAGE('2025'!G30:R30),"")</f>
        <v>14</v>
      </c>
      <c r="J23" s="62">
        <f>IFERROR(AVERAGE('2026'!G27:K27),"")</f>
        <v>13</v>
      </c>
      <c r="K23" s="62">
        <f>IFERROR(AVERAGE('2026'!G28:K28),"")</f>
        <v>14</v>
      </c>
      <c r="L23" s="62">
        <f>IFERROR(AVERAGE('2026'!G28:R28),"")</f>
        <v>14</v>
      </c>
    </row>
    <row r="24" spans="1:12" x14ac:dyDescent="0.3">
      <c r="A24" s="61" t="s">
        <v>186</v>
      </c>
      <c r="B24" s="62">
        <f>IFERROR(AVERAGE('2022'!H36:S36),"")</f>
        <v>4</v>
      </c>
      <c r="C24" s="62">
        <f>IFERROR(AVERAGE('2022'!H37:S37),"")</f>
        <v>5</v>
      </c>
      <c r="D24" s="62">
        <f>IFERROR(AVERAGE('2023'!G35:R35),"")</f>
        <v>4</v>
      </c>
      <c r="E24" s="62">
        <f>IFERROR(AVERAGE('2023'!G36:R36),"")</f>
        <v>5</v>
      </c>
      <c r="F24" s="62">
        <f>IFERROR(AVERAGE('2024'!G45:R45),"")</f>
        <v>3.3333333333333335</v>
      </c>
      <c r="G24" s="62">
        <f>IFERROR(AVERAGE('2024'!G46:R46),"")</f>
        <v>5</v>
      </c>
      <c r="H24" s="62">
        <f>IFERROR(AVERAGE('2025'!G31:R31),"")</f>
        <v>2.1666666666666665</v>
      </c>
      <c r="I24" s="62">
        <f>IFERROR(AVERAGE('2025'!G32:R32),"")</f>
        <v>5</v>
      </c>
      <c r="J24" s="62">
        <f>IFERROR(AVERAGE('2026'!G29:K29),"")</f>
        <v>2</v>
      </c>
      <c r="K24" s="62">
        <f>IFERROR(AVERAGE('2026'!G30:K30),"")</f>
        <v>5</v>
      </c>
      <c r="L24" s="62">
        <f>IFERROR(AVERAGE('2026'!G30:R30),"")</f>
        <v>5</v>
      </c>
    </row>
    <row r="25" spans="1:12" x14ac:dyDescent="0.3">
      <c r="A25" s="61" t="s">
        <v>187</v>
      </c>
      <c r="B25" s="62"/>
      <c r="C25" s="62"/>
      <c r="D25" s="62"/>
      <c r="E25" s="62"/>
      <c r="F25" s="62">
        <f>IFERROR(AVERAGE('2024'!G47:R47),"")</f>
        <v>0</v>
      </c>
      <c r="G25" s="62">
        <f>IFERROR(AVERAGE('2024'!G48:R48),"")</f>
        <v>0</v>
      </c>
      <c r="H25" s="62"/>
      <c r="I25" s="62"/>
      <c r="J25" s="62"/>
      <c r="K25" s="62"/>
      <c r="L25" s="62"/>
    </row>
    <row r="26" spans="1:12" x14ac:dyDescent="0.3">
      <c r="A26" s="61" t="s">
        <v>258</v>
      </c>
      <c r="B26" s="62">
        <f>IFERROR(AVERAGE('2022'!H38:S38),"")</f>
        <v>2.25</v>
      </c>
      <c r="C26" s="62">
        <f>IFERROR(AVERAGE('2022'!H39:S39),"")</f>
        <v>2</v>
      </c>
      <c r="D26" s="62">
        <f>IFERROR(AVERAGE('2023'!G37:R37),"")</f>
        <v>2.1666666666666665</v>
      </c>
      <c r="E26" s="62">
        <f>IFERROR(AVERAGE('2023'!G38:R38),"")</f>
        <v>2</v>
      </c>
      <c r="F26" s="62">
        <f>IFERROR(AVERAGE('2024'!G49:R49),"")</f>
        <v>4.083333333333333</v>
      </c>
      <c r="G26" s="62">
        <f>IFERROR(AVERAGE('2024'!G50:R50),"")</f>
        <v>2</v>
      </c>
      <c r="H26" s="62">
        <f>IFERROR(AVERAGE('2025'!G33:R33),"")</f>
        <v>9.3333333333333339</v>
      </c>
      <c r="I26" s="62">
        <f>IFERROR(AVERAGE('2025'!G34:R34),"")</f>
        <v>8</v>
      </c>
      <c r="J26" s="62">
        <f>IFERROR(AVERAGE('2026'!G31:K31),"")</f>
        <v>9.4</v>
      </c>
      <c r="K26" s="62">
        <f>IFERROR(AVERAGE('2026'!G32:K32),"")</f>
        <v>8</v>
      </c>
      <c r="L26" s="62">
        <f>IFERROR(AVERAGE('2026'!G32:R32),"")</f>
        <v>8</v>
      </c>
    </row>
    <row r="27" spans="1:12" x14ac:dyDescent="0.3">
      <c r="A27" s="59" t="s">
        <v>42</v>
      </c>
      <c r="B27" s="60">
        <f t="shared" ref="B27:I27" si="3">IF(COUNT(B28:B32)=0,"",SUM(B28:B32))</f>
        <v>16.916666666666668</v>
      </c>
      <c r="C27" s="60">
        <f t="shared" si="3"/>
        <v>17.666666666666664</v>
      </c>
      <c r="D27" s="60">
        <f t="shared" si="3"/>
        <v>17.333333333333332</v>
      </c>
      <c r="E27" s="60">
        <f t="shared" si="3"/>
        <v>17.5</v>
      </c>
      <c r="F27" s="60">
        <f t="shared" si="3"/>
        <v>18.25</v>
      </c>
      <c r="G27" s="60">
        <f t="shared" si="3"/>
        <v>16.75</v>
      </c>
      <c r="H27" s="60">
        <f t="shared" si="3"/>
        <v>21.333333333333336</v>
      </c>
      <c r="I27" s="60">
        <f t="shared" si="3"/>
        <v>22</v>
      </c>
      <c r="J27" s="60">
        <f>IF(COUNT(J28:J32)=0,"",SUM(J28:J32))</f>
        <v>18</v>
      </c>
      <c r="K27" s="60">
        <f>IF(COUNT(K28:K32)=0,"",SUM(K28:K32))</f>
        <v>21</v>
      </c>
      <c r="L27" s="60">
        <f>IF(COUNT(L28:L32)=0,"",SUM(L28:L32))</f>
        <v>21</v>
      </c>
    </row>
    <row r="28" spans="1:12" x14ac:dyDescent="0.3">
      <c r="A28" s="61" t="s">
        <v>188</v>
      </c>
      <c r="B28" s="62">
        <f>IFERROR(AVERAGE('2022'!H40:S40),"")</f>
        <v>4.666666666666667</v>
      </c>
      <c r="C28" s="62">
        <f>IFERROR(AVERAGE('2022'!H41:S41),"")</f>
        <v>3.6666666666666665</v>
      </c>
      <c r="D28" s="62">
        <f>IFERROR(AVERAGE('2023'!G39:R39),"")</f>
        <v>2.75</v>
      </c>
      <c r="E28" s="62">
        <f>IFERROR(AVERAGE('2023'!G40:R40),"")</f>
        <v>3.5</v>
      </c>
      <c r="F28" s="62">
        <f>IFERROR(AVERAGE('2024'!G51:R51),"")</f>
        <v>2</v>
      </c>
      <c r="G28" s="62">
        <f>IFERROR(AVERAGE('2024'!G52:R52),"")</f>
        <v>2.75</v>
      </c>
      <c r="H28" s="62">
        <f>IFERROR(AVERAGE('2025'!G35:R35),"")</f>
        <v>2</v>
      </c>
      <c r="I28" s="62">
        <f>IFERROR(AVERAGE('2025'!G36:R36),"")</f>
        <v>3</v>
      </c>
      <c r="J28" s="62">
        <f>IFERROR(AVERAGE('2026'!G33:K33),"")</f>
        <v>2</v>
      </c>
      <c r="K28" s="62">
        <f>IFERROR(AVERAGE('2026'!G34:K34),"")</f>
        <v>2</v>
      </c>
      <c r="L28" s="62">
        <f>IFERROR(AVERAGE('2026'!G34:R34),"")</f>
        <v>2</v>
      </c>
    </row>
    <row r="29" spans="1:12" x14ac:dyDescent="0.3">
      <c r="A29" s="61" t="s">
        <v>189</v>
      </c>
      <c r="B29" s="62">
        <f>IFERROR(AVERAGE('2022'!H42:S42),"")</f>
        <v>8</v>
      </c>
      <c r="C29" s="62">
        <f>IFERROR(AVERAGE('2022'!H43:S43),"")</f>
        <v>9</v>
      </c>
      <c r="D29" s="62">
        <f>IFERROR(AVERAGE('2023'!G41:R41),"")</f>
        <v>9</v>
      </c>
      <c r="E29" s="62">
        <f>IFERROR(AVERAGE('2023'!G42:R42),"")</f>
        <v>9</v>
      </c>
      <c r="F29" s="62">
        <f>IFERROR(AVERAGE('2024'!G53:R53),"")</f>
        <v>9</v>
      </c>
      <c r="G29" s="62">
        <f>IFERROR(AVERAGE('2024'!G54:R54),"")</f>
        <v>9</v>
      </c>
      <c r="H29" s="62">
        <f>IFERROR(AVERAGE('2025'!G37:R37),"")</f>
        <v>9</v>
      </c>
      <c r="I29" s="62">
        <f>IFERROR(AVERAGE('2025'!G38:R38),"")</f>
        <v>9</v>
      </c>
      <c r="J29" s="62">
        <f>IFERROR(AVERAGE('2026'!G35:K35),"")</f>
        <v>8.1999999999999993</v>
      </c>
      <c r="K29" s="62">
        <f>IFERROR(AVERAGE('2026'!G36:K36),"")</f>
        <v>9</v>
      </c>
      <c r="L29" s="62">
        <f>IFERROR(AVERAGE('2026'!G36:R36),"")</f>
        <v>9</v>
      </c>
    </row>
    <row r="30" spans="1:12" x14ac:dyDescent="0.3">
      <c r="A30" s="61" t="s">
        <v>190</v>
      </c>
      <c r="B30" s="62"/>
      <c r="C30" s="62"/>
      <c r="D30" s="62">
        <f>IFERROR(AVERAGE('2023'!G43:R43),"")</f>
        <v>0.5</v>
      </c>
      <c r="E30" s="62">
        <f>IFERROR(AVERAGE('2023'!G44:R44),"")</f>
        <v>0</v>
      </c>
      <c r="F30" s="62"/>
      <c r="G30" s="62"/>
      <c r="H30" s="62"/>
      <c r="I30" s="62"/>
      <c r="J30" s="62"/>
      <c r="K30" s="62"/>
      <c r="L30" s="62"/>
    </row>
    <row r="31" spans="1:12" x14ac:dyDescent="0.3">
      <c r="A31" s="61" t="s">
        <v>191</v>
      </c>
      <c r="B31" s="62"/>
      <c r="C31" s="62"/>
      <c r="D31" s="62">
        <f>IFERROR(AVERAGE('2023'!G45:R45),"")</f>
        <v>0.25</v>
      </c>
      <c r="E31" s="62">
        <f>IFERROR(AVERAGE('2023'!G46:R46),"")</f>
        <v>0</v>
      </c>
      <c r="F31" s="62"/>
      <c r="G31" s="62"/>
      <c r="H31" s="62"/>
      <c r="I31" s="62"/>
      <c r="J31" s="62"/>
      <c r="K31" s="62"/>
      <c r="L31" s="62"/>
    </row>
    <row r="32" spans="1:12" x14ac:dyDescent="0.3">
      <c r="A32" s="61" t="s">
        <v>253</v>
      </c>
      <c r="B32" s="62">
        <f>IFERROR(AVERAGE('2022'!H44:S44),"")</f>
        <v>4.25</v>
      </c>
      <c r="C32" s="62">
        <f>IFERROR(AVERAGE('2022'!H45:S45),"")</f>
        <v>5</v>
      </c>
      <c r="D32" s="62">
        <f>IFERROR(AVERAGE('2023'!G47:R47),"")</f>
        <v>4.833333333333333</v>
      </c>
      <c r="E32" s="62">
        <f>IFERROR(AVERAGE('2023'!G48:R48),"")</f>
        <v>5</v>
      </c>
      <c r="F32" s="62">
        <f>IFERROR(AVERAGE('2024'!G55:R55),"")</f>
        <v>7.25</v>
      </c>
      <c r="G32" s="62">
        <f>IFERROR(AVERAGE('2024'!G56:R56),"")</f>
        <v>5</v>
      </c>
      <c r="H32" s="62">
        <f>IFERROR(AVERAGE('2025'!G39:R39),"")</f>
        <v>10.333333333333334</v>
      </c>
      <c r="I32" s="62">
        <f>IFERROR(AVERAGE('2025'!G40:R40),"")</f>
        <v>10</v>
      </c>
      <c r="J32" s="62">
        <f>IFERROR(AVERAGE('2026'!G37:K37),"")</f>
        <v>7.8</v>
      </c>
      <c r="K32" s="62">
        <f>IFERROR(AVERAGE('2026'!G38:K38),"")</f>
        <v>10</v>
      </c>
      <c r="L32" s="62">
        <f>IFERROR(AVERAGE('2026'!G38:R38),"")</f>
        <v>10</v>
      </c>
    </row>
    <row r="33" spans="1:12" x14ac:dyDescent="0.3">
      <c r="A33" s="59" t="s">
        <v>121</v>
      </c>
      <c r="B33" s="60">
        <f t="shared" ref="B33:I33" si="4">IF(COUNT(B34:B40)=0,"",SUM(B34:B40))</f>
        <v>79.083333333333329</v>
      </c>
      <c r="C33" s="60">
        <f t="shared" si="4"/>
        <v>83.25</v>
      </c>
      <c r="D33" s="60">
        <f t="shared" si="4"/>
        <v>76.000000000000014</v>
      </c>
      <c r="E33" s="60">
        <f t="shared" si="4"/>
        <v>85</v>
      </c>
      <c r="F33" s="60">
        <f t="shared" si="4"/>
        <v>78.666666666666657</v>
      </c>
      <c r="G33" s="60">
        <f t="shared" si="4"/>
        <v>78.416666666666657</v>
      </c>
      <c r="H33" s="60">
        <f t="shared" si="4"/>
        <v>75.5</v>
      </c>
      <c r="I33" s="60">
        <f t="shared" si="4"/>
        <v>80.75</v>
      </c>
      <c r="J33" s="60">
        <f>IF(COUNT(J34:J40)=0,"",SUM(J34:J40))</f>
        <v>74.399999999999991</v>
      </c>
      <c r="K33" s="60">
        <f>IF(COUNT(K34:K40)=0,"",SUM(K34:K40))</f>
        <v>81</v>
      </c>
      <c r="L33" s="60">
        <f>IF(COUNT(L34:L40)=0,"",SUM(L34:L40))</f>
        <v>81</v>
      </c>
    </row>
    <row r="34" spans="1:12" x14ac:dyDescent="0.3">
      <c r="A34" s="61" t="s">
        <v>192</v>
      </c>
      <c r="B34" s="62">
        <f>IFERROR(AVERAGE('2022'!H46:S46),"")</f>
        <v>5.166666666666667</v>
      </c>
      <c r="C34" s="62">
        <f>IFERROR(AVERAGE('2022'!H47:S47),"")</f>
        <v>5.25</v>
      </c>
      <c r="D34" s="62">
        <f>IFERROR(AVERAGE('2023'!G49:R49),"")</f>
        <v>6.666666666666667</v>
      </c>
      <c r="E34" s="62">
        <f>IFERROR(AVERAGE('2023'!G50:R50),"")</f>
        <v>5</v>
      </c>
      <c r="F34" s="62">
        <f>IFERROR(AVERAGE('2024'!G57:R57),"")</f>
        <v>7.75</v>
      </c>
      <c r="G34" s="62">
        <f>IFERROR(AVERAGE('2024'!G58:R58),"")</f>
        <v>8</v>
      </c>
      <c r="H34" s="62">
        <f>IFERROR(AVERAGE('2025'!G41:R41),"")</f>
        <v>8</v>
      </c>
      <c r="I34" s="62">
        <f>IFERROR(AVERAGE('2025'!G42:R42),"")</f>
        <v>8</v>
      </c>
      <c r="J34" s="62">
        <f>IFERROR(AVERAGE('2026'!G39:K39),"")</f>
        <v>8.1999999999999993</v>
      </c>
      <c r="K34" s="62">
        <f>IFERROR(AVERAGE('2026'!G40:K40),"")</f>
        <v>8</v>
      </c>
      <c r="L34" s="62">
        <f>IFERROR(AVERAGE('2026'!G40:R40),"")</f>
        <v>8</v>
      </c>
    </row>
    <row r="35" spans="1:12" x14ac:dyDescent="0.3">
      <c r="A35" s="61" t="s">
        <v>193</v>
      </c>
      <c r="B35" s="62">
        <f>IFERROR(AVERAGE('2022'!H50:S50),"")</f>
        <v>10.166666666666666</v>
      </c>
      <c r="C35" s="62">
        <f>IFERROR(AVERAGE('2022'!H51:S51),"")</f>
        <v>12</v>
      </c>
      <c r="D35" s="62">
        <f>IFERROR(AVERAGE('2023'!G53:R53),"")</f>
        <v>9.0833333333333339</v>
      </c>
      <c r="E35" s="62">
        <f>IFERROR(AVERAGE('2023'!G54:R54),"")</f>
        <v>14</v>
      </c>
      <c r="F35" s="62">
        <f>IFERROR(AVERAGE('2024'!G59:R59),"")</f>
        <v>6</v>
      </c>
      <c r="G35" s="62">
        <f>IFERROR(AVERAGE('2024'!G60:R60),"")</f>
        <v>6</v>
      </c>
      <c r="H35" s="62">
        <f>IFERROR(AVERAGE('2025'!G43:R43),"")</f>
        <v>5.25</v>
      </c>
      <c r="I35" s="62">
        <f>IFERROR(AVERAGE('2025'!G44:R44),"")</f>
        <v>6</v>
      </c>
      <c r="J35" s="62">
        <f>IFERROR(AVERAGE('2026'!G41:K41),"")</f>
        <v>4.8</v>
      </c>
      <c r="K35" s="62">
        <f>IFERROR(AVERAGE('2026'!G42:K42),"")</f>
        <v>5</v>
      </c>
      <c r="L35" s="62">
        <f>IFERROR(AVERAGE('2026'!G42:R42),"")</f>
        <v>5</v>
      </c>
    </row>
    <row r="36" spans="1:12" x14ac:dyDescent="0.3">
      <c r="A36" s="61" t="s">
        <v>194</v>
      </c>
      <c r="B36" s="62"/>
      <c r="C36" s="62"/>
      <c r="D36" s="62"/>
      <c r="E36" s="62"/>
      <c r="F36" s="62">
        <f>IFERROR(AVERAGE('2024'!G61:R61),"")</f>
        <v>4.916666666666667</v>
      </c>
      <c r="G36" s="62">
        <f>IFERROR(AVERAGE('2024'!G62:R62),"")</f>
        <v>0</v>
      </c>
      <c r="H36" s="62">
        <f>IFERROR(AVERAGE('2025'!G45:R45),"")</f>
        <v>4.916666666666667</v>
      </c>
      <c r="I36" s="62">
        <f>IFERROR(AVERAGE('2025'!G46:R46),"")</f>
        <v>5</v>
      </c>
      <c r="J36" s="62">
        <f>IFERROR(AVERAGE('2026'!G43:K43),"")</f>
        <v>5</v>
      </c>
      <c r="K36" s="62">
        <f>IFERROR(AVERAGE('2026'!G44:K44),"")</f>
        <v>5</v>
      </c>
      <c r="L36" s="62">
        <f>IFERROR(AVERAGE('2026'!G44:R44),"")</f>
        <v>5</v>
      </c>
    </row>
    <row r="37" spans="1:12" x14ac:dyDescent="0.3">
      <c r="A37" s="61" t="s">
        <v>195</v>
      </c>
      <c r="B37" s="62"/>
      <c r="C37" s="62"/>
      <c r="D37" s="62"/>
      <c r="E37" s="62"/>
      <c r="F37" s="62">
        <f>IFERROR(AVERAGE('2024'!G63:R63),"")</f>
        <v>54.166666666666664</v>
      </c>
      <c r="G37" s="62">
        <f>IFERROR(AVERAGE('2024'!G64:R64),"")</f>
        <v>55.416666666666664</v>
      </c>
      <c r="H37" s="62">
        <f>IFERROR(AVERAGE('2025'!G47:R47),"")</f>
        <v>52.666666666666664</v>
      </c>
      <c r="I37" s="62">
        <f>IFERROR(AVERAGE('2025'!G48:R48),"")</f>
        <v>56</v>
      </c>
      <c r="J37" s="62">
        <f>IFERROR(AVERAGE('2026'!G45:K45),"")</f>
        <v>51.6</v>
      </c>
      <c r="K37" s="62">
        <f>IFERROR(AVERAGE('2026'!G46:K46),"")</f>
        <v>57</v>
      </c>
      <c r="L37" s="62">
        <f>IFERROR(AVERAGE('2026'!G46:R46),"")</f>
        <v>57</v>
      </c>
    </row>
    <row r="38" spans="1:12" x14ac:dyDescent="0.3">
      <c r="A38" s="61" t="s">
        <v>196</v>
      </c>
      <c r="B38" s="62">
        <f>IFERROR(AVERAGE('2022'!H48:S48),"")</f>
        <v>3.9166666666666665</v>
      </c>
      <c r="C38" s="62">
        <f>IFERROR(AVERAGE('2022'!H49:S49),"")</f>
        <v>4</v>
      </c>
      <c r="D38" s="62">
        <f>IFERROR(AVERAGE('2023'!G51:R51),"")</f>
        <v>2</v>
      </c>
      <c r="E38" s="62">
        <f>IFERROR(AVERAGE('2023'!G52:R52),"")</f>
        <v>4</v>
      </c>
      <c r="F38" s="62"/>
      <c r="G38" s="62"/>
      <c r="H38" s="62"/>
      <c r="I38" s="62"/>
      <c r="J38" s="62"/>
      <c r="K38" s="62"/>
      <c r="L38" s="62"/>
    </row>
    <row r="39" spans="1:12" x14ac:dyDescent="0.3">
      <c r="A39" s="61" t="s">
        <v>197</v>
      </c>
      <c r="B39" s="62">
        <f>IFERROR(AVERAGE('2022'!H52:S52),"")</f>
        <v>53.916666666666664</v>
      </c>
      <c r="C39" s="62">
        <f>IFERROR(AVERAGE('2022'!H53:S53),"")</f>
        <v>55</v>
      </c>
      <c r="D39" s="62">
        <f>IFERROR(AVERAGE('2023'!G55:R55),"")</f>
        <v>51.583333333333336</v>
      </c>
      <c r="E39" s="62">
        <f>IFERROR(AVERAGE('2023'!G56:R56),"")</f>
        <v>56</v>
      </c>
      <c r="F39" s="62"/>
      <c r="G39" s="62"/>
      <c r="H39" s="62"/>
      <c r="I39" s="62"/>
      <c r="J39" s="62"/>
      <c r="K39" s="62"/>
      <c r="L39" s="62"/>
    </row>
    <row r="40" spans="1:12" x14ac:dyDescent="0.3">
      <c r="A40" s="61" t="s">
        <v>254</v>
      </c>
      <c r="B40" s="62">
        <f>IFERROR(AVERAGE('2022'!H54:S54),"")</f>
        <v>5.916666666666667</v>
      </c>
      <c r="C40" s="62">
        <f>IFERROR(AVERAGE('2022'!H55:S55),"")</f>
        <v>7</v>
      </c>
      <c r="D40" s="62">
        <f>IFERROR(AVERAGE('2023'!G57:R57),"")</f>
        <v>6.666666666666667</v>
      </c>
      <c r="E40" s="62">
        <f>IFERROR(AVERAGE('2023'!G58:R58),"")</f>
        <v>6</v>
      </c>
      <c r="F40" s="62">
        <f>IFERROR(AVERAGE('2024'!G65:R65),"")</f>
        <v>5.833333333333333</v>
      </c>
      <c r="G40" s="62">
        <f>IFERROR(AVERAGE('2024'!G66:R66),"")</f>
        <v>9</v>
      </c>
      <c r="H40" s="62">
        <f>IFERROR(AVERAGE('2025'!G49:R49),"")</f>
        <v>4.666666666666667</v>
      </c>
      <c r="I40" s="62">
        <f>IFERROR(AVERAGE('2025'!G50:R50),"")</f>
        <v>5.75</v>
      </c>
      <c r="J40" s="62">
        <f>IFERROR(AVERAGE('2026'!G47:K47),"")</f>
        <v>4.8</v>
      </c>
      <c r="K40" s="62">
        <f>IFERROR(AVERAGE('2026'!G48:K48),"")</f>
        <v>6</v>
      </c>
      <c r="L40" s="62">
        <f>IFERROR(AVERAGE('2026'!G48:R48),"")</f>
        <v>6</v>
      </c>
    </row>
    <row r="41" spans="1:12" x14ac:dyDescent="0.3">
      <c r="A41" s="59" t="s">
        <v>50</v>
      </c>
      <c r="B41" s="60">
        <f t="shared" ref="B41:I41" si="5">IF(COUNT(B42:B50)=0,"",SUM(B42:B50))</f>
        <v>110.66666666666667</v>
      </c>
      <c r="C41" s="60">
        <f t="shared" si="5"/>
        <v>114.16666666666666</v>
      </c>
      <c r="D41" s="60">
        <f t="shared" si="5"/>
        <v>115.99999999999999</v>
      </c>
      <c r="E41" s="60">
        <f t="shared" si="5"/>
        <v>120.41666666666666</v>
      </c>
      <c r="F41" s="60">
        <f t="shared" si="5"/>
        <v>121.66666666666666</v>
      </c>
      <c r="G41" s="60">
        <f t="shared" si="5"/>
        <v>126</v>
      </c>
      <c r="H41" s="60">
        <f t="shared" si="5"/>
        <v>114.91666666666667</v>
      </c>
      <c r="I41" s="60">
        <f t="shared" si="5"/>
        <v>128.75</v>
      </c>
      <c r="J41" s="60">
        <f>IF(COUNT(J42:J50)=0,"",SUM(J42:J50))</f>
        <v>110.8</v>
      </c>
      <c r="K41" s="60">
        <f>IF(COUNT(K42:K50)=0,"",SUM(K42:K50))</f>
        <v>119</v>
      </c>
      <c r="L41" s="60">
        <f>IF(COUNT(L42:L50)=0,"",SUM(L42:L50))</f>
        <v>119</v>
      </c>
    </row>
    <row r="42" spans="1:12" x14ac:dyDescent="0.3">
      <c r="A42" s="61" t="s">
        <v>198</v>
      </c>
      <c r="B42" s="62">
        <f>IFERROR(AVERAGE('2022'!H56:S56),"")</f>
        <v>34.083333333333336</v>
      </c>
      <c r="C42" s="62">
        <f>IFERROR(AVERAGE('2022'!H57:S57),"")</f>
        <v>37.416666666666664</v>
      </c>
      <c r="D42" s="62">
        <f>IFERROR(AVERAGE('2023'!G59:R59),"")</f>
        <v>36.25</v>
      </c>
      <c r="E42" s="62">
        <f>IFERROR(AVERAGE('2023'!G60:R60),"")</f>
        <v>38</v>
      </c>
      <c r="F42" s="62">
        <f>IFERROR(AVERAGE('2024'!G67:R67),"")</f>
        <v>35.333333333333336</v>
      </c>
      <c r="G42" s="62">
        <f>IFERROR(AVERAGE('2024'!G68:R68),"")</f>
        <v>38</v>
      </c>
      <c r="H42" s="62">
        <f>IFERROR(AVERAGE('2025'!G51:R51),"")</f>
        <v>31.666666666666668</v>
      </c>
      <c r="I42" s="62">
        <f>IFERROR(AVERAGE('2025'!G52:R52),"")</f>
        <v>38</v>
      </c>
      <c r="J42" s="62">
        <f>IFERROR(AVERAGE('2026'!G49:K49),"")</f>
        <v>30.4</v>
      </c>
      <c r="K42" s="62">
        <f>IFERROR(AVERAGE('2026'!G50:K50),"")</f>
        <v>33</v>
      </c>
      <c r="L42" s="62">
        <f>IFERROR(AVERAGE('2026'!G50:R50),"")</f>
        <v>33</v>
      </c>
    </row>
    <row r="43" spans="1:12" x14ac:dyDescent="0.3">
      <c r="A43" s="61" t="s">
        <v>199</v>
      </c>
      <c r="B43" s="62">
        <f>IFERROR(AVERAGE('2022'!H58:S58),"")</f>
        <v>31.583333333333332</v>
      </c>
      <c r="C43" s="62">
        <f>IFERROR(AVERAGE('2022'!H59:S59),"")</f>
        <v>30</v>
      </c>
      <c r="D43" s="62">
        <f>IFERROR(AVERAGE('2023'!G61:R61),"")</f>
        <v>34.916666666666664</v>
      </c>
      <c r="E43" s="62">
        <f>IFERROR(AVERAGE('2023'!G62:R62),"")</f>
        <v>36.166666666666664</v>
      </c>
      <c r="F43" s="62">
        <f>IFERROR(AVERAGE('2024'!G69:R69),"")</f>
        <v>34.666666666666664</v>
      </c>
      <c r="G43" s="62">
        <f>IFERROR(AVERAGE('2024'!G70:R70),"")</f>
        <v>36</v>
      </c>
      <c r="H43" s="62">
        <f>IFERROR(AVERAGE('2025'!G53:R53),"")</f>
        <v>33.083333333333336</v>
      </c>
      <c r="I43" s="62">
        <f>IFERROR(AVERAGE('2025'!G54:R54),"")</f>
        <v>36</v>
      </c>
      <c r="J43" s="62">
        <f>IFERROR(AVERAGE('2026'!G51:K51),"")</f>
        <v>32.799999999999997</v>
      </c>
      <c r="K43" s="62">
        <f>IFERROR(AVERAGE('2026'!G52:K52),"")</f>
        <v>34</v>
      </c>
      <c r="L43" s="62">
        <f>IFERROR(AVERAGE('2026'!G52:R52),"")</f>
        <v>34</v>
      </c>
    </row>
    <row r="44" spans="1:12" x14ac:dyDescent="0.3">
      <c r="A44" s="61" t="s">
        <v>200</v>
      </c>
      <c r="B44" s="62"/>
      <c r="C44" s="62"/>
      <c r="D44" s="62"/>
      <c r="E44" s="62"/>
      <c r="F44" s="62">
        <f>IFERROR(AVERAGE('2024'!G73:R73),"")</f>
        <v>1.25</v>
      </c>
      <c r="G44" s="62"/>
      <c r="H44" s="62">
        <f>IFERROR(AVERAGE('2025'!G55:R55),"")</f>
        <v>3</v>
      </c>
      <c r="I44" s="62">
        <f>IFERROR(AVERAGE('2025'!G56:R56),"")</f>
        <v>3</v>
      </c>
      <c r="J44" s="62">
        <f>IFERROR(AVERAGE('2026'!G53:K53),"")</f>
        <v>3</v>
      </c>
      <c r="K44" s="62">
        <f>IFERROR(AVERAGE('2026'!G54:K54),"")</f>
        <v>3</v>
      </c>
      <c r="L44" s="62">
        <f>IFERROR(AVERAGE('2026'!G54:R54),"")</f>
        <v>3</v>
      </c>
    </row>
    <row r="45" spans="1:12" x14ac:dyDescent="0.3">
      <c r="A45" s="61" t="s">
        <v>201</v>
      </c>
      <c r="B45" s="62">
        <f>IFERROR(AVERAGE('2022'!H60:S60),"")</f>
        <v>25.5</v>
      </c>
      <c r="C45" s="62">
        <f>IFERROR(AVERAGE('2022'!H61:S61),"")</f>
        <v>26.5</v>
      </c>
      <c r="D45" s="62">
        <f>IFERROR(AVERAGE('2023'!G65:R65),"")</f>
        <v>24.333333333333332</v>
      </c>
      <c r="E45" s="62">
        <f>IFERROR(AVERAGE('2023'!G66:R66),"")</f>
        <v>26</v>
      </c>
      <c r="F45" s="62">
        <f>IFERROR(AVERAGE('2024'!G74:R74),"")</f>
        <v>27.25</v>
      </c>
      <c r="G45" s="62">
        <f>IFERROR(AVERAGE('2024'!G75:R75),"")</f>
        <v>28</v>
      </c>
      <c r="H45" s="62">
        <f>IFERROR(AVERAGE('2025'!G57:R57),"")</f>
        <v>26.25</v>
      </c>
      <c r="I45" s="62">
        <f>IFERROR(AVERAGE('2025'!G58:R58),"")</f>
        <v>28</v>
      </c>
      <c r="J45" s="62">
        <f>IFERROR(AVERAGE('2026'!G55:K55),"")</f>
        <v>26.4</v>
      </c>
      <c r="K45" s="62">
        <f>IFERROR(AVERAGE('2026'!G56:K56),"")</f>
        <v>27</v>
      </c>
      <c r="L45" s="62">
        <f>IFERROR(AVERAGE('2026'!G56:R56),"")</f>
        <v>27</v>
      </c>
    </row>
    <row r="46" spans="1:12" x14ac:dyDescent="0.3">
      <c r="A46" s="61" t="s">
        <v>202</v>
      </c>
      <c r="B46" s="62"/>
      <c r="C46" s="62"/>
      <c r="D46" s="62"/>
      <c r="E46" s="62"/>
      <c r="F46" s="62">
        <f>IFERROR(AVERAGE('2024'!G76:R76),"")</f>
        <v>0.91666666666666663</v>
      </c>
      <c r="G46" s="62"/>
      <c r="H46" s="62"/>
      <c r="I46" s="62">
        <f>IFERROR(AVERAGE('2025'!G59:R59),"")</f>
        <v>3</v>
      </c>
      <c r="J46" s="62"/>
      <c r="K46" s="62"/>
      <c r="L46" s="62"/>
    </row>
    <row r="47" spans="1:12" x14ac:dyDescent="0.3">
      <c r="A47" s="61" t="s">
        <v>203</v>
      </c>
      <c r="B47" s="62">
        <f>IFERROR(AVERAGE('2022'!H62:S62),"")</f>
        <v>9.75</v>
      </c>
      <c r="C47" s="62">
        <f>IFERROR(AVERAGE('2022'!H63:S63),"")</f>
        <v>10.25</v>
      </c>
      <c r="D47" s="62">
        <f>IFERROR(AVERAGE('2023'!G67:R67),"")</f>
        <v>9.9166666666666661</v>
      </c>
      <c r="E47" s="62">
        <f>IFERROR(AVERAGE('2023'!G68:R68),"")</f>
        <v>10</v>
      </c>
      <c r="F47" s="62">
        <f>IFERROR(AVERAGE('2024'!G77:R77),"")</f>
        <v>9.0833333333333339</v>
      </c>
      <c r="G47" s="62">
        <f>IFERROR(AVERAGE('2024'!G78:R78),"")</f>
        <v>10</v>
      </c>
      <c r="H47" s="62">
        <f>IFERROR(AVERAGE('2025'!G60:R60),"")</f>
        <v>9.6666666666666661</v>
      </c>
      <c r="I47" s="62">
        <f>IFERROR(AVERAGE('2025'!G61:R61),"")</f>
        <v>9.75</v>
      </c>
      <c r="J47" s="62">
        <f>IFERROR(AVERAGE('2026'!G57:K57),"")</f>
        <v>9.1999999999999993</v>
      </c>
      <c r="K47" s="62">
        <f>IFERROR(AVERAGE('2026'!G58:K58),"")</f>
        <v>10</v>
      </c>
      <c r="L47" s="62">
        <f>IFERROR(AVERAGE('2026'!G58:R58),"")</f>
        <v>10</v>
      </c>
    </row>
    <row r="48" spans="1:12" x14ac:dyDescent="0.3">
      <c r="A48" s="61" t="s">
        <v>204</v>
      </c>
      <c r="B48" s="62">
        <f>IFERROR(AVERAGE('2022'!H64:S64),"")</f>
        <v>7.333333333333333</v>
      </c>
      <c r="C48" s="62">
        <f>IFERROR(AVERAGE('2022'!H65:S65),"")</f>
        <v>8</v>
      </c>
      <c r="D48" s="62">
        <f>IFERROR(AVERAGE('2023'!G69:R69),"")</f>
        <v>7.75</v>
      </c>
      <c r="E48" s="62">
        <f>IFERROR(AVERAGE('2023'!G70:R70),"")</f>
        <v>8.25</v>
      </c>
      <c r="F48" s="62">
        <f>IFERROR(AVERAGE('2024'!G79:R79),"")</f>
        <v>8.5</v>
      </c>
      <c r="G48" s="62">
        <f>IFERROR(AVERAGE('2024'!G80:R80),"")</f>
        <v>9</v>
      </c>
      <c r="H48" s="62">
        <f>IFERROR(AVERAGE('2025'!G62:R62),"")</f>
        <v>9.25</v>
      </c>
      <c r="I48" s="62">
        <f>IFERROR(AVERAGE('2025'!G63:R63),"")</f>
        <v>9</v>
      </c>
      <c r="J48" s="62">
        <f>IFERROR(AVERAGE('2026'!G59:K59),"")</f>
        <v>7.4</v>
      </c>
      <c r="K48" s="62">
        <f>IFERROR(AVERAGE('2026'!G60:K60),"")</f>
        <v>10</v>
      </c>
      <c r="L48" s="62">
        <f>IFERROR(AVERAGE('2026'!G60:R60),"")</f>
        <v>10</v>
      </c>
    </row>
    <row r="49" spans="1:12" x14ac:dyDescent="0.3">
      <c r="A49" s="61" t="s">
        <v>205</v>
      </c>
      <c r="B49" s="62"/>
      <c r="C49" s="62"/>
      <c r="D49" s="62">
        <f>IFERROR(AVERAGE('2023'!G63:R63),"")</f>
        <v>0.5</v>
      </c>
      <c r="E49" s="62">
        <f>IFERROR(AVERAGE('2023'!G64:R64),"")</f>
        <v>0</v>
      </c>
      <c r="F49" s="62">
        <f>IFERROR(AVERAGE('2024'!G71:R71),"")</f>
        <v>1.3333333333333333</v>
      </c>
      <c r="G49" s="62">
        <f>IFERROR(AVERAGE('2024'!G72:R72),"")</f>
        <v>2</v>
      </c>
      <c r="H49" s="62"/>
      <c r="I49" s="62"/>
      <c r="J49" s="62"/>
      <c r="K49" s="62"/>
      <c r="L49" s="62"/>
    </row>
    <row r="50" spans="1:12" x14ac:dyDescent="0.3">
      <c r="A50" s="61" t="s">
        <v>255</v>
      </c>
      <c r="B50" s="62">
        <f>IFERROR(AVERAGE('2022'!H66:S66),"")</f>
        <v>2.4166666666666665</v>
      </c>
      <c r="C50" s="62">
        <f>IFERROR(AVERAGE('2022'!H67:S67),"")</f>
        <v>2</v>
      </c>
      <c r="D50" s="62">
        <f>IFERROR(AVERAGE('2023'!G71:R71),"")</f>
        <v>2.3333333333333335</v>
      </c>
      <c r="E50" s="62">
        <f>IFERROR(AVERAGE('2023'!G72:R72),"")</f>
        <v>2</v>
      </c>
      <c r="F50" s="62">
        <f>IFERROR(AVERAGE('2024'!G81:R81),"")</f>
        <v>3.3333333333333335</v>
      </c>
      <c r="G50" s="62">
        <f>IFERROR(AVERAGE('2024'!G82:R82),"")</f>
        <v>3</v>
      </c>
      <c r="H50" s="62">
        <f>IFERROR(AVERAGE('2025'!G64:R64),"")</f>
        <v>2</v>
      </c>
      <c r="I50" s="62">
        <f>IFERROR(AVERAGE('2025'!G65:R65),"")</f>
        <v>2</v>
      </c>
      <c r="J50" s="62">
        <f>IFERROR(AVERAGE('2026'!G61:K61),"")</f>
        <v>1.6</v>
      </c>
      <c r="K50" s="62">
        <f>IFERROR(AVERAGE('2026'!G62:K62),"")</f>
        <v>2</v>
      </c>
      <c r="L50" s="62">
        <f>IFERROR(AVERAGE('2026'!G62:R62),"")</f>
        <v>2</v>
      </c>
    </row>
    <row r="51" spans="1:12" x14ac:dyDescent="0.3">
      <c r="A51" s="59" t="s">
        <v>58</v>
      </c>
      <c r="B51" s="60">
        <f t="shared" ref="B51:I51" si="6">IF(COUNT(B52:B54)=0,"",SUM(B52:B54))</f>
        <v>17</v>
      </c>
      <c r="C51" s="60">
        <f t="shared" si="6"/>
        <v>19</v>
      </c>
      <c r="D51" s="60">
        <f t="shared" si="6"/>
        <v>18.666666666666668</v>
      </c>
      <c r="E51" s="60">
        <f t="shared" si="6"/>
        <v>20</v>
      </c>
      <c r="F51" s="60">
        <f t="shared" si="6"/>
        <v>19</v>
      </c>
      <c r="G51" s="60">
        <f t="shared" si="6"/>
        <v>20</v>
      </c>
      <c r="H51" s="60">
        <f t="shared" si="6"/>
        <v>18.583333333333332</v>
      </c>
      <c r="I51" s="60">
        <f t="shared" si="6"/>
        <v>20</v>
      </c>
      <c r="J51" s="60">
        <f>IF(COUNT(J52:J54)=0,"",SUM(J52:J54))</f>
        <v>18.600000000000001</v>
      </c>
      <c r="K51" s="60">
        <f>IF(COUNT(K52:K54)=0,"",SUM(K52:K54))</f>
        <v>20</v>
      </c>
      <c r="L51" s="60">
        <f>IF(COUNT(L52:L54)=0,"",SUM(L52:L54))</f>
        <v>20</v>
      </c>
    </row>
    <row r="52" spans="1:12" x14ac:dyDescent="0.3">
      <c r="A52" s="61" t="s">
        <v>206</v>
      </c>
      <c r="B52" s="62">
        <f>IFERROR(AVERAGE('2022'!H68:S68),"")</f>
        <v>7</v>
      </c>
      <c r="C52" s="62">
        <f>IFERROR(AVERAGE('2022'!H69:S69),"")</f>
        <v>8</v>
      </c>
      <c r="D52" s="62">
        <f>IFERROR(AVERAGE('2023'!G73:R73),"")</f>
        <v>7.833333333333333</v>
      </c>
      <c r="E52" s="62">
        <f>IFERROR(AVERAGE('2023'!G74:R74),"")</f>
        <v>9</v>
      </c>
      <c r="F52" s="62">
        <f>IFERROR(AVERAGE('2024'!G83:R83),"")</f>
        <v>8</v>
      </c>
      <c r="G52" s="62">
        <f>IFERROR(AVERAGE('2024'!G84:R84),"")</f>
        <v>9</v>
      </c>
      <c r="H52" s="62">
        <f>IFERROR(AVERAGE('2025'!G66:R66),"")</f>
        <v>7.5</v>
      </c>
      <c r="I52" s="62">
        <f>IFERROR(AVERAGE('2025'!G67:R67),"")</f>
        <v>9</v>
      </c>
      <c r="J52" s="62">
        <f>IFERROR(AVERAGE('2026'!G63:K63),"")</f>
        <v>5.8</v>
      </c>
      <c r="K52" s="62">
        <f>IFERROR(AVERAGE('2026'!G64:K64),"")</f>
        <v>9</v>
      </c>
      <c r="L52" s="62">
        <f>IFERROR(AVERAGE('2026'!G64:R64),"")</f>
        <v>9</v>
      </c>
    </row>
    <row r="53" spans="1:12" x14ac:dyDescent="0.3">
      <c r="A53" s="61" t="s">
        <v>207</v>
      </c>
      <c r="B53" s="62">
        <f>IFERROR(AVERAGE('2022'!H70:S70),"")</f>
        <v>8</v>
      </c>
      <c r="C53" s="62">
        <f>IFERROR(AVERAGE('2022'!H71:S71),"")</f>
        <v>9</v>
      </c>
      <c r="D53" s="62">
        <f>IFERROR(AVERAGE('2023'!G75:R75),"")</f>
        <v>8.8333333333333339</v>
      </c>
      <c r="E53" s="62">
        <f>IFERROR(AVERAGE('2023'!G76:R76),"")</f>
        <v>9</v>
      </c>
      <c r="F53" s="62">
        <f>IFERROR(AVERAGE('2024'!G85:R85),"")</f>
        <v>9</v>
      </c>
      <c r="G53" s="62">
        <f>IFERROR(AVERAGE('2024'!G86:R86),"")</f>
        <v>9</v>
      </c>
      <c r="H53" s="62">
        <f>IFERROR(AVERAGE('2025'!G68:R68),"")</f>
        <v>9</v>
      </c>
      <c r="I53" s="62">
        <f>IFERROR(AVERAGE('2025'!G69:R69),"")</f>
        <v>9</v>
      </c>
      <c r="J53" s="62">
        <f>IFERROR(AVERAGE('2026'!G65:K65),"")</f>
        <v>9</v>
      </c>
      <c r="K53" s="62">
        <f>IFERROR(AVERAGE('2026'!G66:K66),"")</f>
        <v>9</v>
      </c>
      <c r="L53" s="62">
        <f>IFERROR(AVERAGE('2026'!G66:R66),"")</f>
        <v>9</v>
      </c>
    </row>
    <row r="54" spans="1:12" x14ac:dyDescent="0.3">
      <c r="A54" s="61" t="s">
        <v>259</v>
      </c>
      <c r="B54" s="62">
        <f>IFERROR(AVERAGE('2022'!H72:S72),"")</f>
        <v>2</v>
      </c>
      <c r="C54" s="62">
        <f>IFERROR(AVERAGE('2022'!H73:S73),"")</f>
        <v>2</v>
      </c>
      <c r="D54" s="62">
        <f>IFERROR(AVERAGE('2023'!G77:R77),"")</f>
        <v>2</v>
      </c>
      <c r="E54" s="62">
        <f>IFERROR(AVERAGE('2023'!G78:R78),"")</f>
        <v>2</v>
      </c>
      <c r="F54" s="62">
        <f>IFERROR(AVERAGE('2024'!G87:R87),"")</f>
        <v>2</v>
      </c>
      <c r="G54" s="62">
        <f>IFERROR(AVERAGE('2024'!G88:R88),"")</f>
        <v>2</v>
      </c>
      <c r="H54" s="62">
        <f>IFERROR(AVERAGE('2025'!G70:R70),"")</f>
        <v>2.0833333333333335</v>
      </c>
      <c r="I54" s="62">
        <f>IFERROR(AVERAGE('2025'!G71:R71),"")</f>
        <v>2</v>
      </c>
      <c r="J54" s="62">
        <f>IFERROR(AVERAGE('2026'!G67:K67),"")</f>
        <v>3.8</v>
      </c>
      <c r="K54" s="62">
        <f>IFERROR(AVERAGE('2026'!G68:K68),"")</f>
        <v>2</v>
      </c>
      <c r="L54" s="62">
        <f>IFERROR(AVERAGE('2026'!G68:R68),"")</f>
        <v>2</v>
      </c>
    </row>
    <row r="55" spans="1:12" x14ac:dyDescent="0.3">
      <c r="A55" s="59" t="s">
        <v>61</v>
      </c>
      <c r="B55" s="60">
        <f t="shared" ref="B55:I55" si="7">IF(COUNT(B56:B59)=0,"",SUM(B56:B59))</f>
        <v>16.75</v>
      </c>
      <c r="C55" s="60">
        <f t="shared" si="7"/>
        <v>17.25</v>
      </c>
      <c r="D55" s="60">
        <f t="shared" si="7"/>
        <v>8.25</v>
      </c>
      <c r="E55" s="60">
        <f t="shared" si="7"/>
        <v>15.5</v>
      </c>
      <c r="F55" s="60">
        <f t="shared" si="7"/>
        <v>1.25</v>
      </c>
      <c r="G55" s="60">
        <f t="shared" si="7"/>
        <v>0</v>
      </c>
      <c r="H55" s="60">
        <f t="shared" si="7"/>
        <v>3</v>
      </c>
      <c r="I55" s="60" t="str">
        <f t="shared" si="7"/>
        <v/>
      </c>
      <c r="J55" s="60">
        <f>IF(COUNT(J56:J59)=0,"",SUM(J56:J59))</f>
        <v>3</v>
      </c>
      <c r="K55" s="60">
        <f>IF(COUNT(K56:K59)=0,"",SUM(K56:K59))</f>
        <v>3</v>
      </c>
      <c r="L55" s="60">
        <f>IF(COUNT(L56:L59)=0,"",SUM(L56:L59))</f>
        <v>3</v>
      </c>
    </row>
    <row r="56" spans="1:12" x14ac:dyDescent="0.3">
      <c r="A56" s="61" t="s">
        <v>208</v>
      </c>
      <c r="B56" s="62">
        <f>IFERROR(AVERAGE('2022'!H74:S74),"")</f>
        <v>5.75</v>
      </c>
      <c r="C56" s="62">
        <f>IFERROR(AVERAGE('2022'!H75:S75),"")</f>
        <v>6</v>
      </c>
      <c r="D56" s="62">
        <f>IFERROR(AVERAGE('2023'!G79:R79),"")</f>
        <v>2.6666666666666665</v>
      </c>
      <c r="E56" s="62">
        <f>IFERROR(AVERAGE('2023'!G80:R80),"")</f>
        <v>5.25</v>
      </c>
      <c r="F56" s="62"/>
      <c r="G56" s="62"/>
      <c r="H56" s="62"/>
      <c r="I56" s="62"/>
      <c r="J56" s="62"/>
      <c r="K56" s="62"/>
      <c r="L56" s="62"/>
    </row>
    <row r="57" spans="1:12" x14ac:dyDescent="0.3">
      <c r="A57" s="61" t="s">
        <v>209</v>
      </c>
      <c r="B57" s="62">
        <f>IFERROR(AVERAGE('2022'!H76:S76),"")</f>
        <v>3.4166666666666665</v>
      </c>
      <c r="C57" s="62">
        <f>IFERROR(AVERAGE('2022'!H77:S77),"")</f>
        <v>3.25</v>
      </c>
      <c r="D57" s="62">
        <f>IFERROR(AVERAGE('2023'!G81:R81),"")</f>
        <v>2.0833333333333335</v>
      </c>
      <c r="E57" s="62">
        <f>IFERROR(AVERAGE('2023'!G82:R82),"")</f>
        <v>3</v>
      </c>
      <c r="F57" s="62"/>
      <c r="G57" s="62"/>
      <c r="H57" s="62"/>
      <c r="I57" s="62"/>
      <c r="J57" s="62"/>
      <c r="K57" s="62"/>
      <c r="L57" s="62"/>
    </row>
    <row r="58" spans="1:12" x14ac:dyDescent="0.3">
      <c r="A58" s="61" t="s">
        <v>210</v>
      </c>
      <c r="B58" s="62">
        <f>IFERROR(AVERAGE('2022'!H78:S78),"")</f>
        <v>4.5</v>
      </c>
      <c r="C58" s="62">
        <f>IFERROR(AVERAGE('2022'!H79:S79),"")</f>
        <v>6</v>
      </c>
      <c r="D58" s="62">
        <f>IFERROR(AVERAGE('2023'!G83:R83),"")</f>
        <v>2.0833333333333335</v>
      </c>
      <c r="E58" s="62">
        <f>IFERROR(AVERAGE('2023'!G84:R84),"")</f>
        <v>4.25</v>
      </c>
      <c r="F58" s="62"/>
      <c r="G58" s="62"/>
      <c r="H58" s="62"/>
      <c r="I58" s="62"/>
      <c r="J58" s="62"/>
      <c r="K58" s="62"/>
      <c r="L58" s="62"/>
    </row>
    <row r="59" spans="1:12" x14ac:dyDescent="0.3">
      <c r="A59" s="61" t="s">
        <v>260</v>
      </c>
      <c r="B59" s="62">
        <f>IFERROR(AVERAGE('2022'!H80:S80),"")</f>
        <v>3.0833333333333335</v>
      </c>
      <c r="C59" s="62">
        <f>IFERROR(AVERAGE('2022'!H81:S81),"")</f>
        <v>2</v>
      </c>
      <c r="D59" s="62">
        <f>IFERROR(AVERAGE('2023'!G85:R85),"")</f>
        <v>1.4166666666666667</v>
      </c>
      <c r="E59" s="62">
        <f>IFERROR(AVERAGE('2023'!G86:R86),"")</f>
        <v>3</v>
      </c>
      <c r="F59" s="62">
        <f>IFERROR(AVERAGE('2024'!G89:R89),"")</f>
        <v>1.25</v>
      </c>
      <c r="G59" s="62">
        <f>IFERROR(AVERAGE('2024'!G90:R90),"")</f>
        <v>0</v>
      </c>
      <c r="H59" s="62">
        <f>IFERROR(AVERAGE('2025'!G72:R72),"")</f>
        <v>3</v>
      </c>
      <c r="I59" s="62"/>
      <c r="J59" s="62">
        <f>IFERROR(AVERAGE('2026'!G69:K69),"")</f>
        <v>3</v>
      </c>
      <c r="K59" s="62">
        <f>IFERROR(AVERAGE('2026'!G70:K70),"")</f>
        <v>3</v>
      </c>
      <c r="L59" s="62">
        <f>IFERROR(AVERAGE('2026'!G70:R70),"")</f>
        <v>3</v>
      </c>
    </row>
    <row r="60" spans="1:12" x14ac:dyDescent="0.3">
      <c r="A60" s="59" t="s">
        <v>154</v>
      </c>
      <c r="B60" s="60" t="str">
        <f t="shared" ref="B60:I60" si="8">IF(COUNT(B61:B64)=0,"",SUM(B61:B64))</f>
        <v/>
      </c>
      <c r="C60" s="60" t="str">
        <f t="shared" si="8"/>
        <v/>
      </c>
      <c r="D60" s="60">
        <f t="shared" si="8"/>
        <v>15.166666666666668</v>
      </c>
      <c r="E60" s="60">
        <f t="shared" si="8"/>
        <v>17.083333333333332</v>
      </c>
      <c r="F60" s="60">
        <f t="shared" si="8"/>
        <v>37.583333333333336</v>
      </c>
      <c r="G60" s="60">
        <f t="shared" si="8"/>
        <v>39</v>
      </c>
      <c r="H60" s="60">
        <f t="shared" si="8"/>
        <v>34.166666666666671</v>
      </c>
      <c r="I60" s="60">
        <f t="shared" si="8"/>
        <v>39</v>
      </c>
      <c r="J60" s="60">
        <f>IF(COUNT(J61:J64)=0,"",SUM(J61:J64))</f>
        <v>33.200000000000003</v>
      </c>
      <c r="K60" s="60">
        <f>IF(COUNT(K61:K64)=0,"",SUM(K61:K64))</f>
        <v>36</v>
      </c>
      <c r="L60" s="60">
        <f>IF(COUNT(L61:L64)=0,"",SUM(L61:L64))</f>
        <v>36</v>
      </c>
    </row>
    <row r="61" spans="1:12" x14ac:dyDescent="0.3">
      <c r="A61" s="61" t="s">
        <v>211</v>
      </c>
      <c r="B61" s="62"/>
      <c r="C61" s="62"/>
      <c r="D61" s="62">
        <f>IFERROR(AVERAGE('2023'!G87:R87),"")</f>
        <v>6.166666666666667</v>
      </c>
      <c r="E61" s="62">
        <f>IFERROR(AVERAGE('2023'!G88:R88),"")</f>
        <v>6.25</v>
      </c>
      <c r="F61" s="62">
        <f>IFERROR(AVERAGE('2024'!G91:R91),"")</f>
        <v>16.833333333333332</v>
      </c>
      <c r="G61" s="62">
        <f>IFERROR(AVERAGE('2024'!G92:R92),"")</f>
        <v>16</v>
      </c>
      <c r="H61" s="62">
        <f>IFERROR(AVERAGE('2025'!G73:R73),"")</f>
        <v>15.083333333333334</v>
      </c>
      <c r="I61" s="62">
        <f>IFERROR(AVERAGE('2025'!G74:R74),"")</f>
        <v>17</v>
      </c>
      <c r="J61" s="62">
        <f>IFERROR(AVERAGE('2026'!G71:K71),"")</f>
        <v>14</v>
      </c>
      <c r="K61" s="62">
        <f>IFERROR(AVERAGE('2026'!G72:K72),"")</f>
        <v>16</v>
      </c>
      <c r="L61" s="62">
        <f>IFERROR(AVERAGE('2026'!G72:R72),"")</f>
        <v>16</v>
      </c>
    </row>
    <row r="62" spans="1:12" x14ac:dyDescent="0.3">
      <c r="A62" s="61" t="s">
        <v>212</v>
      </c>
      <c r="B62" s="62"/>
      <c r="C62" s="62"/>
      <c r="D62" s="62">
        <f>IFERROR(AVERAGE('2023'!G89:R89),"")</f>
        <v>6.166666666666667</v>
      </c>
      <c r="E62" s="62">
        <f>IFERROR(AVERAGE('2023'!G90:R90),"")</f>
        <v>7.083333333333333</v>
      </c>
      <c r="F62" s="62">
        <f>IFERROR(AVERAGE('2024'!G93:R93),"")</f>
        <v>13.25</v>
      </c>
      <c r="G62" s="62">
        <f>IFERROR(AVERAGE('2024'!G94:R94),"")</f>
        <v>15</v>
      </c>
      <c r="H62" s="62">
        <f>IFERROR(AVERAGE('2025'!G75:R75),"")</f>
        <v>12.25</v>
      </c>
      <c r="I62" s="62">
        <f>IFERROR(AVERAGE('2025'!G76:R76),"")</f>
        <v>15</v>
      </c>
      <c r="J62" s="62">
        <f>IFERROR(AVERAGE('2026'!G73:K73),"")</f>
        <v>12.6</v>
      </c>
      <c r="K62" s="62">
        <f>IFERROR(AVERAGE('2026'!G74:K74),"")</f>
        <v>13</v>
      </c>
      <c r="L62" s="62">
        <f>IFERROR(AVERAGE('2026'!G74:R74),"")</f>
        <v>13</v>
      </c>
    </row>
    <row r="63" spans="1:12" x14ac:dyDescent="0.3">
      <c r="A63" s="61" t="s">
        <v>213</v>
      </c>
      <c r="B63" s="62"/>
      <c r="C63" s="62"/>
      <c r="D63" s="62">
        <f>IFERROR(AVERAGE('2023'!G91:R91),"")</f>
        <v>0.83333333333333337</v>
      </c>
      <c r="E63" s="62">
        <f>IFERROR(AVERAGE('2023'!G92:R92),"")</f>
        <v>0.83333333333333337</v>
      </c>
      <c r="F63" s="62">
        <f>IFERROR(AVERAGE('2024'!G95:R95),"")</f>
        <v>1.9166666666666667</v>
      </c>
      <c r="G63" s="62">
        <f>IFERROR(AVERAGE('2024'!G96:R96),"")</f>
        <v>2</v>
      </c>
      <c r="H63" s="62">
        <f>IFERROR(AVERAGE('2025'!G77:R77),"")</f>
        <v>1.8333333333333333</v>
      </c>
      <c r="I63" s="62">
        <f>IFERROR(AVERAGE('2025'!G78:R78),"")</f>
        <v>2</v>
      </c>
      <c r="J63" s="62">
        <f>IFERROR(AVERAGE('2026'!G75:K75),"")</f>
        <v>1.8</v>
      </c>
      <c r="K63" s="62">
        <f>IFERROR(AVERAGE('2026'!G76:K76),"")</f>
        <v>2</v>
      </c>
      <c r="L63" s="62">
        <f>IFERROR(AVERAGE('2026'!G76:R76),"")</f>
        <v>2</v>
      </c>
    </row>
    <row r="64" spans="1:12" x14ac:dyDescent="0.3">
      <c r="A64" s="61" t="s">
        <v>261</v>
      </c>
      <c r="B64" s="62"/>
      <c r="C64" s="62"/>
      <c r="D64" s="62">
        <f>IFERROR(AVERAGE('2023'!G93:R93),"")</f>
        <v>2</v>
      </c>
      <c r="E64" s="62">
        <f>IFERROR(AVERAGE('2023'!G94:R94),"")</f>
        <v>2.9166666666666665</v>
      </c>
      <c r="F64" s="62">
        <f>IFERROR(AVERAGE('2024'!G97:R97),"")</f>
        <v>5.583333333333333</v>
      </c>
      <c r="G64" s="62">
        <f>IFERROR(AVERAGE('2024'!G98:R98),"")</f>
        <v>6</v>
      </c>
      <c r="H64" s="62">
        <f>IFERROR(AVERAGE('2025'!G79:R79),"")</f>
        <v>5</v>
      </c>
      <c r="I64" s="62">
        <f>IFERROR(AVERAGE('2025'!G80:R80),"")</f>
        <v>5</v>
      </c>
      <c r="J64" s="62">
        <f>IFERROR(AVERAGE('2026'!G77:K77),"")</f>
        <v>4.8</v>
      </c>
      <c r="K64" s="62">
        <f>IFERROR(AVERAGE('2026'!G78:K78),"")</f>
        <v>5</v>
      </c>
      <c r="L64" s="62">
        <f>IFERROR(AVERAGE('2026'!G78:R78),"")</f>
        <v>5</v>
      </c>
    </row>
    <row r="65" spans="1:12" x14ac:dyDescent="0.3">
      <c r="A65" s="59" t="s">
        <v>155</v>
      </c>
      <c r="B65" s="60" t="str">
        <f t="shared" ref="B65:I65" si="9">IF(COUNT(B66:B75)=0,"",SUM(B66:B75))</f>
        <v/>
      </c>
      <c r="C65" s="60" t="str">
        <f t="shared" si="9"/>
        <v/>
      </c>
      <c r="D65" s="60">
        <f t="shared" si="9"/>
        <v>11.416666666666666</v>
      </c>
      <c r="E65" s="60">
        <f t="shared" si="9"/>
        <v>0</v>
      </c>
      <c r="F65" s="60">
        <f t="shared" si="9"/>
        <v>27.416666666666668</v>
      </c>
      <c r="G65" s="60">
        <f t="shared" si="9"/>
        <v>29.833333333333332</v>
      </c>
      <c r="H65" s="60">
        <f t="shared" si="9"/>
        <v>27.583333333333336</v>
      </c>
      <c r="I65" s="60">
        <f t="shared" si="9"/>
        <v>32.75</v>
      </c>
      <c r="J65" s="60">
        <f>IF(COUNT(J66:J75)=0,"",SUM(J66:J75))</f>
        <v>28.6</v>
      </c>
      <c r="K65" s="60">
        <f>IF(COUNT(K66:K75)=0,"",SUM(K66:K75))</f>
        <v>30</v>
      </c>
      <c r="L65" s="60">
        <f>IF(COUNT(L66:L75)=0,"",SUM(L66:L75))</f>
        <v>30</v>
      </c>
    </row>
    <row r="66" spans="1:12" x14ac:dyDescent="0.3">
      <c r="A66" s="61" t="s">
        <v>214</v>
      </c>
      <c r="B66" s="62"/>
      <c r="C66" s="62"/>
      <c r="D66" s="62"/>
      <c r="E66" s="62"/>
      <c r="F66" s="62">
        <f>IFERROR(AVERAGE('2024'!G99:R99),"")</f>
        <v>4.666666666666667</v>
      </c>
      <c r="G66" s="62">
        <f>IFERROR(AVERAGE('2024'!G100:R100),"")</f>
        <v>6.833333333333333</v>
      </c>
      <c r="H66" s="62">
        <f>IFERROR(AVERAGE('2025'!G81:R81),"")</f>
        <v>5</v>
      </c>
      <c r="I66" s="62">
        <f>IFERROR(AVERAGE('2025'!G82:R82),"")</f>
        <v>5</v>
      </c>
      <c r="J66" s="62">
        <f>IFERROR(AVERAGE('2026'!G79:K79),"")</f>
        <v>4.8</v>
      </c>
      <c r="K66" s="62">
        <f>IFERROR(AVERAGE('2026'!G80:K80),"")</f>
        <v>4</v>
      </c>
      <c r="L66" s="62">
        <f>IFERROR(AVERAGE('2026'!G80:R80),"")</f>
        <v>4</v>
      </c>
    </row>
    <row r="67" spans="1:12" x14ac:dyDescent="0.3">
      <c r="A67" s="61" t="s">
        <v>215</v>
      </c>
      <c r="B67" s="62"/>
      <c r="C67" s="62"/>
      <c r="D67" s="62"/>
      <c r="E67" s="62"/>
      <c r="F67" s="62">
        <f>IFERROR(AVERAGE('2024'!G101:R101),"")</f>
        <v>2.25</v>
      </c>
      <c r="G67" s="62">
        <f>IFERROR(AVERAGE('2024'!G102:R102),"")</f>
        <v>0</v>
      </c>
      <c r="H67" s="62">
        <f>IFERROR(AVERAGE('2025'!G83:R83),"")</f>
        <v>2.75</v>
      </c>
      <c r="I67" s="62">
        <f>IFERROR(AVERAGE('2025'!G84:R84),"")</f>
        <v>3</v>
      </c>
      <c r="J67" s="62">
        <f>IFERROR(AVERAGE('2026'!G81:K81),"")</f>
        <v>2.8</v>
      </c>
      <c r="K67" s="62">
        <f>IFERROR(AVERAGE('2026'!G82:K82),"")</f>
        <v>3</v>
      </c>
      <c r="L67" s="62">
        <f>IFERROR(AVERAGE('2026'!G82:R82),"")</f>
        <v>3</v>
      </c>
    </row>
    <row r="68" spans="1:12" x14ac:dyDescent="0.3">
      <c r="A68" s="61" t="s">
        <v>216</v>
      </c>
      <c r="B68" s="62"/>
      <c r="C68" s="62"/>
      <c r="D68" s="62"/>
      <c r="E68" s="62"/>
      <c r="F68" s="62">
        <f>IFERROR(AVERAGE('2024'!G103:R103),"")</f>
        <v>4</v>
      </c>
      <c r="G68" s="62">
        <f>IFERROR(AVERAGE('2024'!G104:R104),"")</f>
        <v>0</v>
      </c>
      <c r="H68" s="62">
        <f>IFERROR(AVERAGE('2025'!G85:R85),"")</f>
        <v>0.75</v>
      </c>
      <c r="I68" s="62">
        <f>IFERROR(AVERAGE('2025'!G86:R86),"")</f>
        <v>6</v>
      </c>
      <c r="J68" s="62"/>
      <c r="K68" s="62"/>
      <c r="L68" s="62"/>
    </row>
    <row r="69" spans="1:12" x14ac:dyDescent="0.3">
      <c r="A69" s="61" t="s">
        <v>217</v>
      </c>
      <c r="B69" s="62"/>
      <c r="C69" s="62"/>
      <c r="D69" s="62"/>
      <c r="E69" s="62"/>
      <c r="F69" s="62"/>
      <c r="G69" s="62"/>
      <c r="H69" s="62">
        <f>IFERROR(AVERAGE('2025'!G87:R87),"")</f>
        <v>6.5</v>
      </c>
      <c r="I69" s="62"/>
      <c r="J69" s="62">
        <f>IFERROR(AVERAGE('2026'!G83:K83),"")</f>
        <v>8.4</v>
      </c>
      <c r="K69" s="62">
        <f>IFERROR(AVERAGE('2026'!G84:K84),"")</f>
        <v>10</v>
      </c>
      <c r="L69" s="62">
        <f>IFERROR(AVERAGE('2026'!G84:R84),"")</f>
        <v>10</v>
      </c>
    </row>
    <row r="70" spans="1:12" x14ac:dyDescent="0.3">
      <c r="A70" s="61" t="s">
        <v>218</v>
      </c>
      <c r="B70" s="62"/>
      <c r="C70" s="62"/>
      <c r="D70" s="62">
        <f>IFERROR(AVERAGE('2023'!G97:R97),"")</f>
        <v>2</v>
      </c>
      <c r="E70" s="62">
        <f>IFERROR(AVERAGE('2023'!G98:R98),"")</f>
        <v>0</v>
      </c>
      <c r="F70" s="62">
        <f>IFERROR(AVERAGE('2024'!G105:R105),"")</f>
        <v>4.583333333333333</v>
      </c>
      <c r="G70" s="62">
        <f>IFERROR(AVERAGE('2024'!G106:R106),"")</f>
        <v>5</v>
      </c>
      <c r="H70" s="62">
        <f>IFERROR(AVERAGE('2025'!G88:R88),"")</f>
        <v>0.58333333333333337</v>
      </c>
      <c r="I70" s="62">
        <f>IFERROR(AVERAGE('2025'!G89:R89),"")</f>
        <v>5</v>
      </c>
      <c r="J70" s="62"/>
      <c r="K70" s="62"/>
      <c r="L70" s="62"/>
    </row>
    <row r="71" spans="1:12" x14ac:dyDescent="0.3">
      <c r="A71" s="61" t="s">
        <v>219</v>
      </c>
      <c r="B71" s="62"/>
      <c r="C71" s="62"/>
      <c r="D71" s="62">
        <f>IFERROR(AVERAGE('2023'!G99:R99),"")</f>
        <v>0</v>
      </c>
      <c r="E71" s="62">
        <f>IFERROR(AVERAGE('2023'!G100:R100),"")</f>
        <v>0</v>
      </c>
      <c r="F71" s="62">
        <f>IFERROR(AVERAGE('2024'!G107:R107),"")</f>
        <v>1.9166666666666667</v>
      </c>
      <c r="G71" s="62">
        <f>IFERROR(AVERAGE('2024'!G108:R108),"")</f>
        <v>0</v>
      </c>
      <c r="H71" s="62">
        <f>IFERROR(AVERAGE('2025'!G90:R90),"")</f>
        <v>2.25</v>
      </c>
      <c r="I71" s="62">
        <f>IFERROR(AVERAGE('2025'!G91:R91),"")</f>
        <v>3</v>
      </c>
      <c r="J71" s="62">
        <f>IFERROR(AVERAGE('2026'!G85:K85),"")</f>
        <v>2.6</v>
      </c>
      <c r="K71" s="62">
        <f>IFERROR(AVERAGE('2026'!G86:K86),"")</f>
        <v>5</v>
      </c>
      <c r="L71" s="62">
        <f>IFERROR(AVERAGE('2026'!G86:R86),"")</f>
        <v>5</v>
      </c>
    </row>
    <row r="72" spans="1:12" x14ac:dyDescent="0.3">
      <c r="A72" s="61" t="s">
        <v>220</v>
      </c>
      <c r="B72" s="62"/>
      <c r="C72" s="62"/>
      <c r="D72" s="62">
        <f>IFERROR(AVERAGE('2023'!G101:R101),"")</f>
        <v>1.0833333333333333</v>
      </c>
      <c r="E72" s="62">
        <f>IFERROR(AVERAGE('2023'!G102:R102),"")</f>
        <v>0</v>
      </c>
      <c r="F72" s="62">
        <f>IFERROR(AVERAGE('2024'!G109:R109),"")</f>
        <v>3</v>
      </c>
      <c r="G72" s="62">
        <f>IFERROR(AVERAGE('2024'!G110:R110),"")</f>
        <v>3</v>
      </c>
      <c r="H72" s="62">
        <f>IFERROR(AVERAGE('2025'!G92:R92),"")</f>
        <v>3</v>
      </c>
      <c r="I72" s="62">
        <f>IFERROR(AVERAGE('2025'!G93:R93),"")</f>
        <v>3</v>
      </c>
      <c r="J72" s="62">
        <f>IFERROR(AVERAGE('2026'!G87:K87),"")</f>
        <v>3</v>
      </c>
      <c r="K72" s="62">
        <f>IFERROR(AVERAGE('2026'!G88:K88),"")</f>
        <v>3</v>
      </c>
      <c r="L72" s="62">
        <f>IFERROR(AVERAGE('2026'!G88:R88),"")</f>
        <v>3</v>
      </c>
    </row>
    <row r="73" spans="1:12" x14ac:dyDescent="0.3">
      <c r="A73" s="61" t="s">
        <v>221</v>
      </c>
      <c r="B73" s="62"/>
      <c r="C73" s="62"/>
      <c r="D73" s="62">
        <f>IFERROR(AVERAGE('2023'!G103:R103),"")</f>
        <v>1.5</v>
      </c>
      <c r="E73" s="62">
        <f>IFERROR(AVERAGE('2023'!G104:R104),"")</f>
        <v>0</v>
      </c>
      <c r="F73" s="62">
        <f>IFERROR(AVERAGE('2024'!G111:R111),"")</f>
        <v>2.5833333333333335</v>
      </c>
      <c r="G73" s="62">
        <f>IFERROR(AVERAGE('2024'!G112:R112),"")</f>
        <v>3</v>
      </c>
      <c r="H73" s="62">
        <f>IFERROR(AVERAGE('2025'!G94:R94),"")</f>
        <v>4</v>
      </c>
      <c r="I73" s="62">
        <f>IFERROR(AVERAGE('2025'!G95:R95),"")</f>
        <v>3.75</v>
      </c>
      <c r="J73" s="62">
        <f>IFERROR(AVERAGE('2026'!G89:K89),"")</f>
        <v>4</v>
      </c>
      <c r="K73" s="62">
        <f>IFERROR(AVERAGE('2026'!G90:K90),"")</f>
        <v>4</v>
      </c>
      <c r="L73" s="62">
        <f>IFERROR(AVERAGE('2026'!G90:R90),"")</f>
        <v>4</v>
      </c>
    </row>
    <row r="74" spans="1:12" x14ac:dyDescent="0.3">
      <c r="A74" s="61" t="s">
        <v>208</v>
      </c>
      <c r="B74" s="62"/>
      <c r="C74" s="62"/>
      <c r="D74" s="62">
        <f>IFERROR(AVERAGE('2023'!G95:R95),"")</f>
        <v>2.0833333333333335</v>
      </c>
      <c r="E74" s="62">
        <f>IFERROR(AVERAGE('2023'!G96:R96),"")</f>
        <v>0</v>
      </c>
      <c r="F74" s="62"/>
      <c r="G74" s="62"/>
      <c r="H74" s="62"/>
      <c r="I74" s="62"/>
      <c r="J74" s="62"/>
      <c r="K74" s="62"/>
      <c r="L74" s="62"/>
    </row>
    <row r="75" spans="1:12" x14ac:dyDescent="0.3">
      <c r="A75" s="61" t="s">
        <v>262</v>
      </c>
      <c r="B75" s="62"/>
      <c r="C75" s="62"/>
      <c r="D75" s="62">
        <f>IFERROR(AVERAGE('2023'!G105:R105),"")</f>
        <v>4.75</v>
      </c>
      <c r="E75" s="62">
        <f>IFERROR(AVERAGE('2023'!G106:R106),"")</f>
        <v>0</v>
      </c>
      <c r="F75" s="62">
        <f>IFERROR(AVERAGE('2024'!G113:R113),"")</f>
        <v>4.416666666666667</v>
      </c>
      <c r="G75" s="62">
        <f>IFERROR(AVERAGE('2024'!G114:R114),"")</f>
        <v>12</v>
      </c>
      <c r="H75" s="62">
        <f>IFERROR(AVERAGE('2025'!G96:R96),"")</f>
        <v>2.75</v>
      </c>
      <c r="I75" s="62">
        <f>IFERROR(AVERAGE('2025'!G97:R97),"")</f>
        <v>4</v>
      </c>
      <c r="J75" s="62">
        <f>IFERROR(AVERAGE('2026'!G91:K91),"")</f>
        <v>3</v>
      </c>
      <c r="K75" s="62">
        <f>IFERROR(AVERAGE('2026'!G92:K92),"")</f>
        <v>1</v>
      </c>
      <c r="L75" s="62">
        <f>IFERROR(AVERAGE('2026'!G92:R92),"")</f>
        <v>1</v>
      </c>
    </row>
    <row r="76" spans="1:12" x14ac:dyDescent="0.3">
      <c r="A76" s="59" t="s">
        <v>75</v>
      </c>
      <c r="B76" s="60" t="str">
        <f t="shared" ref="B76:I76" si="10">IF(COUNT(B77:B79)=0,"",SUM(B77:B79))</f>
        <v/>
      </c>
      <c r="C76" s="60" t="str">
        <f t="shared" si="10"/>
        <v/>
      </c>
      <c r="D76" s="60" t="str">
        <f t="shared" si="10"/>
        <v/>
      </c>
      <c r="E76" s="60" t="str">
        <f t="shared" si="10"/>
        <v/>
      </c>
      <c r="F76" s="60">
        <f t="shared" si="10"/>
        <v>6.25</v>
      </c>
      <c r="G76" s="60">
        <f t="shared" si="10"/>
        <v>0</v>
      </c>
      <c r="H76" s="60">
        <f t="shared" si="10"/>
        <v>15.75</v>
      </c>
      <c r="I76" s="60">
        <f t="shared" si="10"/>
        <v>17</v>
      </c>
      <c r="J76" s="60">
        <f>IF(COUNT(J77:J79)=0,"",SUM(J77:J79))</f>
        <v>17.8</v>
      </c>
      <c r="K76" s="60">
        <f>IF(COUNT(K77:K79)=0,"",SUM(K77:K79))</f>
        <v>15</v>
      </c>
      <c r="L76" s="60">
        <f>IF(COUNT(L77:L79)=0,"",SUM(L77:L79))</f>
        <v>15</v>
      </c>
    </row>
    <row r="77" spans="1:12" x14ac:dyDescent="0.3">
      <c r="A77" s="61" t="s">
        <v>222</v>
      </c>
      <c r="B77" s="62"/>
      <c r="C77" s="62"/>
      <c r="D77" s="62"/>
      <c r="E77" s="62"/>
      <c r="F77" s="62">
        <f>IFERROR(AVERAGE('2024'!G115:R115),"")</f>
        <v>2.4166666666666665</v>
      </c>
      <c r="G77" s="62">
        <f>IFERROR(AVERAGE('2024'!G116:R116),"")</f>
        <v>0</v>
      </c>
      <c r="H77" s="62">
        <f>IFERROR(AVERAGE('2025'!G98:R98),"")</f>
        <v>5.583333333333333</v>
      </c>
      <c r="I77" s="62">
        <f>IFERROR(AVERAGE('2025'!G99:R99),"")</f>
        <v>7</v>
      </c>
      <c r="J77" s="62">
        <f>IFERROR(AVERAGE('2026'!G93:K93),"")</f>
        <v>6.8</v>
      </c>
      <c r="K77" s="62">
        <f>IFERROR(AVERAGE('2026'!G94:K94),"")</f>
        <v>4</v>
      </c>
      <c r="L77" s="62">
        <f>IFERROR(AVERAGE('2026'!G94:R94),"")</f>
        <v>4</v>
      </c>
    </row>
    <row r="78" spans="1:12" x14ac:dyDescent="0.3">
      <c r="A78" s="61" t="s">
        <v>223</v>
      </c>
      <c r="B78" s="62"/>
      <c r="C78" s="62"/>
      <c r="D78" s="62"/>
      <c r="E78" s="62"/>
      <c r="F78" s="62">
        <f>IFERROR(AVERAGE('2024'!G117:R117),"")</f>
        <v>1.6666666666666667</v>
      </c>
      <c r="G78" s="62">
        <f>IFERROR(AVERAGE('2024'!G118:R118),"")</f>
        <v>0</v>
      </c>
      <c r="H78" s="62">
        <f>IFERROR(AVERAGE('2025'!G100:R100),"")</f>
        <v>4</v>
      </c>
      <c r="I78" s="62">
        <f>IFERROR(AVERAGE('2025'!G101:R101),"")</f>
        <v>4</v>
      </c>
      <c r="J78" s="62">
        <f>IFERROR(AVERAGE('2026'!G95:K95),"")</f>
        <v>4</v>
      </c>
      <c r="K78" s="62">
        <f>IFERROR(AVERAGE('2026'!G96:K96),"")</f>
        <v>4</v>
      </c>
      <c r="L78" s="62">
        <f>IFERROR(AVERAGE('2026'!G96:R96),"")</f>
        <v>4</v>
      </c>
    </row>
    <row r="79" spans="1:12" x14ac:dyDescent="0.3">
      <c r="A79" s="61" t="s">
        <v>263</v>
      </c>
      <c r="B79" s="62"/>
      <c r="C79" s="62"/>
      <c r="D79" s="62"/>
      <c r="E79" s="62"/>
      <c r="F79" s="62">
        <f>IFERROR(AVERAGE('2024'!G119:R119),"")</f>
        <v>2.1666666666666665</v>
      </c>
      <c r="G79" s="62">
        <f>IFERROR(AVERAGE('2024'!G120:R120),"")</f>
        <v>0</v>
      </c>
      <c r="H79" s="62">
        <f>IFERROR(AVERAGE('2025'!G102:R102),"")</f>
        <v>6.166666666666667</v>
      </c>
      <c r="I79" s="62">
        <f>IFERROR(AVERAGE('2025'!G103:R103),"")</f>
        <v>6</v>
      </c>
      <c r="J79" s="62">
        <f>IFERROR(AVERAGE('2026'!G97:K97),"")</f>
        <v>7</v>
      </c>
      <c r="K79" s="62">
        <f>IFERROR(AVERAGE('2026'!G98:K98),"")</f>
        <v>7</v>
      </c>
      <c r="L79" s="62">
        <f>IFERROR(AVERAGE('2026'!G98:R98),"")</f>
        <v>7</v>
      </c>
    </row>
    <row r="80" spans="1:12" x14ac:dyDescent="0.3">
      <c r="A80" s="59" t="s">
        <v>113</v>
      </c>
      <c r="B80" s="60">
        <f t="shared" ref="B80:I80" si="11">IF(COUNT(B81:B87)=0,"",SUM(B81:B87))</f>
        <v>61.666666666666664</v>
      </c>
      <c r="C80" s="60">
        <f t="shared" si="11"/>
        <v>66.5</v>
      </c>
      <c r="D80" s="60">
        <f t="shared" si="11"/>
        <v>63</v>
      </c>
      <c r="E80" s="60">
        <f t="shared" si="11"/>
        <v>66.25</v>
      </c>
      <c r="F80" s="60">
        <f t="shared" si="11"/>
        <v>35.666666666666664</v>
      </c>
      <c r="G80" s="60">
        <f t="shared" si="11"/>
        <v>67.75</v>
      </c>
      <c r="H80" s="60" t="str">
        <f t="shared" si="11"/>
        <v/>
      </c>
      <c r="I80" s="60" t="str">
        <f t="shared" si="11"/>
        <v/>
      </c>
      <c r="J80" s="60" t="str">
        <f>IF(COUNT(J81:J87)=0,"",SUM(J81:J87))</f>
        <v/>
      </c>
      <c r="K80" s="60" t="str">
        <f>IF(COUNT(K81:K87)=0,"",SUM(K81:K87))</f>
        <v/>
      </c>
      <c r="L80" s="60" t="str">
        <f>IF(COUNT(L81:L87)=0,"",SUM(L81:L87))</f>
        <v/>
      </c>
    </row>
    <row r="81" spans="1:13" x14ac:dyDescent="0.3">
      <c r="A81" s="61" t="s">
        <v>181</v>
      </c>
      <c r="B81" s="62">
        <f>IFERROR(AVERAGE('2022'!H14:S14),"")</f>
        <v>7</v>
      </c>
      <c r="C81" s="62">
        <f>IFERROR(AVERAGE('2022'!H15:S15),"")</f>
        <v>13.5</v>
      </c>
      <c r="D81" s="62">
        <f>IFERROR(AVERAGE('2023'!G13:R13),"")</f>
        <v>5.666666666666667</v>
      </c>
      <c r="E81" s="62">
        <f>IFERROR(AVERAGE('2023'!G14:R14),"")</f>
        <v>8</v>
      </c>
      <c r="F81" s="62">
        <f>IFERROR(AVERAGE('2024'!G13:R13),"")</f>
        <v>2.75</v>
      </c>
      <c r="G81" s="62">
        <f>IFERROR(AVERAGE('2024'!G14:R14),"")</f>
        <v>14</v>
      </c>
      <c r="H81" s="62"/>
      <c r="I81" s="62"/>
      <c r="J81" s="62"/>
      <c r="K81" s="62"/>
      <c r="L81" s="62"/>
    </row>
    <row r="82" spans="1:13" x14ac:dyDescent="0.3">
      <c r="A82" s="61" t="s">
        <v>183</v>
      </c>
      <c r="B82" s="62">
        <f>IFERROR(AVERAGE('2022'!H16:S16),"")</f>
        <v>19.916666666666668</v>
      </c>
      <c r="C82" s="62">
        <f>IFERROR(AVERAGE('2022'!H17:S17),"")</f>
        <v>21</v>
      </c>
      <c r="D82" s="62">
        <f>IFERROR(AVERAGE('2023'!G15:R15),"")</f>
        <v>20.5</v>
      </c>
      <c r="E82" s="62">
        <f>IFERROR(AVERAGE('2023'!G16:R16),"")</f>
        <v>22</v>
      </c>
      <c r="F82" s="62">
        <f>IFERROR(AVERAGE('2024'!G15:R15),"")</f>
        <v>10.333333333333334</v>
      </c>
      <c r="G82" s="62">
        <f>IFERROR(AVERAGE('2024'!G16:R16),"")</f>
        <v>20</v>
      </c>
      <c r="H82" s="62"/>
      <c r="I82" s="62"/>
      <c r="J82" s="62"/>
      <c r="K82" s="62"/>
      <c r="L82" s="62"/>
    </row>
    <row r="83" spans="1:13" x14ac:dyDescent="0.3">
      <c r="A83" s="61" t="s">
        <v>182</v>
      </c>
      <c r="B83" s="62">
        <f>IFERROR(AVERAGE('2022'!H18:S18),"")</f>
        <v>13.416666666666666</v>
      </c>
      <c r="C83" s="62">
        <f>IFERROR(AVERAGE('2022'!H19:S19),"")</f>
        <v>8</v>
      </c>
      <c r="D83" s="62">
        <f>IFERROR(AVERAGE('2023'!G17:R17),"")</f>
        <v>13.583333333333334</v>
      </c>
      <c r="E83" s="62">
        <f>IFERROR(AVERAGE('2023'!G18:R18),"")</f>
        <v>14</v>
      </c>
      <c r="F83" s="62">
        <f>IFERROR(AVERAGE('2024'!G17:R17),"")</f>
        <v>7.416666666666667</v>
      </c>
      <c r="G83" s="62">
        <f>IFERROR(AVERAGE('2024'!G18:R18),"")</f>
        <v>8</v>
      </c>
      <c r="H83" s="62"/>
      <c r="I83" s="62"/>
      <c r="J83" s="62"/>
      <c r="K83" s="62"/>
      <c r="L83" s="62"/>
    </row>
    <row r="84" spans="1:13" x14ac:dyDescent="0.3">
      <c r="A84" s="61" t="s">
        <v>184</v>
      </c>
      <c r="B84" s="62">
        <f>IFERROR(AVERAGE('2022'!H20:S20),"")</f>
        <v>5.5</v>
      </c>
      <c r="C84" s="62">
        <f>IFERROR(AVERAGE('2022'!H21:S21),"")</f>
        <v>7</v>
      </c>
      <c r="D84" s="62">
        <f>IFERROR(AVERAGE('2023'!G19:R19),"")</f>
        <v>7</v>
      </c>
      <c r="E84" s="62">
        <f>IFERROR(AVERAGE('2023'!G20:R20),"")</f>
        <v>7</v>
      </c>
      <c r="F84" s="62">
        <f>IFERROR(AVERAGE('2024'!G19:R19),"")</f>
        <v>4.666666666666667</v>
      </c>
      <c r="G84" s="62">
        <f>IFERROR(AVERAGE('2024'!G20:R20),"")</f>
        <v>8</v>
      </c>
      <c r="H84" s="62"/>
      <c r="I84" s="62"/>
      <c r="J84" s="62"/>
      <c r="K84" s="62"/>
      <c r="L84" s="62"/>
    </row>
    <row r="85" spans="1:13" x14ac:dyDescent="0.3">
      <c r="A85" s="61" t="s">
        <v>222</v>
      </c>
      <c r="B85" s="62">
        <f>IFERROR(AVERAGE('2022'!H22:S22),"")</f>
        <v>7</v>
      </c>
      <c r="C85" s="62">
        <f>IFERROR(AVERAGE('2022'!H23:S23),"")</f>
        <v>8</v>
      </c>
      <c r="D85" s="62">
        <f>IFERROR(AVERAGE('2023'!G21:R21),"")</f>
        <v>6</v>
      </c>
      <c r="E85" s="62">
        <f>IFERROR(AVERAGE('2023'!G22:R22),"")</f>
        <v>6.25</v>
      </c>
      <c r="F85" s="62">
        <f>IFERROR(AVERAGE('2024'!G21:R21),"")</f>
        <v>4.083333333333333</v>
      </c>
      <c r="G85" s="62">
        <f>IFERROR(AVERAGE('2024'!G22:R22),"")</f>
        <v>7</v>
      </c>
      <c r="H85" s="62"/>
      <c r="I85" s="62"/>
      <c r="J85" s="62"/>
      <c r="K85" s="62"/>
      <c r="L85" s="62"/>
    </row>
    <row r="86" spans="1:13" x14ac:dyDescent="0.3">
      <c r="A86" s="61" t="s">
        <v>224</v>
      </c>
      <c r="B86" s="62">
        <f>IFERROR(AVERAGE('2022'!H24:S24),"")</f>
        <v>4.666666666666667</v>
      </c>
      <c r="C86" s="62">
        <f>IFERROR(AVERAGE('2022'!H25:S25),"")</f>
        <v>5</v>
      </c>
      <c r="D86" s="62">
        <f>IFERROR(AVERAGE('2023'!G23:R23),"")</f>
        <v>4.416666666666667</v>
      </c>
      <c r="E86" s="62">
        <f>IFERROR(AVERAGE('2023'!G24:R24),"")</f>
        <v>5</v>
      </c>
      <c r="F86" s="62">
        <f>IFERROR(AVERAGE('2024'!G23:R23),"")</f>
        <v>2.3333333333333335</v>
      </c>
      <c r="G86" s="62">
        <f>IFERROR(AVERAGE('2024'!G24:R24),"")</f>
        <v>4</v>
      </c>
      <c r="H86" s="62"/>
      <c r="I86" s="62"/>
      <c r="J86" s="62"/>
      <c r="K86" s="62"/>
      <c r="L86" s="62"/>
    </row>
    <row r="87" spans="1:13" x14ac:dyDescent="0.3">
      <c r="A87" s="61" t="s">
        <v>264</v>
      </c>
      <c r="B87" s="62">
        <f>IFERROR(AVERAGE('2022'!H26:S26),"")</f>
        <v>4.166666666666667</v>
      </c>
      <c r="C87" s="62">
        <f>IFERROR(AVERAGE('2022'!H27:S27),"")</f>
        <v>4</v>
      </c>
      <c r="D87" s="62">
        <f>IFERROR(AVERAGE('2023'!G25:R25),"")</f>
        <v>5.833333333333333</v>
      </c>
      <c r="E87" s="62">
        <f>IFERROR(AVERAGE('2023'!G26:R26),"")</f>
        <v>4</v>
      </c>
      <c r="F87" s="62">
        <f>IFERROR(AVERAGE('2024'!G25:R25),"")</f>
        <v>4.083333333333333</v>
      </c>
      <c r="G87" s="62">
        <f>IFERROR(AVERAGE('2024'!G26:R26),"")</f>
        <v>6.75</v>
      </c>
      <c r="H87" s="62"/>
      <c r="I87" s="62"/>
      <c r="J87" s="62"/>
      <c r="K87" s="62"/>
      <c r="L87" s="62"/>
    </row>
    <row r="88" spans="1:13" x14ac:dyDescent="0.3">
      <c r="A88" s="59" t="s">
        <v>130</v>
      </c>
      <c r="B88" s="60">
        <f t="shared" ref="B88:I88" si="12">IF(COUNT(B89:B95)=0,"",SUM(B89:B95))</f>
        <v>35.833333333333336</v>
      </c>
      <c r="C88" s="60">
        <f t="shared" si="12"/>
        <v>40.25</v>
      </c>
      <c r="D88" s="60">
        <f t="shared" si="12"/>
        <v>18.416666666666668</v>
      </c>
      <c r="E88" s="60">
        <f t="shared" si="12"/>
        <v>23.916666666666664</v>
      </c>
      <c r="F88" s="60" t="str">
        <f t="shared" si="12"/>
        <v/>
      </c>
      <c r="G88" s="60" t="str">
        <f t="shared" si="12"/>
        <v/>
      </c>
      <c r="H88" s="60" t="str">
        <f t="shared" si="12"/>
        <v/>
      </c>
      <c r="I88" s="60" t="str">
        <f t="shared" si="12"/>
        <v/>
      </c>
      <c r="J88" s="60" t="str">
        <f>IF(COUNT(J89:J95)=0,"",SUM(J89:J95))</f>
        <v/>
      </c>
      <c r="K88" s="60" t="str">
        <f>IF(COUNT(K89:K95)=0,"",SUM(K89:K95))</f>
        <v/>
      </c>
      <c r="L88" s="60" t="str">
        <f>IF(COUNT(L89:L95)=0,"",SUM(L89:L95))</f>
        <v/>
      </c>
    </row>
    <row r="89" spans="1:13" x14ac:dyDescent="0.3">
      <c r="A89" s="61" t="s">
        <v>211</v>
      </c>
      <c r="B89" s="62">
        <f>IFERROR(AVERAGE('2022'!H86:S86),"")</f>
        <v>2.1666666666666665</v>
      </c>
      <c r="C89" s="62">
        <f>IFERROR(AVERAGE('2022'!H87:S87),"")</f>
        <v>0</v>
      </c>
      <c r="D89" s="62">
        <f>IFERROR(AVERAGE('2023'!G107:R107),"")</f>
        <v>6.416666666666667</v>
      </c>
      <c r="E89" s="62">
        <f>IFERROR(AVERAGE('2023'!G108:R108),"")</f>
        <v>8.75</v>
      </c>
      <c r="F89" s="62"/>
      <c r="G89" s="62"/>
      <c r="H89" s="62"/>
      <c r="I89" s="62"/>
      <c r="J89" s="62"/>
      <c r="K89" s="62"/>
      <c r="L89" s="62"/>
    </row>
    <row r="90" spans="1:13" x14ac:dyDescent="0.3">
      <c r="A90" s="61" t="s">
        <v>212</v>
      </c>
      <c r="B90" s="62">
        <f>IFERROR(AVERAGE('2022'!H88:S88),"")</f>
        <v>1.6666666666666667</v>
      </c>
      <c r="C90" s="62">
        <f>IFERROR(AVERAGE('2022'!H89:S89),"")</f>
        <v>0</v>
      </c>
      <c r="D90" s="62">
        <f>IFERROR(AVERAGE('2023'!G109:R109),"")</f>
        <v>6.916666666666667</v>
      </c>
      <c r="E90" s="62">
        <f>IFERROR(AVERAGE('2023'!G110:R110),"")</f>
        <v>9.9166666666666661</v>
      </c>
      <c r="F90" s="62"/>
      <c r="G90" s="62"/>
      <c r="H90" s="62"/>
      <c r="I90" s="62"/>
      <c r="J90" s="62"/>
      <c r="K90" s="62"/>
      <c r="L90" s="62"/>
    </row>
    <row r="91" spans="1:13" x14ac:dyDescent="0.3">
      <c r="A91" s="61" t="s">
        <v>213</v>
      </c>
      <c r="B91" s="62">
        <f>IFERROR(AVERAGE('2022'!H90:S90),"")</f>
        <v>1</v>
      </c>
      <c r="C91" s="62">
        <f>IFERROR(AVERAGE('2022'!H91:S91),"")</f>
        <v>1</v>
      </c>
      <c r="D91" s="62">
        <f>IFERROR(AVERAGE('2023'!G111:R111),"")</f>
        <v>1</v>
      </c>
      <c r="E91" s="62">
        <f>IFERROR(AVERAGE('2023'!G112:R112),"")</f>
        <v>1.1666666666666667</v>
      </c>
      <c r="F91" s="62"/>
      <c r="G91" s="62"/>
      <c r="H91" s="62"/>
      <c r="I91" s="62"/>
      <c r="J91" s="62"/>
      <c r="K91" s="62"/>
      <c r="L91" s="62"/>
    </row>
    <row r="92" spans="1:13" x14ac:dyDescent="0.3">
      <c r="A92" s="61" t="s">
        <v>225</v>
      </c>
      <c r="B92" s="62">
        <f>IFERROR(AVERAGE('2022'!H92:S92),"")</f>
        <v>14.833333333333334</v>
      </c>
      <c r="C92" s="62">
        <f>IFERROR(AVERAGE('2022'!H93:S93),"")</f>
        <v>20</v>
      </c>
      <c r="D92" s="62">
        <f>IFERROR(AVERAGE('2023'!G113:R113),"")</f>
        <v>1.6666666666666667</v>
      </c>
      <c r="E92" s="62">
        <f>IFERROR(AVERAGE('2023'!G114:R114),"")</f>
        <v>0</v>
      </c>
      <c r="F92" s="62"/>
      <c r="G92" s="62"/>
      <c r="H92" s="62"/>
      <c r="I92" s="62"/>
      <c r="J92" s="62"/>
      <c r="K92" s="62"/>
      <c r="L92" s="62"/>
    </row>
    <row r="93" spans="1:13" x14ac:dyDescent="0.3">
      <c r="A93" s="61" t="s">
        <v>226</v>
      </c>
      <c r="B93" s="62">
        <f>IFERROR(AVERAGE('2022'!H82:S82),"")</f>
        <v>2.5</v>
      </c>
      <c r="C93" s="62">
        <f>IFERROR(AVERAGE('2022'!H83:S83),"")</f>
        <v>3</v>
      </c>
      <c r="D93" s="62"/>
      <c r="E93" s="62"/>
      <c r="F93" s="62"/>
      <c r="G93" s="62"/>
      <c r="H93" s="62"/>
      <c r="I93" s="62"/>
      <c r="J93" s="62"/>
      <c r="K93" s="62"/>
      <c r="L93" s="62"/>
    </row>
    <row r="94" spans="1:13" x14ac:dyDescent="0.3">
      <c r="A94" s="61" t="s">
        <v>227</v>
      </c>
      <c r="B94" s="62">
        <f>IFERROR(AVERAGE('2022'!H84:S84),"")</f>
        <v>10.25</v>
      </c>
      <c r="C94" s="62">
        <f>IFERROR(AVERAGE('2022'!H85:S85),"")</f>
        <v>14.25</v>
      </c>
      <c r="D94" s="62"/>
      <c r="E94" s="62"/>
      <c r="F94" s="62"/>
      <c r="G94" s="62"/>
      <c r="H94" s="62"/>
      <c r="I94" s="62"/>
      <c r="J94" s="62"/>
      <c r="K94" s="62"/>
      <c r="L94" s="62"/>
    </row>
    <row r="95" spans="1:13" x14ac:dyDescent="0.3">
      <c r="A95" s="61" t="s">
        <v>265</v>
      </c>
      <c r="B95" s="62">
        <f>IFERROR(AVERAGE('2022'!H94:S94),"")</f>
        <v>3.4166666666666665</v>
      </c>
      <c r="C95" s="62">
        <f>IFERROR(AVERAGE('2022'!H95:S95),"")</f>
        <v>2</v>
      </c>
      <c r="D95" s="62">
        <f>IFERROR(AVERAGE('2023'!G115:R115),"")</f>
        <v>2.4166666666666665</v>
      </c>
      <c r="E95" s="62">
        <f>IFERROR(AVERAGE('2023'!G116:R116),"")</f>
        <v>4.083333333333333</v>
      </c>
      <c r="F95" s="62"/>
      <c r="G95" s="62"/>
      <c r="H95" s="62"/>
      <c r="I95" s="62"/>
      <c r="J95" s="62"/>
      <c r="K95" s="62"/>
      <c r="L95" s="62"/>
      <c r="M95" t="s">
        <v>250</v>
      </c>
    </row>
    <row r="96" spans="1:13" x14ac:dyDescent="0.3">
      <c r="A96" s="63" t="s">
        <v>228</v>
      </c>
      <c r="B96" s="64">
        <f>IFERROR(AVERAGE('2022'!H4:S4),"")</f>
        <v>386.66666666666669</v>
      </c>
      <c r="C96" s="64">
        <f>IFERROR(AVERAGE('2022'!H5:S5),"")</f>
        <v>409.08333333333331</v>
      </c>
      <c r="D96" s="64">
        <f>IFERROR(AVERAGE('2023'!G3:R3),"")</f>
        <v>391.25</v>
      </c>
      <c r="E96" s="64">
        <f>IFERROR(AVERAGE('2023'!G4:R4),"")</f>
        <v>415.75</v>
      </c>
      <c r="F96" s="64">
        <f>IFERROR(AVERAGE('2024'!G3:R3),"")</f>
        <v>417.66666666666669</v>
      </c>
      <c r="G96" s="64">
        <f>IFERROR(AVERAGE('2024'!G4:R4),"")</f>
        <v>430.5</v>
      </c>
      <c r="H96" s="64">
        <f>IFERROR(AVERAGE('2025'!G3:R3),"")</f>
        <v>417.91666666666669</v>
      </c>
      <c r="I96" s="64">
        <f>IFERROR(AVERAGE('2025'!G4:R4),"")</f>
        <v>456.25</v>
      </c>
      <c r="J96" s="64">
        <f>IFERROR(AVERAGE('2026'!G3:K3),"")</f>
        <v>416.4</v>
      </c>
      <c r="K96" s="64">
        <f>IFERROR(AVERAGE('2026'!G4:K4),"")</f>
        <v>443</v>
      </c>
      <c r="L96" s="64">
        <f>IFERROR(AVERAGE('2026'!G4:R4),"")</f>
        <v>443</v>
      </c>
    </row>
    <row r="98" spans="1:1" x14ac:dyDescent="0.3">
      <c r="A98" s="57" t="s">
        <v>229</v>
      </c>
    </row>
  </sheetData>
  <mergeCells count="6">
    <mergeCell ref="J4:K4"/>
    <mergeCell ref="A4:A5"/>
    <mergeCell ref="B4:C4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5296-1428-4525-AC3F-4BA7A9265F5C}">
  <dimension ref="A1:L47"/>
  <sheetViews>
    <sheetView tabSelected="1" workbookViewId="0">
      <selection activeCell="A2" sqref="A2"/>
    </sheetView>
  </sheetViews>
  <sheetFormatPr baseColWidth="10" defaultRowHeight="14.4" x14ac:dyDescent="0.3"/>
  <cols>
    <col min="1" max="1" width="55.5546875" customWidth="1"/>
    <col min="2" max="9" width="9.6640625" customWidth="1"/>
    <col min="10" max="10" width="15.77734375" customWidth="1"/>
    <col min="11" max="12" width="9.6640625" customWidth="1"/>
  </cols>
  <sheetData>
    <row r="1" spans="1:12" ht="18" x14ac:dyDescent="0.35">
      <c r="A1" s="55" t="s">
        <v>269</v>
      </c>
    </row>
    <row r="2" spans="1:12" x14ac:dyDescent="0.3">
      <c r="A2" s="56" t="s">
        <v>233</v>
      </c>
    </row>
    <row r="4" spans="1:12" x14ac:dyDescent="0.3">
      <c r="A4" s="69" t="s">
        <v>178</v>
      </c>
      <c r="B4" s="70">
        <v>2022</v>
      </c>
      <c r="C4" s="70"/>
      <c r="D4" s="70">
        <v>2023</v>
      </c>
      <c r="E4" s="70"/>
      <c r="F4" s="70">
        <v>2024</v>
      </c>
      <c r="G4" s="70"/>
      <c r="H4" s="70">
        <v>2025</v>
      </c>
      <c r="I4" s="70"/>
      <c r="J4" s="67" t="s">
        <v>248</v>
      </c>
      <c r="K4" s="68"/>
      <c r="L4" s="66" t="s">
        <v>249</v>
      </c>
    </row>
    <row r="5" spans="1:12" x14ac:dyDescent="0.3">
      <c r="A5" s="69"/>
      <c r="B5" s="58" t="s">
        <v>2</v>
      </c>
      <c r="C5" s="58" t="s">
        <v>3</v>
      </c>
      <c r="D5" s="58" t="s">
        <v>2</v>
      </c>
      <c r="E5" s="58" t="s">
        <v>3</v>
      </c>
      <c r="F5" s="58" t="s">
        <v>2</v>
      </c>
      <c r="G5" s="58" t="s">
        <v>3</v>
      </c>
      <c r="H5" s="58" t="s">
        <v>2</v>
      </c>
      <c r="I5" s="58" t="s">
        <v>3</v>
      </c>
      <c r="J5" s="58" t="s">
        <v>2</v>
      </c>
      <c r="K5" s="58" t="s">
        <v>3</v>
      </c>
      <c r="L5" s="58" t="s">
        <v>3</v>
      </c>
    </row>
    <row r="6" spans="1:12" x14ac:dyDescent="0.3">
      <c r="A6" s="59" t="s">
        <v>26</v>
      </c>
      <c r="B6" s="60" t="str">
        <f>IF(COUNT(B7:B7)=0,"",SUM(B7:B7))</f>
        <v/>
      </c>
      <c r="C6" s="60" t="str">
        <f>IF(COUNT(C7:C7)=0,"",SUM(C7:C7))</f>
        <v/>
      </c>
      <c r="D6" s="60" t="str">
        <f>IF(COUNT(D7:D7)=0,"",SUM(D7:D7))</f>
        <v/>
      </c>
      <c r="E6" s="60" t="str">
        <f>IF(COUNT(E7:E7)=0,"",SUM(E7:E7))</f>
        <v/>
      </c>
      <c r="F6" s="60">
        <f>IF(COUNT(F7:F7)=0,"",SUM(F7:F7))</f>
        <v>0.25</v>
      </c>
      <c r="G6" s="60">
        <f>IF(COUNT(G7:G7)=0,"",SUM(G7:G7))</f>
        <v>1</v>
      </c>
      <c r="H6" s="60">
        <f>IF(COUNT(H7:H7)=0,"",SUM(H7:H7))</f>
        <v>2.25</v>
      </c>
      <c r="I6" s="60">
        <f>IF(COUNT(I7:I7)=0,"",SUM(I7:I7))</f>
        <v>1</v>
      </c>
      <c r="J6" s="60">
        <f>IF(COUNT(J7:J7)=0,"",SUM(J7:J7))</f>
        <v>3</v>
      </c>
      <c r="K6" s="60">
        <f>IF(COUNT(K7:K7)=0,"",SUM(K7:K7))</f>
        <v>1.8</v>
      </c>
      <c r="L6" s="60">
        <f>IF(COUNT(L7:L7)=0,"",SUM(L7:L7))</f>
        <v>1.5</v>
      </c>
    </row>
    <row r="7" spans="1:12" x14ac:dyDescent="0.3">
      <c r="A7" s="61" t="s">
        <v>251</v>
      </c>
      <c r="B7" s="62"/>
      <c r="C7" s="62"/>
      <c r="D7" s="62"/>
      <c r="E7" s="62"/>
      <c r="F7" s="62">
        <f>IFERROR(AVERAGE('2024'!G132:R132),"")</f>
        <v>0.25</v>
      </c>
      <c r="G7" s="62">
        <f>IFERROR(AVERAGE('2024'!G133:R133),"")</f>
        <v>1</v>
      </c>
      <c r="H7" s="62">
        <f>IFERROR(AVERAGE('2025'!G116:R116),"")</f>
        <v>2.25</v>
      </c>
      <c r="I7" s="62">
        <f>IFERROR(AVERAGE('2025'!G117:R117),"")</f>
        <v>1</v>
      </c>
      <c r="J7" s="62">
        <f>IFERROR(AVERAGE('2026'!G110:K110),"")</f>
        <v>3</v>
      </c>
      <c r="K7" s="62">
        <f>IFERROR(AVERAGE('2026'!G111:K111),"")</f>
        <v>1.8</v>
      </c>
      <c r="L7" s="62">
        <f>IFERROR(AVERAGE('2026'!G111:R111),"")</f>
        <v>1.5</v>
      </c>
    </row>
    <row r="8" spans="1:12" x14ac:dyDescent="0.3">
      <c r="A8" s="59" t="s">
        <v>32</v>
      </c>
      <c r="B8" s="60" t="str">
        <f t="shared" ref="B8:I8" si="0">IF(COUNT(B9:B10)=0,"",SUM(B9:B10))</f>
        <v/>
      </c>
      <c r="C8" s="60" t="str">
        <f t="shared" si="0"/>
        <v/>
      </c>
      <c r="D8" s="60" t="str">
        <f t="shared" si="0"/>
        <v/>
      </c>
      <c r="E8" s="60" t="str">
        <f t="shared" si="0"/>
        <v/>
      </c>
      <c r="F8" s="60" t="str">
        <f t="shared" si="0"/>
        <v/>
      </c>
      <c r="G8" s="60" t="str">
        <f t="shared" si="0"/>
        <v/>
      </c>
      <c r="H8" s="60">
        <f t="shared" si="0"/>
        <v>2</v>
      </c>
      <c r="I8" s="60">
        <f t="shared" si="0"/>
        <v>2</v>
      </c>
      <c r="J8" s="60">
        <f>IF(COUNT(J9:J10)=0,"",SUM(J9:J10))</f>
        <v>2.8</v>
      </c>
      <c r="K8" s="60">
        <f>IF(COUNT(K9:K10)=0,"",SUM(K9:K10))</f>
        <v>3</v>
      </c>
      <c r="L8" s="60">
        <f>IF(COUNT(L9:L10)=0,"",SUM(L9:L10))</f>
        <v>3</v>
      </c>
    </row>
    <row r="9" spans="1:12" x14ac:dyDescent="0.3">
      <c r="A9" s="61" t="s">
        <v>181</v>
      </c>
      <c r="B9" s="62"/>
      <c r="C9" s="62"/>
      <c r="D9" s="62"/>
      <c r="E9" s="62"/>
      <c r="F9" s="62"/>
      <c r="G9" s="62"/>
      <c r="H9" s="62">
        <f>IFERROR(AVERAGE('2025'!G118:R118),"")</f>
        <v>1</v>
      </c>
      <c r="I9" s="62">
        <f>IFERROR(AVERAGE('2025'!G119:R119),"")</f>
        <v>1</v>
      </c>
      <c r="J9" s="62">
        <f>IFERROR(AVERAGE('2026'!G112:K112),"")</f>
        <v>1.8</v>
      </c>
      <c r="K9" s="62">
        <f>IFERROR(AVERAGE('2026'!G113:K113),"")</f>
        <v>2</v>
      </c>
      <c r="L9" s="62">
        <f>IFERROR(AVERAGE('2026'!G113:R113),"")</f>
        <v>2</v>
      </c>
    </row>
    <row r="10" spans="1:12" x14ac:dyDescent="0.3">
      <c r="A10" s="61" t="s">
        <v>183</v>
      </c>
      <c r="B10" s="62"/>
      <c r="C10" s="62"/>
      <c r="D10" s="62"/>
      <c r="E10" s="62"/>
      <c r="F10" s="62"/>
      <c r="G10" s="62"/>
      <c r="H10" s="62">
        <f>IFERROR(AVERAGE('2025'!G120:R120),"")</f>
        <v>1</v>
      </c>
      <c r="I10" s="62">
        <f>IFERROR(AVERAGE('2025'!G121:R121),"")</f>
        <v>1</v>
      </c>
      <c r="J10" s="62">
        <f>IFERROR(AVERAGE('2026'!G114:K114),"")</f>
        <v>1</v>
      </c>
      <c r="K10" s="62">
        <f>IFERROR(AVERAGE('2026'!G115:K115),"")</f>
        <v>1</v>
      </c>
      <c r="L10" s="62">
        <f>IFERROR(AVERAGE('2026'!G115:R115),"")</f>
        <v>1</v>
      </c>
    </row>
    <row r="11" spans="1:12" x14ac:dyDescent="0.3">
      <c r="A11" s="59" t="s">
        <v>38</v>
      </c>
      <c r="B11" s="60" t="str">
        <f t="shared" ref="B11:I11" si="1">IF(COUNT(B12:B14)=0,"",SUM(B12:B14))</f>
        <v/>
      </c>
      <c r="C11" s="60" t="str">
        <f t="shared" si="1"/>
        <v/>
      </c>
      <c r="D11" s="60" t="str">
        <f t="shared" si="1"/>
        <v/>
      </c>
      <c r="E11" s="60" t="str">
        <f t="shared" si="1"/>
        <v/>
      </c>
      <c r="F11" s="60">
        <f t="shared" si="1"/>
        <v>21.054166666666671</v>
      </c>
      <c r="G11" s="60">
        <f t="shared" si="1"/>
        <v>14</v>
      </c>
      <c r="H11" s="60">
        <f t="shared" si="1"/>
        <v>1.25</v>
      </c>
      <c r="I11" s="60">
        <f t="shared" si="1"/>
        <v>1</v>
      </c>
      <c r="J11" s="60">
        <f>IF(COUNT(J12:J14)=0,"",SUM(J12:J14))</f>
        <v>0.6</v>
      </c>
      <c r="K11" s="60">
        <f>IF(COUNT(K12:K14)=0,"",SUM(K12:K14))</f>
        <v>2</v>
      </c>
      <c r="L11" s="60">
        <f>IF(COUNT(L12:L14)=0,"",SUM(L12:L14))</f>
        <v>2</v>
      </c>
    </row>
    <row r="12" spans="1:12" x14ac:dyDescent="0.3">
      <c r="A12" s="61" t="s">
        <v>230</v>
      </c>
      <c r="B12" s="62"/>
      <c r="C12" s="62"/>
      <c r="D12" s="62"/>
      <c r="E12" s="62"/>
      <c r="F12" s="62">
        <f>IFERROR(AVERAGE('2024'!G142:R142),0)+IFERROR(AVERAGE('2024'!G143:R143),0)</f>
        <v>13.698333333333334</v>
      </c>
      <c r="G12" s="62">
        <f>IFERROR(AVERAGE('2024'!G144:R144),"")</f>
        <v>0</v>
      </c>
      <c r="H12" s="62"/>
      <c r="I12" s="62"/>
      <c r="J12" s="62"/>
      <c r="K12" s="62"/>
      <c r="L12" s="62"/>
    </row>
    <row r="13" spans="1:12" x14ac:dyDescent="0.3">
      <c r="A13" s="61" t="s">
        <v>231</v>
      </c>
      <c r="B13" s="62"/>
      <c r="C13" s="62"/>
      <c r="D13" s="62"/>
      <c r="E13" s="62"/>
      <c r="F13" s="62">
        <f>IFERROR(AVERAGE('2024'!G145:R145),"")</f>
        <v>5.6891666666666678</v>
      </c>
      <c r="G13" s="62">
        <f>IFERROR(AVERAGE('2024'!G146:R146),"")</f>
        <v>12</v>
      </c>
      <c r="H13" s="62"/>
      <c r="I13" s="62"/>
      <c r="J13" s="62"/>
      <c r="K13" s="62"/>
      <c r="L13" s="62"/>
    </row>
    <row r="14" spans="1:12" x14ac:dyDescent="0.3">
      <c r="A14" s="61" t="s">
        <v>252</v>
      </c>
      <c r="B14" s="62"/>
      <c r="C14" s="62"/>
      <c r="D14" s="62"/>
      <c r="E14" s="62"/>
      <c r="F14" s="62">
        <f>IFERROR(AVERAGE('2024'!G147:R147),0)+IFERROR(AVERAGE('2024'!G149:R149),0)</f>
        <v>1.6666666666666667</v>
      </c>
      <c r="G14" s="62">
        <f>IFERROR(AVERAGE('2024'!G148:R148),0)+IFERROR(AVERAGE('2024'!G150:R150),0)</f>
        <v>2</v>
      </c>
      <c r="H14" s="62">
        <f>IFERROR(AVERAGE('2025'!G122:R122),"")</f>
        <v>1.25</v>
      </c>
      <c r="I14" s="62">
        <f>IFERROR(AVERAGE('2025'!G123:R123),"")</f>
        <v>1</v>
      </c>
      <c r="J14" s="62">
        <f>IFERROR(AVERAGE('2026'!G116:K116),"")</f>
        <v>0.6</v>
      </c>
      <c r="K14" s="62">
        <f>IFERROR(AVERAGE('2026'!G117:K117),"")</f>
        <v>2</v>
      </c>
      <c r="L14" s="62">
        <f>IFERROR(AVERAGE('2026'!G117:R117),"")</f>
        <v>2</v>
      </c>
    </row>
    <row r="15" spans="1:12" x14ac:dyDescent="0.3">
      <c r="A15" s="59" t="s">
        <v>42</v>
      </c>
      <c r="B15" s="60" t="str">
        <f>IF(COUNT(B16:B16)=0,"",SUM(B16:B16))</f>
        <v/>
      </c>
      <c r="C15" s="60" t="str">
        <f>IF(COUNT(C16:C16)=0,"",SUM(C16:C16))</f>
        <v/>
      </c>
      <c r="D15" s="60" t="str">
        <f>IF(COUNT(D16:D16)=0,"",SUM(D16:D16))</f>
        <v/>
      </c>
      <c r="E15" s="60" t="str">
        <f>IF(COUNT(E16:E16)=0,"",SUM(E16:E16))</f>
        <v/>
      </c>
      <c r="F15" s="60" t="str">
        <f>IF(COUNT(F16:F16)=0,"",SUM(F16:F16))</f>
        <v/>
      </c>
      <c r="G15" s="60" t="str">
        <f>IF(COUNT(G16:G16)=0,"",SUM(G16:G16))</f>
        <v/>
      </c>
      <c r="H15" s="60" t="str">
        <f>IF(COUNT(H16:H16)=0,"",SUM(H16:H16))</f>
        <v/>
      </c>
      <c r="I15" s="60" t="str">
        <f>IF(COUNT(I16:I16)=0,"",SUM(I16:I16))</f>
        <v/>
      </c>
      <c r="J15" s="60">
        <f>IF(COUNT(J16:J16)=0,"",SUM(J16:J16))</f>
        <v>4.5999999999999996</v>
      </c>
      <c r="K15" s="60">
        <f>IF(COUNT(K16:K16)=0,"",SUM(K16:K16))</f>
        <v>4</v>
      </c>
      <c r="L15" s="60">
        <f>IF(COUNT(L16:L16)=0,"",SUM(L16:L16))</f>
        <v>4</v>
      </c>
    </row>
    <row r="16" spans="1:12" x14ac:dyDescent="0.3">
      <c r="A16" s="61" t="s">
        <v>253</v>
      </c>
      <c r="B16" s="62"/>
      <c r="C16" s="62"/>
      <c r="D16" s="62"/>
      <c r="E16" s="62"/>
      <c r="F16" s="62"/>
      <c r="G16" s="62"/>
      <c r="H16" s="62"/>
      <c r="I16" s="62"/>
      <c r="J16" s="62">
        <f>IFERROR(AVERAGE('2026'!G118:K118),"")</f>
        <v>4.5999999999999996</v>
      </c>
      <c r="K16" s="62">
        <f>IFERROR(AVERAGE('2026'!G119:K119),"")</f>
        <v>4</v>
      </c>
      <c r="L16" s="62">
        <f>IFERROR(AVERAGE('2026'!G119:R119),"")</f>
        <v>4</v>
      </c>
    </row>
    <row r="17" spans="1:12" x14ac:dyDescent="0.3">
      <c r="A17" s="59" t="s">
        <v>121</v>
      </c>
      <c r="B17" s="60">
        <f t="shared" ref="B17:I17" si="2">IF(COUNT(B18:B21)=0,"",SUM(B18:B21))</f>
        <v>51.833333333333336</v>
      </c>
      <c r="C17" s="60">
        <f t="shared" si="2"/>
        <v>52</v>
      </c>
      <c r="D17" s="60">
        <f t="shared" si="2"/>
        <v>24</v>
      </c>
      <c r="E17" s="60">
        <f t="shared" si="2"/>
        <v>24</v>
      </c>
      <c r="F17" s="60">
        <f t="shared" si="2"/>
        <v>26</v>
      </c>
      <c r="G17" s="60">
        <f t="shared" si="2"/>
        <v>26</v>
      </c>
      <c r="H17" s="60">
        <f t="shared" si="2"/>
        <v>24.833333333333336</v>
      </c>
      <c r="I17" s="60">
        <f t="shared" si="2"/>
        <v>24</v>
      </c>
      <c r="J17" s="60">
        <f>IF(COUNT(J18:J21)=0,"",SUM(J18:J21))</f>
        <v>24.4</v>
      </c>
      <c r="K17" s="60">
        <f>IF(COUNT(K18:K21)=0,"",SUM(K18:K21))</f>
        <v>24</v>
      </c>
      <c r="L17" s="60">
        <f>IF(COUNT(L18:L21)=0,"",SUM(L18:L21))</f>
        <v>24</v>
      </c>
    </row>
    <row r="18" spans="1:12" x14ac:dyDescent="0.3">
      <c r="A18" s="61" t="s">
        <v>194</v>
      </c>
      <c r="B18" s="62"/>
      <c r="C18" s="62"/>
      <c r="D18" s="62"/>
      <c r="E18" s="62"/>
      <c r="F18" s="62"/>
      <c r="G18" s="62"/>
      <c r="H18" s="62">
        <f>IFERROR(AVERAGE('2025'!G124:R124),"")</f>
        <v>0.66666666666666663</v>
      </c>
      <c r="I18" s="62"/>
      <c r="J18" s="62">
        <f>IFERROR(AVERAGE('2026'!G120:K120),"")</f>
        <v>1</v>
      </c>
      <c r="K18" s="62">
        <f>IFERROR(AVERAGE('2026'!G121:K121),"")</f>
        <v>1</v>
      </c>
      <c r="L18" s="62">
        <f>IFERROR(AVERAGE('2026'!G121:R121),"")</f>
        <v>1</v>
      </c>
    </row>
    <row r="19" spans="1:12" x14ac:dyDescent="0.3">
      <c r="A19" s="61" t="s">
        <v>195</v>
      </c>
      <c r="B19" s="62"/>
      <c r="C19" s="62"/>
      <c r="D19" s="62"/>
      <c r="E19" s="62"/>
      <c r="F19" s="62">
        <f>IFERROR(AVERAGE('2024'!G151:R151),"")</f>
        <v>24</v>
      </c>
      <c r="G19" s="62">
        <f>IFERROR(AVERAGE('2024'!G152:R152),"")</f>
        <v>24</v>
      </c>
      <c r="H19" s="62">
        <f>IFERROR(AVERAGE('2025'!G125:R125),"")</f>
        <v>24</v>
      </c>
      <c r="I19" s="62">
        <f>IFERROR(AVERAGE('2025'!G126:R126),"")</f>
        <v>24</v>
      </c>
      <c r="J19" s="62">
        <f>IFERROR(AVERAGE('2026'!G122:K122),"")</f>
        <v>23.4</v>
      </c>
      <c r="K19" s="62">
        <f>IFERROR(AVERAGE('2026'!G123:K123),"")</f>
        <v>23</v>
      </c>
      <c r="L19" s="62">
        <f>IFERROR(AVERAGE('2026'!G123:R123),"")</f>
        <v>23</v>
      </c>
    </row>
    <row r="20" spans="1:12" x14ac:dyDescent="0.3">
      <c r="A20" s="61" t="s">
        <v>197</v>
      </c>
      <c r="B20" s="62">
        <f>IFERROR(AVERAGE('2022'!H112:S112),"")</f>
        <v>51.833333333333336</v>
      </c>
      <c r="C20" s="62">
        <f>IFERROR(AVERAGE('2022'!H113:S113),"")</f>
        <v>52</v>
      </c>
      <c r="D20" s="62">
        <f>IFERROR(AVERAGE('2023'!G150:R150),0)+IFERROR(AVERAGE('2023'!G152:R152),0)</f>
        <v>24</v>
      </c>
      <c r="E20" s="62">
        <f>IFERROR(AVERAGE('2023'!G151:R151),0)+IFERROR(AVERAGE('2023'!G153:R153),0)</f>
        <v>24</v>
      </c>
      <c r="F20" s="62"/>
      <c r="G20" s="62"/>
      <c r="H20" s="62"/>
      <c r="I20" s="62"/>
      <c r="J20" s="62"/>
      <c r="K20" s="62"/>
      <c r="L20" s="62"/>
    </row>
    <row r="21" spans="1:12" x14ac:dyDescent="0.3">
      <c r="A21" s="61" t="s">
        <v>254</v>
      </c>
      <c r="B21" s="62"/>
      <c r="C21" s="62"/>
      <c r="D21" s="62"/>
      <c r="E21" s="62"/>
      <c r="F21" s="62">
        <f>IFERROR(AVERAGE('2024'!G153:R153),"")</f>
        <v>2</v>
      </c>
      <c r="G21" s="62">
        <f>IFERROR(AVERAGE('2024'!G154:R154),"")</f>
        <v>2</v>
      </c>
      <c r="H21" s="62">
        <f>IFERROR(AVERAGE('2025'!G127:R127),"")</f>
        <v>0.16666666666666666</v>
      </c>
      <c r="I21" s="62"/>
      <c r="J21" s="62"/>
      <c r="K21" s="62"/>
      <c r="L21" s="62"/>
    </row>
    <row r="22" spans="1:12" x14ac:dyDescent="0.3">
      <c r="A22" s="59" t="s">
        <v>50</v>
      </c>
      <c r="B22" s="60">
        <f t="shared" ref="B22:I22" si="3">IF(COUNT(B23:B27)=0,"",SUM(B23:B27))</f>
        <v>13.166666666666666</v>
      </c>
      <c r="C22" s="60">
        <f t="shared" si="3"/>
        <v>13.083333333333334</v>
      </c>
      <c r="D22" s="60">
        <f t="shared" si="3"/>
        <v>72.25</v>
      </c>
      <c r="E22" s="60">
        <f t="shared" si="3"/>
        <v>71.75</v>
      </c>
      <c r="F22" s="60">
        <f t="shared" si="3"/>
        <v>21.999999999999996</v>
      </c>
      <c r="G22" s="60">
        <f t="shared" si="3"/>
        <v>27</v>
      </c>
      <c r="H22" s="60">
        <f t="shared" si="3"/>
        <v>7.583333333333333</v>
      </c>
      <c r="I22" s="60">
        <f t="shared" si="3"/>
        <v>22</v>
      </c>
      <c r="J22" s="60">
        <f>IF(COUNT(J23:J27)=0,"",SUM(J23:J27))</f>
        <v>6.2</v>
      </c>
      <c r="K22" s="60">
        <f>IF(COUNT(K23:K27)=0,"",SUM(K23:K27))</f>
        <v>10</v>
      </c>
      <c r="L22" s="60">
        <f>IF(COUNT(L23:L27)=0,"",SUM(L23:L27))</f>
        <v>10</v>
      </c>
    </row>
    <row r="23" spans="1:12" x14ac:dyDescent="0.3">
      <c r="A23" s="61" t="s">
        <v>198</v>
      </c>
      <c r="B23" s="62">
        <f>IFERROR(AVERAGE('2022'!H114:S114),"")</f>
        <v>8.4166666666666661</v>
      </c>
      <c r="C23" s="62">
        <f>IFERROR(AVERAGE('2022'!H115:S115),"")</f>
        <v>8.0833333333333339</v>
      </c>
      <c r="D23" s="62">
        <f>IFERROR(AVERAGE('2023'!G154:R154),0)+IFERROR(AVERAGE('2023'!G156:R156),0)</f>
        <v>58.916666666666664</v>
      </c>
      <c r="E23" s="62">
        <f>IFERROR(AVERAGE('2023'!G155:R155),0)+IFERROR(AVERAGE('2023'!G157:R157),0)</f>
        <v>56</v>
      </c>
      <c r="F23" s="62">
        <f>IFERROR(AVERAGE('2024'!G155:R155),"")</f>
        <v>15.833333333333334</v>
      </c>
      <c r="G23" s="62">
        <f>IFERROR(AVERAGE('2024'!G156:R156),"")</f>
        <v>17</v>
      </c>
      <c r="H23" s="62"/>
      <c r="I23" s="62">
        <f>IFERROR(AVERAGE('2025'!G128:R128),"")</f>
        <v>13</v>
      </c>
      <c r="J23" s="62"/>
      <c r="K23" s="62"/>
      <c r="L23" s="62"/>
    </row>
    <row r="24" spans="1:12" x14ac:dyDescent="0.3">
      <c r="A24" s="61" t="s">
        <v>201</v>
      </c>
      <c r="B24" s="62">
        <f>IFERROR(AVERAGE('2022'!H118:S118),"")</f>
        <v>2.75</v>
      </c>
      <c r="C24" s="62">
        <f>IFERROR(AVERAGE('2022'!H119:S119),"")</f>
        <v>3</v>
      </c>
      <c r="D24" s="62">
        <f>IFERROR(AVERAGE('2023'!G162:R162),0)+IFERROR(AVERAGE('2023'!G164:R164),0)</f>
        <v>1.3333333333333333</v>
      </c>
      <c r="E24" s="62">
        <f>IFERROR(AVERAGE('2023'!G163:R163),0)+IFERROR(AVERAGE('2023'!G165:R165),0)</f>
        <v>3</v>
      </c>
      <c r="F24" s="62">
        <f>IFERROR(AVERAGE('2024'!G159:R159),"")</f>
        <v>1.1666666666666667</v>
      </c>
      <c r="G24" s="62">
        <f>IFERROR(AVERAGE('2024'!G160:R160),"")</f>
        <v>3</v>
      </c>
      <c r="H24" s="62">
        <f>IFERROR(AVERAGE('2025'!G129:R129),"")</f>
        <v>1.0833333333333333</v>
      </c>
      <c r="I24" s="62">
        <f>IFERROR(AVERAGE('2025'!G130:R130),"")</f>
        <v>3</v>
      </c>
      <c r="J24" s="62">
        <f>IFERROR(AVERAGE('2026'!G124:K124),"")</f>
        <v>1</v>
      </c>
      <c r="K24" s="62">
        <f>IFERROR(AVERAGE('2026'!G125:K125),"")</f>
        <v>3</v>
      </c>
      <c r="L24" s="62">
        <f>IFERROR(AVERAGE('2026'!G125:R125),"")</f>
        <v>3</v>
      </c>
    </row>
    <row r="25" spans="1:12" x14ac:dyDescent="0.3">
      <c r="A25" s="61" t="s">
        <v>204</v>
      </c>
      <c r="B25" s="62"/>
      <c r="C25" s="62"/>
      <c r="D25" s="62">
        <f>IFERROR(AVERAGE('2023'!G166:R166),0)+IFERROR(AVERAGE('2023'!G168:R168),0)</f>
        <v>1</v>
      </c>
      <c r="E25" s="62">
        <f>IFERROR(AVERAGE('2023'!G167:R167),0)+IFERROR(AVERAGE('2023'!G169:R169),0)</f>
        <v>1</v>
      </c>
      <c r="F25" s="62">
        <f>IFERROR(AVERAGE('2024'!G161:R161),"")</f>
        <v>3.8333333333333335</v>
      </c>
      <c r="G25" s="62">
        <f>IFERROR(AVERAGE('2024'!G162:R162),"")</f>
        <v>4</v>
      </c>
      <c r="H25" s="62">
        <f>IFERROR(AVERAGE('2025'!G131:R131),"")</f>
        <v>5.083333333333333</v>
      </c>
      <c r="I25" s="62">
        <f>IFERROR(AVERAGE('2025'!G132:R132),"")</f>
        <v>4</v>
      </c>
      <c r="J25" s="62">
        <f>IFERROR(AVERAGE('2026'!G126:K126),"")</f>
        <v>4.2</v>
      </c>
      <c r="K25" s="62">
        <f>IFERROR(AVERAGE('2026'!G127:K127),"")</f>
        <v>6</v>
      </c>
      <c r="L25" s="62">
        <f>IFERROR(AVERAGE('2026'!G127:R127),"")</f>
        <v>6</v>
      </c>
    </row>
    <row r="26" spans="1:12" x14ac:dyDescent="0.3">
      <c r="A26" s="61" t="s">
        <v>199</v>
      </c>
      <c r="B26" s="62">
        <f>IFERROR(AVERAGE('2022'!H116:S116),"")</f>
        <v>2</v>
      </c>
      <c r="C26" s="62">
        <f>IFERROR(AVERAGE('2022'!H117:S117),"")</f>
        <v>2</v>
      </c>
      <c r="D26" s="62">
        <f>IFERROR(AVERAGE('2023'!G158:R158),0)+IFERROR(AVERAGE('2023'!G160:R160),0)</f>
        <v>11</v>
      </c>
      <c r="E26" s="62">
        <f>IFERROR(AVERAGE('2023'!G159:R159),0)+IFERROR(AVERAGE('2023'!G161:R161),0)</f>
        <v>11.75</v>
      </c>
      <c r="F26" s="62">
        <f>IFERROR(AVERAGE('2024'!G157:R157),"")</f>
        <v>8.3333333333333329E-2</v>
      </c>
      <c r="G26" s="62">
        <f>IFERROR(AVERAGE('2024'!G158:R158),"")</f>
        <v>1</v>
      </c>
      <c r="H26" s="62"/>
      <c r="I26" s="62"/>
      <c r="J26" s="62"/>
      <c r="K26" s="62"/>
      <c r="L26" s="62"/>
    </row>
    <row r="27" spans="1:12" x14ac:dyDescent="0.3">
      <c r="A27" s="61" t="s">
        <v>255</v>
      </c>
      <c r="B27" s="62"/>
      <c r="C27" s="62"/>
      <c r="D27" s="62"/>
      <c r="E27" s="62"/>
      <c r="F27" s="62">
        <f>IFERROR(AVERAGE('2024'!G163:R163),"")</f>
        <v>1.0833333333333333</v>
      </c>
      <c r="G27" s="62">
        <f>IFERROR(AVERAGE('2024'!G164:R164),"")</f>
        <v>2</v>
      </c>
      <c r="H27" s="62">
        <f>IFERROR(AVERAGE('2025'!G133:R133),"")</f>
        <v>1.4166666666666667</v>
      </c>
      <c r="I27" s="62">
        <f>IFERROR(AVERAGE('2025'!G134:R134),"")</f>
        <v>2</v>
      </c>
      <c r="J27" s="62">
        <f>IFERROR(AVERAGE('2026'!G128:K128),"")</f>
        <v>1</v>
      </c>
      <c r="K27" s="62">
        <f>IFERROR(AVERAGE('2026'!G129:K129),"")</f>
        <v>1</v>
      </c>
      <c r="L27" s="62">
        <f>IFERROR(AVERAGE('2026'!G129:R129),"")</f>
        <v>1</v>
      </c>
    </row>
    <row r="28" spans="1:12" x14ac:dyDescent="0.3">
      <c r="A28" s="59" t="s">
        <v>58</v>
      </c>
      <c r="B28" s="60">
        <f>IF(COUNT(B29:B29)=0,"",SUM(B29:B29))</f>
        <v>3</v>
      </c>
      <c r="C28" s="60">
        <f>IF(COUNT(C29:C29)=0,"",SUM(C29:C29))</f>
        <v>3</v>
      </c>
      <c r="D28" s="60">
        <f>IF(COUNT(D29:D29)=0,"",SUM(D29:D29))</f>
        <v>3</v>
      </c>
      <c r="E28" s="60">
        <f>IF(COUNT(E29:E29)=0,"",SUM(E29:E29))</f>
        <v>3</v>
      </c>
      <c r="F28" s="60">
        <f>IF(COUNT(F29:F29)=0,"",SUM(F29:F29))</f>
        <v>3</v>
      </c>
      <c r="G28" s="60">
        <f>IF(COUNT(G29:G29)=0,"",SUM(G29:G29))</f>
        <v>3</v>
      </c>
      <c r="H28" s="60">
        <f>IF(COUNT(H29:H29)=0,"",SUM(H29:H29))</f>
        <v>2.3333333333333335</v>
      </c>
      <c r="I28" s="60">
        <f>IF(COUNT(I29:I29)=0,"",SUM(I29:I29))</f>
        <v>3</v>
      </c>
      <c r="J28" s="60">
        <f>IF(COUNT(J29:J29)=0,"",SUM(J29:J29))</f>
        <v>2</v>
      </c>
      <c r="K28" s="60">
        <f>IF(COUNT(K29:K29)=0,"",SUM(K29:K29))</f>
        <v>3</v>
      </c>
      <c r="L28" s="60">
        <f>IF(COUNT(L29:L29)=0,"",SUM(L29:L29))</f>
        <v>3</v>
      </c>
    </row>
    <row r="29" spans="1:12" x14ac:dyDescent="0.3">
      <c r="A29" s="61" t="s">
        <v>207</v>
      </c>
      <c r="B29" s="62">
        <f>IFERROR(AVERAGE('2022'!H120:S120),"")</f>
        <v>3</v>
      </c>
      <c r="C29" s="62">
        <f>IFERROR(AVERAGE('2022'!H121:S121),"")</f>
        <v>3</v>
      </c>
      <c r="D29" s="62">
        <f>IFERROR(AVERAGE('2023'!G170:R170),0)+IFERROR(AVERAGE('2023'!G172:R172),0)</f>
        <v>3</v>
      </c>
      <c r="E29" s="62">
        <f>IFERROR(AVERAGE('2023'!G171:R171),0)+IFERROR(AVERAGE('2023'!G173:R173),0)</f>
        <v>3</v>
      </c>
      <c r="F29" s="62">
        <f>IFERROR(AVERAGE('2024'!G165:R165),"")</f>
        <v>3</v>
      </c>
      <c r="G29" s="62">
        <f>IFERROR(AVERAGE('2024'!G166:R166),"")</f>
        <v>3</v>
      </c>
      <c r="H29" s="62">
        <f>IFERROR(AVERAGE('2025'!G135:R135),"")</f>
        <v>2.3333333333333335</v>
      </c>
      <c r="I29" s="62">
        <f>IFERROR(AVERAGE('2025'!G136:R136),"")</f>
        <v>3</v>
      </c>
      <c r="J29" s="62">
        <f>IFERROR(AVERAGE('2026'!G130:K130),"")</f>
        <v>2</v>
      </c>
      <c r="K29" s="62">
        <f>IFERROR(AVERAGE('2026'!G131:K131),"")</f>
        <v>3</v>
      </c>
      <c r="L29" s="62">
        <f>IFERROR(AVERAGE('2026'!G131:R131),"")</f>
        <v>3</v>
      </c>
    </row>
    <row r="30" spans="1:12" x14ac:dyDescent="0.3">
      <c r="A30" s="59" t="s">
        <v>154</v>
      </c>
      <c r="B30" s="60" t="str">
        <f t="shared" ref="B30:I30" si="4">IF(COUNT(B31:B32)=0,"",SUM(B31:B32))</f>
        <v/>
      </c>
      <c r="C30" s="60" t="str">
        <f t="shared" si="4"/>
        <v/>
      </c>
      <c r="D30" s="60">
        <f t="shared" si="4"/>
        <v>12.5</v>
      </c>
      <c r="E30" s="60">
        <f t="shared" si="4"/>
        <v>14.583333333333334</v>
      </c>
      <c r="F30" s="60">
        <f t="shared" si="4"/>
        <v>33.333333333333336</v>
      </c>
      <c r="G30" s="60">
        <f t="shared" si="4"/>
        <v>34</v>
      </c>
      <c r="H30" s="60">
        <f t="shared" si="4"/>
        <v>34</v>
      </c>
      <c r="I30" s="60">
        <f t="shared" si="4"/>
        <v>34</v>
      </c>
      <c r="J30" s="60">
        <f>IF(COUNT(J31:J32)=0,"",SUM(J31:J32))</f>
        <v>35</v>
      </c>
      <c r="K30" s="60">
        <f>IF(COUNT(K31:K32)=0,"",SUM(K31:K32))</f>
        <v>35</v>
      </c>
      <c r="L30" s="60">
        <f>IF(COUNT(L31:L32)=0,"",SUM(L31:L32))</f>
        <v>35</v>
      </c>
    </row>
    <row r="31" spans="1:12" x14ac:dyDescent="0.3">
      <c r="A31" s="61" t="s">
        <v>211</v>
      </c>
      <c r="B31" s="62"/>
      <c r="C31" s="62"/>
      <c r="D31" s="62"/>
      <c r="E31" s="62"/>
      <c r="F31" s="62">
        <f>IFERROR(AVERAGE('2024'!G167:R167),"")</f>
        <v>33.333333333333336</v>
      </c>
      <c r="G31" s="62">
        <f>IFERROR(AVERAGE('2024'!G168:R168),"")</f>
        <v>34</v>
      </c>
      <c r="H31" s="62">
        <f>IFERROR(AVERAGE('2025'!G137:R137),"")</f>
        <v>34</v>
      </c>
      <c r="I31" s="62">
        <f>IFERROR(AVERAGE('2025'!G138:R138),"")</f>
        <v>34</v>
      </c>
      <c r="J31" s="62">
        <f>IFERROR(AVERAGE('2026'!G132:K132),"")</f>
        <v>35</v>
      </c>
      <c r="K31" s="62">
        <f>IFERROR(AVERAGE('2026'!G133:K133),"")</f>
        <v>35</v>
      </c>
      <c r="L31" s="62">
        <f>IFERROR(AVERAGE('2026'!G133:R133),"")</f>
        <v>35</v>
      </c>
    </row>
    <row r="32" spans="1:12" x14ac:dyDescent="0.3">
      <c r="A32" s="61" t="s">
        <v>225</v>
      </c>
      <c r="B32" s="62"/>
      <c r="C32" s="62"/>
      <c r="D32" s="62">
        <f>IFERROR(AVERAGE('2023'!G174:R174),"")</f>
        <v>12.5</v>
      </c>
      <c r="E32" s="62">
        <f>IFERROR(AVERAGE('2023'!G175:R175),"")</f>
        <v>14.583333333333334</v>
      </c>
      <c r="F32" s="62"/>
      <c r="G32" s="62"/>
      <c r="H32" s="62"/>
      <c r="I32" s="62"/>
      <c r="J32" s="62"/>
      <c r="K32" s="62"/>
      <c r="L32" s="62"/>
    </row>
    <row r="33" spans="1:12" x14ac:dyDescent="0.3">
      <c r="A33" s="59" t="s">
        <v>75</v>
      </c>
      <c r="B33" s="60" t="str">
        <f t="shared" ref="B33:I33" si="5">IF(COUNT(B34:B35)=0,"",SUM(B34:B35))</f>
        <v/>
      </c>
      <c r="C33" s="60" t="str">
        <f t="shared" si="5"/>
        <v/>
      </c>
      <c r="D33" s="60" t="str">
        <f t="shared" si="5"/>
        <v/>
      </c>
      <c r="E33" s="60" t="str">
        <f t="shared" si="5"/>
        <v/>
      </c>
      <c r="F33" s="60" t="str">
        <f t="shared" si="5"/>
        <v/>
      </c>
      <c r="G33" s="60" t="str">
        <f t="shared" si="5"/>
        <v/>
      </c>
      <c r="H33" s="60">
        <f t="shared" si="5"/>
        <v>11.791666666666668</v>
      </c>
      <c r="I33" s="60">
        <f t="shared" si="5"/>
        <v>14.083333333333332</v>
      </c>
      <c r="J33" s="60">
        <f>IF(COUNT(J34:J35)=0,"",SUM(J34:J35))</f>
        <v>11.2</v>
      </c>
      <c r="K33" s="60">
        <f>IF(COUNT(K34:K35)=0,"",SUM(K34:K35))</f>
        <v>10</v>
      </c>
      <c r="L33" s="60">
        <f>IF(COUNT(L34:L35)=0,"",SUM(L34:L35))</f>
        <v>10</v>
      </c>
    </row>
    <row r="34" spans="1:12" x14ac:dyDescent="0.3">
      <c r="A34" s="61" t="s">
        <v>222</v>
      </c>
      <c r="B34" s="62"/>
      <c r="C34" s="62"/>
      <c r="D34" s="62"/>
      <c r="E34" s="62"/>
      <c r="F34" s="62"/>
      <c r="G34" s="62"/>
      <c r="H34" s="62">
        <f>IFERROR(AVERAGE('2025'!G139:R139),"")</f>
        <v>4.375</v>
      </c>
      <c r="I34" s="62">
        <f>IFERROR(AVERAGE('2025'!G140:R140),"")</f>
        <v>6.083333333333333</v>
      </c>
      <c r="J34" s="62">
        <f>IFERROR(AVERAGE('2026'!G134:K134),"")</f>
        <v>5</v>
      </c>
      <c r="K34" s="62">
        <f>IFERROR(AVERAGE('2026'!G135:K135),"")</f>
        <v>5</v>
      </c>
      <c r="L34" s="62">
        <f>IFERROR(AVERAGE('2026'!G135:R135),"")</f>
        <v>5</v>
      </c>
    </row>
    <row r="35" spans="1:12" x14ac:dyDescent="0.3">
      <c r="A35" s="61" t="s">
        <v>223</v>
      </c>
      <c r="B35" s="62"/>
      <c r="C35" s="62"/>
      <c r="D35" s="62"/>
      <c r="E35" s="62"/>
      <c r="F35" s="62"/>
      <c r="G35" s="62"/>
      <c r="H35" s="62">
        <f>IFERROR(AVERAGE('2025'!G141:R141),"")</f>
        <v>7.416666666666667</v>
      </c>
      <c r="I35" s="62">
        <f>IFERROR(AVERAGE('2025'!G142:R142),"")</f>
        <v>8</v>
      </c>
      <c r="J35" s="62">
        <f>IFERROR(AVERAGE('2026'!G136:K136),"")</f>
        <v>6.2</v>
      </c>
      <c r="K35" s="62">
        <f>IFERROR(AVERAGE('2026'!G137:K137),"")</f>
        <v>5</v>
      </c>
      <c r="L35" s="62">
        <f>IFERROR(AVERAGE('2026'!G137:R137),"")</f>
        <v>5</v>
      </c>
    </row>
    <row r="36" spans="1:12" x14ac:dyDescent="0.3">
      <c r="A36" s="59" t="s">
        <v>113</v>
      </c>
      <c r="B36" s="60">
        <f t="shared" ref="B36:I36" si="6">IF(COUNT(B37:B41)=0,"",SUM(B37:B41))</f>
        <v>14.49</v>
      </c>
      <c r="C36" s="60">
        <f t="shared" si="6"/>
        <v>14</v>
      </c>
      <c r="D36" s="60">
        <f t="shared" si="6"/>
        <v>16.284166666666668</v>
      </c>
      <c r="E36" s="60">
        <f t="shared" si="6"/>
        <v>15</v>
      </c>
      <c r="F36" s="60">
        <f t="shared" si="6"/>
        <v>14.083333333333332</v>
      </c>
      <c r="G36" s="60">
        <f t="shared" si="6"/>
        <v>11.25</v>
      </c>
      <c r="H36" s="60" t="str">
        <f t="shared" si="6"/>
        <v/>
      </c>
      <c r="I36" s="60" t="str">
        <f t="shared" si="6"/>
        <v/>
      </c>
      <c r="J36" s="60" t="str">
        <f>IF(COUNT(J37:J41)=0,"",SUM(J37:J41))</f>
        <v/>
      </c>
      <c r="K36" s="60" t="str">
        <f>IF(COUNT(K37:K41)=0,"",SUM(K37:K41))</f>
        <v/>
      </c>
      <c r="L36" s="60" t="str">
        <f>IF(COUNT(L37:L41)=0,"",SUM(L37:L41))</f>
        <v/>
      </c>
    </row>
    <row r="37" spans="1:12" x14ac:dyDescent="0.3">
      <c r="A37" s="61" t="s">
        <v>181</v>
      </c>
      <c r="B37" s="62">
        <f>IFERROR(AVERAGE('2022'!H104:S104),"")</f>
        <v>1</v>
      </c>
      <c r="C37" s="62">
        <f>IFERROR(AVERAGE('2022'!H105:S105),"")</f>
        <v>1</v>
      </c>
      <c r="D37" s="62">
        <f>IFERROR(AVERAGE('2023'!G130:R130),0)+IFERROR(AVERAGE('2023'!G132:R132),0)</f>
        <v>1.6500000000000001</v>
      </c>
      <c r="E37" s="62">
        <f>IFERROR(AVERAGE('2023'!G131:R131),0)+IFERROR(AVERAGE('2023'!G133:R133),0)</f>
        <v>2</v>
      </c>
      <c r="F37" s="62">
        <f>IFERROR(AVERAGE('2024'!G134:R134),"")</f>
        <v>1</v>
      </c>
      <c r="G37" s="62">
        <f>IFERROR(AVERAGE('2024'!G135:R135),"")</f>
        <v>1</v>
      </c>
      <c r="H37" s="62"/>
      <c r="I37" s="62"/>
      <c r="J37" s="62"/>
      <c r="K37" s="62"/>
      <c r="L37" s="62"/>
    </row>
    <row r="38" spans="1:12" x14ac:dyDescent="0.3">
      <c r="A38" s="61" t="s">
        <v>183</v>
      </c>
      <c r="B38" s="62"/>
      <c r="C38" s="62"/>
      <c r="D38" s="62">
        <f>IFERROR(AVERAGE('2023'!G134:R134),0)+IFERROR(AVERAGE('2023'!G136:R136),0)</f>
        <v>0.83333333333333337</v>
      </c>
      <c r="E38" s="62">
        <f>IFERROR(AVERAGE('2023'!G135:R135),0)+IFERROR(AVERAGE('2023'!G137:R137),0)</f>
        <v>1</v>
      </c>
      <c r="F38" s="62">
        <f>IFERROR(AVERAGE('2024'!G136:R136),"")</f>
        <v>1</v>
      </c>
      <c r="G38" s="62">
        <f>IFERROR(AVERAGE('2024'!G137:R137),"")</f>
        <v>1</v>
      </c>
      <c r="H38" s="62"/>
      <c r="I38" s="62"/>
      <c r="J38" s="62"/>
      <c r="K38" s="62"/>
      <c r="L38" s="62"/>
    </row>
    <row r="39" spans="1:12" x14ac:dyDescent="0.3">
      <c r="A39" s="61" t="s">
        <v>222</v>
      </c>
      <c r="B39" s="62">
        <f>IFERROR(AVERAGE('2022'!H108:S108),"")</f>
        <v>1.75</v>
      </c>
      <c r="C39" s="62">
        <f>IFERROR(AVERAGE('2022'!H109:S109),"")</f>
        <v>3</v>
      </c>
      <c r="D39" s="62">
        <f>IFERROR(AVERAGE('2023'!G142:R142),0)+IFERROR(AVERAGE('2023'!G144:R144),0)</f>
        <v>2.75</v>
      </c>
      <c r="E39" s="62">
        <f>IFERROR(AVERAGE('2023'!G143:R143),0)+IFERROR(AVERAGE('2023'!G145:R145),0)</f>
        <v>3</v>
      </c>
      <c r="F39" s="62">
        <f>IFERROR(AVERAGE('2024'!G138:R138),"")</f>
        <v>4.583333333333333</v>
      </c>
      <c r="G39" s="62">
        <f>IFERROR(AVERAGE('2024'!G139:R139),"")</f>
        <v>3</v>
      </c>
      <c r="H39" s="62"/>
      <c r="I39" s="62"/>
      <c r="J39" s="62"/>
      <c r="K39" s="62"/>
      <c r="L39" s="62"/>
    </row>
    <row r="40" spans="1:12" x14ac:dyDescent="0.3">
      <c r="A40" s="61" t="s">
        <v>224</v>
      </c>
      <c r="B40" s="62">
        <f>IFERROR(AVERAGE('2022'!H110:S110),"")</f>
        <v>9.8333333333333339</v>
      </c>
      <c r="C40" s="62">
        <f>IFERROR(AVERAGE('2022'!H111:S111),"")</f>
        <v>9</v>
      </c>
      <c r="D40" s="62">
        <f>IFERROR(AVERAGE('2023'!G146:R146),0)+IFERROR(AVERAGE('2023'!G148:R148),0)</f>
        <v>11.050833333333335</v>
      </c>
      <c r="E40" s="62">
        <f>IFERROR(AVERAGE('2023'!G147:R147),0)+IFERROR(AVERAGE('2023'!G149:R149),0)</f>
        <v>9</v>
      </c>
      <c r="F40" s="62">
        <f>IFERROR(AVERAGE('2024'!G140:R140),"")</f>
        <v>7.5</v>
      </c>
      <c r="G40" s="62">
        <f>IFERROR(AVERAGE('2024'!G141:R141),"")</f>
        <v>6.25</v>
      </c>
      <c r="H40" s="62"/>
      <c r="I40" s="62"/>
      <c r="J40" s="62"/>
      <c r="K40" s="62"/>
      <c r="L40" s="62"/>
    </row>
    <row r="41" spans="1:12" x14ac:dyDescent="0.3">
      <c r="A41" s="61" t="s">
        <v>184</v>
      </c>
      <c r="B41" s="62">
        <f>IFERROR(AVERAGE('2022'!H106:S106),"")</f>
        <v>1.906666666666667</v>
      </c>
      <c r="C41" s="62">
        <f>IFERROR(AVERAGE('2022'!H107:S107),"")</f>
        <v>1</v>
      </c>
      <c r="D41" s="62">
        <f>IFERROR(AVERAGE('2023'!G138:R138),0)+IFERROR(AVERAGE('2023'!G140:R140),0)</f>
        <v>0</v>
      </c>
      <c r="E41" s="62">
        <f>IFERROR(AVERAGE('2023'!G139:R139),0)+IFERROR(AVERAGE('2023'!G141:R141),0)</f>
        <v>0</v>
      </c>
      <c r="F41" s="62"/>
      <c r="G41" s="62"/>
      <c r="H41" s="62"/>
      <c r="I41" s="62"/>
      <c r="J41" s="62"/>
      <c r="K41" s="62"/>
      <c r="L41" s="62"/>
    </row>
    <row r="42" spans="1:12" x14ac:dyDescent="0.3">
      <c r="A42" s="59" t="s">
        <v>130</v>
      </c>
      <c r="B42" s="60">
        <f t="shared" ref="B42:I42" si="7">IF(COUNT(B43:B44)=0,"",SUM(B43:B44))</f>
        <v>37</v>
      </c>
      <c r="C42" s="60">
        <f t="shared" si="7"/>
        <v>49</v>
      </c>
      <c r="D42" s="60">
        <f t="shared" si="7"/>
        <v>20.75</v>
      </c>
      <c r="E42" s="60">
        <f t="shared" si="7"/>
        <v>22.416666666666668</v>
      </c>
      <c r="F42" s="60" t="str">
        <f t="shared" si="7"/>
        <v/>
      </c>
      <c r="G42" s="60" t="str">
        <f t="shared" si="7"/>
        <v/>
      </c>
      <c r="H42" s="60" t="str">
        <f t="shared" si="7"/>
        <v/>
      </c>
      <c r="I42" s="60" t="str">
        <f t="shared" si="7"/>
        <v/>
      </c>
      <c r="J42" s="60" t="str">
        <f>IF(COUNT(J43:J44)=0,"",SUM(J43:J44))</f>
        <v/>
      </c>
      <c r="K42" s="60" t="str">
        <f>IF(COUNT(K43:K44)=0,"",SUM(K43:K44))</f>
        <v/>
      </c>
      <c r="L42" s="60" t="str">
        <f>IF(COUNT(L43:L44)=0,"",SUM(L43:L44))</f>
        <v/>
      </c>
    </row>
    <row r="43" spans="1:12" x14ac:dyDescent="0.3">
      <c r="A43" s="61" t="s">
        <v>227</v>
      </c>
      <c r="B43" s="62"/>
      <c r="C43" s="62"/>
      <c r="D43" s="62">
        <f>IFERROR(AVERAGE('2023'!G176:R176),0)+IFERROR(AVERAGE('2023'!G178:R178),0)</f>
        <v>2</v>
      </c>
      <c r="E43" s="62">
        <f>IFERROR(AVERAGE('2023'!G177:R177),0)+IFERROR(AVERAGE('2023'!G179:R179),0)</f>
        <v>2</v>
      </c>
      <c r="F43" s="62"/>
      <c r="G43" s="62"/>
      <c r="H43" s="62"/>
      <c r="I43" s="62"/>
      <c r="J43" s="62"/>
      <c r="K43" s="62"/>
      <c r="L43" s="62"/>
    </row>
    <row r="44" spans="1:12" x14ac:dyDescent="0.3">
      <c r="A44" s="61" t="s">
        <v>225</v>
      </c>
      <c r="B44" s="62">
        <f>IFERROR(AVERAGE('2022'!H122:S122),"")</f>
        <v>37</v>
      </c>
      <c r="C44" s="62">
        <f>IFERROR(AVERAGE('2022'!H123:S123),"")</f>
        <v>49</v>
      </c>
      <c r="D44" s="62">
        <f>IFERROR(AVERAGE('2023'!G180:R180),0)+IFERROR(AVERAGE('2023'!G182:R182),0)</f>
        <v>18.75</v>
      </c>
      <c r="E44" s="62">
        <f>IFERROR(AVERAGE('2023'!G181:R181),0)+IFERROR(AVERAGE('2023'!G183:R183),0)</f>
        <v>20.416666666666668</v>
      </c>
      <c r="F44" s="62"/>
      <c r="G44" s="62"/>
      <c r="H44" s="62"/>
      <c r="I44" s="62"/>
      <c r="J44" s="62"/>
      <c r="K44" s="62"/>
      <c r="L44" s="62"/>
    </row>
    <row r="45" spans="1:12" x14ac:dyDescent="0.3">
      <c r="A45" s="63" t="s">
        <v>232</v>
      </c>
      <c r="B45" s="64">
        <f t="shared" ref="B45:L45" si="8">N(B6)+N(B8)+N(B11)+N(B15)+N(B17)+N(B22)+N(B28)+N(B30)+N(B33)+N(B36)+N(B42)</f>
        <v>119.49</v>
      </c>
      <c r="C45" s="64">
        <f t="shared" si="8"/>
        <v>131.08333333333331</v>
      </c>
      <c r="D45" s="64">
        <f t="shared" si="8"/>
        <v>148.78416666666666</v>
      </c>
      <c r="E45" s="64">
        <f t="shared" si="8"/>
        <v>150.74999999999997</v>
      </c>
      <c r="F45" s="64">
        <f t="shared" si="8"/>
        <v>119.72083333333335</v>
      </c>
      <c r="G45" s="64">
        <f t="shared" si="8"/>
        <v>116.25</v>
      </c>
      <c r="H45" s="64">
        <f t="shared" si="8"/>
        <v>86.041666666666671</v>
      </c>
      <c r="I45" s="64">
        <f t="shared" si="8"/>
        <v>101.08333333333333</v>
      </c>
      <c r="J45" s="64">
        <f t="shared" si="8"/>
        <v>89.8</v>
      </c>
      <c r="K45" s="64">
        <f t="shared" si="8"/>
        <v>92.8</v>
      </c>
      <c r="L45" s="64">
        <f t="shared" si="8"/>
        <v>92.5</v>
      </c>
    </row>
    <row r="47" spans="1:12" x14ac:dyDescent="0.3">
      <c r="A47" s="57" t="s">
        <v>234</v>
      </c>
    </row>
  </sheetData>
  <mergeCells count="6">
    <mergeCell ref="J4:K4"/>
    <mergeCell ref="A4:A5"/>
    <mergeCell ref="B4:C4"/>
    <mergeCell ref="D4:E4"/>
    <mergeCell ref="F4:G4"/>
    <mergeCell ref="H4:I4"/>
  </mergeCells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0ADD-1D14-49AF-BCF9-BD126F8E88BD}">
  <dimension ref="B1:U263"/>
  <sheetViews>
    <sheetView topLeftCell="A111" workbookViewId="0">
      <selection activeCell="C118" sqref="C118:D119"/>
    </sheetView>
  </sheetViews>
  <sheetFormatPr baseColWidth="10" defaultRowHeight="14.4" x14ac:dyDescent="0.3"/>
  <cols>
    <col min="1" max="1" width="3.77734375" style="14" customWidth="1"/>
    <col min="2" max="2" width="13.77734375" style="14" customWidth="1"/>
    <col min="3" max="3" width="4.6640625" style="14" customWidth="1"/>
    <col min="4" max="4" width="9.109375" style="14" customWidth="1"/>
    <col min="5" max="5" width="12.109375" style="14" customWidth="1"/>
    <col min="6" max="9" width="13.77734375" style="14" customWidth="1"/>
    <col min="10" max="10" width="13.77734375" style="29" customWidth="1"/>
    <col min="11" max="18" width="13.77734375" style="14" customWidth="1"/>
    <col min="19" max="19" width="4.77734375" style="14" customWidth="1"/>
    <col min="20" max="20" width="2.5546875" style="14" customWidth="1"/>
    <col min="21" max="21" width="13.77734375" style="14" customWidth="1"/>
    <col min="22" max="16384" width="11.5546875" style="14"/>
  </cols>
  <sheetData>
    <row r="1" spans="2:21" ht="36" customHeight="1" x14ac:dyDescent="0.3">
      <c r="B1" s="85" t="s">
        <v>0</v>
      </c>
      <c r="C1" s="72"/>
      <c r="D1" s="72"/>
      <c r="E1" s="72"/>
      <c r="F1" s="72"/>
      <c r="G1" s="72"/>
    </row>
    <row r="2" spans="2:21" ht="7.2" customHeight="1" x14ac:dyDescent="0.3"/>
    <row r="3" spans="2:21" x14ac:dyDescent="0.3">
      <c r="B3" s="83" t="s">
        <v>1</v>
      </c>
      <c r="C3" s="73"/>
      <c r="D3" s="73"/>
      <c r="E3" s="73"/>
      <c r="F3" s="16" t="s">
        <v>2</v>
      </c>
      <c r="G3" s="17">
        <v>420</v>
      </c>
      <c r="H3" s="17">
        <v>419</v>
      </c>
      <c r="I3" s="17">
        <v>420</v>
      </c>
      <c r="J3" s="31">
        <v>415</v>
      </c>
      <c r="K3" s="17">
        <v>408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U3" s="14">
        <f>+AVERAGE(G3:K3)</f>
        <v>416.4</v>
      </c>
    </row>
    <row r="4" spans="2:21" x14ac:dyDescent="0.3">
      <c r="F4" s="16" t="s">
        <v>3</v>
      </c>
      <c r="G4" s="17">
        <v>443</v>
      </c>
      <c r="H4" s="17">
        <v>443</v>
      </c>
      <c r="I4" s="17">
        <v>443</v>
      </c>
      <c r="J4" s="31">
        <v>443</v>
      </c>
      <c r="K4" s="17">
        <v>443</v>
      </c>
      <c r="L4" s="17">
        <v>443</v>
      </c>
      <c r="M4" s="17">
        <v>443</v>
      </c>
      <c r="N4" s="17">
        <v>443</v>
      </c>
      <c r="O4" s="17">
        <v>443</v>
      </c>
      <c r="P4" s="17">
        <v>443</v>
      </c>
      <c r="Q4" s="17">
        <v>443</v>
      </c>
      <c r="R4" s="17">
        <v>443</v>
      </c>
      <c r="U4" s="14">
        <f t="shared" ref="U4:U67" si="0">+AVERAGE(G4:K4)</f>
        <v>443</v>
      </c>
    </row>
    <row r="5" spans="2:21" ht="4.95" customHeight="1" x14ac:dyDescent="0.3">
      <c r="U5" s="14" t="e">
        <f t="shared" si="0"/>
        <v>#DIV/0!</v>
      </c>
    </row>
    <row r="6" spans="2:21" x14ac:dyDescent="0.3">
      <c r="B6" s="78" t="s">
        <v>4</v>
      </c>
      <c r="C6" s="73"/>
      <c r="D6" s="84" t="s">
        <v>5</v>
      </c>
      <c r="E6" s="73"/>
      <c r="F6" s="20" t="s">
        <v>6</v>
      </c>
      <c r="G6" s="21" t="s">
        <v>235</v>
      </c>
      <c r="H6" s="21" t="s">
        <v>236</v>
      </c>
      <c r="I6" s="21" t="s">
        <v>237</v>
      </c>
      <c r="J6" s="35" t="s">
        <v>238</v>
      </c>
      <c r="K6" s="21" t="s">
        <v>239</v>
      </c>
      <c r="L6" s="21" t="s">
        <v>240</v>
      </c>
      <c r="M6" s="21" t="s">
        <v>241</v>
      </c>
      <c r="N6" s="21" t="s">
        <v>242</v>
      </c>
      <c r="O6" s="21" t="s">
        <v>243</v>
      </c>
      <c r="P6" s="21" t="s">
        <v>244</v>
      </c>
      <c r="Q6" s="21" t="s">
        <v>245</v>
      </c>
      <c r="R6" s="21" t="s">
        <v>246</v>
      </c>
      <c r="U6" s="14" t="e">
        <f t="shared" si="0"/>
        <v>#DIV/0!</v>
      </c>
    </row>
    <row r="7" spans="2:21" x14ac:dyDescent="0.3">
      <c r="B7" s="75" t="s">
        <v>26</v>
      </c>
      <c r="C7" s="72"/>
      <c r="D7" s="75" t="s">
        <v>26</v>
      </c>
      <c r="E7" s="72"/>
      <c r="F7" s="22" t="s">
        <v>2</v>
      </c>
      <c r="G7" s="23">
        <v>15</v>
      </c>
      <c r="H7" s="23">
        <v>15</v>
      </c>
      <c r="I7" s="23">
        <v>15</v>
      </c>
      <c r="J7" s="37">
        <v>15</v>
      </c>
      <c r="K7" s="23">
        <v>15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U7" s="14">
        <f t="shared" si="0"/>
        <v>15</v>
      </c>
    </row>
    <row r="8" spans="2:21" x14ac:dyDescent="0.3">
      <c r="B8" s="76"/>
      <c r="C8" s="73"/>
      <c r="D8" s="76"/>
      <c r="E8" s="73"/>
      <c r="F8" s="22" t="s">
        <v>3</v>
      </c>
      <c r="G8" s="23">
        <v>15</v>
      </c>
      <c r="H8" s="23">
        <v>15</v>
      </c>
      <c r="I8" s="23">
        <v>15</v>
      </c>
      <c r="J8" s="37">
        <v>15</v>
      </c>
      <c r="K8" s="23">
        <v>15</v>
      </c>
      <c r="L8" s="23">
        <v>15</v>
      </c>
      <c r="M8" s="23">
        <v>15</v>
      </c>
      <c r="N8" s="23">
        <v>15</v>
      </c>
      <c r="O8" s="23">
        <v>15</v>
      </c>
      <c r="P8" s="23">
        <v>15</v>
      </c>
      <c r="Q8" s="23">
        <v>15</v>
      </c>
      <c r="R8" s="23">
        <v>15</v>
      </c>
      <c r="U8" s="14">
        <f t="shared" si="0"/>
        <v>15</v>
      </c>
    </row>
    <row r="9" spans="2:21" x14ac:dyDescent="0.3">
      <c r="B9" s="75" t="s">
        <v>27</v>
      </c>
      <c r="C9" s="72"/>
      <c r="D9" s="75" t="s">
        <v>27</v>
      </c>
      <c r="E9" s="72"/>
      <c r="F9" s="22" t="s">
        <v>2</v>
      </c>
      <c r="G9" s="23">
        <v>3</v>
      </c>
      <c r="H9" s="23">
        <v>3</v>
      </c>
      <c r="I9" s="23">
        <v>3</v>
      </c>
      <c r="J9" s="37">
        <v>3</v>
      </c>
      <c r="K9" s="23">
        <v>3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U9" s="14">
        <f t="shared" si="0"/>
        <v>3</v>
      </c>
    </row>
    <row r="10" spans="2:21" x14ac:dyDescent="0.3">
      <c r="B10" s="76"/>
      <c r="C10" s="73"/>
      <c r="D10" s="76"/>
      <c r="E10" s="73"/>
      <c r="F10" s="22" t="s">
        <v>3</v>
      </c>
      <c r="G10" s="23">
        <v>3</v>
      </c>
      <c r="H10" s="23">
        <v>3</v>
      </c>
      <c r="I10" s="23">
        <v>3</v>
      </c>
      <c r="J10" s="37">
        <v>3</v>
      </c>
      <c r="K10" s="23">
        <v>3</v>
      </c>
      <c r="L10" s="23">
        <v>3</v>
      </c>
      <c r="M10" s="23">
        <v>3</v>
      </c>
      <c r="N10" s="23">
        <v>3</v>
      </c>
      <c r="O10" s="23">
        <v>3</v>
      </c>
      <c r="P10" s="23">
        <v>3</v>
      </c>
      <c r="Q10" s="23">
        <v>3</v>
      </c>
      <c r="R10" s="23">
        <v>3</v>
      </c>
      <c r="U10" s="14">
        <f t="shared" si="0"/>
        <v>3</v>
      </c>
    </row>
    <row r="11" spans="2:21" x14ac:dyDescent="0.3">
      <c r="B11" s="75" t="s">
        <v>28</v>
      </c>
      <c r="C11" s="72"/>
      <c r="D11" s="75" t="s">
        <v>28</v>
      </c>
      <c r="E11" s="72"/>
      <c r="F11" s="22" t="s">
        <v>2</v>
      </c>
      <c r="G11" s="23">
        <v>2</v>
      </c>
      <c r="H11" s="23">
        <v>2</v>
      </c>
      <c r="I11" s="23">
        <v>2</v>
      </c>
      <c r="J11" s="37">
        <v>2</v>
      </c>
      <c r="K11" s="23">
        <v>2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U11" s="14">
        <f t="shared" si="0"/>
        <v>2</v>
      </c>
    </row>
    <row r="12" spans="2:21" x14ac:dyDescent="0.3">
      <c r="B12" s="76"/>
      <c r="C12" s="73"/>
      <c r="D12" s="76"/>
      <c r="E12" s="73"/>
      <c r="F12" s="22" t="s">
        <v>3</v>
      </c>
      <c r="G12" s="23">
        <v>2</v>
      </c>
      <c r="H12" s="23">
        <v>2</v>
      </c>
      <c r="I12" s="23">
        <v>2</v>
      </c>
      <c r="J12" s="37">
        <v>2</v>
      </c>
      <c r="K12" s="23">
        <v>2</v>
      </c>
      <c r="L12" s="23">
        <v>2</v>
      </c>
      <c r="M12" s="23">
        <v>2</v>
      </c>
      <c r="N12" s="23">
        <v>2</v>
      </c>
      <c r="O12" s="23">
        <v>2</v>
      </c>
      <c r="P12" s="23">
        <v>2</v>
      </c>
      <c r="Q12" s="23">
        <v>2</v>
      </c>
      <c r="R12" s="23">
        <v>2</v>
      </c>
      <c r="U12" s="14">
        <f t="shared" si="0"/>
        <v>2</v>
      </c>
    </row>
    <row r="13" spans="2:21" x14ac:dyDescent="0.3">
      <c r="B13" s="75" t="s">
        <v>29</v>
      </c>
      <c r="C13" s="72"/>
      <c r="D13" s="75" t="s">
        <v>30</v>
      </c>
      <c r="E13" s="72"/>
      <c r="F13" s="22" t="s">
        <v>2</v>
      </c>
      <c r="G13" s="23">
        <v>5</v>
      </c>
      <c r="H13" s="23">
        <v>5</v>
      </c>
      <c r="I13" s="23">
        <v>5</v>
      </c>
      <c r="J13" s="37">
        <v>5</v>
      </c>
      <c r="K13" s="23">
        <v>5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U13" s="14">
        <f t="shared" si="0"/>
        <v>5</v>
      </c>
    </row>
    <row r="14" spans="2:21" x14ac:dyDescent="0.3">
      <c r="B14" s="81"/>
      <c r="C14" s="72"/>
      <c r="D14" s="76"/>
      <c r="E14" s="73"/>
      <c r="F14" s="22" t="s">
        <v>3</v>
      </c>
      <c r="G14" s="23">
        <v>5</v>
      </c>
      <c r="H14" s="23">
        <v>5</v>
      </c>
      <c r="I14" s="23">
        <v>5</v>
      </c>
      <c r="J14" s="37">
        <v>5</v>
      </c>
      <c r="K14" s="23">
        <v>5</v>
      </c>
      <c r="L14" s="23">
        <v>5</v>
      </c>
      <c r="M14" s="23">
        <v>5</v>
      </c>
      <c r="N14" s="23">
        <v>5</v>
      </c>
      <c r="O14" s="23">
        <v>5</v>
      </c>
      <c r="P14" s="23">
        <v>5</v>
      </c>
      <c r="Q14" s="23">
        <v>5</v>
      </c>
      <c r="R14" s="23">
        <v>5</v>
      </c>
      <c r="U14" s="14">
        <f t="shared" si="0"/>
        <v>5</v>
      </c>
    </row>
    <row r="15" spans="2:21" x14ac:dyDescent="0.3">
      <c r="B15" s="81"/>
      <c r="C15" s="72"/>
      <c r="D15" s="75" t="s">
        <v>31</v>
      </c>
      <c r="E15" s="72"/>
      <c r="F15" s="22" t="s">
        <v>2</v>
      </c>
      <c r="G15" s="23">
        <v>5</v>
      </c>
      <c r="H15" s="23">
        <v>5</v>
      </c>
      <c r="I15" s="23">
        <v>5</v>
      </c>
      <c r="J15" s="37">
        <v>5</v>
      </c>
      <c r="K15" s="23">
        <v>5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U15" s="14">
        <f t="shared" si="0"/>
        <v>5</v>
      </c>
    </row>
    <row r="16" spans="2:21" x14ac:dyDescent="0.3">
      <c r="B16" s="81"/>
      <c r="C16" s="72"/>
      <c r="D16" s="76"/>
      <c r="E16" s="73"/>
      <c r="F16" s="22" t="s">
        <v>3</v>
      </c>
      <c r="G16" s="23">
        <v>5</v>
      </c>
      <c r="H16" s="23">
        <v>5</v>
      </c>
      <c r="I16" s="23">
        <v>5</v>
      </c>
      <c r="J16" s="37">
        <v>5</v>
      </c>
      <c r="K16" s="23">
        <v>5</v>
      </c>
      <c r="L16" s="23">
        <v>5</v>
      </c>
      <c r="M16" s="23">
        <v>5</v>
      </c>
      <c r="N16" s="23">
        <v>5</v>
      </c>
      <c r="O16" s="23">
        <v>5</v>
      </c>
      <c r="P16" s="23">
        <v>5</v>
      </c>
      <c r="Q16" s="23">
        <v>5</v>
      </c>
      <c r="R16" s="23">
        <v>5</v>
      </c>
      <c r="U16" s="14">
        <f t="shared" si="0"/>
        <v>5</v>
      </c>
    </row>
    <row r="17" spans="2:21" x14ac:dyDescent="0.3">
      <c r="B17" s="81"/>
      <c r="C17" s="72"/>
      <c r="D17" s="75" t="s">
        <v>29</v>
      </c>
      <c r="E17" s="72"/>
      <c r="F17" s="22" t="s">
        <v>2</v>
      </c>
      <c r="G17" s="23">
        <v>9</v>
      </c>
      <c r="H17" s="23">
        <v>9</v>
      </c>
      <c r="I17" s="23">
        <v>9</v>
      </c>
      <c r="J17" s="37">
        <v>9</v>
      </c>
      <c r="K17" s="23">
        <v>9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U17" s="14">
        <f t="shared" si="0"/>
        <v>9</v>
      </c>
    </row>
    <row r="18" spans="2:21" x14ac:dyDescent="0.3">
      <c r="B18" s="76"/>
      <c r="C18" s="73"/>
      <c r="D18" s="76"/>
      <c r="E18" s="73"/>
      <c r="F18" s="22" t="s">
        <v>3</v>
      </c>
      <c r="G18" s="23">
        <v>9</v>
      </c>
      <c r="H18" s="23">
        <v>9</v>
      </c>
      <c r="I18" s="23">
        <v>9</v>
      </c>
      <c r="J18" s="37">
        <v>9</v>
      </c>
      <c r="K18" s="23">
        <v>9</v>
      </c>
      <c r="L18" s="23">
        <v>9</v>
      </c>
      <c r="M18" s="23">
        <v>9</v>
      </c>
      <c r="N18" s="23">
        <v>9</v>
      </c>
      <c r="O18" s="23">
        <v>9</v>
      </c>
      <c r="P18" s="23">
        <v>9</v>
      </c>
      <c r="Q18" s="23">
        <v>9</v>
      </c>
      <c r="R18" s="23">
        <v>9</v>
      </c>
      <c r="U18" s="14">
        <f t="shared" si="0"/>
        <v>9</v>
      </c>
    </row>
    <row r="19" spans="2:21" ht="14.55" customHeight="1" x14ac:dyDescent="0.3">
      <c r="B19" s="81"/>
      <c r="C19" s="72"/>
      <c r="D19" s="75" t="s">
        <v>35</v>
      </c>
      <c r="E19" s="72"/>
      <c r="F19" s="22" t="s">
        <v>2</v>
      </c>
      <c r="G19" s="23">
        <v>19</v>
      </c>
      <c r="H19" s="23">
        <v>18</v>
      </c>
      <c r="I19" s="23">
        <v>18</v>
      </c>
      <c r="J19" s="23">
        <v>17</v>
      </c>
      <c r="K19" s="23">
        <v>15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U19" s="14">
        <f t="shared" si="0"/>
        <v>17.399999999999999</v>
      </c>
    </row>
    <row r="20" spans="2:21" x14ac:dyDescent="0.3">
      <c r="B20" s="81"/>
      <c r="C20" s="72"/>
      <c r="D20" s="76"/>
      <c r="E20" s="73"/>
      <c r="F20" s="22" t="s">
        <v>3</v>
      </c>
      <c r="G20" s="23">
        <v>18</v>
      </c>
      <c r="H20" s="23">
        <v>18</v>
      </c>
      <c r="I20" s="23">
        <v>18</v>
      </c>
      <c r="J20" s="23">
        <v>18</v>
      </c>
      <c r="K20" s="23">
        <v>18</v>
      </c>
      <c r="L20" s="23">
        <v>18</v>
      </c>
      <c r="M20" s="23">
        <v>18</v>
      </c>
      <c r="N20" s="23">
        <v>18</v>
      </c>
      <c r="O20" s="23">
        <v>18</v>
      </c>
      <c r="P20" s="23">
        <v>18</v>
      </c>
      <c r="Q20" s="23">
        <v>18</v>
      </c>
      <c r="R20" s="23">
        <v>18</v>
      </c>
      <c r="U20" s="14">
        <f t="shared" si="0"/>
        <v>18</v>
      </c>
    </row>
    <row r="21" spans="2:21" ht="14.55" customHeight="1" x14ac:dyDescent="0.3">
      <c r="B21" s="81"/>
      <c r="C21" s="72"/>
      <c r="D21" s="75" t="s">
        <v>34</v>
      </c>
      <c r="E21" s="72"/>
      <c r="F21" s="22" t="s">
        <v>2</v>
      </c>
      <c r="G21" s="23">
        <v>12</v>
      </c>
      <c r="H21" s="23">
        <v>14</v>
      </c>
      <c r="I21" s="23">
        <v>13</v>
      </c>
      <c r="J21" s="23">
        <v>13</v>
      </c>
      <c r="K21" s="23">
        <v>13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U21" s="14">
        <f t="shared" si="0"/>
        <v>13</v>
      </c>
    </row>
    <row r="22" spans="2:21" x14ac:dyDescent="0.3">
      <c r="B22" s="81"/>
      <c r="C22" s="72"/>
      <c r="D22" s="76"/>
      <c r="E22" s="73"/>
      <c r="F22" s="22" t="s">
        <v>3</v>
      </c>
      <c r="G22" s="23">
        <v>15</v>
      </c>
      <c r="H22" s="23">
        <v>15</v>
      </c>
      <c r="I22" s="23">
        <v>15</v>
      </c>
      <c r="J22" s="23">
        <v>15</v>
      </c>
      <c r="K22" s="23">
        <v>15</v>
      </c>
      <c r="L22" s="23">
        <v>15</v>
      </c>
      <c r="M22" s="23">
        <v>15</v>
      </c>
      <c r="N22" s="23">
        <v>15</v>
      </c>
      <c r="O22" s="23">
        <v>15</v>
      </c>
      <c r="P22" s="23">
        <v>15</v>
      </c>
      <c r="Q22" s="23">
        <v>15</v>
      </c>
      <c r="R22" s="23">
        <v>15</v>
      </c>
      <c r="U22" s="14">
        <f t="shared" si="0"/>
        <v>15</v>
      </c>
    </row>
    <row r="23" spans="2:21" x14ac:dyDescent="0.3">
      <c r="B23" s="81"/>
      <c r="C23" s="72"/>
      <c r="D23" s="75" t="s">
        <v>36</v>
      </c>
      <c r="E23" s="72"/>
      <c r="F23" s="22" t="s">
        <v>2</v>
      </c>
      <c r="G23" s="23">
        <v>7</v>
      </c>
      <c r="H23" s="23">
        <v>8</v>
      </c>
      <c r="I23" s="23">
        <v>8</v>
      </c>
      <c r="J23" s="37">
        <v>8</v>
      </c>
      <c r="K23" s="23">
        <v>8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U23" s="14">
        <f t="shared" si="0"/>
        <v>7.8</v>
      </c>
    </row>
    <row r="24" spans="2:21" x14ac:dyDescent="0.3">
      <c r="B24" s="81"/>
      <c r="C24" s="72"/>
      <c r="D24" s="76"/>
      <c r="E24" s="73"/>
      <c r="F24" s="22" t="s">
        <v>3</v>
      </c>
      <c r="G24" s="23">
        <v>8</v>
      </c>
      <c r="H24" s="23">
        <v>8</v>
      </c>
      <c r="I24" s="23">
        <v>8</v>
      </c>
      <c r="J24" s="37">
        <v>8</v>
      </c>
      <c r="K24" s="23">
        <v>8</v>
      </c>
      <c r="L24" s="23">
        <v>8</v>
      </c>
      <c r="M24" s="23">
        <v>8</v>
      </c>
      <c r="N24" s="23">
        <v>8</v>
      </c>
      <c r="O24" s="23">
        <v>8</v>
      </c>
      <c r="P24" s="23">
        <v>8</v>
      </c>
      <c r="Q24" s="23">
        <v>8</v>
      </c>
      <c r="R24" s="23">
        <v>8</v>
      </c>
      <c r="U24" s="14">
        <f t="shared" si="0"/>
        <v>8</v>
      </c>
    </row>
    <row r="25" spans="2:21" x14ac:dyDescent="0.3">
      <c r="B25" s="81"/>
      <c r="C25" s="72"/>
      <c r="D25" s="75" t="s">
        <v>37</v>
      </c>
      <c r="E25" s="72"/>
      <c r="F25" s="22" t="s">
        <v>2</v>
      </c>
      <c r="G25" s="23">
        <v>10</v>
      </c>
      <c r="H25" s="23">
        <v>10</v>
      </c>
      <c r="I25" s="23">
        <v>10</v>
      </c>
      <c r="J25" s="37">
        <v>11</v>
      </c>
      <c r="K25" s="23">
        <v>11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U25" s="14">
        <f t="shared" si="0"/>
        <v>10.4</v>
      </c>
    </row>
    <row r="26" spans="2:21" x14ac:dyDescent="0.3">
      <c r="B26" s="76"/>
      <c r="C26" s="73"/>
      <c r="D26" s="76"/>
      <c r="E26" s="73"/>
      <c r="F26" s="22" t="s">
        <v>3</v>
      </c>
      <c r="G26" s="23">
        <v>11</v>
      </c>
      <c r="H26" s="23">
        <v>11</v>
      </c>
      <c r="I26" s="23">
        <v>11</v>
      </c>
      <c r="J26" s="37">
        <v>11</v>
      </c>
      <c r="K26" s="23">
        <v>11</v>
      </c>
      <c r="L26" s="23">
        <v>11</v>
      </c>
      <c r="M26" s="23">
        <v>11</v>
      </c>
      <c r="N26" s="23">
        <v>11</v>
      </c>
      <c r="O26" s="23">
        <v>11</v>
      </c>
      <c r="P26" s="23">
        <v>11</v>
      </c>
      <c r="Q26" s="23">
        <v>11</v>
      </c>
      <c r="R26" s="23">
        <v>11</v>
      </c>
      <c r="U26" s="14">
        <f t="shared" si="0"/>
        <v>11</v>
      </c>
    </row>
    <row r="27" spans="2:21" x14ac:dyDescent="0.3">
      <c r="B27" s="75" t="s">
        <v>38</v>
      </c>
      <c r="C27" s="72"/>
      <c r="D27" s="75" t="s">
        <v>39</v>
      </c>
      <c r="E27" s="72"/>
      <c r="F27" s="22" t="s">
        <v>2</v>
      </c>
      <c r="G27" s="23">
        <v>14</v>
      </c>
      <c r="H27" s="23">
        <v>13</v>
      </c>
      <c r="I27" s="23">
        <v>13</v>
      </c>
      <c r="J27" s="37">
        <v>12</v>
      </c>
      <c r="K27" s="23">
        <v>13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U27" s="14">
        <f t="shared" si="0"/>
        <v>13</v>
      </c>
    </row>
    <row r="28" spans="2:21" x14ac:dyDescent="0.3">
      <c r="B28" s="81"/>
      <c r="C28" s="72"/>
      <c r="D28" s="76"/>
      <c r="E28" s="73"/>
      <c r="F28" s="22" t="s">
        <v>3</v>
      </c>
      <c r="G28" s="23">
        <v>14</v>
      </c>
      <c r="H28" s="23">
        <v>14</v>
      </c>
      <c r="I28" s="23">
        <v>14</v>
      </c>
      <c r="J28" s="37">
        <v>14</v>
      </c>
      <c r="K28" s="23">
        <v>14</v>
      </c>
      <c r="L28" s="23">
        <v>14</v>
      </c>
      <c r="M28" s="23">
        <v>14</v>
      </c>
      <c r="N28" s="23">
        <v>14</v>
      </c>
      <c r="O28" s="23">
        <v>14</v>
      </c>
      <c r="P28" s="23">
        <v>14</v>
      </c>
      <c r="Q28" s="23">
        <v>14</v>
      </c>
      <c r="R28" s="23">
        <v>14</v>
      </c>
      <c r="U28" s="14">
        <f t="shared" si="0"/>
        <v>14</v>
      </c>
    </row>
    <row r="29" spans="2:21" x14ac:dyDescent="0.3">
      <c r="B29" s="81"/>
      <c r="C29" s="72"/>
      <c r="D29" s="75" t="s">
        <v>40</v>
      </c>
      <c r="E29" s="72"/>
      <c r="F29" s="22" t="s">
        <v>2</v>
      </c>
      <c r="G29" s="23">
        <v>2</v>
      </c>
      <c r="H29" s="23">
        <v>2</v>
      </c>
      <c r="I29" s="23">
        <v>2</v>
      </c>
      <c r="J29" s="37">
        <v>2</v>
      </c>
      <c r="K29" s="23">
        <v>2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U29" s="14">
        <f t="shared" si="0"/>
        <v>2</v>
      </c>
    </row>
    <row r="30" spans="2:21" x14ac:dyDescent="0.3">
      <c r="B30" s="81"/>
      <c r="C30" s="72"/>
      <c r="D30" s="76"/>
      <c r="E30" s="73"/>
      <c r="F30" s="22" t="s">
        <v>3</v>
      </c>
      <c r="G30" s="23">
        <v>5</v>
      </c>
      <c r="H30" s="23">
        <v>5</v>
      </c>
      <c r="I30" s="23">
        <v>5</v>
      </c>
      <c r="J30" s="37">
        <v>5</v>
      </c>
      <c r="K30" s="23">
        <v>5</v>
      </c>
      <c r="L30" s="23">
        <v>5</v>
      </c>
      <c r="M30" s="23">
        <v>5</v>
      </c>
      <c r="N30" s="23">
        <v>5</v>
      </c>
      <c r="O30" s="23">
        <v>5</v>
      </c>
      <c r="P30" s="23">
        <v>5</v>
      </c>
      <c r="Q30" s="23">
        <v>5</v>
      </c>
      <c r="R30" s="23">
        <v>5</v>
      </c>
      <c r="U30" s="14">
        <f t="shared" si="0"/>
        <v>5</v>
      </c>
    </row>
    <row r="31" spans="2:21" x14ac:dyDescent="0.3">
      <c r="B31" s="81"/>
      <c r="C31" s="72"/>
      <c r="D31" s="75" t="s">
        <v>41</v>
      </c>
      <c r="E31" s="72"/>
      <c r="F31" s="22" t="s">
        <v>2</v>
      </c>
      <c r="G31" s="23">
        <v>10</v>
      </c>
      <c r="H31" s="23">
        <v>10</v>
      </c>
      <c r="I31" s="23">
        <v>10</v>
      </c>
      <c r="J31" s="37">
        <v>9</v>
      </c>
      <c r="K31" s="23">
        <v>8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U31" s="14">
        <f t="shared" si="0"/>
        <v>9.4</v>
      </c>
    </row>
    <row r="32" spans="2:21" x14ac:dyDescent="0.3">
      <c r="B32" s="76"/>
      <c r="C32" s="73"/>
      <c r="D32" s="76"/>
      <c r="E32" s="73"/>
      <c r="F32" s="22" t="s">
        <v>3</v>
      </c>
      <c r="G32" s="23">
        <v>8</v>
      </c>
      <c r="H32" s="23">
        <v>8</v>
      </c>
      <c r="I32" s="23">
        <v>8</v>
      </c>
      <c r="J32" s="37">
        <v>8</v>
      </c>
      <c r="K32" s="23">
        <v>8</v>
      </c>
      <c r="L32" s="23">
        <v>8</v>
      </c>
      <c r="M32" s="23">
        <v>8</v>
      </c>
      <c r="N32" s="23">
        <v>8</v>
      </c>
      <c r="O32" s="23">
        <v>8</v>
      </c>
      <c r="P32" s="23">
        <v>8</v>
      </c>
      <c r="Q32" s="23">
        <v>8</v>
      </c>
      <c r="R32" s="23">
        <v>8</v>
      </c>
      <c r="U32" s="14">
        <f t="shared" si="0"/>
        <v>8</v>
      </c>
    </row>
    <row r="33" spans="2:21" x14ac:dyDescent="0.3">
      <c r="B33" s="75" t="s">
        <v>42</v>
      </c>
      <c r="C33" s="72"/>
      <c r="D33" s="75" t="s">
        <v>43</v>
      </c>
      <c r="E33" s="72"/>
      <c r="F33" s="22" t="s">
        <v>2</v>
      </c>
      <c r="G33" s="23">
        <v>2</v>
      </c>
      <c r="H33" s="23">
        <v>2</v>
      </c>
      <c r="I33" s="23">
        <v>2</v>
      </c>
      <c r="J33" s="37">
        <v>2</v>
      </c>
      <c r="K33" s="23">
        <v>2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U33" s="14">
        <f t="shared" si="0"/>
        <v>2</v>
      </c>
    </row>
    <row r="34" spans="2:21" x14ac:dyDescent="0.3">
      <c r="B34" s="81"/>
      <c r="C34" s="72"/>
      <c r="D34" s="76"/>
      <c r="E34" s="73"/>
      <c r="F34" s="22" t="s">
        <v>3</v>
      </c>
      <c r="G34" s="23">
        <v>2</v>
      </c>
      <c r="H34" s="23">
        <v>2</v>
      </c>
      <c r="I34" s="23">
        <v>2</v>
      </c>
      <c r="J34" s="37">
        <v>2</v>
      </c>
      <c r="K34" s="23">
        <v>2</v>
      </c>
      <c r="L34" s="23">
        <v>2</v>
      </c>
      <c r="M34" s="23">
        <v>2</v>
      </c>
      <c r="N34" s="23">
        <v>2</v>
      </c>
      <c r="O34" s="23">
        <v>2</v>
      </c>
      <c r="P34" s="23">
        <v>2</v>
      </c>
      <c r="Q34" s="23">
        <v>2</v>
      </c>
      <c r="R34" s="23">
        <v>2</v>
      </c>
      <c r="U34" s="14">
        <f t="shared" si="0"/>
        <v>2</v>
      </c>
    </row>
    <row r="35" spans="2:21" x14ac:dyDescent="0.3">
      <c r="B35" s="81"/>
      <c r="C35" s="72"/>
      <c r="D35" s="75" t="s">
        <v>44</v>
      </c>
      <c r="E35" s="72"/>
      <c r="F35" s="22" t="s">
        <v>2</v>
      </c>
      <c r="G35" s="23">
        <v>9</v>
      </c>
      <c r="H35" s="23">
        <v>9</v>
      </c>
      <c r="I35" s="23">
        <v>9</v>
      </c>
      <c r="J35" s="37">
        <v>8</v>
      </c>
      <c r="K35" s="23">
        <v>6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U35" s="14">
        <f t="shared" si="0"/>
        <v>8.1999999999999993</v>
      </c>
    </row>
    <row r="36" spans="2:21" x14ac:dyDescent="0.3">
      <c r="B36" s="81"/>
      <c r="C36" s="72"/>
      <c r="D36" s="76"/>
      <c r="E36" s="73"/>
      <c r="F36" s="22" t="s">
        <v>3</v>
      </c>
      <c r="G36" s="23">
        <v>9</v>
      </c>
      <c r="H36" s="23">
        <v>9</v>
      </c>
      <c r="I36" s="23">
        <v>9</v>
      </c>
      <c r="J36" s="37">
        <v>9</v>
      </c>
      <c r="K36" s="23">
        <v>9</v>
      </c>
      <c r="L36" s="23">
        <v>9</v>
      </c>
      <c r="M36" s="23">
        <v>9</v>
      </c>
      <c r="N36" s="23">
        <v>9</v>
      </c>
      <c r="O36" s="23">
        <v>9</v>
      </c>
      <c r="P36" s="23">
        <v>9</v>
      </c>
      <c r="Q36" s="23">
        <v>9</v>
      </c>
      <c r="R36" s="23">
        <v>9</v>
      </c>
      <c r="U36" s="14">
        <f t="shared" si="0"/>
        <v>9</v>
      </c>
    </row>
    <row r="37" spans="2:21" x14ac:dyDescent="0.3">
      <c r="B37" s="81"/>
      <c r="C37" s="72"/>
      <c r="D37" s="75" t="s">
        <v>42</v>
      </c>
      <c r="E37" s="72"/>
      <c r="F37" s="22" t="s">
        <v>2</v>
      </c>
      <c r="G37" s="23">
        <v>10</v>
      </c>
      <c r="H37" s="23">
        <v>9</v>
      </c>
      <c r="I37" s="23">
        <v>9</v>
      </c>
      <c r="J37" s="37">
        <v>8</v>
      </c>
      <c r="K37" s="23">
        <v>3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U37" s="14">
        <f t="shared" si="0"/>
        <v>7.8</v>
      </c>
    </row>
    <row r="38" spans="2:21" x14ac:dyDescent="0.3">
      <c r="B38" s="76"/>
      <c r="C38" s="73"/>
      <c r="D38" s="76"/>
      <c r="E38" s="73"/>
      <c r="F38" s="22" t="s">
        <v>3</v>
      </c>
      <c r="G38" s="23">
        <v>10</v>
      </c>
      <c r="H38" s="23">
        <v>10</v>
      </c>
      <c r="I38" s="23">
        <v>10</v>
      </c>
      <c r="J38" s="37">
        <v>10</v>
      </c>
      <c r="K38" s="23">
        <v>10</v>
      </c>
      <c r="L38" s="23">
        <v>10</v>
      </c>
      <c r="M38" s="23">
        <v>10</v>
      </c>
      <c r="N38" s="23">
        <v>10</v>
      </c>
      <c r="O38" s="23">
        <v>10</v>
      </c>
      <c r="P38" s="23">
        <v>10</v>
      </c>
      <c r="Q38" s="23">
        <v>10</v>
      </c>
      <c r="R38" s="23">
        <v>10</v>
      </c>
      <c r="U38" s="14">
        <f t="shared" si="0"/>
        <v>10</v>
      </c>
    </row>
    <row r="39" spans="2:21" x14ac:dyDescent="0.3">
      <c r="B39" s="75" t="s">
        <v>45</v>
      </c>
      <c r="C39" s="72"/>
      <c r="D39" s="75" t="s">
        <v>46</v>
      </c>
      <c r="E39" s="72"/>
      <c r="F39" s="22" t="s">
        <v>2</v>
      </c>
      <c r="G39" s="23">
        <v>8</v>
      </c>
      <c r="H39" s="23">
        <v>8</v>
      </c>
      <c r="I39" s="23">
        <v>8</v>
      </c>
      <c r="J39" s="37">
        <v>8</v>
      </c>
      <c r="K39" s="23">
        <v>9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U39" s="14">
        <f t="shared" si="0"/>
        <v>8.1999999999999993</v>
      </c>
    </row>
    <row r="40" spans="2:21" x14ac:dyDescent="0.3">
      <c r="B40" s="81"/>
      <c r="C40" s="72"/>
      <c r="D40" s="76"/>
      <c r="E40" s="73"/>
      <c r="F40" s="22" t="s">
        <v>3</v>
      </c>
      <c r="G40" s="23">
        <v>8</v>
      </c>
      <c r="H40" s="23">
        <v>8</v>
      </c>
      <c r="I40" s="23">
        <v>8</v>
      </c>
      <c r="J40" s="37">
        <v>8</v>
      </c>
      <c r="K40" s="23">
        <v>8</v>
      </c>
      <c r="L40" s="23">
        <v>8</v>
      </c>
      <c r="M40" s="23">
        <v>8</v>
      </c>
      <c r="N40" s="23">
        <v>8</v>
      </c>
      <c r="O40" s="23">
        <v>8</v>
      </c>
      <c r="P40" s="23">
        <v>8</v>
      </c>
      <c r="Q40" s="23">
        <v>8</v>
      </c>
      <c r="R40" s="23">
        <v>8</v>
      </c>
      <c r="U40" s="14">
        <f t="shared" si="0"/>
        <v>8</v>
      </c>
    </row>
    <row r="41" spans="2:21" x14ac:dyDescent="0.3">
      <c r="B41" s="81"/>
      <c r="C41" s="72"/>
      <c r="D41" s="75" t="s">
        <v>47</v>
      </c>
      <c r="E41" s="72"/>
      <c r="F41" s="22" t="s">
        <v>2</v>
      </c>
      <c r="G41" s="23">
        <v>5</v>
      </c>
      <c r="H41" s="23">
        <v>5</v>
      </c>
      <c r="I41" s="23">
        <v>5</v>
      </c>
      <c r="J41" s="37">
        <v>5</v>
      </c>
      <c r="K41" s="23">
        <v>4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U41" s="14">
        <f t="shared" si="0"/>
        <v>4.8</v>
      </c>
    </row>
    <row r="42" spans="2:21" x14ac:dyDescent="0.3">
      <c r="B42" s="81"/>
      <c r="C42" s="72"/>
      <c r="D42" s="76"/>
      <c r="E42" s="73"/>
      <c r="F42" s="22" t="s">
        <v>3</v>
      </c>
      <c r="G42" s="23">
        <v>5</v>
      </c>
      <c r="H42" s="23">
        <v>5</v>
      </c>
      <c r="I42" s="23">
        <v>5</v>
      </c>
      <c r="J42" s="37">
        <v>5</v>
      </c>
      <c r="K42" s="23">
        <v>5</v>
      </c>
      <c r="L42" s="23">
        <v>5</v>
      </c>
      <c r="M42" s="23">
        <v>5</v>
      </c>
      <c r="N42" s="23">
        <v>5</v>
      </c>
      <c r="O42" s="23">
        <v>5</v>
      </c>
      <c r="P42" s="23">
        <v>5</v>
      </c>
      <c r="Q42" s="23">
        <v>5</v>
      </c>
      <c r="R42" s="23">
        <v>5</v>
      </c>
      <c r="U42" s="14">
        <f t="shared" si="0"/>
        <v>5</v>
      </c>
    </row>
    <row r="43" spans="2:21" x14ac:dyDescent="0.3">
      <c r="B43" s="81"/>
      <c r="C43" s="72"/>
      <c r="D43" s="75" t="s">
        <v>48</v>
      </c>
      <c r="E43" s="72"/>
      <c r="F43" s="22" t="s">
        <v>2</v>
      </c>
      <c r="G43" s="23">
        <v>5</v>
      </c>
      <c r="H43" s="23">
        <v>5</v>
      </c>
      <c r="I43" s="23">
        <v>5</v>
      </c>
      <c r="J43" s="37">
        <v>5</v>
      </c>
      <c r="K43" s="23">
        <v>5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U43" s="14">
        <f t="shared" si="0"/>
        <v>5</v>
      </c>
    </row>
    <row r="44" spans="2:21" x14ac:dyDescent="0.3">
      <c r="B44" s="81"/>
      <c r="C44" s="72"/>
      <c r="D44" s="76"/>
      <c r="E44" s="73"/>
      <c r="F44" s="22" t="s">
        <v>3</v>
      </c>
      <c r="G44" s="23">
        <v>5</v>
      </c>
      <c r="H44" s="23">
        <v>5</v>
      </c>
      <c r="I44" s="23">
        <v>5</v>
      </c>
      <c r="J44" s="37">
        <v>5</v>
      </c>
      <c r="K44" s="23">
        <v>5</v>
      </c>
      <c r="L44" s="23">
        <v>5</v>
      </c>
      <c r="M44" s="23">
        <v>5</v>
      </c>
      <c r="N44" s="23">
        <v>5</v>
      </c>
      <c r="O44" s="23">
        <v>5</v>
      </c>
      <c r="P44" s="23">
        <v>5</v>
      </c>
      <c r="Q44" s="23">
        <v>5</v>
      </c>
      <c r="R44" s="23">
        <v>5</v>
      </c>
      <c r="U44" s="14">
        <f t="shared" si="0"/>
        <v>5</v>
      </c>
    </row>
    <row r="45" spans="2:21" x14ac:dyDescent="0.3">
      <c r="B45" s="81"/>
      <c r="C45" s="72"/>
      <c r="D45" s="75" t="s">
        <v>49</v>
      </c>
      <c r="E45" s="72"/>
      <c r="F45" s="22" t="s">
        <v>2</v>
      </c>
      <c r="G45" s="23">
        <v>51</v>
      </c>
      <c r="H45" s="23">
        <v>52</v>
      </c>
      <c r="I45" s="23">
        <v>52</v>
      </c>
      <c r="J45" s="37">
        <v>51</v>
      </c>
      <c r="K45" s="23">
        <v>52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U45" s="14">
        <f t="shared" si="0"/>
        <v>51.6</v>
      </c>
    </row>
    <row r="46" spans="2:21" x14ac:dyDescent="0.3">
      <c r="B46" s="81"/>
      <c r="C46" s="72"/>
      <c r="D46" s="76"/>
      <c r="E46" s="73"/>
      <c r="F46" s="22" t="s">
        <v>3</v>
      </c>
      <c r="G46" s="23">
        <v>57</v>
      </c>
      <c r="H46" s="23">
        <v>57</v>
      </c>
      <c r="I46" s="23">
        <v>57</v>
      </c>
      <c r="J46" s="37">
        <v>57</v>
      </c>
      <c r="K46" s="23">
        <v>57</v>
      </c>
      <c r="L46" s="23">
        <v>57</v>
      </c>
      <c r="M46" s="23">
        <v>57</v>
      </c>
      <c r="N46" s="23">
        <v>57</v>
      </c>
      <c r="O46" s="23">
        <v>57</v>
      </c>
      <c r="P46" s="23">
        <v>57</v>
      </c>
      <c r="Q46" s="23">
        <v>57</v>
      </c>
      <c r="R46" s="23">
        <v>57</v>
      </c>
      <c r="U46" s="14">
        <f t="shared" si="0"/>
        <v>57</v>
      </c>
    </row>
    <row r="47" spans="2:21" x14ac:dyDescent="0.3">
      <c r="B47" s="81"/>
      <c r="C47" s="72"/>
      <c r="D47" s="75" t="s">
        <v>45</v>
      </c>
      <c r="E47" s="72"/>
      <c r="F47" s="22" t="s">
        <v>2</v>
      </c>
      <c r="G47" s="23">
        <v>4</v>
      </c>
      <c r="H47" s="23">
        <v>5</v>
      </c>
      <c r="I47" s="23">
        <v>5</v>
      </c>
      <c r="J47" s="37">
        <v>5</v>
      </c>
      <c r="K47" s="23">
        <v>5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U47" s="14">
        <f t="shared" si="0"/>
        <v>4.8</v>
      </c>
    </row>
    <row r="48" spans="2:21" x14ac:dyDescent="0.3">
      <c r="B48" s="76"/>
      <c r="C48" s="73"/>
      <c r="D48" s="76"/>
      <c r="E48" s="73"/>
      <c r="F48" s="22" t="s">
        <v>3</v>
      </c>
      <c r="G48" s="23">
        <v>6</v>
      </c>
      <c r="H48" s="23">
        <v>6</v>
      </c>
      <c r="I48" s="23">
        <v>6</v>
      </c>
      <c r="J48" s="37">
        <v>6</v>
      </c>
      <c r="K48" s="23">
        <v>6</v>
      </c>
      <c r="L48" s="23">
        <v>6</v>
      </c>
      <c r="M48" s="23">
        <v>6</v>
      </c>
      <c r="N48" s="23">
        <v>6</v>
      </c>
      <c r="O48" s="23">
        <v>6</v>
      </c>
      <c r="P48" s="23">
        <v>6</v>
      </c>
      <c r="Q48" s="23">
        <v>6</v>
      </c>
      <c r="R48" s="23">
        <v>6</v>
      </c>
      <c r="U48" s="14">
        <f t="shared" si="0"/>
        <v>6</v>
      </c>
    </row>
    <row r="49" spans="2:21" x14ac:dyDescent="0.3">
      <c r="B49" s="75" t="s">
        <v>50</v>
      </c>
      <c r="C49" s="72"/>
      <c r="D49" s="75" t="s">
        <v>51</v>
      </c>
      <c r="E49" s="72"/>
      <c r="F49" s="22" t="s">
        <v>2</v>
      </c>
      <c r="G49" s="23">
        <v>32</v>
      </c>
      <c r="H49" s="23">
        <v>31</v>
      </c>
      <c r="I49" s="23">
        <v>30</v>
      </c>
      <c r="J49" s="37">
        <v>29</v>
      </c>
      <c r="K49" s="23">
        <v>30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U49" s="14">
        <f t="shared" si="0"/>
        <v>30.4</v>
      </c>
    </row>
    <row r="50" spans="2:21" x14ac:dyDescent="0.3">
      <c r="B50" s="81"/>
      <c r="C50" s="72"/>
      <c r="D50" s="76"/>
      <c r="E50" s="73"/>
      <c r="F50" s="22" t="s">
        <v>3</v>
      </c>
      <c r="G50" s="23">
        <v>33</v>
      </c>
      <c r="H50" s="23">
        <v>33</v>
      </c>
      <c r="I50" s="23">
        <v>33</v>
      </c>
      <c r="J50" s="37">
        <v>33</v>
      </c>
      <c r="K50" s="23">
        <v>33</v>
      </c>
      <c r="L50" s="23">
        <v>33</v>
      </c>
      <c r="M50" s="23">
        <v>33</v>
      </c>
      <c r="N50" s="23">
        <v>33</v>
      </c>
      <c r="O50" s="23">
        <v>33</v>
      </c>
      <c r="P50" s="23">
        <v>33</v>
      </c>
      <c r="Q50" s="23">
        <v>33</v>
      </c>
      <c r="R50" s="23">
        <v>33</v>
      </c>
      <c r="U50" s="14">
        <f t="shared" si="0"/>
        <v>33</v>
      </c>
    </row>
    <row r="51" spans="2:21" x14ac:dyDescent="0.3">
      <c r="B51" s="81"/>
      <c r="C51" s="72"/>
      <c r="D51" s="75" t="s">
        <v>52</v>
      </c>
      <c r="E51" s="72"/>
      <c r="F51" s="22" t="s">
        <v>2</v>
      </c>
      <c r="G51" s="23">
        <v>34</v>
      </c>
      <c r="H51" s="23">
        <v>32</v>
      </c>
      <c r="I51" s="23">
        <v>32</v>
      </c>
      <c r="J51" s="37">
        <v>33</v>
      </c>
      <c r="K51" s="23">
        <v>33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U51" s="14">
        <f t="shared" si="0"/>
        <v>32.799999999999997</v>
      </c>
    </row>
    <row r="52" spans="2:21" x14ac:dyDescent="0.3">
      <c r="B52" s="81"/>
      <c r="C52" s="72"/>
      <c r="D52" s="76"/>
      <c r="E52" s="73"/>
      <c r="F52" s="22" t="s">
        <v>3</v>
      </c>
      <c r="G52" s="23">
        <v>34</v>
      </c>
      <c r="H52" s="23">
        <v>34</v>
      </c>
      <c r="I52" s="23">
        <v>34</v>
      </c>
      <c r="J52" s="37">
        <v>34</v>
      </c>
      <c r="K52" s="23">
        <v>34</v>
      </c>
      <c r="L52" s="23">
        <v>34</v>
      </c>
      <c r="M52" s="23">
        <v>34</v>
      </c>
      <c r="N52" s="23">
        <v>34</v>
      </c>
      <c r="O52" s="23">
        <v>34</v>
      </c>
      <c r="P52" s="23">
        <v>34</v>
      </c>
      <c r="Q52" s="23">
        <v>34</v>
      </c>
      <c r="R52" s="23">
        <v>34</v>
      </c>
      <c r="U52" s="14">
        <f t="shared" si="0"/>
        <v>34</v>
      </c>
    </row>
    <row r="53" spans="2:21" x14ac:dyDescent="0.3">
      <c r="B53" s="81"/>
      <c r="C53" s="72"/>
      <c r="D53" s="75" t="s">
        <v>53</v>
      </c>
      <c r="E53" s="72"/>
      <c r="F53" s="22" t="s">
        <v>2</v>
      </c>
      <c r="G53" s="23">
        <v>3</v>
      </c>
      <c r="H53" s="23">
        <v>3</v>
      </c>
      <c r="I53" s="23">
        <v>3</v>
      </c>
      <c r="J53" s="37">
        <v>3</v>
      </c>
      <c r="K53" s="23">
        <v>3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U53" s="14">
        <f t="shared" si="0"/>
        <v>3</v>
      </c>
    </row>
    <row r="54" spans="2:21" x14ac:dyDescent="0.3">
      <c r="B54" s="81"/>
      <c r="C54" s="72"/>
      <c r="D54" s="76"/>
      <c r="E54" s="73"/>
      <c r="F54" s="22" t="s">
        <v>3</v>
      </c>
      <c r="G54" s="23">
        <v>3</v>
      </c>
      <c r="H54" s="23">
        <v>3</v>
      </c>
      <c r="I54" s="23">
        <v>3</v>
      </c>
      <c r="J54" s="37">
        <v>3</v>
      </c>
      <c r="K54" s="23">
        <v>3</v>
      </c>
      <c r="L54" s="23">
        <v>3</v>
      </c>
      <c r="M54" s="23">
        <v>3</v>
      </c>
      <c r="N54" s="23">
        <v>3</v>
      </c>
      <c r="O54" s="23">
        <v>3</v>
      </c>
      <c r="P54" s="23">
        <v>3</v>
      </c>
      <c r="Q54" s="23">
        <v>3</v>
      </c>
      <c r="R54" s="23">
        <v>3</v>
      </c>
      <c r="U54" s="14">
        <f t="shared" si="0"/>
        <v>3</v>
      </c>
    </row>
    <row r="55" spans="2:21" x14ac:dyDescent="0.3">
      <c r="B55" s="81"/>
      <c r="C55" s="72"/>
      <c r="D55" s="75" t="s">
        <v>54</v>
      </c>
      <c r="E55" s="72"/>
      <c r="F55" s="22" t="s">
        <v>2</v>
      </c>
      <c r="G55" s="23">
        <v>27</v>
      </c>
      <c r="H55" s="23">
        <v>27</v>
      </c>
      <c r="I55" s="23">
        <v>27</v>
      </c>
      <c r="J55" s="37">
        <v>26</v>
      </c>
      <c r="K55" s="23">
        <v>25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U55" s="14">
        <f t="shared" si="0"/>
        <v>26.4</v>
      </c>
    </row>
    <row r="56" spans="2:21" x14ac:dyDescent="0.3">
      <c r="B56" s="81"/>
      <c r="C56" s="72"/>
      <c r="D56" s="76"/>
      <c r="E56" s="73"/>
      <c r="F56" s="22" t="s">
        <v>3</v>
      </c>
      <c r="G56" s="23">
        <v>27</v>
      </c>
      <c r="H56" s="23">
        <v>27</v>
      </c>
      <c r="I56" s="23">
        <v>27</v>
      </c>
      <c r="J56" s="37">
        <v>27</v>
      </c>
      <c r="K56" s="23">
        <v>27</v>
      </c>
      <c r="L56" s="23">
        <v>27</v>
      </c>
      <c r="M56" s="23">
        <v>27</v>
      </c>
      <c r="N56" s="23">
        <v>27</v>
      </c>
      <c r="O56" s="23">
        <v>27</v>
      </c>
      <c r="P56" s="23">
        <v>27</v>
      </c>
      <c r="Q56" s="23">
        <v>27</v>
      </c>
      <c r="R56" s="23">
        <v>27</v>
      </c>
      <c r="U56" s="14">
        <f t="shared" si="0"/>
        <v>27</v>
      </c>
    </row>
    <row r="57" spans="2:21" x14ac:dyDescent="0.3">
      <c r="B57" s="81"/>
      <c r="C57" s="72"/>
      <c r="D57" s="75" t="s">
        <v>56</v>
      </c>
      <c r="E57" s="72"/>
      <c r="F57" s="22" t="s">
        <v>2</v>
      </c>
      <c r="G57" s="23">
        <v>9</v>
      </c>
      <c r="H57" s="23">
        <v>9</v>
      </c>
      <c r="I57" s="23">
        <v>9</v>
      </c>
      <c r="J57" s="37">
        <v>9</v>
      </c>
      <c r="K57" s="23">
        <v>10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U57" s="14">
        <f t="shared" si="0"/>
        <v>9.1999999999999993</v>
      </c>
    </row>
    <row r="58" spans="2:21" x14ac:dyDescent="0.3">
      <c r="B58" s="81"/>
      <c r="C58" s="72"/>
      <c r="D58" s="76"/>
      <c r="E58" s="73"/>
      <c r="F58" s="22" t="s">
        <v>3</v>
      </c>
      <c r="G58" s="23">
        <v>10</v>
      </c>
      <c r="H58" s="23">
        <v>10</v>
      </c>
      <c r="I58" s="23">
        <v>10</v>
      </c>
      <c r="J58" s="37">
        <v>10</v>
      </c>
      <c r="K58" s="23">
        <v>10</v>
      </c>
      <c r="L58" s="23">
        <v>10</v>
      </c>
      <c r="M58" s="23">
        <v>10</v>
      </c>
      <c r="N58" s="23">
        <v>10</v>
      </c>
      <c r="O58" s="23">
        <v>10</v>
      </c>
      <c r="P58" s="23">
        <v>10</v>
      </c>
      <c r="Q58" s="23">
        <v>10</v>
      </c>
      <c r="R58" s="23">
        <v>10</v>
      </c>
      <c r="U58" s="14">
        <f t="shared" si="0"/>
        <v>10</v>
      </c>
    </row>
    <row r="59" spans="2:21" x14ac:dyDescent="0.3">
      <c r="B59" s="81"/>
      <c r="C59" s="72"/>
      <c r="D59" s="75" t="s">
        <v>57</v>
      </c>
      <c r="E59" s="72"/>
      <c r="F59" s="22" t="s">
        <v>2</v>
      </c>
      <c r="G59" s="23">
        <v>7</v>
      </c>
      <c r="H59" s="23">
        <v>8</v>
      </c>
      <c r="I59" s="23">
        <v>8</v>
      </c>
      <c r="J59" s="37">
        <v>9</v>
      </c>
      <c r="K59" s="23">
        <v>5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U59" s="14">
        <f t="shared" si="0"/>
        <v>7.4</v>
      </c>
    </row>
    <row r="60" spans="2:21" x14ac:dyDescent="0.3">
      <c r="B60" s="81"/>
      <c r="C60" s="72"/>
      <c r="D60" s="76"/>
      <c r="E60" s="73"/>
      <c r="F60" s="22" t="s">
        <v>3</v>
      </c>
      <c r="G60" s="23">
        <v>10</v>
      </c>
      <c r="H60" s="23">
        <v>10</v>
      </c>
      <c r="I60" s="23">
        <v>10</v>
      </c>
      <c r="J60" s="37">
        <v>10</v>
      </c>
      <c r="K60" s="23">
        <v>10</v>
      </c>
      <c r="L60" s="23">
        <v>10</v>
      </c>
      <c r="M60" s="23">
        <v>10</v>
      </c>
      <c r="N60" s="23">
        <v>10</v>
      </c>
      <c r="O60" s="23">
        <v>10</v>
      </c>
      <c r="P60" s="23">
        <v>10</v>
      </c>
      <c r="Q60" s="23">
        <v>10</v>
      </c>
      <c r="R60" s="23">
        <v>10</v>
      </c>
      <c r="U60" s="14">
        <f t="shared" si="0"/>
        <v>10</v>
      </c>
    </row>
    <row r="61" spans="2:21" x14ac:dyDescent="0.3">
      <c r="B61" s="81"/>
      <c r="C61" s="72"/>
      <c r="D61" s="75" t="s">
        <v>50</v>
      </c>
      <c r="E61" s="72"/>
      <c r="F61" s="22" t="s">
        <v>2</v>
      </c>
      <c r="G61" s="23">
        <v>2</v>
      </c>
      <c r="H61" s="23">
        <v>1</v>
      </c>
      <c r="I61" s="23">
        <v>1</v>
      </c>
      <c r="J61" s="37">
        <v>2</v>
      </c>
      <c r="K61" s="23">
        <v>2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U61" s="14">
        <f t="shared" si="0"/>
        <v>1.6</v>
      </c>
    </row>
    <row r="62" spans="2:21" x14ac:dyDescent="0.3">
      <c r="B62" s="76"/>
      <c r="C62" s="73"/>
      <c r="D62" s="76"/>
      <c r="E62" s="73"/>
      <c r="F62" s="22" t="s">
        <v>3</v>
      </c>
      <c r="G62" s="23">
        <v>2</v>
      </c>
      <c r="H62" s="23">
        <v>2</v>
      </c>
      <c r="I62" s="23">
        <v>2</v>
      </c>
      <c r="J62" s="37">
        <v>2</v>
      </c>
      <c r="K62" s="23">
        <v>2</v>
      </c>
      <c r="L62" s="23">
        <v>2</v>
      </c>
      <c r="M62" s="23">
        <v>2</v>
      </c>
      <c r="N62" s="23">
        <v>2</v>
      </c>
      <c r="O62" s="23">
        <v>2</v>
      </c>
      <c r="P62" s="23">
        <v>2</v>
      </c>
      <c r="Q62" s="23">
        <v>2</v>
      </c>
      <c r="R62" s="23">
        <v>2</v>
      </c>
      <c r="U62" s="14">
        <f t="shared" si="0"/>
        <v>2</v>
      </c>
    </row>
    <row r="63" spans="2:21" x14ac:dyDescent="0.3">
      <c r="B63" s="75" t="s">
        <v>58</v>
      </c>
      <c r="C63" s="72"/>
      <c r="D63" s="75" t="s">
        <v>59</v>
      </c>
      <c r="E63" s="72"/>
      <c r="F63" s="22" t="s">
        <v>2</v>
      </c>
      <c r="G63" s="23">
        <v>6</v>
      </c>
      <c r="H63" s="23">
        <v>6</v>
      </c>
      <c r="I63" s="23">
        <v>6</v>
      </c>
      <c r="J63" s="37">
        <v>6</v>
      </c>
      <c r="K63" s="23">
        <v>5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U63" s="14">
        <f t="shared" si="0"/>
        <v>5.8</v>
      </c>
    </row>
    <row r="64" spans="2:21" x14ac:dyDescent="0.3">
      <c r="B64" s="81"/>
      <c r="C64" s="72"/>
      <c r="D64" s="76"/>
      <c r="E64" s="73"/>
      <c r="F64" s="22" t="s">
        <v>3</v>
      </c>
      <c r="G64" s="23">
        <v>9</v>
      </c>
      <c r="H64" s="23">
        <v>9</v>
      </c>
      <c r="I64" s="23">
        <v>9</v>
      </c>
      <c r="J64" s="37">
        <v>9</v>
      </c>
      <c r="K64" s="23">
        <v>9</v>
      </c>
      <c r="L64" s="23">
        <v>9</v>
      </c>
      <c r="M64" s="23">
        <v>9</v>
      </c>
      <c r="N64" s="23">
        <v>9</v>
      </c>
      <c r="O64" s="23">
        <v>9</v>
      </c>
      <c r="P64" s="23">
        <v>9</v>
      </c>
      <c r="Q64" s="23">
        <v>9</v>
      </c>
      <c r="R64" s="23">
        <v>9</v>
      </c>
      <c r="U64" s="14">
        <f t="shared" si="0"/>
        <v>9</v>
      </c>
    </row>
    <row r="65" spans="2:21" x14ac:dyDescent="0.3">
      <c r="B65" s="81"/>
      <c r="C65" s="72"/>
      <c r="D65" s="75" t="s">
        <v>60</v>
      </c>
      <c r="E65" s="72"/>
      <c r="F65" s="22" t="s">
        <v>2</v>
      </c>
      <c r="G65" s="23">
        <v>9</v>
      </c>
      <c r="H65" s="23">
        <v>9</v>
      </c>
      <c r="I65" s="23">
        <v>9</v>
      </c>
      <c r="J65" s="37">
        <v>9</v>
      </c>
      <c r="K65" s="23">
        <v>9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U65" s="14">
        <f t="shared" si="0"/>
        <v>9</v>
      </c>
    </row>
    <row r="66" spans="2:21" x14ac:dyDescent="0.3">
      <c r="B66" s="81"/>
      <c r="C66" s="72"/>
      <c r="D66" s="76"/>
      <c r="E66" s="73"/>
      <c r="F66" s="22" t="s">
        <v>3</v>
      </c>
      <c r="G66" s="23">
        <v>9</v>
      </c>
      <c r="H66" s="23">
        <v>9</v>
      </c>
      <c r="I66" s="23">
        <v>9</v>
      </c>
      <c r="J66" s="37">
        <v>9</v>
      </c>
      <c r="K66" s="23">
        <v>9</v>
      </c>
      <c r="L66" s="23">
        <v>9</v>
      </c>
      <c r="M66" s="23">
        <v>9</v>
      </c>
      <c r="N66" s="23">
        <v>9</v>
      </c>
      <c r="O66" s="23">
        <v>9</v>
      </c>
      <c r="P66" s="23">
        <v>9</v>
      </c>
      <c r="Q66" s="23">
        <v>9</v>
      </c>
      <c r="R66" s="23">
        <v>9</v>
      </c>
      <c r="U66" s="14">
        <f t="shared" si="0"/>
        <v>9</v>
      </c>
    </row>
    <row r="67" spans="2:21" x14ac:dyDescent="0.3">
      <c r="B67" s="81"/>
      <c r="C67" s="72"/>
      <c r="D67" s="75" t="s">
        <v>58</v>
      </c>
      <c r="E67" s="72"/>
      <c r="F67" s="22" t="s">
        <v>2</v>
      </c>
      <c r="G67" s="23">
        <v>3</v>
      </c>
      <c r="H67" s="23">
        <v>3</v>
      </c>
      <c r="I67" s="23">
        <v>3</v>
      </c>
      <c r="J67" s="37">
        <v>3</v>
      </c>
      <c r="K67" s="23">
        <v>7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U67" s="14">
        <f t="shared" si="0"/>
        <v>3.8</v>
      </c>
    </row>
    <row r="68" spans="2:21" x14ac:dyDescent="0.3">
      <c r="B68" s="76"/>
      <c r="C68" s="73"/>
      <c r="D68" s="76"/>
      <c r="E68" s="73"/>
      <c r="F68" s="22" t="s">
        <v>3</v>
      </c>
      <c r="G68" s="23">
        <v>2</v>
      </c>
      <c r="H68" s="23">
        <v>2</v>
      </c>
      <c r="I68" s="23">
        <v>2</v>
      </c>
      <c r="J68" s="37">
        <v>2</v>
      </c>
      <c r="K68" s="23">
        <v>2</v>
      </c>
      <c r="L68" s="23">
        <v>2</v>
      </c>
      <c r="M68" s="23">
        <v>2</v>
      </c>
      <c r="N68" s="23">
        <v>2</v>
      </c>
      <c r="O68" s="23">
        <v>2</v>
      </c>
      <c r="P68" s="23">
        <v>2</v>
      </c>
      <c r="Q68" s="23">
        <v>2</v>
      </c>
      <c r="R68" s="23">
        <v>2</v>
      </c>
      <c r="U68" s="14">
        <f t="shared" ref="U68:U131" si="1">+AVERAGE(G68:K68)</f>
        <v>2</v>
      </c>
    </row>
    <row r="69" spans="2:21" x14ac:dyDescent="0.3">
      <c r="B69" s="75" t="s">
        <v>61</v>
      </c>
      <c r="C69" s="72"/>
      <c r="D69" s="75" t="s">
        <v>61</v>
      </c>
      <c r="E69" s="72"/>
      <c r="F69" s="22" t="s">
        <v>2</v>
      </c>
      <c r="G69" s="23">
        <v>3</v>
      </c>
      <c r="H69" s="23">
        <v>3</v>
      </c>
      <c r="I69" s="23">
        <v>3</v>
      </c>
      <c r="J69" s="37">
        <v>3</v>
      </c>
      <c r="K69" s="23">
        <v>3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U69" s="14">
        <f t="shared" si="1"/>
        <v>3</v>
      </c>
    </row>
    <row r="70" spans="2:21" x14ac:dyDescent="0.3">
      <c r="B70" s="76"/>
      <c r="C70" s="73"/>
      <c r="D70" s="76"/>
      <c r="E70" s="73"/>
      <c r="F70" s="22" t="s">
        <v>3</v>
      </c>
      <c r="G70" s="23">
        <v>3</v>
      </c>
      <c r="H70" s="23">
        <v>3</v>
      </c>
      <c r="I70" s="23">
        <v>3</v>
      </c>
      <c r="J70" s="37">
        <v>3</v>
      </c>
      <c r="K70" s="23">
        <v>3</v>
      </c>
      <c r="L70" s="23">
        <v>3</v>
      </c>
      <c r="M70" s="23">
        <v>3</v>
      </c>
      <c r="N70" s="23">
        <v>3</v>
      </c>
      <c r="O70" s="23">
        <v>3</v>
      </c>
      <c r="P70" s="23">
        <v>3</v>
      </c>
      <c r="Q70" s="23">
        <v>3</v>
      </c>
      <c r="R70" s="23">
        <v>3</v>
      </c>
      <c r="U70" s="14">
        <f t="shared" si="1"/>
        <v>3</v>
      </c>
    </row>
    <row r="71" spans="2:21" x14ac:dyDescent="0.3">
      <c r="B71" s="75" t="s">
        <v>62</v>
      </c>
      <c r="C71" s="72"/>
      <c r="D71" s="75" t="s">
        <v>63</v>
      </c>
      <c r="E71" s="72"/>
      <c r="F71" s="22" t="s">
        <v>2</v>
      </c>
      <c r="G71" s="23">
        <v>13</v>
      </c>
      <c r="H71" s="23">
        <v>14</v>
      </c>
      <c r="I71" s="23">
        <v>15</v>
      </c>
      <c r="J71" s="37">
        <v>14</v>
      </c>
      <c r="K71" s="23">
        <v>14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U71" s="14">
        <f t="shared" si="1"/>
        <v>14</v>
      </c>
    </row>
    <row r="72" spans="2:21" x14ac:dyDescent="0.3">
      <c r="B72" s="81"/>
      <c r="C72" s="72"/>
      <c r="D72" s="76"/>
      <c r="E72" s="73"/>
      <c r="F72" s="22" t="s">
        <v>3</v>
      </c>
      <c r="G72" s="23">
        <v>16</v>
      </c>
      <c r="H72" s="23">
        <v>16</v>
      </c>
      <c r="I72" s="23">
        <v>16</v>
      </c>
      <c r="J72" s="37">
        <v>16</v>
      </c>
      <c r="K72" s="23">
        <v>16</v>
      </c>
      <c r="L72" s="23">
        <v>16</v>
      </c>
      <c r="M72" s="23">
        <v>16</v>
      </c>
      <c r="N72" s="23">
        <v>16</v>
      </c>
      <c r="O72" s="23">
        <v>16</v>
      </c>
      <c r="P72" s="23">
        <v>16</v>
      </c>
      <c r="Q72" s="23">
        <v>16</v>
      </c>
      <c r="R72" s="23">
        <v>16</v>
      </c>
      <c r="U72" s="14">
        <f t="shared" si="1"/>
        <v>16</v>
      </c>
    </row>
    <row r="73" spans="2:21" x14ac:dyDescent="0.3">
      <c r="B73" s="81"/>
      <c r="C73" s="72"/>
      <c r="D73" s="75" t="s">
        <v>64</v>
      </c>
      <c r="E73" s="72"/>
      <c r="F73" s="22" t="s">
        <v>2</v>
      </c>
      <c r="G73" s="23">
        <v>13</v>
      </c>
      <c r="H73" s="23">
        <v>13</v>
      </c>
      <c r="I73" s="23">
        <v>12</v>
      </c>
      <c r="J73" s="37">
        <v>12</v>
      </c>
      <c r="K73" s="23">
        <v>13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U73" s="14">
        <f t="shared" si="1"/>
        <v>12.6</v>
      </c>
    </row>
    <row r="74" spans="2:21" x14ac:dyDescent="0.3">
      <c r="B74" s="81"/>
      <c r="C74" s="72"/>
      <c r="D74" s="76"/>
      <c r="E74" s="73"/>
      <c r="F74" s="22" t="s">
        <v>3</v>
      </c>
      <c r="G74" s="23">
        <v>13</v>
      </c>
      <c r="H74" s="23">
        <v>13</v>
      </c>
      <c r="I74" s="23">
        <v>13</v>
      </c>
      <c r="J74" s="37">
        <v>13</v>
      </c>
      <c r="K74" s="23">
        <v>13</v>
      </c>
      <c r="L74" s="23">
        <v>13</v>
      </c>
      <c r="M74" s="23">
        <v>13</v>
      </c>
      <c r="N74" s="23">
        <v>13</v>
      </c>
      <c r="O74" s="23">
        <v>13</v>
      </c>
      <c r="P74" s="23">
        <v>13</v>
      </c>
      <c r="Q74" s="23">
        <v>13</v>
      </c>
      <c r="R74" s="23">
        <v>13</v>
      </c>
      <c r="U74" s="14">
        <f t="shared" si="1"/>
        <v>13</v>
      </c>
    </row>
    <row r="75" spans="2:21" x14ac:dyDescent="0.3">
      <c r="B75" s="81"/>
      <c r="C75" s="72"/>
      <c r="D75" s="75" t="s">
        <v>65</v>
      </c>
      <c r="E75" s="72"/>
      <c r="F75" s="22" t="s">
        <v>2</v>
      </c>
      <c r="G75" s="23">
        <v>1</v>
      </c>
      <c r="H75" s="23">
        <v>2</v>
      </c>
      <c r="I75" s="23">
        <v>2</v>
      </c>
      <c r="J75" s="37">
        <v>2</v>
      </c>
      <c r="K75" s="23">
        <v>2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U75" s="14">
        <f t="shared" si="1"/>
        <v>1.8</v>
      </c>
    </row>
    <row r="76" spans="2:21" x14ac:dyDescent="0.3">
      <c r="B76" s="81"/>
      <c r="C76" s="72"/>
      <c r="D76" s="76"/>
      <c r="E76" s="73"/>
      <c r="F76" s="22" t="s">
        <v>3</v>
      </c>
      <c r="G76" s="23">
        <v>2</v>
      </c>
      <c r="H76" s="23">
        <v>2</v>
      </c>
      <c r="I76" s="23">
        <v>2</v>
      </c>
      <c r="J76" s="37">
        <v>2</v>
      </c>
      <c r="K76" s="23">
        <v>2</v>
      </c>
      <c r="L76" s="23">
        <v>2</v>
      </c>
      <c r="M76" s="23">
        <v>2</v>
      </c>
      <c r="N76" s="23">
        <v>2</v>
      </c>
      <c r="O76" s="23">
        <v>2</v>
      </c>
      <c r="P76" s="23">
        <v>2</v>
      </c>
      <c r="Q76" s="23">
        <v>2</v>
      </c>
      <c r="R76" s="23">
        <v>2</v>
      </c>
      <c r="U76" s="14">
        <f t="shared" si="1"/>
        <v>2</v>
      </c>
    </row>
    <row r="77" spans="2:21" x14ac:dyDescent="0.3">
      <c r="B77" s="81"/>
      <c r="C77" s="72"/>
      <c r="D77" s="75" t="s">
        <v>62</v>
      </c>
      <c r="E77" s="72"/>
      <c r="F77" s="22" t="s">
        <v>2</v>
      </c>
      <c r="G77" s="23">
        <v>5</v>
      </c>
      <c r="H77" s="23">
        <v>4</v>
      </c>
      <c r="I77" s="23">
        <v>4</v>
      </c>
      <c r="J77" s="37">
        <v>5</v>
      </c>
      <c r="K77" s="23">
        <v>6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U77" s="14">
        <f t="shared" si="1"/>
        <v>4.8</v>
      </c>
    </row>
    <row r="78" spans="2:21" x14ac:dyDescent="0.3">
      <c r="B78" s="76"/>
      <c r="C78" s="73"/>
      <c r="D78" s="76"/>
      <c r="E78" s="73"/>
      <c r="F78" s="22" t="s">
        <v>3</v>
      </c>
      <c r="G78" s="23">
        <v>5</v>
      </c>
      <c r="H78" s="23">
        <v>5</v>
      </c>
      <c r="I78" s="23">
        <v>5</v>
      </c>
      <c r="J78" s="37">
        <v>5</v>
      </c>
      <c r="K78" s="23">
        <v>5</v>
      </c>
      <c r="L78" s="23">
        <v>5</v>
      </c>
      <c r="M78" s="23">
        <v>5</v>
      </c>
      <c r="N78" s="23">
        <v>5</v>
      </c>
      <c r="O78" s="23">
        <v>5</v>
      </c>
      <c r="P78" s="23">
        <v>5</v>
      </c>
      <c r="Q78" s="23">
        <v>5</v>
      </c>
      <c r="R78" s="23">
        <v>5</v>
      </c>
      <c r="U78" s="14">
        <f t="shared" si="1"/>
        <v>5</v>
      </c>
    </row>
    <row r="79" spans="2:21" x14ac:dyDescent="0.3">
      <c r="B79" s="75" t="s">
        <v>66</v>
      </c>
      <c r="C79" s="72"/>
      <c r="D79" s="75" t="s">
        <v>67</v>
      </c>
      <c r="E79" s="72"/>
      <c r="F79" s="22" t="s">
        <v>2</v>
      </c>
      <c r="G79" s="23">
        <v>5</v>
      </c>
      <c r="H79" s="23">
        <v>5</v>
      </c>
      <c r="I79" s="23">
        <v>5</v>
      </c>
      <c r="J79" s="37">
        <v>5</v>
      </c>
      <c r="K79" s="23">
        <v>4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U79" s="14">
        <f t="shared" si="1"/>
        <v>4.8</v>
      </c>
    </row>
    <row r="80" spans="2:21" x14ac:dyDescent="0.3">
      <c r="B80" s="81"/>
      <c r="C80" s="72"/>
      <c r="D80" s="76"/>
      <c r="E80" s="73"/>
      <c r="F80" s="22" t="s">
        <v>3</v>
      </c>
      <c r="G80" s="23">
        <v>4</v>
      </c>
      <c r="H80" s="23">
        <v>4</v>
      </c>
      <c r="I80" s="23">
        <v>4</v>
      </c>
      <c r="J80" s="37">
        <v>4</v>
      </c>
      <c r="K80" s="23">
        <v>4</v>
      </c>
      <c r="L80" s="23">
        <v>4</v>
      </c>
      <c r="M80" s="23">
        <v>4</v>
      </c>
      <c r="N80" s="23">
        <v>4</v>
      </c>
      <c r="O80" s="23">
        <v>4</v>
      </c>
      <c r="P80" s="23">
        <v>4</v>
      </c>
      <c r="Q80" s="23">
        <v>4</v>
      </c>
      <c r="R80" s="23">
        <v>4</v>
      </c>
      <c r="U80" s="14">
        <f t="shared" si="1"/>
        <v>4</v>
      </c>
    </row>
    <row r="81" spans="2:21" x14ac:dyDescent="0.3">
      <c r="B81" s="81"/>
      <c r="C81" s="72"/>
      <c r="D81" s="75" t="s">
        <v>68</v>
      </c>
      <c r="E81" s="72"/>
      <c r="F81" s="22" t="s">
        <v>2</v>
      </c>
      <c r="G81" s="23">
        <v>3</v>
      </c>
      <c r="H81" s="23">
        <v>3</v>
      </c>
      <c r="I81" s="23">
        <v>3</v>
      </c>
      <c r="J81" s="37">
        <v>3</v>
      </c>
      <c r="K81" s="23">
        <v>2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U81" s="14">
        <f t="shared" si="1"/>
        <v>2.8</v>
      </c>
    </row>
    <row r="82" spans="2:21" x14ac:dyDescent="0.3">
      <c r="B82" s="81"/>
      <c r="C82" s="72"/>
      <c r="D82" s="76"/>
      <c r="E82" s="73"/>
      <c r="F82" s="22" t="s">
        <v>3</v>
      </c>
      <c r="G82" s="23">
        <v>3</v>
      </c>
      <c r="H82" s="23">
        <v>3</v>
      </c>
      <c r="I82" s="23">
        <v>3</v>
      </c>
      <c r="J82" s="37">
        <v>3</v>
      </c>
      <c r="K82" s="23">
        <v>3</v>
      </c>
      <c r="L82" s="23">
        <v>3</v>
      </c>
      <c r="M82" s="23">
        <v>3</v>
      </c>
      <c r="N82" s="23">
        <v>3</v>
      </c>
      <c r="O82" s="23">
        <v>3</v>
      </c>
      <c r="P82" s="23">
        <v>3</v>
      </c>
      <c r="Q82" s="23">
        <v>3</v>
      </c>
      <c r="R82" s="23">
        <v>3</v>
      </c>
      <c r="U82" s="14">
        <f t="shared" si="1"/>
        <v>3</v>
      </c>
    </row>
    <row r="83" spans="2:21" x14ac:dyDescent="0.3">
      <c r="B83" s="81"/>
      <c r="C83" s="72"/>
      <c r="D83" s="75" t="s">
        <v>70</v>
      </c>
      <c r="E83" s="72"/>
      <c r="F83" s="22" t="s">
        <v>2</v>
      </c>
      <c r="G83" s="23">
        <v>8</v>
      </c>
      <c r="H83" s="23">
        <v>7</v>
      </c>
      <c r="I83" s="23">
        <v>9</v>
      </c>
      <c r="J83" s="37">
        <v>9</v>
      </c>
      <c r="K83" s="23">
        <v>9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U83" s="14">
        <f t="shared" si="1"/>
        <v>8.4</v>
      </c>
    </row>
    <row r="84" spans="2:21" x14ac:dyDescent="0.3">
      <c r="B84" s="81"/>
      <c r="C84" s="72"/>
      <c r="D84" s="76"/>
      <c r="E84" s="73"/>
      <c r="F84" s="22" t="s">
        <v>3</v>
      </c>
      <c r="G84" s="23">
        <v>10</v>
      </c>
      <c r="H84" s="23">
        <v>10</v>
      </c>
      <c r="I84" s="23">
        <v>10</v>
      </c>
      <c r="J84" s="37">
        <v>10</v>
      </c>
      <c r="K84" s="23">
        <v>10</v>
      </c>
      <c r="L84" s="23">
        <v>10</v>
      </c>
      <c r="M84" s="23">
        <v>10</v>
      </c>
      <c r="N84" s="23">
        <v>10</v>
      </c>
      <c r="O84" s="23">
        <v>10</v>
      </c>
      <c r="P84" s="23">
        <v>10</v>
      </c>
      <c r="Q84" s="23">
        <v>10</v>
      </c>
      <c r="R84" s="23">
        <v>10</v>
      </c>
      <c r="U84" s="14">
        <f t="shared" si="1"/>
        <v>10</v>
      </c>
    </row>
    <row r="85" spans="2:21" x14ac:dyDescent="0.3">
      <c r="B85" s="81"/>
      <c r="C85" s="72"/>
      <c r="D85" s="75" t="s">
        <v>72</v>
      </c>
      <c r="E85" s="72"/>
      <c r="F85" s="22" t="s">
        <v>2</v>
      </c>
      <c r="G85" s="23">
        <v>2</v>
      </c>
      <c r="H85" s="23">
        <v>2</v>
      </c>
      <c r="I85" s="23">
        <v>3</v>
      </c>
      <c r="J85" s="37">
        <v>3</v>
      </c>
      <c r="K85" s="23">
        <v>3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U85" s="14">
        <f t="shared" si="1"/>
        <v>2.6</v>
      </c>
    </row>
    <row r="86" spans="2:21" x14ac:dyDescent="0.3">
      <c r="B86" s="81"/>
      <c r="C86" s="72"/>
      <c r="D86" s="76"/>
      <c r="E86" s="73"/>
      <c r="F86" s="22" t="s">
        <v>3</v>
      </c>
      <c r="G86" s="23">
        <v>5</v>
      </c>
      <c r="H86" s="23">
        <v>5</v>
      </c>
      <c r="I86" s="23">
        <v>5</v>
      </c>
      <c r="J86" s="37">
        <v>5</v>
      </c>
      <c r="K86" s="23">
        <v>5</v>
      </c>
      <c r="L86" s="23">
        <v>5</v>
      </c>
      <c r="M86" s="23">
        <v>5</v>
      </c>
      <c r="N86" s="23">
        <v>5</v>
      </c>
      <c r="O86" s="23">
        <v>5</v>
      </c>
      <c r="P86" s="23">
        <v>5</v>
      </c>
      <c r="Q86" s="23">
        <v>5</v>
      </c>
      <c r="R86" s="23">
        <v>5</v>
      </c>
      <c r="U86" s="14">
        <f t="shared" si="1"/>
        <v>5</v>
      </c>
    </row>
    <row r="87" spans="2:21" x14ac:dyDescent="0.3">
      <c r="B87" s="81"/>
      <c r="C87" s="72"/>
      <c r="D87" s="75" t="s">
        <v>73</v>
      </c>
      <c r="E87" s="72"/>
      <c r="F87" s="22" t="s">
        <v>2</v>
      </c>
      <c r="G87" s="23">
        <v>3</v>
      </c>
      <c r="H87" s="23">
        <v>3</v>
      </c>
      <c r="I87" s="23">
        <v>3</v>
      </c>
      <c r="J87" s="37">
        <v>3</v>
      </c>
      <c r="K87" s="23">
        <v>3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U87" s="14">
        <f t="shared" si="1"/>
        <v>3</v>
      </c>
    </row>
    <row r="88" spans="2:21" x14ac:dyDescent="0.3">
      <c r="B88" s="81"/>
      <c r="C88" s="72"/>
      <c r="D88" s="76"/>
      <c r="E88" s="73"/>
      <c r="F88" s="22" t="s">
        <v>3</v>
      </c>
      <c r="G88" s="23">
        <v>3</v>
      </c>
      <c r="H88" s="23">
        <v>3</v>
      </c>
      <c r="I88" s="23">
        <v>3</v>
      </c>
      <c r="J88" s="37">
        <v>3</v>
      </c>
      <c r="K88" s="23">
        <v>3</v>
      </c>
      <c r="L88" s="23">
        <v>3</v>
      </c>
      <c r="M88" s="23">
        <v>3</v>
      </c>
      <c r="N88" s="23">
        <v>3</v>
      </c>
      <c r="O88" s="23">
        <v>3</v>
      </c>
      <c r="P88" s="23">
        <v>3</v>
      </c>
      <c r="Q88" s="23">
        <v>3</v>
      </c>
      <c r="R88" s="23">
        <v>3</v>
      </c>
      <c r="U88" s="14">
        <f t="shared" si="1"/>
        <v>3</v>
      </c>
    </row>
    <row r="89" spans="2:21" x14ac:dyDescent="0.3">
      <c r="B89" s="81"/>
      <c r="C89" s="72"/>
      <c r="D89" s="75" t="s">
        <v>74</v>
      </c>
      <c r="E89" s="72"/>
      <c r="F89" s="22" t="s">
        <v>2</v>
      </c>
      <c r="G89" s="23">
        <v>4</v>
      </c>
      <c r="H89" s="23">
        <v>4</v>
      </c>
      <c r="I89" s="23">
        <v>4</v>
      </c>
      <c r="J89" s="37">
        <v>4</v>
      </c>
      <c r="K89" s="23">
        <v>4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U89" s="14">
        <f t="shared" si="1"/>
        <v>4</v>
      </c>
    </row>
    <row r="90" spans="2:21" x14ac:dyDescent="0.3">
      <c r="B90" s="81"/>
      <c r="C90" s="72"/>
      <c r="D90" s="76"/>
      <c r="E90" s="73"/>
      <c r="F90" s="22" t="s">
        <v>3</v>
      </c>
      <c r="G90" s="23">
        <v>4</v>
      </c>
      <c r="H90" s="23">
        <v>4</v>
      </c>
      <c r="I90" s="23">
        <v>4</v>
      </c>
      <c r="J90" s="37">
        <v>4</v>
      </c>
      <c r="K90" s="23">
        <v>4</v>
      </c>
      <c r="L90" s="23">
        <v>4</v>
      </c>
      <c r="M90" s="23">
        <v>4</v>
      </c>
      <c r="N90" s="23">
        <v>4</v>
      </c>
      <c r="O90" s="23">
        <v>4</v>
      </c>
      <c r="P90" s="23">
        <v>4</v>
      </c>
      <c r="Q90" s="23">
        <v>4</v>
      </c>
      <c r="R90" s="23">
        <v>4</v>
      </c>
      <c r="U90" s="14">
        <f t="shared" si="1"/>
        <v>4</v>
      </c>
    </row>
    <row r="91" spans="2:21" x14ac:dyDescent="0.3">
      <c r="B91" s="81"/>
      <c r="C91" s="72"/>
      <c r="D91" s="75" t="s">
        <v>66</v>
      </c>
      <c r="E91" s="72"/>
      <c r="F91" s="22" t="s">
        <v>2</v>
      </c>
      <c r="G91" s="23">
        <v>3</v>
      </c>
      <c r="H91" s="23">
        <v>3</v>
      </c>
      <c r="I91" s="23">
        <v>3</v>
      </c>
      <c r="J91" s="37">
        <v>3</v>
      </c>
      <c r="K91" s="23">
        <v>3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U91" s="14">
        <f t="shared" si="1"/>
        <v>3</v>
      </c>
    </row>
    <row r="92" spans="2:21" x14ac:dyDescent="0.3">
      <c r="B92" s="76"/>
      <c r="C92" s="73"/>
      <c r="D92" s="76"/>
      <c r="E92" s="73"/>
      <c r="F92" s="22" t="s">
        <v>3</v>
      </c>
      <c r="G92" s="23">
        <v>1</v>
      </c>
      <c r="H92" s="23">
        <v>1</v>
      </c>
      <c r="I92" s="23">
        <v>1</v>
      </c>
      <c r="J92" s="37">
        <v>1</v>
      </c>
      <c r="K92" s="23">
        <v>1</v>
      </c>
      <c r="L92" s="23">
        <v>1</v>
      </c>
      <c r="M92" s="23">
        <v>1</v>
      </c>
      <c r="N92" s="23">
        <v>1</v>
      </c>
      <c r="O92" s="23">
        <v>1</v>
      </c>
      <c r="P92" s="23">
        <v>1</v>
      </c>
      <c r="Q92" s="23">
        <v>1</v>
      </c>
      <c r="R92" s="23">
        <v>1</v>
      </c>
      <c r="U92" s="14">
        <f t="shared" si="1"/>
        <v>1</v>
      </c>
    </row>
    <row r="93" spans="2:21" x14ac:dyDescent="0.3">
      <c r="B93" s="75" t="s">
        <v>75</v>
      </c>
      <c r="C93" s="72"/>
      <c r="D93" s="75" t="s">
        <v>76</v>
      </c>
      <c r="E93" s="72"/>
      <c r="F93" s="22" t="s">
        <v>2</v>
      </c>
      <c r="G93" s="23">
        <v>7</v>
      </c>
      <c r="H93" s="23">
        <v>7</v>
      </c>
      <c r="I93" s="23">
        <v>7</v>
      </c>
      <c r="J93" s="37">
        <v>6</v>
      </c>
      <c r="K93" s="23">
        <v>7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U93" s="14">
        <f t="shared" si="1"/>
        <v>6.8</v>
      </c>
    </row>
    <row r="94" spans="2:21" x14ac:dyDescent="0.3">
      <c r="B94" s="81"/>
      <c r="C94" s="72"/>
      <c r="D94" s="76"/>
      <c r="E94" s="73"/>
      <c r="F94" s="22" t="s">
        <v>3</v>
      </c>
      <c r="G94" s="23">
        <v>4</v>
      </c>
      <c r="H94" s="23">
        <v>4</v>
      </c>
      <c r="I94" s="23">
        <v>4</v>
      </c>
      <c r="J94" s="37">
        <v>4</v>
      </c>
      <c r="K94" s="23">
        <v>4</v>
      </c>
      <c r="L94" s="23">
        <v>4</v>
      </c>
      <c r="M94" s="23">
        <v>4</v>
      </c>
      <c r="N94" s="23">
        <v>4</v>
      </c>
      <c r="O94" s="23">
        <v>4</v>
      </c>
      <c r="P94" s="23">
        <v>4</v>
      </c>
      <c r="Q94" s="23">
        <v>4</v>
      </c>
      <c r="R94" s="23">
        <v>4</v>
      </c>
      <c r="U94" s="14">
        <f t="shared" si="1"/>
        <v>4</v>
      </c>
    </row>
    <row r="95" spans="2:21" x14ac:dyDescent="0.3">
      <c r="B95" s="81"/>
      <c r="C95" s="72"/>
      <c r="D95" s="75" t="s">
        <v>77</v>
      </c>
      <c r="E95" s="72"/>
      <c r="F95" s="22" t="s">
        <v>2</v>
      </c>
      <c r="G95" s="23">
        <v>4</v>
      </c>
      <c r="H95" s="23">
        <v>4</v>
      </c>
      <c r="I95" s="23">
        <v>4</v>
      </c>
      <c r="J95" s="37">
        <v>4</v>
      </c>
      <c r="K95" s="23">
        <v>4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U95" s="14">
        <f t="shared" si="1"/>
        <v>4</v>
      </c>
    </row>
    <row r="96" spans="2:21" x14ac:dyDescent="0.3">
      <c r="B96" s="81"/>
      <c r="C96" s="72"/>
      <c r="D96" s="76"/>
      <c r="E96" s="73"/>
      <c r="F96" s="22" t="s">
        <v>3</v>
      </c>
      <c r="G96" s="23">
        <v>4</v>
      </c>
      <c r="H96" s="23">
        <v>4</v>
      </c>
      <c r="I96" s="23">
        <v>4</v>
      </c>
      <c r="J96" s="37">
        <v>4</v>
      </c>
      <c r="K96" s="23">
        <v>4</v>
      </c>
      <c r="L96" s="23">
        <v>4</v>
      </c>
      <c r="M96" s="23">
        <v>4</v>
      </c>
      <c r="N96" s="23">
        <v>4</v>
      </c>
      <c r="O96" s="23">
        <v>4</v>
      </c>
      <c r="P96" s="23">
        <v>4</v>
      </c>
      <c r="Q96" s="23">
        <v>4</v>
      </c>
      <c r="R96" s="23">
        <v>4</v>
      </c>
      <c r="U96" s="14">
        <f t="shared" si="1"/>
        <v>4</v>
      </c>
    </row>
    <row r="97" spans="2:21" x14ac:dyDescent="0.3">
      <c r="B97" s="81"/>
      <c r="C97" s="72"/>
      <c r="D97" s="75" t="s">
        <v>75</v>
      </c>
      <c r="E97" s="72"/>
      <c r="F97" s="22" t="s">
        <v>2</v>
      </c>
      <c r="G97" s="23">
        <v>7</v>
      </c>
      <c r="H97" s="23">
        <v>7</v>
      </c>
      <c r="I97" s="23">
        <v>7</v>
      </c>
      <c r="J97" s="37">
        <v>7</v>
      </c>
      <c r="K97" s="23">
        <v>7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U97" s="14">
        <f t="shared" si="1"/>
        <v>7</v>
      </c>
    </row>
    <row r="98" spans="2:21" x14ac:dyDescent="0.3">
      <c r="B98" s="76"/>
      <c r="C98" s="73"/>
      <c r="D98" s="76"/>
      <c r="E98" s="73"/>
      <c r="F98" s="22" t="s">
        <v>3</v>
      </c>
      <c r="G98" s="23">
        <v>7</v>
      </c>
      <c r="H98" s="23">
        <v>7</v>
      </c>
      <c r="I98" s="23">
        <v>7</v>
      </c>
      <c r="J98" s="37">
        <v>7</v>
      </c>
      <c r="K98" s="23">
        <v>7</v>
      </c>
      <c r="L98" s="23">
        <v>7</v>
      </c>
      <c r="M98" s="23">
        <v>7</v>
      </c>
      <c r="N98" s="23">
        <v>7</v>
      </c>
      <c r="O98" s="23">
        <v>7</v>
      </c>
      <c r="P98" s="23">
        <v>7</v>
      </c>
      <c r="Q98" s="23">
        <v>7</v>
      </c>
      <c r="R98" s="23">
        <v>7</v>
      </c>
      <c r="U98" s="14">
        <f t="shared" si="1"/>
        <v>7</v>
      </c>
    </row>
    <row r="99" spans="2:21" ht="11.25" customHeight="1" x14ac:dyDescent="0.3">
      <c r="U99" s="14" t="e">
        <f t="shared" si="1"/>
        <v>#DIV/0!</v>
      </c>
    </row>
    <row r="100" spans="2:21" x14ac:dyDescent="0.3">
      <c r="B100" s="83" t="s">
        <v>134</v>
      </c>
      <c r="C100" s="73"/>
      <c r="D100" s="73"/>
      <c r="E100" s="73"/>
      <c r="F100" s="16" t="s">
        <v>2</v>
      </c>
      <c r="G100" s="17">
        <v>88</v>
      </c>
      <c r="H100" s="17">
        <v>93</v>
      </c>
      <c r="I100" s="17">
        <v>90</v>
      </c>
      <c r="J100" s="17">
        <v>92</v>
      </c>
      <c r="K100" s="17">
        <v>87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U100" s="14">
        <f t="shared" si="1"/>
        <v>90</v>
      </c>
    </row>
    <row r="101" spans="2:21" x14ac:dyDescent="0.3">
      <c r="F101" s="16" t="s">
        <v>3</v>
      </c>
      <c r="G101" s="17">
        <v>94</v>
      </c>
      <c r="H101" s="17">
        <v>94</v>
      </c>
      <c r="I101" s="17">
        <v>94</v>
      </c>
      <c r="J101" s="17">
        <v>91</v>
      </c>
      <c r="K101" s="17">
        <v>91</v>
      </c>
      <c r="L101" s="17">
        <v>94</v>
      </c>
      <c r="M101" s="17">
        <v>94</v>
      </c>
      <c r="N101" s="17">
        <v>94</v>
      </c>
      <c r="O101" s="17">
        <v>91</v>
      </c>
      <c r="P101" s="17">
        <v>91</v>
      </c>
      <c r="Q101" s="17">
        <v>91</v>
      </c>
      <c r="R101" s="17">
        <v>91</v>
      </c>
      <c r="U101" s="14">
        <f t="shared" si="1"/>
        <v>92.8</v>
      </c>
    </row>
    <row r="102" spans="2:21" ht="1.95" customHeight="1" x14ac:dyDescent="0.3">
      <c r="J102" s="14"/>
      <c r="U102" s="14" t="e">
        <f t="shared" si="1"/>
        <v>#DIV/0!</v>
      </c>
    </row>
    <row r="103" spans="2:21" x14ac:dyDescent="0.3">
      <c r="B103" s="78" t="s">
        <v>79</v>
      </c>
      <c r="C103" s="73"/>
      <c r="D103" s="73"/>
      <c r="E103" s="73"/>
      <c r="F103" s="16" t="s">
        <v>2</v>
      </c>
      <c r="G103" s="17">
        <v>85</v>
      </c>
      <c r="H103" s="17">
        <v>90</v>
      </c>
      <c r="I103" s="17">
        <v>87</v>
      </c>
      <c r="J103" s="17">
        <v>88.5</v>
      </c>
      <c r="K103" s="17">
        <v>83.5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U103" s="14">
        <f t="shared" si="1"/>
        <v>86.8</v>
      </c>
    </row>
    <row r="104" spans="2:21" x14ac:dyDescent="0.3">
      <c r="F104" s="16" t="s">
        <v>3</v>
      </c>
      <c r="G104" s="17">
        <v>91</v>
      </c>
      <c r="H104" s="17">
        <v>91</v>
      </c>
      <c r="I104" s="17">
        <v>91</v>
      </c>
      <c r="J104" s="17">
        <v>91</v>
      </c>
      <c r="K104" s="17">
        <v>91</v>
      </c>
      <c r="L104" s="17">
        <v>91</v>
      </c>
      <c r="M104" s="17">
        <v>91</v>
      </c>
      <c r="N104" s="17">
        <v>91</v>
      </c>
      <c r="O104" s="17">
        <v>91</v>
      </c>
      <c r="P104" s="17">
        <v>91</v>
      </c>
      <c r="Q104" s="17">
        <v>91</v>
      </c>
      <c r="R104" s="17">
        <v>91</v>
      </c>
      <c r="U104" s="14">
        <f t="shared" si="1"/>
        <v>91</v>
      </c>
    </row>
    <row r="105" spans="2:21" ht="1.05" customHeight="1" x14ac:dyDescent="0.3">
      <c r="J105" s="14"/>
      <c r="U105" s="14" t="e">
        <f t="shared" si="1"/>
        <v>#DIV/0!</v>
      </c>
    </row>
    <row r="106" spans="2:21" x14ac:dyDescent="0.3">
      <c r="B106" s="78" t="s">
        <v>80</v>
      </c>
      <c r="C106" s="73"/>
      <c r="D106" s="73"/>
      <c r="E106" s="73"/>
      <c r="F106" s="16" t="s">
        <v>2</v>
      </c>
      <c r="G106" s="17">
        <v>3</v>
      </c>
      <c r="H106" s="17">
        <v>3</v>
      </c>
      <c r="I106" s="17">
        <v>3</v>
      </c>
      <c r="J106" s="17">
        <v>3</v>
      </c>
      <c r="K106" s="17">
        <v>3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U106" s="14">
        <f t="shared" si="1"/>
        <v>3</v>
      </c>
    </row>
    <row r="107" spans="2:21" x14ac:dyDescent="0.3">
      <c r="F107" s="16" t="s">
        <v>3</v>
      </c>
      <c r="G107" s="17">
        <v>3</v>
      </c>
      <c r="H107" s="17">
        <v>3</v>
      </c>
      <c r="I107" s="17">
        <v>3</v>
      </c>
      <c r="J107" s="17">
        <v>0</v>
      </c>
      <c r="K107" s="17">
        <v>0</v>
      </c>
      <c r="L107" s="17">
        <v>3</v>
      </c>
      <c r="M107" s="17">
        <v>3</v>
      </c>
      <c r="N107" s="17">
        <v>3</v>
      </c>
      <c r="O107" s="17">
        <v>0</v>
      </c>
      <c r="P107" s="17">
        <v>0</v>
      </c>
      <c r="Q107" s="17">
        <v>0</v>
      </c>
      <c r="R107" s="17">
        <v>0</v>
      </c>
      <c r="U107" s="14">
        <f t="shared" si="1"/>
        <v>1.8</v>
      </c>
    </row>
    <row r="108" spans="2:21" ht="10.199999999999999" customHeight="1" x14ac:dyDescent="0.3">
      <c r="U108" s="14" t="e">
        <f t="shared" si="1"/>
        <v>#DIV/0!</v>
      </c>
    </row>
    <row r="109" spans="2:21" x14ac:dyDescent="0.3">
      <c r="B109" s="18" t="s">
        <v>81</v>
      </c>
      <c r="C109" s="84" t="s">
        <v>5</v>
      </c>
      <c r="D109" s="73"/>
      <c r="E109" s="19" t="s">
        <v>5</v>
      </c>
      <c r="F109" s="20" t="s">
        <v>6</v>
      </c>
      <c r="G109" s="21" t="s">
        <v>235</v>
      </c>
      <c r="H109" s="21" t="s">
        <v>236</v>
      </c>
      <c r="I109" s="21" t="s">
        <v>237</v>
      </c>
      <c r="J109" s="35" t="s">
        <v>238</v>
      </c>
      <c r="K109" s="21" t="s">
        <v>239</v>
      </c>
      <c r="L109" s="21" t="s">
        <v>240</v>
      </c>
      <c r="M109" s="21" t="s">
        <v>241</v>
      </c>
      <c r="N109" s="21" t="s">
        <v>242</v>
      </c>
      <c r="O109" s="21" t="s">
        <v>243</v>
      </c>
      <c r="P109" s="21" t="s">
        <v>244</v>
      </c>
      <c r="Q109" s="21" t="s">
        <v>245</v>
      </c>
      <c r="R109" s="21" t="s">
        <v>246</v>
      </c>
      <c r="U109" s="14" t="e">
        <f t="shared" si="1"/>
        <v>#DIV/0!</v>
      </c>
    </row>
    <row r="110" spans="2:21" x14ac:dyDescent="0.3">
      <c r="B110" s="75" t="s">
        <v>26</v>
      </c>
      <c r="C110" s="75" t="s">
        <v>26</v>
      </c>
      <c r="D110" s="72"/>
      <c r="E110" s="75" t="s">
        <v>82</v>
      </c>
      <c r="F110" s="22" t="s">
        <v>2</v>
      </c>
      <c r="G110" s="23">
        <v>3</v>
      </c>
      <c r="H110" s="23">
        <v>3</v>
      </c>
      <c r="I110" s="23">
        <v>3</v>
      </c>
      <c r="J110" s="23">
        <v>3</v>
      </c>
      <c r="K110" s="23">
        <v>3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U110" s="14">
        <f t="shared" si="1"/>
        <v>3</v>
      </c>
    </row>
    <row r="111" spans="2:21" x14ac:dyDescent="0.3">
      <c r="B111" s="76"/>
      <c r="C111" s="76"/>
      <c r="D111" s="73"/>
      <c r="E111" s="76"/>
      <c r="F111" s="22" t="s">
        <v>3</v>
      </c>
      <c r="G111" s="23">
        <v>3</v>
      </c>
      <c r="H111" s="23">
        <v>3</v>
      </c>
      <c r="I111" s="23">
        <v>3</v>
      </c>
      <c r="J111" s="23">
        <v>0</v>
      </c>
      <c r="K111" s="23">
        <v>0</v>
      </c>
      <c r="L111" s="23">
        <v>3</v>
      </c>
      <c r="M111" s="23">
        <v>3</v>
      </c>
      <c r="N111" s="23">
        <v>3</v>
      </c>
      <c r="O111" s="23">
        <v>0</v>
      </c>
      <c r="P111" s="23">
        <v>0</v>
      </c>
      <c r="Q111" s="23">
        <v>0</v>
      </c>
      <c r="R111" s="23">
        <v>0</v>
      </c>
      <c r="U111" s="14">
        <f t="shared" si="1"/>
        <v>1.8</v>
      </c>
    </row>
    <row r="112" spans="2:21" x14ac:dyDescent="0.3">
      <c r="B112" s="75" t="s">
        <v>32</v>
      </c>
      <c r="C112" s="75" t="s">
        <v>33</v>
      </c>
      <c r="D112" s="72"/>
      <c r="E112" s="75" t="s">
        <v>83</v>
      </c>
      <c r="F112" s="22" t="s">
        <v>2</v>
      </c>
      <c r="G112" s="23">
        <v>1</v>
      </c>
      <c r="H112" s="23">
        <v>2</v>
      </c>
      <c r="I112" s="23">
        <v>2</v>
      </c>
      <c r="J112" s="23">
        <v>2</v>
      </c>
      <c r="K112" s="23">
        <v>2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U112" s="14">
        <f t="shared" si="1"/>
        <v>1.8</v>
      </c>
    </row>
    <row r="113" spans="2:21" x14ac:dyDescent="0.3">
      <c r="B113" s="81"/>
      <c r="C113" s="76"/>
      <c r="D113" s="73"/>
      <c r="E113" s="76"/>
      <c r="F113" s="22" t="s">
        <v>3</v>
      </c>
      <c r="G113" s="23">
        <v>2</v>
      </c>
      <c r="H113" s="23">
        <v>2</v>
      </c>
      <c r="I113" s="23">
        <v>2</v>
      </c>
      <c r="J113" s="23">
        <v>2</v>
      </c>
      <c r="K113" s="23">
        <v>2</v>
      </c>
      <c r="L113" s="23">
        <v>2</v>
      </c>
      <c r="M113" s="23">
        <v>2</v>
      </c>
      <c r="N113" s="23">
        <v>2</v>
      </c>
      <c r="O113" s="23">
        <v>2</v>
      </c>
      <c r="P113" s="23">
        <v>2</v>
      </c>
      <c r="Q113" s="23">
        <v>2</v>
      </c>
      <c r="R113" s="23">
        <v>2</v>
      </c>
      <c r="U113" s="14">
        <f t="shared" si="1"/>
        <v>2</v>
      </c>
    </row>
    <row r="114" spans="2:21" x14ac:dyDescent="0.3">
      <c r="B114" s="81"/>
      <c r="C114" s="75" t="s">
        <v>35</v>
      </c>
      <c r="D114" s="72"/>
      <c r="E114" s="75" t="s">
        <v>83</v>
      </c>
      <c r="F114" s="22" t="s">
        <v>2</v>
      </c>
      <c r="G114" s="23">
        <v>1</v>
      </c>
      <c r="H114" s="23">
        <v>1</v>
      </c>
      <c r="I114" s="23">
        <v>1</v>
      </c>
      <c r="J114" s="23">
        <v>1</v>
      </c>
      <c r="K114" s="23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U114" s="14">
        <f t="shared" si="1"/>
        <v>1</v>
      </c>
    </row>
    <row r="115" spans="2:21" x14ac:dyDescent="0.3">
      <c r="B115" s="76"/>
      <c r="C115" s="76"/>
      <c r="D115" s="73"/>
      <c r="E115" s="76"/>
      <c r="F115" s="22" t="s">
        <v>3</v>
      </c>
      <c r="G115" s="23">
        <v>1</v>
      </c>
      <c r="H115" s="23">
        <v>1</v>
      </c>
      <c r="I115" s="23">
        <v>1</v>
      </c>
      <c r="J115" s="23">
        <v>1</v>
      </c>
      <c r="K115" s="23">
        <v>1</v>
      </c>
      <c r="L115" s="23">
        <v>1</v>
      </c>
      <c r="M115" s="23">
        <v>1</v>
      </c>
      <c r="N115" s="23">
        <v>1</v>
      </c>
      <c r="O115" s="23">
        <v>1</v>
      </c>
      <c r="P115" s="23">
        <v>1</v>
      </c>
      <c r="Q115" s="23">
        <v>1</v>
      </c>
      <c r="R115" s="23">
        <v>1</v>
      </c>
      <c r="U115" s="14">
        <f t="shared" si="1"/>
        <v>1</v>
      </c>
    </row>
    <row r="116" spans="2:21" x14ac:dyDescent="0.3">
      <c r="B116" s="75" t="s">
        <v>38</v>
      </c>
      <c r="C116" s="75" t="s">
        <v>41</v>
      </c>
      <c r="D116" s="72"/>
      <c r="E116" s="75" t="s">
        <v>83</v>
      </c>
      <c r="F116" s="22" t="s">
        <v>2</v>
      </c>
      <c r="G116" s="23">
        <v>0</v>
      </c>
      <c r="H116" s="23">
        <v>1</v>
      </c>
      <c r="I116" s="23">
        <v>1</v>
      </c>
      <c r="J116" s="23">
        <v>0.5</v>
      </c>
      <c r="K116" s="23">
        <v>0.5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U116" s="14">
        <f t="shared" si="1"/>
        <v>0.6</v>
      </c>
    </row>
    <row r="117" spans="2:21" x14ac:dyDescent="0.3">
      <c r="B117" s="76"/>
      <c r="C117" s="76"/>
      <c r="D117" s="73"/>
      <c r="E117" s="76"/>
      <c r="F117" s="22" t="s">
        <v>3</v>
      </c>
      <c r="G117" s="23">
        <v>2</v>
      </c>
      <c r="H117" s="23">
        <v>2</v>
      </c>
      <c r="I117" s="23">
        <v>2</v>
      </c>
      <c r="J117" s="23">
        <v>2</v>
      </c>
      <c r="K117" s="23">
        <v>2</v>
      </c>
      <c r="L117" s="23">
        <v>2</v>
      </c>
      <c r="M117" s="23">
        <v>2</v>
      </c>
      <c r="N117" s="23">
        <v>2</v>
      </c>
      <c r="O117" s="23">
        <v>2</v>
      </c>
      <c r="P117" s="23">
        <v>2</v>
      </c>
      <c r="Q117" s="23">
        <v>2</v>
      </c>
      <c r="R117" s="23">
        <v>2</v>
      </c>
      <c r="U117" s="14">
        <f t="shared" si="1"/>
        <v>2</v>
      </c>
    </row>
    <row r="118" spans="2:21" x14ac:dyDescent="0.3">
      <c r="B118" s="75" t="s">
        <v>42</v>
      </c>
      <c r="C118" s="75" t="s">
        <v>42</v>
      </c>
      <c r="D118" s="72"/>
      <c r="E118" s="75" t="s">
        <v>83</v>
      </c>
      <c r="F118" s="22" t="s">
        <v>2</v>
      </c>
      <c r="G118" s="23">
        <v>4</v>
      </c>
      <c r="H118" s="23">
        <v>5</v>
      </c>
      <c r="I118" s="23">
        <v>5</v>
      </c>
      <c r="J118" s="23">
        <v>5</v>
      </c>
      <c r="K118" s="23">
        <v>4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U118" s="14">
        <f t="shared" si="1"/>
        <v>4.5999999999999996</v>
      </c>
    </row>
    <row r="119" spans="2:21" x14ac:dyDescent="0.3">
      <c r="B119" s="76"/>
      <c r="C119" s="76"/>
      <c r="D119" s="73"/>
      <c r="E119" s="76"/>
      <c r="F119" s="22" t="s">
        <v>3</v>
      </c>
      <c r="G119" s="23">
        <v>4</v>
      </c>
      <c r="H119" s="23">
        <v>4</v>
      </c>
      <c r="I119" s="23">
        <v>4</v>
      </c>
      <c r="J119" s="23">
        <v>4</v>
      </c>
      <c r="K119" s="23">
        <v>4</v>
      </c>
      <c r="L119" s="23">
        <v>4</v>
      </c>
      <c r="M119" s="23">
        <v>4</v>
      </c>
      <c r="N119" s="23">
        <v>4</v>
      </c>
      <c r="O119" s="23">
        <v>4</v>
      </c>
      <c r="P119" s="23">
        <v>4</v>
      </c>
      <c r="Q119" s="23">
        <v>4</v>
      </c>
      <c r="R119" s="23">
        <v>4</v>
      </c>
      <c r="U119" s="14">
        <f t="shared" si="1"/>
        <v>4</v>
      </c>
    </row>
    <row r="120" spans="2:21" x14ac:dyDescent="0.3">
      <c r="B120" s="75" t="s">
        <v>45</v>
      </c>
      <c r="C120" s="75" t="s">
        <v>48</v>
      </c>
      <c r="D120" s="72"/>
      <c r="E120" s="75" t="s">
        <v>83</v>
      </c>
      <c r="F120" s="22" t="s">
        <v>2</v>
      </c>
      <c r="G120" s="23">
        <v>1</v>
      </c>
      <c r="H120" s="23">
        <v>1</v>
      </c>
      <c r="I120" s="23">
        <v>1</v>
      </c>
      <c r="J120" s="23">
        <v>1</v>
      </c>
      <c r="K120" s="23">
        <v>1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U120" s="14">
        <f t="shared" si="1"/>
        <v>1</v>
      </c>
    </row>
    <row r="121" spans="2:21" x14ac:dyDescent="0.3">
      <c r="B121" s="81"/>
      <c r="C121" s="76"/>
      <c r="D121" s="73"/>
      <c r="E121" s="76"/>
      <c r="F121" s="22" t="s">
        <v>3</v>
      </c>
      <c r="G121" s="23">
        <v>1</v>
      </c>
      <c r="H121" s="23">
        <v>1</v>
      </c>
      <c r="I121" s="23">
        <v>1</v>
      </c>
      <c r="J121" s="23">
        <v>1</v>
      </c>
      <c r="K121" s="23">
        <v>1</v>
      </c>
      <c r="L121" s="23">
        <v>1</v>
      </c>
      <c r="M121" s="23">
        <v>1</v>
      </c>
      <c r="N121" s="23">
        <v>1</v>
      </c>
      <c r="O121" s="23">
        <v>1</v>
      </c>
      <c r="P121" s="23">
        <v>1</v>
      </c>
      <c r="Q121" s="23">
        <v>1</v>
      </c>
      <c r="R121" s="23">
        <v>1</v>
      </c>
      <c r="U121" s="14">
        <f t="shared" si="1"/>
        <v>1</v>
      </c>
    </row>
    <row r="122" spans="2:21" x14ac:dyDescent="0.3">
      <c r="B122" s="81"/>
      <c r="C122" s="75" t="s">
        <v>49</v>
      </c>
      <c r="D122" s="72"/>
      <c r="E122" s="75" t="s">
        <v>83</v>
      </c>
      <c r="F122" s="22" t="s">
        <v>2</v>
      </c>
      <c r="G122" s="23">
        <v>23</v>
      </c>
      <c r="H122" s="23">
        <v>26</v>
      </c>
      <c r="I122" s="23">
        <v>23</v>
      </c>
      <c r="J122" s="23">
        <v>23</v>
      </c>
      <c r="K122" s="23">
        <v>22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U122" s="14">
        <f t="shared" si="1"/>
        <v>23.4</v>
      </c>
    </row>
    <row r="123" spans="2:21" x14ac:dyDescent="0.3">
      <c r="B123" s="76"/>
      <c r="C123" s="76"/>
      <c r="D123" s="73"/>
      <c r="E123" s="76"/>
      <c r="F123" s="22" t="s">
        <v>3</v>
      </c>
      <c r="G123" s="23">
        <v>23</v>
      </c>
      <c r="H123" s="23">
        <v>23</v>
      </c>
      <c r="I123" s="23">
        <v>23</v>
      </c>
      <c r="J123" s="23">
        <v>23</v>
      </c>
      <c r="K123" s="23">
        <v>23</v>
      </c>
      <c r="L123" s="23">
        <v>23</v>
      </c>
      <c r="M123" s="23">
        <v>23</v>
      </c>
      <c r="N123" s="23">
        <v>23</v>
      </c>
      <c r="O123" s="23">
        <v>23</v>
      </c>
      <c r="P123" s="23">
        <v>23</v>
      </c>
      <c r="Q123" s="23">
        <v>23</v>
      </c>
      <c r="R123" s="23">
        <v>23</v>
      </c>
      <c r="U123" s="14">
        <f t="shared" si="1"/>
        <v>23</v>
      </c>
    </row>
    <row r="124" spans="2:21" x14ac:dyDescent="0.3">
      <c r="B124" s="75" t="s">
        <v>50</v>
      </c>
      <c r="C124" s="75" t="s">
        <v>54</v>
      </c>
      <c r="D124" s="72"/>
      <c r="E124" s="75" t="s">
        <v>83</v>
      </c>
      <c r="F124" s="22" t="s">
        <v>2</v>
      </c>
      <c r="G124" s="23">
        <v>1</v>
      </c>
      <c r="H124" s="23">
        <v>1</v>
      </c>
      <c r="I124" s="23">
        <v>1</v>
      </c>
      <c r="J124" s="23">
        <v>1</v>
      </c>
      <c r="K124" s="23">
        <v>1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U124" s="14">
        <f t="shared" si="1"/>
        <v>1</v>
      </c>
    </row>
    <row r="125" spans="2:21" x14ac:dyDescent="0.3">
      <c r="B125" s="81"/>
      <c r="C125" s="76"/>
      <c r="D125" s="73"/>
      <c r="E125" s="76"/>
      <c r="F125" s="22" t="s">
        <v>3</v>
      </c>
      <c r="G125" s="23">
        <v>3</v>
      </c>
      <c r="H125" s="23">
        <v>3</v>
      </c>
      <c r="I125" s="23">
        <v>3</v>
      </c>
      <c r="J125" s="23">
        <v>3</v>
      </c>
      <c r="K125" s="23">
        <v>3</v>
      </c>
      <c r="L125" s="23">
        <v>3</v>
      </c>
      <c r="M125" s="23">
        <v>3</v>
      </c>
      <c r="N125" s="23">
        <v>3</v>
      </c>
      <c r="O125" s="23">
        <v>3</v>
      </c>
      <c r="P125" s="23">
        <v>3</v>
      </c>
      <c r="Q125" s="23">
        <v>3</v>
      </c>
      <c r="R125" s="23">
        <v>3</v>
      </c>
      <c r="U125" s="14">
        <f t="shared" si="1"/>
        <v>3</v>
      </c>
    </row>
    <row r="126" spans="2:21" x14ac:dyDescent="0.3">
      <c r="B126" s="81"/>
      <c r="C126" s="75" t="s">
        <v>57</v>
      </c>
      <c r="D126" s="72"/>
      <c r="E126" s="75" t="s">
        <v>83</v>
      </c>
      <c r="F126" s="22" t="s">
        <v>2</v>
      </c>
      <c r="G126" s="23">
        <v>4</v>
      </c>
      <c r="H126" s="23">
        <v>4</v>
      </c>
      <c r="I126" s="23">
        <v>4</v>
      </c>
      <c r="J126" s="23">
        <v>6</v>
      </c>
      <c r="K126" s="23">
        <v>3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U126" s="14">
        <f t="shared" si="1"/>
        <v>4.2</v>
      </c>
    </row>
    <row r="127" spans="2:21" x14ac:dyDescent="0.3">
      <c r="B127" s="81"/>
      <c r="C127" s="76"/>
      <c r="D127" s="73"/>
      <c r="E127" s="76"/>
      <c r="F127" s="22" t="s">
        <v>3</v>
      </c>
      <c r="G127" s="23">
        <v>6</v>
      </c>
      <c r="H127" s="23">
        <v>6</v>
      </c>
      <c r="I127" s="23">
        <v>6</v>
      </c>
      <c r="J127" s="23">
        <v>6</v>
      </c>
      <c r="K127" s="23">
        <v>6</v>
      </c>
      <c r="L127" s="23">
        <v>6</v>
      </c>
      <c r="M127" s="23">
        <v>6</v>
      </c>
      <c r="N127" s="23">
        <v>6</v>
      </c>
      <c r="O127" s="23">
        <v>6</v>
      </c>
      <c r="P127" s="23">
        <v>6</v>
      </c>
      <c r="Q127" s="23">
        <v>6</v>
      </c>
      <c r="R127" s="23">
        <v>6</v>
      </c>
      <c r="U127" s="14">
        <f t="shared" si="1"/>
        <v>6</v>
      </c>
    </row>
    <row r="128" spans="2:21" x14ac:dyDescent="0.3">
      <c r="B128" s="81"/>
      <c r="C128" s="75" t="s">
        <v>50</v>
      </c>
      <c r="D128" s="72"/>
      <c r="E128" s="75" t="s">
        <v>83</v>
      </c>
      <c r="F128" s="22" t="s">
        <v>2</v>
      </c>
      <c r="G128" s="23">
        <v>1</v>
      </c>
      <c r="H128" s="23">
        <v>1</v>
      </c>
      <c r="I128" s="23">
        <v>1</v>
      </c>
      <c r="J128" s="23">
        <v>1</v>
      </c>
      <c r="K128" s="23">
        <v>1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U128" s="14">
        <f t="shared" si="1"/>
        <v>1</v>
      </c>
    </row>
    <row r="129" spans="2:21" x14ac:dyDescent="0.3">
      <c r="B129" s="76"/>
      <c r="C129" s="76"/>
      <c r="D129" s="73"/>
      <c r="E129" s="76"/>
      <c r="F129" s="22" t="s">
        <v>3</v>
      </c>
      <c r="G129" s="23">
        <v>1</v>
      </c>
      <c r="H129" s="23">
        <v>1</v>
      </c>
      <c r="I129" s="23">
        <v>1</v>
      </c>
      <c r="J129" s="23">
        <v>1</v>
      </c>
      <c r="K129" s="23">
        <v>1</v>
      </c>
      <c r="L129" s="23">
        <v>1</v>
      </c>
      <c r="M129" s="23">
        <v>1</v>
      </c>
      <c r="N129" s="23">
        <v>1</v>
      </c>
      <c r="O129" s="23">
        <v>1</v>
      </c>
      <c r="P129" s="23">
        <v>1</v>
      </c>
      <c r="Q129" s="23">
        <v>1</v>
      </c>
      <c r="R129" s="23">
        <v>1</v>
      </c>
      <c r="U129" s="14">
        <f t="shared" si="1"/>
        <v>1</v>
      </c>
    </row>
    <row r="130" spans="2:21" x14ac:dyDescent="0.3">
      <c r="B130" s="75" t="s">
        <v>58</v>
      </c>
      <c r="C130" s="75" t="s">
        <v>60</v>
      </c>
      <c r="D130" s="72"/>
      <c r="E130" s="75" t="s">
        <v>83</v>
      </c>
      <c r="F130" s="22" t="s">
        <v>2</v>
      </c>
      <c r="G130" s="23">
        <v>2</v>
      </c>
      <c r="H130" s="23">
        <v>2</v>
      </c>
      <c r="I130" s="23">
        <v>2</v>
      </c>
      <c r="J130" s="23">
        <v>2</v>
      </c>
      <c r="K130" s="23">
        <v>2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U130" s="14">
        <f t="shared" si="1"/>
        <v>2</v>
      </c>
    </row>
    <row r="131" spans="2:21" x14ac:dyDescent="0.3">
      <c r="B131" s="76"/>
      <c r="C131" s="76"/>
      <c r="D131" s="73"/>
      <c r="E131" s="76"/>
      <c r="F131" s="22" t="s">
        <v>3</v>
      </c>
      <c r="G131" s="23">
        <v>3</v>
      </c>
      <c r="H131" s="23">
        <v>3</v>
      </c>
      <c r="I131" s="23">
        <v>3</v>
      </c>
      <c r="J131" s="23">
        <v>3</v>
      </c>
      <c r="K131" s="23">
        <v>3</v>
      </c>
      <c r="L131" s="23">
        <v>3</v>
      </c>
      <c r="M131" s="23">
        <v>3</v>
      </c>
      <c r="N131" s="23">
        <v>3</v>
      </c>
      <c r="O131" s="23">
        <v>3</v>
      </c>
      <c r="P131" s="23">
        <v>3</v>
      </c>
      <c r="Q131" s="23">
        <v>3</v>
      </c>
      <c r="R131" s="23">
        <v>3</v>
      </c>
      <c r="U131" s="14">
        <f t="shared" si="1"/>
        <v>3</v>
      </c>
    </row>
    <row r="132" spans="2:21" x14ac:dyDescent="0.3">
      <c r="B132" s="75" t="s">
        <v>62</v>
      </c>
      <c r="C132" s="75" t="s">
        <v>63</v>
      </c>
      <c r="D132" s="72"/>
      <c r="E132" s="75" t="s">
        <v>83</v>
      </c>
      <c r="F132" s="22" t="s">
        <v>2</v>
      </c>
      <c r="G132" s="23">
        <v>35</v>
      </c>
      <c r="H132" s="23">
        <v>35</v>
      </c>
      <c r="I132" s="23">
        <v>35</v>
      </c>
      <c r="J132" s="23">
        <v>35</v>
      </c>
      <c r="K132" s="23">
        <v>35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U132" s="14">
        <f t="shared" ref="U132:U195" si="2">+AVERAGE(G132:K132)</f>
        <v>35</v>
      </c>
    </row>
    <row r="133" spans="2:21" x14ac:dyDescent="0.3">
      <c r="B133" s="76"/>
      <c r="C133" s="76"/>
      <c r="D133" s="73"/>
      <c r="E133" s="76"/>
      <c r="F133" s="22" t="s">
        <v>3</v>
      </c>
      <c r="G133" s="23">
        <v>35</v>
      </c>
      <c r="H133" s="23">
        <v>35</v>
      </c>
      <c r="I133" s="23">
        <v>35</v>
      </c>
      <c r="J133" s="23">
        <v>35</v>
      </c>
      <c r="K133" s="23">
        <v>35</v>
      </c>
      <c r="L133" s="23">
        <v>35</v>
      </c>
      <c r="M133" s="23">
        <v>35</v>
      </c>
      <c r="N133" s="23">
        <v>35</v>
      </c>
      <c r="O133" s="23">
        <v>35</v>
      </c>
      <c r="P133" s="23">
        <v>35</v>
      </c>
      <c r="Q133" s="23">
        <v>35</v>
      </c>
      <c r="R133" s="23">
        <v>35</v>
      </c>
      <c r="U133" s="14">
        <f t="shared" si="2"/>
        <v>35</v>
      </c>
    </row>
    <row r="134" spans="2:21" x14ac:dyDescent="0.3">
      <c r="B134" s="75" t="s">
        <v>75</v>
      </c>
      <c r="C134" s="75" t="s">
        <v>76</v>
      </c>
      <c r="D134" s="72"/>
      <c r="E134" s="75" t="s">
        <v>83</v>
      </c>
      <c r="F134" s="22" t="s">
        <v>2</v>
      </c>
      <c r="G134" s="23">
        <v>5</v>
      </c>
      <c r="H134" s="23">
        <v>5</v>
      </c>
      <c r="I134" s="23">
        <v>5</v>
      </c>
      <c r="J134" s="23">
        <v>5</v>
      </c>
      <c r="K134" s="23">
        <v>5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U134" s="14">
        <f t="shared" si="2"/>
        <v>5</v>
      </c>
    </row>
    <row r="135" spans="2:21" x14ac:dyDescent="0.3">
      <c r="B135" s="81"/>
      <c r="C135" s="76"/>
      <c r="D135" s="73"/>
      <c r="E135" s="76"/>
      <c r="F135" s="22" t="s">
        <v>3</v>
      </c>
      <c r="G135" s="23">
        <v>5</v>
      </c>
      <c r="H135" s="23">
        <v>5</v>
      </c>
      <c r="I135" s="23">
        <v>5</v>
      </c>
      <c r="J135" s="23">
        <v>5</v>
      </c>
      <c r="K135" s="23">
        <v>5</v>
      </c>
      <c r="L135" s="23">
        <v>5</v>
      </c>
      <c r="M135" s="23">
        <v>5</v>
      </c>
      <c r="N135" s="23">
        <v>5</v>
      </c>
      <c r="O135" s="23">
        <v>5</v>
      </c>
      <c r="P135" s="23">
        <v>5</v>
      </c>
      <c r="Q135" s="23">
        <v>5</v>
      </c>
      <c r="R135" s="23">
        <v>5</v>
      </c>
      <c r="U135" s="14">
        <f t="shared" si="2"/>
        <v>5</v>
      </c>
    </row>
    <row r="136" spans="2:21" x14ac:dyDescent="0.3">
      <c r="B136" s="81"/>
      <c r="C136" s="75" t="s">
        <v>77</v>
      </c>
      <c r="D136" s="72"/>
      <c r="E136" s="75" t="s">
        <v>83</v>
      </c>
      <c r="F136" s="22" t="s">
        <v>2</v>
      </c>
      <c r="G136" s="23">
        <v>7</v>
      </c>
      <c r="H136" s="23">
        <v>6</v>
      </c>
      <c r="I136" s="23">
        <v>6</v>
      </c>
      <c r="J136" s="23">
        <v>6</v>
      </c>
      <c r="K136" s="23">
        <v>6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U136" s="14">
        <f t="shared" si="2"/>
        <v>6.2</v>
      </c>
    </row>
    <row r="137" spans="2:21" x14ac:dyDescent="0.3">
      <c r="B137" s="76"/>
      <c r="C137" s="76"/>
      <c r="D137" s="73"/>
      <c r="E137" s="76"/>
      <c r="F137" s="22" t="s">
        <v>3</v>
      </c>
      <c r="G137" s="23">
        <v>5</v>
      </c>
      <c r="H137" s="23">
        <v>5</v>
      </c>
      <c r="I137" s="23">
        <v>5</v>
      </c>
      <c r="J137" s="23">
        <v>5</v>
      </c>
      <c r="K137" s="23">
        <v>5</v>
      </c>
      <c r="L137" s="23">
        <v>5</v>
      </c>
      <c r="M137" s="23">
        <v>5</v>
      </c>
      <c r="N137" s="23">
        <v>5</v>
      </c>
      <c r="O137" s="23">
        <v>5</v>
      </c>
      <c r="P137" s="23">
        <v>5</v>
      </c>
      <c r="Q137" s="23">
        <v>5</v>
      </c>
      <c r="R137" s="23">
        <v>5</v>
      </c>
      <c r="U137" s="14">
        <f t="shared" si="2"/>
        <v>5</v>
      </c>
    </row>
    <row r="138" spans="2:21" ht="6.45" customHeight="1" x14ac:dyDescent="0.3">
      <c r="U138" s="14" t="e">
        <f t="shared" si="2"/>
        <v>#DIV/0!</v>
      </c>
    </row>
    <row r="139" spans="2:21" x14ac:dyDescent="0.3">
      <c r="B139" s="78" t="s">
        <v>135</v>
      </c>
      <c r="C139" s="73"/>
      <c r="D139" s="73"/>
      <c r="E139" s="73"/>
      <c r="F139" s="16" t="s">
        <v>2</v>
      </c>
      <c r="G139" s="17">
        <v>352</v>
      </c>
      <c r="H139" s="17">
        <v>357</v>
      </c>
      <c r="I139" s="17">
        <v>357</v>
      </c>
      <c r="J139" s="31">
        <v>354</v>
      </c>
      <c r="K139" s="17">
        <v>352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U139" s="14">
        <f t="shared" si="2"/>
        <v>354.4</v>
      </c>
    </row>
    <row r="140" spans="2:21" x14ac:dyDescent="0.3">
      <c r="F140" s="16" t="s">
        <v>3</v>
      </c>
      <c r="G140" s="17">
        <v>396</v>
      </c>
      <c r="H140" s="17">
        <v>422</v>
      </c>
      <c r="I140" s="17">
        <v>430</v>
      </c>
      <c r="J140" s="31">
        <v>432</v>
      </c>
      <c r="K140" s="17">
        <v>434</v>
      </c>
      <c r="L140" s="17">
        <v>434</v>
      </c>
      <c r="M140" s="17">
        <v>435</v>
      </c>
      <c r="N140" s="17">
        <v>436</v>
      </c>
      <c r="O140" s="17">
        <v>436</v>
      </c>
      <c r="P140" s="17">
        <v>436</v>
      </c>
      <c r="Q140" s="17">
        <v>436</v>
      </c>
      <c r="R140" s="17">
        <v>436</v>
      </c>
      <c r="U140" s="14">
        <f t="shared" si="2"/>
        <v>422.8</v>
      </c>
    </row>
    <row r="141" spans="2:21" ht="3" customHeight="1" x14ac:dyDescent="0.3">
      <c r="U141" s="14" t="e">
        <f t="shared" si="2"/>
        <v>#DIV/0!</v>
      </c>
    </row>
    <row r="142" spans="2:21" x14ac:dyDescent="0.3">
      <c r="B142" s="78" t="s">
        <v>5</v>
      </c>
      <c r="C142" s="73"/>
      <c r="D142" s="73"/>
      <c r="E142" s="73"/>
      <c r="F142" s="20" t="s">
        <v>6</v>
      </c>
      <c r="G142" s="21" t="s">
        <v>235</v>
      </c>
      <c r="H142" s="21" t="s">
        <v>236</v>
      </c>
      <c r="I142" s="21" t="s">
        <v>237</v>
      </c>
      <c r="J142" s="35" t="s">
        <v>238</v>
      </c>
      <c r="K142" s="21" t="s">
        <v>239</v>
      </c>
      <c r="L142" s="21" t="s">
        <v>240</v>
      </c>
      <c r="M142" s="21" t="s">
        <v>241</v>
      </c>
      <c r="N142" s="21" t="s">
        <v>242</v>
      </c>
      <c r="O142" s="21" t="s">
        <v>243</v>
      </c>
      <c r="P142" s="21" t="s">
        <v>244</v>
      </c>
      <c r="Q142" s="21" t="s">
        <v>245</v>
      </c>
      <c r="R142" s="21" t="s">
        <v>246</v>
      </c>
      <c r="U142" s="14" t="e">
        <f t="shared" si="2"/>
        <v>#DIV/0!</v>
      </c>
    </row>
    <row r="143" spans="2:21" x14ac:dyDescent="0.3">
      <c r="B143" s="75" t="s">
        <v>32</v>
      </c>
      <c r="C143" s="72"/>
      <c r="D143" s="72"/>
      <c r="E143" s="72"/>
      <c r="F143" s="22" t="s">
        <v>2</v>
      </c>
      <c r="G143" s="23">
        <v>6</v>
      </c>
      <c r="H143" s="23">
        <v>6</v>
      </c>
      <c r="I143" s="23">
        <v>6</v>
      </c>
      <c r="J143" s="37">
        <v>6</v>
      </c>
      <c r="K143" s="23">
        <v>7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U143" s="14">
        <f t="shared" si="2"/>
        <v>6.2</v>
      </c>
    </row>
    <row r="144" spans="2:21" x14ac:dyDescent="0.3">
      <c r="B144" s="76"/>
      <c r="C144" s="73"/>
      <c r="D144" s="73"/>
      <c r="E144" s="73"/>
      <c r="F144" s="22" t="s">
        <v>3</v>
      </c>
      <c r="G144" s="23">
        <v>5</v>
      </c>
      <c r="H144" s="23">
        <v>5</v>
      </c>
      <c r="I144" s="23">
        <v>5</v>
      </c>
      <c r="J144" s="37">
        <v>5</v>
      </c>
      <c r="K144" s="23">
        <v>5</v>
      </c>
      <c r="L144" s="23">
        <v>5</v>
      </c>
      <c r="M144" s="23">
        <v>5</v>
      </c>
      <c r="N144" s="23">
        <v>5</v>
      </c>
      <c r="O144" s="23">
        <v>5</v>
      </c>
      <c r="P144" s="23">
        <v>5</v>
      </c>
      <c r="Q144" s="23">
        <v>5</v>
      </c>
      <c r="R144" s="23">
        <v>5</v>
      </c>
      <c r="U144" s="14">
        <f t="shared" si="2"/>
        <v>5</v>
      </c>
    </row>
    <row r="145" spans="2:21" x14ac:dyDescent="0.3">
      <c r="B145" s="75" t="s">
        <v>38</v>
      </c>
      <c r="C145" s="72"/>
      <c r="D145" s="72"/>
      <c r="E145" s="72"/>
      <c r="F145" s="22" t="s">
        <v>2</v>
      </c>
      <c r="G145" s="23">
        <v>331</v>
      </c>
      <c r="H145" s="23">
        <v>336</v>
      </c>
      <c r="I145" s="23">
        <v>337</v>
      </c>
      <c r="J145" s="37">
        <v>335</v>
      </c>
      <c r="K145" s="23">
        <v>332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U145" s="14">
        <f t="shared" si="2"/>
        <v>334.2</v>
      </c>
    </row>
    <row r="146" spans="2:21" x14ac:dyDescent="0.3">
      <c r="B146" s="76"/>
      <c r="C146" s="73"/>
      <c r="D146" s="73"/>
      <c r="E146" s="73"/>
      <c r="F146" s="22" t="s">
        <v>3</v>
      </c>
      <c r="G146" s="23">
        <v>372</v>
      </c>
      <c r="H146" s="23">
        <v>398</v>
      </c>
      <c r="I146" s="23">
        <v>406</v>
      </c>
      <c r="J146" s="37">
        <v>408</v>
      </c>
      <c r="K146" s="23">
        <v>410</v>
      </c>
      <c r="L146" s="23">
        <v>410</v>
      </c>
      <c r="M146" s="23">
        <v>411</v>
      </c>
      <c r="N146" s="23">
        <v>412</v>
      </c>
      <c r="O146" s="23">
        <v>412</v>
      </c>
      <c r="P146" s="23">
        <v>412</v>
      </c>
      <c r="Q146" s="23">
        <v>412</v>
      </c>
      <c r="R146" s="23">
        <v>412</v>
      </c>
      <c r="U146" s="14">
        <f t="shared" si="2"/>
        <v>398.8</v>
      </c>
    </row>
    <row r="147" spans="2:21" x14ac:dyDescent="0.3">
      <c r="B147" s="75" t="s">
        <v>45</v>
      </c>
      <c r="C147" s="72"/>
      <c r="D147" s="72"/>
      <c r="E147" s="72"/>
      <c r="F147" s="22" t="s">
        <v>2</v>
      </c>
      <c r="G147" s="23">
        <v>2</v>
      </c>
      <c r="H147" s="23">
        <v>2</v>
      </c>
      <c r="I147" s="23">
        <v>2</v>
      </c>
      <c r="J147" s="37">
        <v>2</v>
      </c>
      <c r="K147" s="23">
        <v>2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U147" s="14">
        <f t="shared" si="2"/>
        <v>2</v>
      </c>
    </row>
    <row r="148" spans="2:21" x14ac:dyDescent="0.3">
      <c r="B148" s="76"/>
      <c r="C148" s="73"/>
      <c r="D148" s="73"/>
      <c r="E148" s="73"/>
      <c r="F148" s="22" t="s">
        <v>3</v>
      </c>
      <c r="G148" s="23">
        <v>2</v>
      </c>
      <c r="H148" s="23">
        <v>2</v>
      </c>
      <c r="I148" s="23">
        <v>2</v>
      </c>
      <c r="J148" s="37">
        <v>2</v>
      </c>
      <c r="K148" s="23">
        <v>2</v>
      </c>
      <c r="L148" s="23">
        <v>2</v>
      </c>
      <c r="M148" s="23">
        <v>2</v>
      </c>
      <c r="N148" s="23">
        <v>2</v>
      </c>
      <c r="O148" s="23">
        <v>2</v>
      </c>
      <c r="P148" s="23">
        <v>2</v>
      </c>
      <c r="Q148" s="23">
        <v>2</v>
      </c>
      <c r="R148" s="23">
        <v>2</v>
      </c>
      <c r="U148" s="14">
        <f t="shared" si="2"/>
        <v>2</v>
      </c>
    </row>
    <row r="149" spans="2:21" x14ac:dyDescent="0.3">
      <c r="B149" s="75" t="s">
        <v>50</v>
      </c>
      <c r="C149" s="72"/>
      <c r="D149" s="72"/>
      <c r="E149" s="72"/>
      <c r="F149" s="22" t="s">
        <v>2</v>
      </c>
      <c r="G149" s="23">
        <v>1</v>
      </c>
      <c r="H149" s="23">
        <v>1</v>
      </c>
      <c r="I149" s="23">
        <v>1</v>
      </c>
      <c r="J149" s="37">
        <v>1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U149" s="14">
        <f t="shared" si="2"/>
        <v>0.8</v>
      </c>
    </row>
    <row r="150" spans="2:21" x14ac:dyDescent="0.3">
      <c r="B150" s="76"/>
      <c r="C150" s="73"/>
      <c r="D150" s="73"/>
      <c r="E150" s="73"/>
      <c r="F150" s="22" t="s">
        <v>3</v>
      </c>
      <c r="G150" s="23">
        <v>1</v>
      </c>
      <c r="H150" s="23">
        <v>1</v>
      </c>
      <c r="I150" s="23">
        <v>1</v>
      </c>
      <c r="J150" s="37">
        <v>1</v>
      </c>
      <c r="K150" s="23">
        <v>1</v>
      </c>
      <c r="L150" s="23">
        <v>1</v>
      </c>
      <c r="M150" s="23">
        <v>1</v>
      </c>
      <c r="N150" s="23">
        <v>1</v>
      </c>
      <c r="O150" s="23">
        <v>1</v>
      </c>
      <c r="P150" s="23">
        <v>1</v>
      </c>
      <c r="Q150" s="23">
        <v>1</v>
      </c>
      <c r="R150" s="23">
        <v>1</v>
      </c>
      <c r="U150" s="14">
        <f t="shared" si="2"/>
        <v>1</v>
      </c>
    </row>
    <row r="151" spans="2:21" x14ac:dyDescent="0.3">
      <c r="B151" s="75" t="s">
        <v>58</v>
      </c>
      <c r="C151" s="72"/>
      <c r="D151" s="72"/>
      <c r="E151" s="72"/>
      <c r="F151" s="22" t="s">
        <v>2</v>
      </c>
      <c r="G151" s="23">
        <v>5</v>
      </c>
      <c r="H151" s="23">
        <v>5</v>
      </c>
      <c r="I151" s="23">
        <v>4</v>
      </c>
      <c r="J151" s="37">
        <v>4</v>
      </c>
      <c r="K151" s="23">
        <v>5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U151" s="14">
        <f t="shared" si="2"/>
        <v>4.5999999999999996</v>
      </c>
    </row>
    <row r="152" spans="2:21" x14ac:dyDescent="0.3">
      <c r="B152" s="76"/>
      <c r="C152" s="73"/>
      <c r="D152" s="73"/>
      <c r="E152" s="73"/>
      <c r="F152" s="22" t="s">
        <v>3</v>
      </c>
      <c r="G152" s="23">
        <v>6</v>
      </c>
      <c r="H152" s="23">
        <v>6</v>
      </c>
      <c r="I152" s="23">
        <v>6</v>
      </c>
      <c r="J152" s="37">
        <v>6</v>
      </c>
      <c r="K152" s="23">
        <v>6</v>
      </c>
      <c r="L152" s="23">
        <v>6</v>
      </c>
      <c r="M152" s="23">
        <v>6</v>
      </c>
      <c r="N152" s="23">
        <v>6</v>
      </c>
      <c r="O152" s="23">
        <v>6</v>
      </c>
      <c r="P152" s="23">
        <v>6</v>
      </c>
      <c r="Q152" s="23">
        <v>6</v>
      </c>
      <c r="R152" s="23">
        <v>6</v>
      </c>
      <c r="U152" s="14">
        <f t="shared" si="2"/>
        <v>6</v>
      </c>
    </row>
    <row r="153" spans="2:21" x14ac:dyDescent="0.3">
      <c r="B153" s="75" t="s">
        <v>62</v>
      </c>
      <c r="C153" s="72"/>
      <c r="D153" s="72"/>
      <c r="E153" s="72"/>
      <c r="F153" s="22" t="s">
        <v>2</v>
      </c>
      <c r="G153" s="23">
        <v>1</v>
      </c>
      <c r="H153" s="23">
        <v>1</v>
      </c>
      <c r="I153" s="23">
        <v>1</v>
      </c>
      <c r="J153" s="37">
        <v>1</v>
      </c>
      <c r="K153" s="23">
        <v>1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U153" s="14">
        <f t="shared" si="2"/>
        <v>1</v>
      </c>
    </row>
    <row r="154" spans="2:21" x14ac:dyDescent="0.3">
      <c r="B154" s="76"/>
      <c r="C154" s="73"/>
      <c r="D154" s="73"/>
      <c r="E154" s="73"/>
      <c r="F154" s="22" t="s">
        <v>3</v>
      </c>
      <c r="G154" s="23">
        <v>1</v>
      </c>
      <c r="H154" s="23">
        <v>1</v>
      </c>
      <c r="I154" s="23">
        <v>1</v>
      </c>
      <c r="J154" s="37">
        <v>1</v>
      </c>
      <c r="K154" s="23">
        <v>1</v>
      </c>
      <c r="L154" s="23">
        <v>1</v>
      </c>
      <c r="M154" s="23">
        <v>1</v>
      </c>
      <c r="N154" s="23">
        <v>1</v>
      </c>
      <c r="O154" s="23">
        <v>1</v>
      </c>
      <c r="P154" s="23">
        <v>1</v>
      </c>
      <c r="Q154" s="23">
        <v>1</v>
      </c>
      <c r="R154" s="23">
        <v>1</v>
      </c>
      <c r="U154" s="14">
        <f t="shared" si="2"/>
        <v>1</v>
      </c>
    </row>
    <row r="155" spans="2:21" x14ac:dyDescent="0.3">
      <c r="B155" s="75" t="s">
        <v>75</v>
      </c>
      <c r="C155" s="72"/>
      <c r="D155" s="72"/>
      <c r="E155" s="72"/>
      <c r="F155" s="22" t="s">
        <v>2</v>
      </c>
      <c r="G155" s="23">
        <v>6</v>
      </c>
      <c r="H155" s="23">
        <v>6</v>
      </c>
      <c r="I155" s="23">
        <v>6</v>
      </c>
      <c r="J155" s="37">
        <v>5</v>
      </c>
      <c r="K155" s="23">
        <v>5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U155" s="14">
        <f t="shared" si="2"/>
        <v>5.6</v>
      </c>
    </row>
    <row r="156" spans="2:21" x14ac:dyDescent="0.3">
      <c r="B156" s="76"/>
      <c r="C156" s="73"/>
      <c r="D156" s="73"/>
      <c r="E156" s="73"/>
      <c r="F156" s="22" t="s">
        <v>3</v>
      </c>
      <c r="G156" s="23">
        <v>9</v>
      </c>
      <c r="H156" s="23">
        <v>9</v>
      </c>
      <c r="I156" s="23">
        <v>9</v>
      </c>
      <c r="J156" s="37">
        <v>9</v>
      </c>
      <c r="K156" s="23">
        <v>9</v>
      </c>
      <c r="L156" s="23">
        <v>9</v>
      </c>
      <c r="M156" s="23">
        <v>9</v>
      </c>
      <c r="N156" s="23">
        <v>9</v>
      </c>
      <c r="O156" s="23">
        <v>9</v>
      </c>
      <c r="P156" s="23">
        <v>9</v>
      </c>
      <c r="Q156" s="23">
        <v>9</v>
      </c>
      <c r="R156" s="23">
        <v>9</v>
      </c>
      <c r="U156" s="14">
        <f t="shared" si="2"/>
        <v>9</v>
      </c>
    </row>
    <row r="157" spans="2:21" ht="6.15" customHeight="1" x14ac:dyDescent="0.3">
      <c r="U157" s="14" t="e">
        <f t="shared" si="2"/>
        <v>#DIV/0!</v>
      </c>
    </row>
    <row r="158" spans="2:21" x14ac:dyDescent="0.3">
      <c r="B158" s="78" t="s">
        <v>85</v>
      </c>
      <c r="C158" s="73"/>
      <c r="D158" s="73"/>
      <c r="E158" s="73"/>
      <c r="F158" s="16" t="s">
        <v>2</v>
      </c>
      <c r="G158" s="17">
        <v>10885.25</v>
      </c>
      <c r="H158" s="17">
        <v>11206.96</v>
      </c>
      <c r="I158" s="17">
        <v>11399.2</v>
      </c>
      <c r="J158" s="17">
        <v>11162.93</v>
      </c>
      <c r="K158" s="17">
        <v>11093.89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U158" s="14">
        <f t="shared" si="2"/>
        <v>11149.646000000001</v>
      </c>
    </row>
    <row r="159" spans="2:21" x14ac:dyDescent="0.3">
      <c r="F159" s="16" t="s">
        <v>3</v>
      </c>
      <c r="G159" s="17">
        <v>14251.69</v>
      </c>
      <c r="H159" s="17">
        <v>13534.2</v>
      </c>
      <c r="I159" s="17">
        <v>13192.01</v>
      </c>
      <c r="J159" s="17">
        <v>12156.96</v>
      </c>
      <c r="K159" s="17">
        <v>10669.6</v>
      </c>
      <c r="L159" s="17">
        <v>9811.14</v>
      </c>
      <c r="M159" s="17">
        <v>8663.49</v>
      </c>
      <c r="N159" s="17">
        <v>7788.05</v>
      </c>
      <c r="O159" s="17">
        <v>6726.33</v>
      </c>
      <c r="P159" s="17">
        <v>5726.88</v>
      </c>
      <c r="Q159" s="17">
        <v>5044.08</v>
      </c>
      <c r="R159" s="17">
        <v>3696.4</v>
      </c>
      <c r="U159" s="14">
        <f t="shared" si="2"/>
        <v>12760.892</v>
      </c>
    </row>
    <row r="160" spans="2:21" ht="3" customHeight="1" x14ac:dyDescent="0.3">
      <c r="J160" s="14"/>
      <c r="U160" s="14" t="e">
        <f t="shared" si="2"/>
        <v>#DIV/0!</v>
      </c>
    </row>
    <row r="161" spans="2:21" x14ac:dyDescent="0.3">
      <c r="B161" s="78" t="s">
        <v>5</v>
      </c>
      <c r="C161" s="73"/>
      <c r="D161" s="73"/>
      <c r="E161" s="73"/>
      <c r="F161" s="20" t="s">
        <v>6</v>
      </c>
      <c r="G161" s="21" t="s">
        <v>235</v>
      </c>
      <c r="H161" s="21" t="s">
        <v>236</v>
      </c>
      <c r="I161" s="21" t="s">
        <v>237</v>
      </c>
      <c r="J161" s="21" t="s">
        <v>238</v>
      </c>
      <c r="K161" s="21" t="s">
        <v>239</v>
      </c>
      <c r="L161" s="21" t="s">
        <v>240</v>
      </c>
      <c r="M161" s="21" t="s">
        <v>241</v>
      </c>
      <c r="N161" s="21" t="s">
        <v>242</v>
      </c>
      <c r="O161" s="21" t="s">
        <v>243</v>
      </c>
      <c r="P161" s="21" t="s">
        <v>244</v>
      </c>
      <c r="Q161" s="21" t="s">
        <v>245</v>
      </c>
      <c r="R161" s="21" t="s">
        <v>246</v>
      </c>
      <c r="U161" s="14" t="e">
        <f t="shared" si="2"/>
        <v>#DIV/0!</v>
      </c>
    </row>
    <row r="162" spans="2:21" x14ac:dyDescent="0.3">
      <c r="B162" s="75" t="s">
        <v>38</v>
      </c>
      <c r="C162" s="72"/>
      <c r="D162" s="75" t="s">
        <v>83</v>
      </c>
      <c r="E162" s="72"/>
      <c r="F162" s="22" t="s">
        <v>2</v>
      </c>
      <c r="G162" s="23">
        <v>10663.25</v>
      </c>
      <c r="H162" s="23">
        <v>10981.96</v>
      </c>
      <c r="I162" s="23">
        <v>11135.2</v>
      </c>
      <c r="J162" s="23">
        <v>10975.93</v>
      </c>
      <c r="K162" s="23">
        <v>10916.39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U162" s="14">
        <f t="shared" si="2"/>
        <v>10934.546</v>
      </c>
    </row>
    <row r="163" spans="2:21" x14ac:dyDescent="0.3">
      <c r="B163" s="81"/>
      <c r="C163" s="72"/>
      <c r="D163" s="76"/>
      <c r="E163" s="73"/>
      <c r="F163" s="22" t="s">
        <v>3</v>
      </c>
      <c r="G163" s="23">
        <v>13820.69</v>
      </c>
      <c r="H163" s="23">
        <v>13100.2</v>
      </c>
      <c r="I163" s="23">
        <v>12717.01</v>
      </c>
      <c r="J163" s="23">
        <v>11672.96</v>
      </c>
      <c r="K163" s="23">
        <v>10155.6</v>
      </c>
      <c r="L163" s="23">
        <v>9297.14</v>
      </c>
      <c r="M163" s="23">
        <v>8239.49</v>
      </c>
      <c r="N163" s="23">
        <v>7356.05</v>
      </c>
      <c r="O163" s="23">
        <v>6292.33</v>
      </c>
      <c r="P163" s="23">
        <v>5281.88</v>
      </c>
      <c r="Q163" s="23">
        <v>4626.08</v>
      </c>
      <c r="R163" s="23">
        <v>3286.4</v>
      </c>
      <c r="U163" s="14">
        <f t="shared" si="2"/>
        <v>12293.291999999999</v>
      </c>
    </row>
    <row r="164" spans="2:21" x14ac:dyDescent="0.3">
      <c r="B164" s="81"/>
      <c r="C164" s="72"/>
      <c r="D164" s="75" t="s">
        <v>82</v>
      </c>
      <c r="E164" s="72"/>
      <c r="F164" s="22" t="s">
        <v>2</v>
      </c>
      <c r="G164" s="23">
        <v>14</v>
      </c>
      <c r="H164" s="23">
        <v>7</v>
      </c>
      <c r="I164" s="23">
        <v>10</v>
      </c>
      <c r="J164" s="23">
        <v>10</v>
      </c>
      <c r="K164" s="23">
        <v>10.5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U164" s="14">
        <f t="shared" si="2"/>
        <v>10.3</v>
      </c>
    </row>
    <row r="165" spans="2:21" x14ac:dyDescent="0.3">
      <c r="B165" s="76"/>
      <c r="C165" s="73"/>
      <c r="D165" s="76"/>
      <c r="E165" s="73"/>
      <c r="F165" s="22" t="s">
        <v>3</v>
      </c>
      <c r="G165" s="23">
        <v>114</v>
      </c>
      <c r="H165" s="23">
        <v>117</v>
      </c>
      <c r="I165" s="23">
        <v>158</v>
      </c>
      <c r="J165" s="23">
        <v>177</v>
      </c>
      <c r="K165" s="23">
        <v>207</v>
      </c>
      <c r="L165" s="23">
        <v>207</v>
      </c>
      <c r="M165" s="23">
        <v>117</v>
      </c>
      <c r="N165" s="23">
        <v>125</v>
      </c>
      <c r="O165" s="23">
        <v>127</v>
      </c>
      <c r="P165" s="23">
        <v>124</v>
      </c>
      <c r="Q165" s="23">
        <v>87</v>
      </c>
      <c r="R165" s="23">
        <v>79</v>
      </c>
      <c r="U165" s="14">
        <f t="shared" si="2"/>
        <v>154.6</v>
      </c>
    </row>
    <row r="166" spans="2:21" x14ac:dyDescent="0.3">
      <c r="B166" s="75" t="s">
        <v>42</v>
      </c>
      <c r="C166" s="72"/>
      <c r="D166" s="75" t="s">
        <v>83</v>
      </c>
      <c r="E166" s="72"/>
      <c r="F166" s="22" t="s">
        <v>2</v>
      </c>
      <c r="G166" s="23">
        <v>208</v>
      </c>
      <c r="H166" s="23">
        <v>218</v>
      </c>
      <c r="I166" s="23">
        <v>254</v>
      </c>
      <c r="J166" s="23">
        <v>177</v>
      </c>
      <c r="K166" s="23">
        <v>167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U166" s="14">
        <f t="shared" si="2"/>
        <v>204.8</v>
      </c>
    </row>
    <row r="167" spans="2:21" x14ac:dyDescent="0.3">
      <c r="B167" s="76"/>
      <c r="C167" s="73"/>
      <c r="D167" s="76"/>
      <c r="E167" s="73"/>
      <c r="F167" s="22" t="s">
        <v>3</v>
      </c>
      <c r="G167" s="23">
        <v>317</v>
      </c>
      <c r="H167" s="23">
        <v>317</v>
      </c>
      <c r="I167" s="23">
        <v>317</v>
      </c>
      <c r="J167" s="23">
        <v>307</v>
      </c>
      <c r="K167" s="23">
        <v>307</v>
      </c>
      <c r="L167" s="23">
        <v>307</v>
      </c>
      <c r="M167" s="23">
        <v>307</v>
      </c>
      <c r="N167" s="23">
        <v>307</v>
      </c>
      <c r="O167" s="23">
        <v>307</v>
      </c>
      <c r="P167" s="23">
        <v>321</v>
      </c>
      <c r="Q167" s="23">
        <v>331</v>
      </c>
      <c r="R167" s="23">
        <v>331</v>
      </c>
      <c r="U167" s="14">
        <f t="shared" si="2"/>
        <v>313</v>
      </c>
    </row>
    <row r="168" spans="2:21" ht="4.95" customHeight="1" x14ac:dyDescent="0.3">
      <c r="J168" s="14"/>
      <c r="U168" s="14" t="e">
        <f t="shared" si="2"/>
        <v>#DIV/0!</v>
      </c>
    </row>
    <row r="169" spans="2:21" x14ac:dyDescent="0.3">
      <c r="B169" s="82" t="s">
        <v>86</v>
      </c>
      <c r="C169" s="73"/>
      <c r="D169" s="73"/>
      <c r="E169" s="73"/>
      <c r="F169" s="16" t="s">
        <v>2</v>
      </c>
      <c r="G169" s="17">
        <f>SUM(G173,G175,G177,G179,G182,G184,G186,G188,G190,G192,G194,G198,G196)</f>
        <v>82</v>
      </c>
      <c r="H169" s="17">
        <f>SUM(H173,H175,H177,H179,H182,H184,H186,H188,H190,H192,H194,H198,H196)</f>
        <v>79</v>
      </c>
      <c r="I169" s="17">
        <v>79</v>
      </c>
      <c r="J169" s="17">
        <v>79</v>
      </c>
      <c r="K169" s="17">
        <v>80</v>
      </c>
      <c r="L169" s="17">
        <f t="shared" ref="L169:R169" si="3">SUM(L173,L175,L177,L179,L182,L184,L186,L188,L190,L192,L194,L198,L196)</f>
        <v>0</v>
      </c>
      <c r="M169" s="17">
        <f t="shared" si="3"/>
        <v>0</v>
      </c>
      <c r="N169" s="17">
        <f t="shared" si="3"/>
        <v>0</v>
      </c>
      <c r="O169" s="17">
        <f t="shared" si="3"/>
        <v>0</v>
      </c>
      <c r="P169" s="17">
        <f t="shared" si="3"/>
        <v>0</v>
      </c>
      <c r="Q169" s="17">
        <f t="shared" si="3"/>
        <v>0</v>
      </c>
      <c r="R169" s="17">
        <f t="shared" si="3"/>
        <v>0</v>
      </c>
      <c r="U169" s="14">
        <f t="shared" si="2"/>
        <v>79.8</v>
      </c>
    </row>
    <row r="170" spans="2:21" x14ac:dyDescent="0.3">
      <c r="F170" s="16" t="s">
        <v>3</v>
      </c>
      <c r="G170" s="17">
        <f>SUM(G174,G176,G178,G180,G181,G183,G185,G187,G191,G193,G195,G197,G199,G189)</f>
        <v>89</v>
      </c>
      <c r="H170" s="17">
        <f t="shared" ref="H170:R170" si="4">SUM(H174,H176,H178,H180,H181,H183,H185,H187,H191,H193,H195,H197,H199,H189)</f>
        <v>89</v>
      </c>
      <c r="I170" s="17">
        <v>89</v>
      </c>
      <c r="J170" s="17">
        <v>84</v>
      </c>
      <c r="K170" s="17">
        <v>84</v>
      </c>
      <c r="L170" s="17">
        <f t="shared" si="4"/>
        <v>84</v>
      </c>
      <c r="M170" s="17">
        <f t="shared" si="4"/>
        <v>84</v>
      </c>
      <c r="N170" s="17">
        <f t="shared" si="4"/>
        <v>84</v>
      </c>
      <c r="O170" s="17">
        <f t="shared" si="4"/>
        <v>84</v>
      </c>
      <c r="P170" s="17">
        <f t="shared" si="4"/>
        <v>84</v>
      </c>
      <c r="Q170" s="17">
        <f t="shared" si="4"/>
        <v>84</v>
      </c>
      <c r="R170" s="17">
        <f t="shared" si="4"/>
        <v>84</v>
      </c>
      <c r="U170" s="14">
        <f t="shared" si="2"/>
        <v>87</v>
      </c>
    </row>
    <row r="171" spans="2:21" ht="4.05" customHeight="1" x14ac:dyDescent="0.3">
      <c r="U171" s="14" t="e">
        <f t="shared" si="2"/>
        <v>#DIV/0!</v>
      </c>
    </row>
    <row r="172" spans="2:21" x14ac:dyDescent="0.3">
      <c r="B172" s="78" t="s">
        <v>5</v>
      </c>
      <c r="C172" s="73"/>
      <c r="D172" s="73"/>
      <c r="E172" s="73"/>
      <c r="F172" s="20" t="s">
        <v>6</v>
      </c>
      <c r="G172" s="21" t="s">
        <v>235</v>
      </c>
      <c r="H172" s="21" t="s">
        <v>236</v>
      </c>
      <c r="I172" s="21" t="s">
        <v>237</v>
      </c>
      <c r="J172" s="35" t="s">
        <v>238</v>
      </c>
      <c r="K172" s="21" t="s">
        <v>239</v>
      </c>
      <c r="L172" s="21" t="s">
        <v>240</v>
      </c>
      <c r="M172" s="21" t="s">
        <v>241</v>
      </c>
      <c r="N172" s="21" t="s">
        <v>242</v>
      </c>
      <c r="O172" s="21" t="s">
        <v>243</v>
      </c>
      <c r="P172" s="21" t="s">
        <v>244</v>
      </c>
      <c r="Q172" s="21" t="s">
        <v>245</v>
      </c>
      <c r="R172" s="21" t="s">
        <v>246</v>
      </c>
      <c r="U172" s="14" t="e">
        <f t="shared" si="2"/>
        <v>#DIV/0!</v>
      </c>
    </row>
    <row r="173" spans="2:21" x14ac:dyDescent="0.3">
      <c r="B173" s="75" t="s">
        <v>87</v>
      </c>
      <c r="C173" s="72"/>
      <c r="D173" s="75" t="s">
        <v>29</v>
      </c>
      <c r="E173" s="72"/>
      <c r="F173" s="26" t="s">
        <v>2</v>
      </c>
      <c r="G173" s="27">
        <v>4</v>
      </c>
      <c r="H173" s="27">
        <v>4</v>
      </c>
      <c r="I173" s="27">
        <v>4</v>
      </c>
      <c r="J173" s="39">
        <v>4</v>
      </c>
      <c r="K173" s="27">
        <v>4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U173" s="14">
        <f t="shared" si="2"/>
        <v>4</v>
      </c>
    </row>
    <row r="174" spans="2:21" x14ac:dyDescent="0.3">
      <c r="B174" s="81"/>
      <c r="C174" s="72"/>
      <c r="D174" s="76"/>
      <c r="E174" s="73"/>
      <c r="F174" s="26" t="s">
        <v>3</v>
      </c>
      <c r="G174" s="27">
        <v>4</v>
      </c>
      <c r="H174" s="27">
        <v>4</v>
      </c>
      <c r="I174" s="27">
        <v>4</v>
      </c>
      <c r="J174" s="39">
        <v>4</v>
      </c>
      <c r="K174" s="27">
        <v>4</v>
      </c>
      <c r="L174" s="27">
        <v>4</v>
      </c>
      <c r="M174" s="27">
        <v>4</v>
      </c>
      <c r="N174" s="27">
        <v>4</v>
      </c>
      <c r="O174" s="27">
        <v>4</v>
      </c>
      <c r="P174" s="27">
        <v>4</v>
      </c>
      <c r="Q174" s="27">
        <v>4</v>
      </c>
      <c r="R174" s="27">
        <v>4</v>
      </c>
      <c r="U174" s="14">
        <f t="shared" si="2"/>
        <v>4</v>
      </c>
    </row>
    <row r="175" spans="2:21" x14ac:dyDescent="0.3">
      <c r="B175" s="81"/>
      <c r="C175" s="72"/>
      <c r="D175" s="75" t="s">
        <v>42</v>
      </c>
      <c r="E175" s="72"/>
      <c r="F175" s="26" t="s">
        <v>2</v>
      </c>
      <c r="G175" s="27">
        <v>3</v>
      </c>
      <c r="H175" s="27">
        <v>3</v>
      </c>
      <c r="I175" s="27">
        <v>3</v>
      </c>
      <c r="J175" s="39">
        <v>3</v>
      </c>
      <c r="K175" s="27">
        <v>4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U175" s="14">
        <f t="shared" si="2"/>
        <v>3.2</v>
      </c>
    </row>
    <row r="176" spans="2:21" x14ac:dyDescent="0.3">
      <c r="B176" s="81"/>
      <c r="C176" s="72"/>
      <c r="D176" s="76"/>
      <c r="E176" s="73"/>
      <c r="F176" s="26" t="s">
        <v>3</v>
      </c>
      <c r="G176" s="27">
        <v>1</v>
      </c>
      <c r="H176" s="27">
        <v>1</v>
      </c>
      <c r="I176" s="27">
        <v>1</v>
      </c>
      <c r="J176" s="39">
        <v>1</v>
      </c>
      <c r="K176" s="27">
        <v>1</v>
      </c>
      <c r="L176" s="27">
        <v>1</v>
      </c>
      <c r="M176" s="27">
        <v>1</v>
      </c>
      <c r="N176" s="27">
        <v>1</v>
      </c>
      <c r="O176" s="27">
        <v>1</v>
      </c>
      <c r="P176" s="27">
        <v>1</v>
      </c>
      <c r="Q176" s="27">
        <v>1</v>
      </c>
      <c r="R176" s="27">
        <v>1</v>
      </c>
      <c r="U176" s="14">
        <f t="shared" si="2"/>
        <v>1</v>
      </c>
    </row>
    <row r="177" spans="2:21" x14ac:dyDescent="0.3">
      <c r="B177" s="81"/>
      <c r="C177" s="72"/>
      <c r="D177" s="75" t="s">
        <v>50</v>
      </c>
      <c r="E177" s="72"/>
      <c r="F177" s="26" t="s">
        <v>2</v>
      </c>
      <c r="G177" s="27">
        <v>5</v>
      </c>
      <c r="H177" s="27">
        <v>5</v>
      </c>
      <c r="I177" s="27">
        <v>5</v>
      </c>
      <c r="J177" s="39">
        <v>5</v>
      </c>
      <c r="K177" s="27">
        <v>5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U177" s="14">
        <f t="shared" si="2"/>
        <v>5</v>
      </c>
    </row>
    <row r="178" spans="2:21" x14ac:dyDescent="0.3">
      <c r="B178" s="81"/>
      <c r="C178" s="72"/>
      <c r="D178" s="76"/>
      <c r="E178" s="73"/>
      <c r="F178" s="26" t="s">
        <v>3</v>
      </c>
      <c r="G178" s="27">
        <v>5</v>
      </c>
      <c r="H178" s="27">
        <v>5</v>
      </c>
      <c r="I178" s="27">
        <v>5</v>
      </c>
      <c r="J178" s="39">
        <v>5</v>
      </c>
      <c r="K178" s="27">
        <v>5</v>
      </c>
      <c r="L178" s="27">
        <v>5</v>
      </c>
      <c r="M178" s="27">
        <v>5</v>
      </c>
      <c r="N178" s="27">
        <v>5</v>
      </c>
      <c r="O178" s="27">
        <v>5</v>
      </c>
      <c r="P178" s="27">
        <v>5</v>
      </c>
      <c r="Q178" s="27">
        <v>5</v>
      </c>
      <c r="R178" s="27">
        <v>5</v>
      </c>
      <c r="U178" s="14">
        <f t="shared" si="2"/>
        <v>5</v>
      </c>
    </row>
    <row r="179" spans="2:21" x14ac:dyDescent="0.3">
      <c r="B179" s="81"/>
      <c r="C179" s="72"/>
      <c r="D179" s="75" t="s">
        <v>58</v>
      </c>
      <c r="E179" s="72"/>
      <c r="F179" s="26" t="s">
        <v>2</v>
      </c>
      <c r="G179" s="27">
        <v>1</v>
      </c>
      <c r="H179" s="27">
        <v>1</v>
      </c>
      <c r="I179" s="27">
        <v>1</v>
      </c>
      <c r="J179" s="39">
        <v>1</v>
      </c>
      <c r="K179" s="27">
        <v>1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U179" s="14">
        <f t="shared" si="2"/>
        <v>1</v>
      </c>
    </row>
    <row r="180" spans="2:21" x14ac:dyDescent="0.3">
      <c r="B180" s="76"/>
      <c r="C180" s="73"/>
      <c r="D180" s="76"/>
      <c r="E180" s="73"/>
      <c r="F180" s="26" t="s">
        <v>3</v>
      </c>
      <c r="G180" s="27">
        <v>1</v>
      </c>
      <c r="H180" s="27">
        <v>1</v>
      </c>
      <c r="I180" s="27">
        <v>1</v>
      </c>
      <c r="J180" s="39">
        <v>1</v>
      </c>
      <c r="K180" s="27">
        <v>1</v>
      </c>
      <c r="L180" s="27">
        <v>1</v>
      </c>
      <c r="M180" s="27">
        <v>1</v>
      </c>
      <c r="N180" s="27">
        <v>1</v>
      </c>
      <c r="O180" s="27">
        <v>1</v>
      </c>
      <c r="P180" s="27">
        <v>1</v>
      </c>
      <c r="Q180" s="27">
        <v>1</v>
      </c>
      <c r="R180" s="27">
        <v>1</v>
      </c>
      <c r="U180" s="14">
        <f t="shared" si="2"/>
        <v>1</v>
      </c>
    </row>
    <row r="181" spans="2:21" ht="28.95" customHeight="1" x14ac:dyDescent="0.3">
      <c r="B181" s="75" t="s">
        <v>88</v>
      </c>
      <c r="C181" s="72"/>
      <c r="D181" s="75" t="s">
        <v>29</v>
      </c>
      <c r="E181" s="73"/>
      <c r="F181" s="26" t="s">
        <v>3</v>
      </c>
      <c r="G181" s="27">
        <v>1</v>
      </c>
      <c r="H181" s="27">
        <v>1</v>
      </c>
      <c r="I181" s="27">
        <v>1</v>
      </c>
      <c r="J181" s="39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U181" s="14">
        <f t="shared" si="2"/>
        <v>0.6</v>
      </c>
    </row>
    <row r="182" spans="2:21" x14ac:dyDescent="0.3">
      <c r="B182" s="81"/>
      <c r="C182" s="72"/>
      <c r="D182" s="75" t="s">
        <v>32</v>
      </c>
      <c r="E182" s="72"/>
      <c r="F182" s="26" t="s">
        <v>2</v>
      </c>
      <c r="G182" s="27">
        <v>1</v>
      </c>
      <c r="H182" s="27">
        <v>1</v>
      </c>
      <c r="I182" s="27">
        <v>1</v>
      </c>
      <c r="J182" s="39">
        <v>1</v>
      </c>
      <c r="K182" s="27">
        <v>1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U182" s="14">
        <f t="shared" si="2"/>
        <v>1</v>
      </c>
    </row>
    <row r="183" spans="2:21" x14ac:dyDescent="0.3">
      <c r="B183" s="81"/>
      <c r="C183" s="72"/>
      <c r="D183" s="76"/>
      <c r="E183" s="73"/>
      <c r="F183" s="26" t="s">
        <v>3</v>
      </c>
      <c r="G183" s="27">
        <v>1</v>
      </c>
      <c r="H183" s="27">
        <v>1</v>
      </c>
      <c r="I183" s="27">
        <v>1</v>
      </c>
      <c r="J183" s="39">
        <v>1</v>
      </c>
      <c r="K183" s="27">
        <v>1</v>
      </c>
      <c r="L183" s="27">
        <v>1</v>
      </c>
      <c r="M183" s="27">
        <v>1</v>
      </c>
      <c r="N183" s="27">
        <v>1</v>
      </c>
      <c r="O183" s="27">
        <v>1</v>
      </c>
      <c r="P183" s="27">
        <v>1</v>
      </c>
      <c r="Q183" s="27">
        <v>1</v>
      </c>
      <c r="R183" s="27">
        <v>1</v>
      </c>
      <c r="U183" s="14">
        <f t="shared" si="2"/>
        <v>1</v>
      </c>
    </row>
    <row r="184" spans="2:21" x14ac:dyDescent="0.3">
      <c r="B184" s="81"/>
      <c r="C184" s="72"/>
      <c r="D184" s="75" t="s">
        <v>38</v>
      </c>
      <c r="E184" s="72"/>
      <c r="F184" s="26" t="s">
        <v>2</v>
      </c>
      <c r="G184" s="27">
        <v>2</v>
      </c>
      <c r="H184" s="27">
        <v>2</v>
      </c>
      <c r="I184" s="27">
        <v>2</v>
      </c>
      <c r="J184" s="39">
        <v>2</v>
      </c>
      <c r="K184" s="27">
        <v>2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0</v>
      </c>
      <c r="R184" s="27">
        <v>0</v>
      </c>
      <c r="U184" s="14">
        <f t="shared" si="2"/>
        <v>2</v>
      </c>
    </row>
    <row r="185" spans="2:21" x14ac:dyDescent="0.3">
      <c r="B185" s="81"/>
      <c r="C185" s="72"/>
      <c r="D185" s="76"/>
      <c r="E185" s="73"/>
      <c r="F185" s="26" t="s">
        <v>3</v>
      </c>
      <c r="G185" s="27">
        <v>2</v>
      </c>
      <c r="H185" s="27">
        <v>2</v>
      </c>
      <c r="I185" s="27">
        <v>2</v>
      </c>
      <c r="J185" s="39">
        <v>1</v>
      </c>
      <c r="K185" s="27">
        <v>1</v>
      </c>
      <c r="L185" s="27">
        <v>1</v>
      </c>
      <c r="M185" s="27">
        <v>1</v>
      </c>
      <c r="N185" s="27">
        <v>1</v>
      </c>
      <c r="O185" s="27">
        <v>1</v>
      </c>
      <c r="P185" s="27">
        <v>1</v>
      </c>
      <c r="Q185" s="27">
        <v>1</v>
      </c>
      <c r="R185" s="27">
        <v>1</v>
      </c>
      <c r="U185" s="14">
        <f t="shared" si="2"/>
        <v>1.6</v>
      </c>
    </row>
    <row r="186" spans="2:21" x14ac:dyDescent="0.3">
      <c r="B186" s="81"/>
      <c r="C186" s="72"/>
      <c r="D186" s="75" t="s">
        <v>42</v>
      </c>
      <c r="E186" s="72"/>
      <c r="F186" s="26" t="s">
        <v>2</v>
      </c>
      <c r="G186" s="27">
        <v>2</v>
      </c>
      <c r="H186" s="27">
        <v>1</v>
      </c>
      <c r="I186" s="27">
        <v>1</v>
      </c>
      <c r="J186" s="39">
        <v>1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U186" s="14">
        <f t="shared" si="2"/>
        <v>1.2</v>
      </c>
    </row>
    <row r="187" spans="2:21" x14ac:dyDescent="0.3">
      <c r="B187" s="81"/>
      <c r="C187" s="72"/>
      <c r="D187" s="76"/>
      <c r="E187" s="73"/>
      <c r="F187" s="26" t="s">
        <v>3</v>
      </c>
      <c r="G187" s="27">
        <v>2</v>
      </c>
      <c r="H187" s="27">
        <v>2</v>
      </c>
      <c r="I187" s="27">
        <v>2</v>
      </c>
      <c r="J187" s="39">
        <v>1</v>
      </c>
      <c r="K187" s="27">
        <v>1</v>
      </c>
      <c r="L187" s="27">
        <v>1</v>
      </c>
      <c r="M187" s="27">
        <v>1</v>
      </c>
      <c r="N187" s="27">
        <v>1</v>
      </c>
      <c r="O187" s="27">
        <v>1</v>
      </c>
      <c r="P187" s="27">
        <v>1</v>
      </c>
      <c r="Q187" s="27">
        <v>1</v>
      </c>
      <c r="R187" s="27">
        <v>1</v>
      </c>
      <c r="U187" s="14">
        <f t="shared" si="2"/>
        <v>1.6</v>
      </c>
    </row>
    <row r="188" spans="2:21" x14ac:dyDescent="0.3">
      <c r="B188" s="81"/>
      <c r="C188" s="72"/>
      <c r="D188" s="75" t="s">
        <v>45</v>
      </c>
      <c r="E188" s="72"/>
      <c r="F188" s="26" t="s">
        <v>2</v>
      </c>
      <c r="G188" s="27">
        <v>3</v>
      </c>
      <c r="H188" s="27">
        <v>3</v>
      </c>
      <c r="I188" s="27">
        <v>3</v>
      </c>
      <c r="J188" s="39">
        <v>3</v>
      </c>
      <c r="K188" s="27">
        <v>3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U188" s="14">
        <f t="shared" si="2"/>
        <v>3</v>
      </c>
    </row>
    <row r="189" spans="2:21" x14ac:dyDescent="0.3">
      <c r="B189" s="81"/>
      <c r="C189" s="72"/>
      <c r="D189" s="76"/>
      <c r="E189" s="73"/>
      <c r="F189" s="26" t="s">
        <v>3</v>
      </c>
      <c r="G189" s="27">
        <v>3</v>
      </c>
      <c r="H189" s="27">
        <v>3</v>
      </c>
      <c r="I189" s="27">
        <v>3</v>
      </c>
      <c r="J189" s="39">
        <v>2</v>
      </c>
      <c r="K189" s="27">
        <v>2</v>
      </c>
      <c r="L189" s="27">
        <v>2</v>
      </c>
      <c r="M189" s="27">
        <v>2</v>
      </c>
      <c r="N189" s="27">
        <v>2</v>
      </c>
      <c r="O189" s="27">
        <v>2</v>
      </c>
      <c r="P189" s="27">
        <v>2</v>
      </c>
      <c r="Q189" s="27">
        <v>2</v>
      </c>
      <c r="R189" s="27">
        <v>2</v>
      </c>
      <c r="U189" s="14">
        <f t="shared" si="2"/>
        <v>2.6</v>
      </c>
    </row>
    <row r="190" spans="2:21" x14ac:dyDescent="0.3">
      <c r="B190" s="81"/>
      <c r="C190" s="72"/>
      <c r="D190" s="75" t="s">
        <v>50</v>
      </c>
      <c r="E190" s="72"/>
      <c r="F190" s="26" t="s">
        <v>2</v>
      </c>
      <c r="G190" s="27">
        <v>2</v>
      </c>
      <c r="H190" s="27">
        <v>2</v>
      </c>
      <c r="I190" s="27">
        <v>2</v>
      </c>
      <c r="J190" s="39">
        <v>2</v>
      </c>
      <c r="K190" s="27">
        <v>2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U190" s="14">
        <f t="shared" si="2"/>
        <v>2</v>
      </c>
    </row>
    <row r="191" spans="2:21" x14ac:dyDescent="0.3">
      <c r="B191" s="81"/>
      <c r="C191" s="72"/>
      <c r="D191" s="76"/>
      <c r="E191" s="73"/>
      <c r="F191" s="26" t="s">
        <v>3</v>
      </c>
      <c r="G191" s="27">
        <v>2</v>
      </c>
      <c r="H191" s="27">
        <v>2</v>
      </c>
      <c r="I191" s="27">
        <v>2</v>
      </c>
      <c r="J191" s="39">
        <v>2</v>
      </c>
      <c r="K191" s="27">
        <v>2</v>
      </c>
      <c r="L191" s="27">
        <v>2</v>
      </c>
      <c r="M191" s="27">
        <v>2</v>
      </c>
      <c r="N191" s="27">
        <v>2</v>
      </c>
      <c r="O191" s="27">
        <v>2</v>
      </c>
      <c r="P191" s="27">
        <v>2</v>
      </c>
      <c r="Q191" s="27">
        <v>2</v>
      </c>
      <c r="R191" s="27">
        <v>2</v>
      </c>
      <c r="U191" s="14">
        <f t="shared" si="2"/>
        <v>2</v>
      </c>
    </row>
    <row r="192" spans="2:21" x14ac:dyDescent="0.3">
      <c r="B192" s="81"/>
      <c r="C192" s="72"/>
      <c r="D192" s="75" t="s">
        <v>62</v>
      </c>
      <c r="E192" s="72"/>
      <c r="F192" s="26" t="s">
        <v>2</v>
      </c>
      <c r="G192" s="27">
        <v>2</v>
      </c>
      <c r="H192" s="27">
        <v>2</v>
      </c>
      <c r="I192" s="27">
        <v>2</v>
      </c>
      <c r="J192" s="39">
        <v>2</v>
      </c>
      <c r="K192" s="27">
        <v>2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U192" s="14">
        <f t="shared" si="2"/>
        <v>2</v>
      </c>
    </row>
    <row r="193" spans="2:21" x14ac:dyDescent="0.3">
      <c r="B193" s="81"/>
      <c r="C193" s="72"/>
      <c r="D193" s="76"/>
      <c r="E193" s="73"/>
      <c r="F193" s="26" t="s">
        <v>3</v>
      </c>
      <c r="G193" s="27">
        <v>3</v>
      </c>
      <c r="H193" s="27">
        <v>3</v>
      </c>
      <c r="I193" s="27">
        <v>3</v>
      </c>
      <c r="J193" s="39">
        <v>5</v>
      </c>
      <c r="K193" s="27">
        <v>5</v>
      </c>
      <c r="L193" s="27">
        <v>5</v>
      </c>
      <c r="M193" s="27">
        <v>5</v>
      </c>
      <c r="N193" s="27">
        <v>5</v>
      </c>
      <c r="O193" s="27">
        <v>5</v>
      </c>
      <c r="P193" s="27">
        <v>5</v>
      </c>
      <c r="Q193" s="27">
        <v>5</v>
      </c>
      <c r="R193" s="27">
        <v>5</v>
      </c>
      <c r="U193" s="14">
        <f t="shared" si="2"/>
        <v>3.8</v>
      </c>
    </row>
    <row r="194" spans="2:21" x14ac:dyDescent="0.3">
      <c r="B194" s="81"/>
      <c r="C194" s="72"/>
      <c r="D194" s="75" t="s">
        <v>66</v>
      </c>
      <c r="E194" s="72"/>
      <c r="F194" s="26" t="s">
        <v>2</v>
      </c>
      <c r="G194" s="27">
        <v>6</v>
      </c>
      <c r="H194" s="27">
        <v>4</v>
      </c>
      <c r="I194" s="27">
        <v>4</v>
      </c>
      <c r="J194" s="39">
        <v>4</v>
      </c>
      <c r="K194" s="27">
        <v>4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U194" s="14">
        <f t="shared" si="2"/>
        <v>4.4000000000000004</v>
      </c>
    </row>
    <row r="195" spans="2:21" x14ac:dyDescent="0.3">
      <c r="B195" s="81"/>
      <c r="C195" s="72"/>
      <c r="D195" s="76"/>
      <c r="E195" s="73"/>
      <c r="F195" s="26" t="s">
        <v>3</v>
      </c>
      <c r="G195" s="27">
        <v>7</v>
      </c>
      <c r="H195" s="27">
        <v>7</v>
      </c>
      <c r="I195" s="27">
        <v>7</v>
      </c>
      <c r="J195" s="39">
        <v>4</v>
      </c>
      <c r="K195" s="27">
        <v>4</v>
      </c>
      <c r="L195" s="27">
        <v>4</v>
      </c>
      <c r="M195" s="27">
        <v>4</v>
      </c>
      <c r="N195" s="27">
        <v>4</v>
      </c>
      <c r="O195" s="27">
        <v>4</v>
      </c>
      <c r="P195" s="27">
        <v>4</v>
      </c>
      <c r="Q195" s="27">
        <v>4</v>
      </c>
      <c r="R195" s="27">
        <v>4</v>
      </c>
      <c r="U195" s="14">
        <f t="shared" si="2"/>
        <v>5.8</v>
      </c>
    </row>
    <row r="196" spans="2:21" x14ac:dyDescent="0.3">
      <c r="B196" s="81"/>
      <c r="C196" s="72"/>
      <c r="D196" s="75" t="s">
        <v>75</v>
      </c>
      <c r="E196" s="72"/>
      <c r="F196" s="26" t="s">
        <v>2</v>
      </c>
      <c r="G196" s="27">
        <v>1</v>
      </c>
      <c r="H196" s="27">
        <v>1</v>
      </c>
      <c r="I196" s="27">
        <v>1</v>
      </c>
      <c r="J196" s="39">
        <v>1</v>
      </c>
      <c r="K196" s="27">
        <v>1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U196" s="14">
        <f t="shared" ref="U196:U259" si="5">+AVERAGE(G196:K196)</f>
        <v>1</v>
      </c>
    </row>
    <row r="197" spans="2:21" x14ac:dyDescent="0.3">
      <c r="B197" s="76"/>
      <c r="C197" s="73"/>
      <c r="D197" s="76"/>
      <c r="E197" s="73"/>
      <c r="F197" s="26" t="s">
        <v>3</v>
      </c>
      <c r="G197" s="27">
        <v>1</v>
      </c>
      <c r="H197" s="27">
        <v>1</v>
      </c>
      <c r="I197" s="27">
        <v>1</v>
      </c>
      <c r="J197" s="39">
        <v>1</v>
      </c>
      <c r="K197" s="27">
        <v>1</v>
      </c>
      <c r="L197" s="27">
        <v>1</v>
      </c>
      <c r="M197" s="27">
        <v>1</v>
      </c>
      <c r="N197" s="27">
        <v>1</v>
      </c>
      <c r="O197" s="27">
        <v>1</v>
      </c>
      <c r="P197" s="27">
        <v>1</v>
      </c>
      <c r="Q197" s="27">
        <v>1</v>
      </c>
      <c r="R197" s="27">
        <v>1</v>
      </c>
      <c r="U197" s="14">
        <f t="shared" si="5"/>
        <v>1</v>
      </c>
    </row>
    <row r="198" spans="2:21" ht="14.55" customHeight="1" x14ac:dyDescent="0.3">
      <c r="B198" s="79" t="s">
        <v>247</v>
      </c>
      <c r="D198" s="75" t="s">
        <v>42</v>
      </c>
      <c r="E198" s="72"/>
      <c r="F198" s="22" t="s">
        <v>2</v>
      </c>
      <c r="G198" s="23">
        <v>50</v>
      </c>
      <c r="H198" s="23">
        <v>50</v>
      </c>
      <c r="I198" s="23">
        <v>50</v>
      </c>
      <c r="J198" s="37">
        <v>50</v>
      </c>
      <c r="K198" s="27">
        <v>50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U198" s="14">
        <f t="shared" si="5"/>
        <v>50</v>
      </c>
    </row>
    <row r="199" spans="2:21" x14ac:dyDescent="0.3">
      <c r="B199" s="80"/>
      <c r="C199" s="65"/>
      <c r="D199" s="76"/>
      <c r="E199" s="73"/>
      <c r="F199" s="22" t="s">
        <v>3</v>
      </c>
      <c r="G199" s="23">
        <v>56</v>
      </c>
      <c r="H199" s="23">
        <v>56</v>
      </c>
      <c r="I199" s="23">
        <v>56</v>
      </c>
      <c r="J199" s="37">
        <v>56</v>
      </c>
      <c r="K199" s="27">
        <v>56</v>
      </c>
      <c r="L199" s="23">
        <v>56</v>
      </c>
      <c r="M199" s="23">
        <v>56</v>
      </c>
      <c r="N199" s="23">
        <v>56</v>
      </c>
      <c r="O199" s="23">
        <v>56</v>
      </c>
      <c r="P199" s="23">
        <v>56</v>
      </c>
      <c r="Q199" s="23">
        <v>56</v>
      </c>
      <c r="R199" s="23">
        <v>56</v>
      </c>
      <c r="U199" s="14">
        <f t="shared" si="5"/>
        <v>56</v>
      </c>
    </row>
    <row r="200" spans="2:21" x14ac:dyDescent="0.3">
      <c r="U200" s="14" t="e">
        <f t="shared" si="5"/>
        <v>#DIV/0!</v>
      </c>
    </row>
    <row r="201" spans="2:21" ht="13.95" customHeight="1" x14ac:dyDescent="0.3">
      <c r="U201" s="14" t="e">
        <f t="shared" si="5"/>
        <v>#DIV/0!</v>
      </c>
    </row>
    <row r="202" spans="2:21" x14ac:dyDescent="0.3">
      <c r="B202" s="78" t="s">
        <v>89</v>
      </c>
      <c r="C202" s="73"/>
      <c r="D202" s="73"/>
      <c r="E202" s="73"/>
      <c r="F202" s="16" t="s">
        <v>2</v>
      </c>
      <c r="G202" s="17">
        <v>854</v>
      </c>
      <c r="H202" s="17">
        <v>855</v>
      </c>
      <c r="I202" s="17">
        <v>856</v>
      </c>
      <c r="J202" s="31">
        <v>848</v>
      </c>
      <c r="K202" s="17">
        <v>840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U202" s="14">
        <f t="shared" si="5"/>
        <v>850.6</v>
      </c>
    </row>
    <row r="203" spans="2:21" x14ac:dyDescent="0.3">
      <c r="F203" s="16" t="s">
        <v>3</v>
      </c>
      <c r="G203" s="17">
        <f t="shared" ref="G203:R203" si="6">SUM(G170,G140,G4)</f>
        <v>928</v>
      </c>
      <c r="H203" s="17">
        <f t="shared" si="6"/>
        <v>954</v>
      </c>
      <c r="I203" s="17">
        <v>962</v>
      </c>
      <c r="J203" s="31">
        <v>960</v>
      </c>
      <c r="K203" s="17">
        <v>962</v>
      </c>
      <c r="L203" s="17">
        <f t="shared" si="6"/>
        <v>961</v>
      </c>
      <c r="M203" s="17">
        <f t="shared" si="6"/>
        <v>962</v>
      </c>
      <c r="N203" s="17">
        <f t="shared" si="6"/>
        <v>963</v>
      </c>
      <c r="O203" s="17">
        <f t="shared" si="6"/>
        <v>963</v>
      </c>
      <c r="P203" s="17">
        <f t="shared" si="6"/>
        <v>963</v>
      </c>
      <c r="Q203" s="17">
        <f t="shared" si="6"/>
        <v>963</v>
      </c>
      <c r="R203" s="17">
        <f t="shared" si="6"/>
        <v>963</v>
      </c>
      <c r="U203" s="14">
        <f t="shared" si="5"/>
        <v>953.2</v>
      </c>
    </row>
    <row r="204" spans="2:21" ht="1.95" customHeight="1" x14ac:dyDescent="0.3">
      <c r="U204" s="14" t="e">
        <f t="shared" si="5"/>
        <v>#DIV/0!</v>
      </c>
    </row>
    <row r="205" spans="2:21" x14ac:dyDescent="0.3">
      <c r="B205" s="78" t="s">
        <v>90</v>
      </c>
      <c r="C205" s="73"/>
      <c r="D205" s="73"/>
      <c r="E205" s="73"/>
      <c r="F205" s="16" t="s">
        <v>2</v>
      </c>
      <c r="G205" s="17">
        <v>10973</v>
      </c>
      <c r="H205" s="17">
        <v>11299.96</v>
      </c>
      <c r="I205" s="17">
        <v>11489</v>
      </c>
      <c r="J205" s="17">
        <v>11254</v>
      </c>
      <c r="K205" s="17">
        <v>11180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U205" s="14">
        <f t="shared" si="5"/>
        <v>11239.191999999999</v>
      </c>
    </row>
    <row r="206" spans="2:21" x14ac:dyDescent="0.3">
      <c r="F206" s="16" t="s">
        <v>3</v>
      </c>
      <c r="G206" s="17">
        <v>14346</v>
      </c>
      <c r="H206" s="17">
        <v>13628</v>
      </c>
      <c r="I206" s="17">
        <v>13286</v>
      </c>
      <c r="J206" s="17">
        <v>12248</v>
      </c>
      <c r="K206" s="17">
        <v>10761</v>
      </c>
      <c r="L206" s="17">
        <v>9905</v>
      </c>
      <c r="M206" s="17">
        <v>8757</v>
      </c>
      <c r="N206" s="17">
        <v>7882</v>
      </c>
      <c r="O206" s="17">
        <v>6817</v>
      </c>
      <c r="P206" s="17">
        <v>5818</v>
      </c>
      <c r="Q206" s="17">
        <v>5135</v>
      </c>
      <c r="R206" s="17">
        <v>3787</v>
      </c>
      <c r="U206" s="14">
        <f t="shared" si="5"/>
        <v>12853.8</v>
      </c>
    </row>
    <row r="207" spans="2:21" ht="3" customHeight="1" x14ac:dyDescent="0.3">
      <c r="J207" s="14"/>
      <c r="U207" s="14" t="e">
        <f t="shared" si="5"/>
        <v>#DIV/0!</v>
      </c>
    </row>
    <row r="208" spans="2:21" x14ac:dyDescent="0.3">
      <c r="B208" s="78" t="s">
        <v>91</v>
      </c>
      <c r="C208" s="73"/>
      <c r="D208" s="73"/>
      <c r="E208" s="73"/>
      <c r="F208" s="16" t="s">
        <v>2</v>
      </c>
      <c r="G208" s="17">
        <v>11827</v>
      </c>
      <c r="H208" s="28">
        <v>855</v>
      </c>
      <c r="I208" s="17">
        <v>12345</v>
      </c>
      <c r="J208" s="28">
        <v>12102</v>
      </c>
      <c r="K208" s="28">
        <v>12020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U208" s="14">
        <f t="shared" si="5"/>
        <v>9829.7999999999993</v>
      </c>
    </row>
    <row r="209" spans="2:21" x14ac:dyDescent="0.3">
      <c r="F209" s="16" t="s">
        <v>3</v>
      </c>
      <c r="G209" s="17">
        <v>15275</v>
      </c>
      <c r="H209" s="17">
        <v>14583</v>
      </c>
      <c r="I209" s="17">
        <v>14249</v>
      </c>
      <c r="J209" s="17">
        <v>13208</v>
      </c>
      <c r="K209" s="17">
        <v>11723</v>
      </c>
      <c r="L209" s="17">
        <v>10867</v>
      </c>
      <c r="M209" s="17">
        <v>9720</v>
      </c>
      <c r="N209" s="17">
        <v>8846</v>
      </c>
      <c r="O209" s="17">
        <v>7781</v>
      </c>
      <c r="P209" s="17">
        <v>6782</v>
      </c>
      <c r="Q209" s="17">
        <v>6099</v>
      </c>
      <c r="R209" s="17">
        <v>4751</v>
      </c>
      <c r="U209" s="14">
        <f t="shared" si="5"/>
        <v>13807.6</v>
      </c>
    </row>
    <row r="210" spans="2:21" x14ac:dyDescent="0.3">
      <c r="G210" s="44">
        <f>+G3+G100+G139+G158+G169-G208</f>
        <v>0.25</v>
      </c>
      <c r="H210" s="47">
        <f t="shared" ref="H210:N211" si="7">+H3+H100+H139+H158+H169-H208</f>
        <v>11299.96</v>
      </c>
      <c r="I210" s="44">
        <f t="shared" si="7"/>
        <v>0.2000000000007276</v>
      </c>
      <c r="J210" s="47">
        <f t="shared" si="7"/>
        <v>0.93000000000029104</v>
      </c>
      <c r="K210" s="47">
        <f t="shared" si="7"/>
        <v>0.88999999999941792</v>
      </c>
      <c r="L210" s="44">
        <f t="shared" si="7"/>
        <v>0</v>
      </c>
      <c r="M210" s="44">
        <f t="shared" si="7"/>
        <v>0</v>
      </c>
      <c r="N210" s="44">
        <f t="shared" si="7"/>
        <v>0</v>
      </c>
      <c r="U210" s="14">
        <f t="shared" si="5"/>
        <v>2260.4459999999999</v>
      </c>
    </row>
    <row r="211" spans="2:21" x14ac:dyDescent="0.3">
      <c r="B211" s="78" t="s">
        <v>92</v>
      </c>
      <c r="C211" s="73"/>
      <c r="D211" s="73"/>
      <c r="E211" s="73"/>
      <c r="G211" s="47">
        <f>+G4+G101+G140+G159+G170-G209</f>
        <v>-1.3099999999994907</v>
      </c>
      <c r="H211" s="47">
        <f t="shared" si="7"/>
        <v>-0.7999999999992724</v>
      </c>
      <c r="I211" s="47">
        <f t="shared" si="7"/>
        <v>-0.98999999999978172</v>
      </c>
      <c r="J211" s="47">
        <f t="shared" si="7"/>
        <v>-1.0400000000008731</v>
      </c>
      <c r="K211" s="47">
        <f t="shared" si="7"/>
        <v>-1.3999999999996362</v>
      </c>
      <c r="L211" s="47">
        <f t="shared" si="7"/>
        <v>-0.86000000000058208</v>
      </c>
      <c r="M211" s="47">
        <f t="shared" si="7"/>
        <v>-0.51000000000021828</v>
      </c>
      <c r="N211" s="47">
        <f t="shared" si="7"/>
        <v>-0.9500000000007276</v>
      </c>
      <c r="U211" s="14">
        <f t="shared" si="5"/>
        <v>-1.1079999999998109</v>
      </c>
    </row>
    <row r="212" spans="2:21" x14ac:dyDescent="0.3">
      <c r="U212" s="14" t="e">
        <f t="shared" si="5"/>
        <v>#DIV/0!</v>
      </c>
    </row>
    <row r="213" spans="2:21" x14ac:dyDescent="0.3">
      <c r="B213" s="74" t="s">
        <v>93</v>
      </c>
      <c r="C213" s="73"/>
      <c r="D213" s="73"/>
      <c r="E213" s="73"/>
      <c r="F213" s="20" t="s">
        <v>6</v>
      </c>
      <c r="G213" s="21" t="s">
        <v>235</v>
      </c>
      <c r="H213" s="21" t="s">
        <v>236</v>
      </c>
      <c r="I213" s="21" t="s">
        <v>237</v>
      </c>
      <c r="J213" s="35" t="s">
        <v>238</v>
      </c>
      <c r="K213" s="21" t="s">
        <v>239</v>
      </c>
      <c r="L213" s="21" t="s">
        <v>240</v>
      </c>
      <c r="M213" s="21" t="s">
        <v>241</v>
      </c>
      <c r="N213" s="21" t="s">
        <v>242</v>
      </c>
      <c r="O213" s="21" t="s">
        <v>243</v>
      </c>
      <c r="P213" s="21" t="s">
        <v>244</v>
      </c>
      <c r="Q213" s="21" t="s">
        <v>245</v>
      </c>
      <c r="R213" s="21" t="s">
        <v>246</v>
      </c>
      <c r="U213" s="14" t="e">
        <f t="shared" si="5"/>
        <v>#DIV/0!</v>
      </c>
    </row>
    <row r="214" spans="2:21" x14ac:dyDescent="0.3">
      <c r="B214" s="75" t="s">
        <v>45</v>
      </c>
      <c r="C214" s="72"/>
      <c r="D214" s="72"/>
      <c r="E214" s="72"/>
      <c r="F214" s="26" t="s">
        <v>2</v>
      </c>
      <c r="G214" s="27">
        <v>37</v>
      </c>
      <c r="H214" s="27">
        <v>37</v>
      </c>
      <c r="I214" s="27">
        <v>37</v>
      </c>
      <c r="J214" s="27">
        <v>37</v>
      </c>
      <c r="K214" s="27">
        <v>37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U214" s="14">
        <f t="shared" si="5"/>
        <v>37</v>
      </c>
    </row>
    <row r="215" spans="2:21" x14ac:dyDescent="0.3">
      <c r="B215" s="76"/>
      <c r="C215" s="73"/>
      <c r="D215" s="73"/>
      <c r="E215" s="73"/>
      <c r="F215" s="26" t="s">
        <v>3</v>
      </c>
      <c r="G215" s="27">
        <v>37</v>
      </c>
      <c r="H215" s="27">
        <v>37</v>
      </c>
      <c r="I215" s="27">
        <v>37</v>
      </c>
      <c r="J215" s="27">
        <v>37</v>
      </c>
      <c r="K215" s="27">
        <v>37</v>
      </c>
      <c r="L215" s="27">
        <v>37</v>
      </c>
      <c r="M215" s="27">
        <v>37</v>
      </c>
      <c r="N215" s="27">
        <v>37</v>
      </c>
      <c r="O215" s="27">
        <v>37</v>
      </c>
      <c r="P215" s="27">
        <v>37</v>
      </c>
      <c r="Q215" s="27">
        <v>37</v>
      </c>
      <c r="R215" s="27">
        <v>37</v>
      </c>
      <c r="U215" s="14">
        <f t="shared" si="5"/>
        <v>37</v>
      </c>
    </row>
    <row r="216" spans="2:21" x14ac:dyDescent="0.3">
      <c r="B216" s="75" t="s">
        <v>50</v>
      </c>
      <c r="C216" s="72"/>
      <c r="D216" s="72"/>
      <c r="E216" s="72"/>
      <c r="F216" s="26" t="s">
        <v>2</v>
      </c>
      <c r="G216" s="27">
        <v>73.63</v>
      </c>
      <c r="H216" s="27">
        <v>73.63</v>
      </c>
      <c r="I216" s="27">
        <v>73.63</v>
      </c>
      <c r="J216" s="27">
        <v>72</v>
      </c>
      <c r="K216" s="27">
        <v>69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U216" s="14">
        <f t="shared" si="5"/>
        <v>72.378</v>
      </c>
    </row>
    <row r="217" spans="2:21" x14ac:dyDescent="0.3">
      <c r="B217" s="76"/>
      <c r="C217" s="73"/>
      <c r="D217" s="73"/>
      <c r="E217" s="73"/>
      <c r="F217" s="26" t="s">
        <v>3</v>
      </c>
      <c r="G217" s="27">
        <v>26</v>
      </c>
      <c r="H217" s="27">
        <v>26</v>
      </c>
      <c r="I217" s="27">
        <v>26</v>
      </c>
      <c r="J217" s="27">
        <v>26</v>
      </c>
      <c r="K217" s="27">
        <v>26</v>
      </c>
      <c r="L217" s="27">
        <v>26</v>
      </c>
      <c r="M217" s="27">
        <v>26</v>
      </c>
      <c r="N217" s="27">
        <v>26</v>
      </c>
      <c r="O217" s="27">
        <v>26</v>
      </c>
      <c r="P217" s="27">
        <v>26</v>
      </c>
      <c r="Q217" s="27">
        <v>26</v>
      </c>
      <c r="R217" s="27">
        <v>26</v>
      </c>
      <c r="U217" s="14">
        <f t="shared" si="5"/>
        <v>26</v>
      </c>
    </row>
    <row r="218" spans="2:21" x14ac:dyDescent="0.3">
      <c r="B218" s="75" t="s">
        <v>62</v>
      </c>
      <c r="C218" s="72"/>
      <c r="D218" s="72"/>
      <c r="E218" s="72"/>
      <c r="F218" s="26" t="s">
        <v>2</v>
      </c>
      <c r="G218" s="27">
        <v>1</v>
      </c>
      <c r="H218" s="27">
        <v>1</v>
      </c>
      <c r="I218" s="27">
        <v>1</v>
      </c>
      <c r="J218" s="27">
        <v>1</v>
      </c>
      <c r="K218" s="27">
        <v>1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U218" s="14">
        <f t="shared" si="5"/>
        <v>1</v>
      </c>
    </row>
    <row r="219" spans="2:21" x14ac:dyDescent="0.3">
      <c r="B219" s="76"/>
      <c r="C219" s="73"/>
      <c r="D219" s="73"/>
      <c r="E219" s="73"/>
      <c r="F219" s="26" t="s">
        <v>3</v>
      </c>
      <c r="G219" s="27">
        <v>1</v>
      </c>
      <c r="H219" s="27">
        <v>1</v>
      </c>
      <c r="I219" s="27">
        <v>1</v>
      </c>
      <c r="J219" s="27">
        <v>1</v>
      </c>
      <c r="K219" s="27">
        <v>1</v>
      </c>
      <c r="L219" s="27">
        <v>1</v>
      </c>
      <c r="M219" s="27">
        <v>1</v>
      </c>
      <c r="N219" s="27">
        <v>1</v>
      </c>
      <c r="O219" s="27">
        <v>1</v>
      </c>
      <c r="P219" s="27">
        <v>1</v>
      </c>
      <c r="Q219" s="27">
        <v>1</v>
      </c>
      <c r="R219" s="27">
        <v>1</v>
      </c>
      <c r="U219" s="14">
        <f t="shared" si="5"/>
        <v>1</v>
      </c>
    </row>
    <row r="220" spans="2:21" ht="10.5" customHeight="1" x14ac:dyDescent="0.3">
      <c r="U220" s="14" t="e">
        <f t="shared" si="5"/>
        <v>#DIV/0!</v>
      </c>
    </row>
    <row r="221" spans="2:21" x14ac:dyDescent="0.3">
      <c r="B221" s="74" t="s">
        <v>94</v>
      </c>
      <c r="C221" s="73"/>
      <c r="D221" s="73"/>
      <c r="E221" s="73"/>
      <c r="F221" s="20" t="s">
        <v>6</v>
      </c>
      <c r="U221" s="14" t="e">
        <f t="shared" si="5"/>
        <v>#DIV/0!</v>
      </c>
    </row>
    <row r="222" spans="2:21" ht="13.2" customHeight="1" x14ac:dyDescent="0.3">
      <c r="U222" s="14" t="e">
        <f t="shared" si="5"/>
        <v>#DIV/0!</v>
      </c>
    </row>
    <row r="223" spans="2:21" ht="18" customHeight="1" x14ac:dyDescent="0.3">
      <c r="B223" s="78" t="s">
        <v>95</v>
      </c>
      <c r="C223" s="73"/>
      <c r="D223" s="73"/>
      <c r="E223" s="73"/>
      <c r="U223" s="14" t="e">
        <f t="shared" si="5"/>
        <v>#DIV/0!</v>
      </c>
    </row>
    <row r="224" spans="2:21" ht="12.75" customHeight="1" x14ac:dyDescent="0.3">
      <c r="U224" s="14" t="e">
        <f t="shared" si="5"/>
        <v>#DIV/0!</v>
      </c>
    </row>
    <row r="225" spans="2:21" x14ac:dyDescent="0.3">
      <c r="B225" s="74" t="s">
        <v>93</v>
      </c>
      <c r="C225" s="73"/>
      <c r="D225" s="73"/>
      <c r="E225" s="73"/>
      <c r="F225" s="20" t="s">
        <v>6</v>
      </c>
      <c r="G225" s="21" t="s">
        <v>235</v>
      </c>
      <c r="H225" s="21" t="s">
        <v>236</v>
      </c>
      <c r="I225" s="21" t="s">
        <v>237</v>
      </c>
      <c r="J225" s="35" t="s">
        <v>238</v>
      </c>
      <c r="K225" s="21" t="s">
        <v>239</v>
      </c>
      <c r="L225" s="21" t="s">
        <v>240</v>
      </c>
      <c r="M225" s="21" t="s">
        <v>241</v>
      </c>
      <c r="N225" s="21" t="s">
        <v>242</v>
      </c>
      <c r="O225" s="21" t="s">
        <v>243</v>
      </c>
      <c r="P225" s="21" t="s">
        <v>244</v>
      </c>
      <c r="Q225" s="21" t="s">
        <v>245</v>
      </c>
      <c r="R225" s="21" t="s">
        <v>246</v>
      </c>
      <c r="U225" s="14" t="e">
        <f t="shared" si="5"/>
        <v>#DIV/0!</v>
      </c>
    </row>
    <row r="226" spans="2:21" x14ac:dyDescent="0.3">
      <c r="B226" s="75" t="s">
        <v>38</v>
      </c>
      <c r="C226" s="72"/>
      <c r="D226" s="72"/>
      <c r="E226" s="72"/>
      <c r="F226" s="26" t="s">
        <v>2</v>
      </c>
      <c r="G226" s="27">
        <v>314.57</v>
      </c>
      <c r="H226" s="27">
        <v>279.05</v>
      </c>
      <c r="I226" s="27">
        <v>290.74</v>
      </c>
      <c r="J226" s="27">
        <v>325.49</v>
      </c>
      <c r="K226" s="27">
        <v>334.21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U226" s="14">
        <f t="shared" si="5"/>
        <v>308.81200000000001</v>
      </c>
    </row>
    <row r="227" spans="2:21" x14ac:dyDescent="0.3">
      <c r="B227" s="76"/>
      <c r="C227" s="73"/>
      <c r="D227" s="73"/>
      <c r="E227" s="73"/>
      <c r="F227" s="26" t="s">
        <v>3</v>
      </c>
      <c r="G227" s="27">
        <v>90</v>
      </c>
      <c r="H227" s="27">
        <v>98</v>
      </c>
      <c r="I227" s="27">
        <v>112</v>
      </c>
      <c r="J227" s="27">
        <v>104</v>
      </c>
      <c r="K227" s="27">
        <v>91</v>
      </c>
      <c r="L227" s="27">
        <v>50</v>
      </c>
      <c r="M227" s="27">
        <v>45</v>
      </c>
      <c r="N227" s="27">
        <v>28</v>
      </c>
      <c r="O227" s="27">
        <v>23</v>
      </c>
      <c r="P227" s="27">
        <v>23</v>
      </c>
      <c r="Q227" s="27">
        <v>23</v>
      </c>
      <c r="R227" s="27">
        <v>21</v>
      </c>
      <c r="U227" s="14">
        <f t="shared" si="5"/>
        <v>99</v>
      </c>
    </row>
    <row r="228" spans="2:21" ht="13.8" customHeight="1" x14ac:dyDescent="0.3">
      <c r="U228" s="14" t="e">
        <f t="shared" si="5"/>
        <v>#DIV/0!</v>
      </c>
    </row>
    <row r="229" spans="2:21" x14ac:dyDescent="0.3">
      <c r="B229" s="74" t="s">
        <v>94</v>
      </c>
      <c r="C229" s="73"/>
      <c r="D229" s="73"/>
      <c r="E229" s="73"/>
      <c r="F229" s="20" t="s">
        <v>6</v>
      </c>
      <c r="U229" s="14" t="e">
        <f t="shared" si="5"/>
        <v>#DIV/0!</v>
      </c>
    </row>
    <row r="230" spans="2:21" ht="12.45" customHeight="1" x14ac:dyDescent="0.3">
      <c r="U230" s="14" t="e">
        <f t="shared" si="5"/>
        <v>#DIV/0!</v>
      </c>
    </row>
    <row r="231" spans="2:21" x14ac:dyDescent="0.3">
      <c r="B231" s="77" t="s">
        <v>5</v>
      </c>
      <c r="C231" s="73"/>
      <c r="D231" s="73"/>
      <c r="E231" s="73"/>
      <c r="F231" s="20" t="s">
        <v>6</v>
      </c>
      <c r="G231" s="21" t="s">
        <v>235</v>
      </c>
      <c r="H231" s="21" t="s">
        <v>236</v>
      </c>
      <c r="I231" s="21" t="s">
        <v>237</v>
      </c>
      <c r="J231" s="35" t="s">
        <v>238</v>
      </c>
      <c r="K231" s="21" t="s">
        <v>239</v>
      </c>
      <c r="L231" s="21" t="s">
        <v>240</v>
      </c>
      <c r="M231" s="21" t="s">
        <v>241</v>
      </c>
      <c r="N231" s="21" t="s">
        <v>242</v>
      </c>
      <c r="O231" s="21" t="s">
        <v>243</v>
      </c>
      <c r="P231" s="21" t="s">
        <v>244</v>
      </c>
      <c r="Q231" s="21" t="s">
        <v>245</v>
      </c>
      <c r="R231" s="21" t="s">
        <v>246</v>
      </c>
      <c r="U231" s="14" t="e">
        <f t="shared" si="5"/>
        <v>#DIV/0!</v>
      </c>
    </row>
    <row r="232" spans="2:21" x14ac:dyDescent="0.3">
      <c r="B232" s="71" t="s">
        <v>96</v>
      </c>
      <c r="C232" s="72"/>
      <c r="D232" s="72"/>
      <c r="E232" s="72"/>
      <c r="F232" s="26" t="s">
        <v>2</v>
      </c>
      <c r="G232" s="27">
        <v>854</v>
      </c>
      <c r="H232" s="27">
        <v>855</v>
      </c>
      <c r="I232" s="27">
        <v>856</v>
      </c>
      <c r="J232" s="39">
        <v>848</v>
      </c>
      <c r="K232" s="27">
        <v>840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U232" s="14">
        <f t="shared" si="5"/>
        <v>850.6</v>
      </c>
    </row>
    <row r="233" spans="2:21" x14ac:dyDescent="0.3">
      <c r="B233" s="73"/>
      <c r="C233" s="73"/>
      <c r="D233" s="73"/>
      <c r="E233" s="73"/>
      <c r="F233" s="26" t="s">
        <v>3</v>
      </c>
      <c r="G233" s="27">
        <v>928</v>
      </c>
      <c r="H233" s="27">
        <v>954</v>
      </c>
      <c r="I233" s="27">
        <v>962</v>
      </c>
      <c r="J233" s="39">
        <v>959</v>
      </c>
      <c r="K233" s="27">
        <v>961</v>
      </c>
      <c r="L233" s="27">
        <v>961</v>
      </c>
      <c r="M233" s="27">
        <v>962</v>
      </c>
      <c r="N233" s="27">
        <v>963</v>
      </c>
      <c r="O233" s="27">
        <v>963</v>
      </c>
      <c r="P233" s="27">
        <v>963</v>
      </c>
      <c r="Q233" s="27">
        <v>963</v>
      </c>
      <c r="R233" s="27">
        <v>963</v>
      </c>
      <c r="U233" s="14">
        <f t="shared" si="5"/>
        <v>952.8</v>
      </c>
    </row>
    <row r="234" spans="2:21" x14ac:dyDescent="0.3">
      <c r="B234" s="71" t="s">
        <v>97</v>
      </c>
      <c r="C234" s="72"/>
      <c r="D234" s="72"/>
      <c r="E234" s="72"/>
      <c r="F234" s="26" t="s">
        <v>2</v>
      </c>
      <c r="G234" s="27">
        <v>189</v>
      </c>
      <c r="H234" s="27">
        <v>190</v>
      </c>
      <c r="I234" s="27">
        <v>189</v>
      </c>
      <c r="J234" s="39">
        <v>187</v>
      </c>
      <c r="K234" s="27">
        <v>185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U234" s="14">
        <f t="shared" si="5"/>
        <v>188</v>
      </c>
    </row>
    <row r="235" spans="2:21" x14ac:dyDescent="0.3">
      <c r="B235" s="73"/>
      <c r="C235" s="73"/>
      <c r="D235" s="73"/>
      <c r="E235" s="73"/>
      <c r="F235" s="26" t="s">
        <v>3</v>
      </c>
      <c r="G235" s="27">
        <v>207</v>
      </c>
      <c r="H235" s="27">
        <v>207</v>
      </c>
      <c r="I235" s="27">
        <v>207</v>
      </c>
      <c r="J235" s="39">
        <v>207</v>
      </c>
      <c r="K235" s="27">
        <v>207</v>
      </c>
      <c r="L235" s="27">
        <v>207</v>
      </c>
      <c r="M235" s="27">
        <v>207</v>
      </c>
      <c r="N235" s="27">
        <v>207</v>
      </c>
      <c r="O235" s="27">
        <v>207</v>
      </c>
      <c r="P235" s="27">
        <v>207</v>
      </c>
      <c r="Q235" s="27">
        <v>207</v>
      </c>
      <c r="R235" s="27">
        <v>207</v>
      </c>
      <c r="U235" s="14">
        <f t="shared" si="5"/>
        <v>207</v>
      </c>
    </row>
    <row r="236" spans="2:21" x14ac:dyDescent="0.3">
      <c r="B236" s="71" t="s">
        <v>98</v>
      </c>
      <c r="C236" s="72"/>
      <c r="D236" s="72"/>
      <c r="E236" s="72"/>
      <c r="F236" s="26" t="s">
        <v>2</v>
      </c>
      <c r="G236" s="27">
        <v>4</v>
      </c>
      <c r="H236" s="27">
        <v>4</v>
      </c>
      <c r="I236" s="27">
        <v>4</v>
      </c>
      <c r="J236" s="39">
        <v>4</v>
      </c>
      <c r="K236" s="27">
        <v>4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U236" s="14">
        <f t="shared" si="5"/>
        <v>4</v>
      </c>
    </row>
    <row r="237" spans="2:21" x14ac:dyDescent="0.3">
      <c r="B237" s="73"/>
      <c r="C237" s="73"/>
      <c r="D237" s="73"/>
      <c r="E237" s="73"/>
      <c r="F237" s="26" t="s">
        <v>3</v>
      </c>
      <c r="G237" s="27">
        <v>4</v>
      </c>
      <c r="H237" s="27">
        <v>4</v>
      </c>
      <c r="I237" s="27">
        <v>4</v>
      </c>
      <c r="J237" s="39">
        <v>4</v>
      </c>
      <c r="K237" s="27">
        <v>4</v>
      </c>
      <c r="L237" s="27">
        <v>4</v>
      </c>
      <c r="M237" s="27">
        <v>4</v>
      </c>
      <c r="N237" s="27">
        <v>4</v>
      </c>
      <c r="O237" s="27">
        <v>4</v>
      </c>
      <c r="P237" s="27">
        <v>4</v>
      </c>
      <c r="Q237" s="27">
        <v>4</v>
      </c>
      <c r="R237" s="27">
        <v>4</v>
      </c>
      <c r="U237" s="14">
        <f t="shared" si="5"/>
        <v>4</v>
      </c>
    </row>
    <row r="238" spans="2:21" x14ac:dyDescent="0.3">
      <c r="B238" s="71" t="s">
        <v>99</v>
      </c>
      <c r="C238" s="72"/>
      <c r="D238" s="72"/>
      <c r="E238" s="72"/>
      <c r="F238" s="26" t="s">
        <v>2</v>
      </c>
      <c r="G238" s="27">
        <v>661</v>
      </c>
      <c r="H238" s="27">
        <v>661</v>
      </c>
      <c r="I238" s="27">
        <v>663</v>
      </c>
      <c r="J238" s="39">
        <v>657</v>
      </c>
      <c r="K238" s="27">
        <v>651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U238" s="14">
        <f t="shared" si="5"/>
        <v>658.6</v>
      </c>
    </row>
    <row r="239" spans="2:21" x14ac:dyDescent="0.3">
      <c r="B239" s="73"/>
      <c r="C239" s="73"/>
      <c r="D239" s="73"/>
      <c r="E239" s="73"/>
      <c r="F239" s="26" t="s">
        <v>3</v>
      </c>
      <c r="G239" s="27">
        <v>717</v>
      </c>
      <c r="H239" s="27">
        <v>743</v>
      </c>
      <c r="I239" s="27">
        <v>751</v>
      </c>
      <c r="J239" s="39">
        <v>748</v>
      </c>
      <c r="K239" s="27">
        <v>750</v>
      </c>
      <c r="L239" s="27">
        <v>750</v>
      </c>
      <c r="M239" s="27">
        <v>751</v>
      </c>
      <c r="N239" s="27">
        <v>752</v>
      </c>
      <c r="O239" s="27">
        <v>752</v>
      </c>
      <c r="P239" s="27">
        <v>752</v>
      </c>
      <c r="Q239" s="27">
        <v>752</v>
      </c>
      <c r="R239" s="27">
        <v>752</v>
      </c>
      <c r="U239" s="14">
        <f t="shared" si="5"/>
        <v>741.8</v>
      </c>
    </row>
    <row r="240" spans="2:21" ht="11.55" customHeight="1" x14ac:dyDescent="0.3">
      <c r="U240" s="14" t="e">
        <f t="shared" si="5"/>
        <v>#DIV/0!</v>
      </c>
    </row>
    <row r="241" spans="11:21" x14ac:dyDescent="0.3">
      <c r="K241" s="17">
        <v>80</v>
      </c>
      <c r="U241" s="14">
        <f t="shared" si="5"/>
        <v>80</v>
      </c>
    </row>
    <row r="242" spans="11:21" x14ac:dyDescent="0.3">
      <c r="K242" s="17">
        <v>84</v>
      </c>
      <c r="U242" s="14">
        <f t="shared" si="5"/>
        <v>84</v>
      </c>
    </row>
    <row r="243" spans="11:21" x14ac:dyDescent="0.3">
      <c r="U243" s="14" t="e">
        <f t="shared" si="5"/>
        <v>#DIV/0!</v>
      </c>
    </row>
    <row r="244" spans="11:21" x14ac:dyDescent="0.3">
      <c r="U244" s="14" t="e">
        <f t="shared" si="5"/>
        <v>#DIV/0!</v>
      </c>
    </row>
    <row r="245" spans="11:21" x14ac:dyDescent="0.3">
      <c r="U245" s="14" t="e">
        <f t="shared" si="5"/>
        <v>#DIV/0!</v>
      </c>
    </row>
    <row r="246" spans="11:21" x14ac:dyDescent="0.3">
      <c r="U246" s="14" t="e">
        <f t="shared" si="5"/>
        <v>#DIV/0!</v>
      </c>
    </row>
    <row r="247" spans="11:21" x14ac:dyDescent="0.3">
      <c r="U247" s="14" t="e">
        <f t="shared" si="5"/>
        <v>#DIV/0!</v>
      </c>
    </row>
    <row r="248" spans="11:21" x14ac:dyDescent="0.3">
      <c r="U248" s="14" t="e">
        <f t="shared" si="5"/>
        <v>#DIV/0!</v>
      </c>
    </row>
    <row r="249" spans="11:21" x14ac:dyDescent="0.3">
      <c r="U249" s="14" t="e">
        <f t="shared" si="5"/>
        <v>#DIV/0!</v>
      </c>
    </row>
    <row r="250" spans="11:21" x14ac:dyDescent="0.3">
      <c r="U250" s="14" t="e">
        <f t="shared" si="5"/>
        <v>#DIV/0!</v>
      </c>
    </row>
    <row r="251" spans="11:21" x14ac:dyDescent="0.3">
      <c r="U251" s="14" t="e">
        <f t="shared" si="5"/>
        <v>#DIV/0!</v>
      </c>
    </row>
    <row r="252" spans="11:21" x14ac:dyDescent="0.3">
      <c r="U252" s="14" t="e">
        <f t="shared" si="5"/>
        <v>#DIV/0!</v>
      </c>
    </row>
    <row r="253" spans="11:21" x14ac:dyDescent="0.3">
      <c r="U253" s="14" t="e">
        <f t="shared" si="5"/>
        <v>#DIV/0!</v>
      </c>
    </row>
    <row r="254" spans="11:21" x14ac:dyDescent="0.3">
      <c r="U254" s="14" t="e">
        <f t="shared" si="5"/>
        <v>#DIV/0!</v>
      </c>
    </row>
    <row r="255" spans="11:21" x14ac:dyDescent="0.3">
      <c r="U255" s="14" t="e">
        <f t="shared" si="5"/>
        <v>#DIV/0!</v>
      </c>
    </row>
    <row r="256" spans="11:21" x14ac:dyDescent="0.3">
      <c r="U256" s="14" t="e">
        <f t="shared" si="5"/>
        <v>#DIV/0!</v>
      </c>
    </row>
    <row r="257" spans="21:21" x14ac:dyDescent="0.3">
      <c r="U257" s="14" t="e">
        <f t="shared" si="5"/>
        <v>#DIV/0!</v>
      </c>
    </row>
    <row r="258" spans="21:21" x14ac:dyDescent="0.3">
      <c r="U258" s="14" t="e">
        <f t="shared" si="5"/>
        <v>#DIV/0!</v>
      </c>
    </row>
    <row r="259" spans="21:21" x14ac:dyDescent="0.3">
      <c r="U259" s="14" t="e">
        <f t="shared" si="5"/>
        <v>#DIV/0!</v>
      </c>
    </row>
    <row r="260" spans="21:21" x14ac:dyDescent="0.3">
      <c r="U260" s="14" t="e">
        <f t="shared" ref="U260:U263" si="8">+AVERAGE(G260:K260)</f>
        <v>#DIV/0!</v>
      </c>
    </row>
    <row r="261" spans="21:21" x14ac:dyDescent="0.3">
      <c r="U261" s="14" t="e">
        <f t="shared" si="8"/>
        <v>#DIV/0!</v>
      </c>
    </row>
    <row r="262" spans="21:21" x14ac:dyDescent="0.3">
      <c r="U262" s="14" t="e">
        <f t="shared" si="8"/>
        <v>#DIV/0!</v>
      </c>
    </row>
    <row r="263" spans="21:21" x14ac:dyDescent="0.3">
      <c r="U263" s="14" t="e">
        <f t="shared" si="8"/>
        <v>#DIV/0!</v>
      </c>
    </row>
  </sheetData>
  <mergeCells count="158">
    <mergeCell ref="B9:C10"/>
    <mergeCell ref="D9:E10"/>
    <mergeCell ref="B11:C12"/>
    <mergeCell ref="D11:E12"/>
    <mergeCell ref="B13:C18"/>
    <mergeCell ref="D13:E14"/>
    <mergeCell ref="D15:E16"/>
    <mergeCell ref="D17:E18"/>
    <mergeCell ref="B1:G1"/>
    <mergeCell ref="B3:E3"/>
    <mergeCell ref="B6:C6"/>
    <mergeCell ref="D6:E6"/>
    <mergeCell ref="B7:C8"/>
    <mergeCell ref="D7:E8"/>
    <mergeCell ref="B19:C26"/>
    <mergeCell ref="D19:E20"/>
    <mergeCell ref="D21:E22"/>
    <mergeCell ref="D23:E24"/>
    <mergeCell ref="D25:E26"/>
    <mergeCell ref="B27:C32"/>
    <mergeCell ref="D27:E28"/>
    <mergeCell ref="D29:E30"/>
    <mergeCell ref="D31:E32"/>
    <mergeCell ref="B33:C38"/>
    <mergeCell ref="D33:E34"/>
    <mergeCell ref="D35:E36"/>
    <mergeCell ref="D37:E38"/>
    <mergeCell ref="B39:C48"/>
    <mergeCell ref="D39:E40"/>
    <mergeCell ref="D41:E42"/>
    <mergeCell ref="D43:E44"/>
    <mergeCell ref="D45:E46"/>
    <mergeCell ref="D47:E48"/>
    <mergeCell ref="B63:C68"/>
    <mergeCell ref="D63:E64"/>
    <mergeCell ref="D65:E66"/>
    <mergeCell ref="D67:E68"/>
    <mergeCell ref="B69:C70"/>
    <mergeCell ref="D69:E70"/>
    <mergeCell ref="B49:C62"/>
    <mergeCell ref="D49:E50"/>
    <mergeCell ref="D51:E52"/>
    <mergeCell ref="D53:E54"/>
    <mergeCell ref="D55:E56"/>
    <mergeCell ref="D57:E58"/>
    <mergeCell ref="D59:E60"/>
    <mergeCell ref="D61:E62"/>
    <mergeCell ref="D87:E88"/>
    <mergeCell ref="D89:E90"/>
    <mergeCell ref="D91:E92"/>
    <mergeCell ref="B93:C98"/>
    <mergeCell ref="D93:E94"/>
    <mergeCell ref="D95:E96"/>
    <mergeCell ref="D97:E98"/>
    <mergeCell ref="B71:C78"/>
    <mergeCell ref="D71:E72"/>
    <mergeCell ref="D73:E74"/>
    <mergeCell ref="D75:E76"/>
    <mergeCell ref="D77:E78"/>
    <mergeCell ref="B79:C92"/>
    <mergeCell ref="D79:E80"/>
    <mergeCell ref="D81:E82"/>
    <mergeCell ref="D83:E84"/>
    <mergeCell ref="D85:E86"/>
    <mergeCell ref="B112:B115"/>
    <mergeCell ref="C112:D113"/>
    <mergeCell ref="E112:E113"/>
    <mergeCell ref="C114:D115"/>
    <mergeCell ref="E114:E115"/>
    <mergeCell ref="B116:B117"/>
    <mergeCell ref="C116:D117"/>
    <mergeCell ref="E116:E117"/>
    <mergeCell ref="B100:E100"/>
    <mergeCell ref="B103:E103"/>
    <mergeCell ref="B106:E106"/>
    <mergeCell ref="C109:D109"/>
    <mergeCell ref="B110:B111"/>
    <mergeCell ref="C110:D111"/>
    <mergeCell ref="E110:E111"/>
    <mergeCell ref="B124:B129"/>
    <mergeCell ref="C124:D125"/>
    <mergeCell ref="E124:E125"/>
    <mergeCell ref="C126:D127"/>
    <mergeCell ref="E126:E127"/>
    <mergeCell ref="C128:D129"/>
    <mergeCell ref="E128:E129"/>
    <mergeCell ref="B118:B119"/>
    <mergeCell ref="C118:D119"/>
    <mergeCell ref="E118:E119"/>
    <mergeCell ref="B120:B123"/>
    <mergeCell ref="C120:D121"/>
    <mergeCell ref="E120:E121"/>
    <mergeCell ref="C122:D123"/>
    <mergeCell ref="E122:E123"/>
    <mergeCell ref="B134:B137"/>
    <mergeCell ref="C134:D135"/>
    <mergeCell ref="E134:E135"/>
    <mergeCell ref="C136:D137"/>
    <mergeCell ref="E136:E137"/>
    <mergeCell ref="B139:E139"/>
    <mergeCell ref="B130:B131"/>
    <mergeCell ref="C130:D131"/>
    <mergeCell ref="E130:E131"/>
    <mergeCell ref="B132:B133"/>
    <mergeCell ref="C132:D133"/>
    <mergeCell ref="E132:E133"/>
    <mergeCell ref="B153:E154"/>
    <mergeCell ref="B155:E156"/>
    <mergeCell ref="B158:E158"/>
    <mergeCell ref="B161:E161"/>
    <mergeCell ref="B162:C165"/>
    <mergeCell ref="D162:E163"/>
    <mergeCell ref="D164:E165"/>
    <mergeCell ref="B142:E142"/>
    <mergeCell ref="B143:E144"/>
    <mergeCell ref="B145:E146"/>
    <mergeCell ref="B147:E148"/>
    <mergeCell ref="B149:E150"/>
    <mergeCell ref="B151:E152"/>
    <mergeCell ref="B166:C167"/>
    <mergeCell ref="D166:E167"/>
    <mergeCell ref="B169:E169"/>
    <mergeCell ref="B172:E172"/>
    <mergeCell ref="B173:C180"/>
    <mergeCell ref="D173:E174"/>
    <mergeCell ref="D175:E176"/>
    <mergeCell ref="D177:E178"/>
    <mergeCell ref="D179:E180"/>
    <mergeCell ref="B198:B199"/>
    <mergeCell ref="D198:E199"/>
    <mergeCell ref="B202:E202"/>
    <mergeCell ref="B205:E205"/>
    <mergeCell ref="B208:E208"/>
    <mergeCell ref="B211:E211"/>
    <mergeCell ref="B181:C197"/>
    <mergeCell ref="D181:E181"/>
    <mergeCell ref="D182:E183"/>
    <mergeCell ref="D184:E185"/>
    <mergeCell ref="D186:E187"/>
    <mergeCell ref="D188:E189"/>
    <mergeCell ref="D190:E191"/>
    <mergeCell ref="D192:E193"/>
    <mergeCell ref="D194:E195"/>
    <mergeCell ref="D196:E197"/>
    <mergeCell ref="B236:E237"/>
    <mergeCell ref="B238:E239"/>
    <mergeCell ref="B225:E225"/>
    <mergeCell ref="B226:E227"/>
    <mergeCell ref="B229:E229"/>
    <mergeCell ref="B231:E231"/>
    <mergeCell ref="B232:E233"/>
    <mergeCell ref="B234:E235"/>
    <mergeCell ref="B213:E213"/>
    <mergeCell ref="B214:E215"/>
    <mergeCell ref="B216:E217"/>
    <mergeCell ref="B218:E219"/>
    <mergeCell ref="B221:E221"/>
    <mergeCell ref="B223:E2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82"/>
  <sheetViews>
    <sheetView topLeftCell="A111" workbookViewId="0">
      <selection activeCell="G124" sqref="G124"/>
    </sheetView>
  </sheetViews>
  <sheetFormatPr baseColWidth="10" defaultRowHeight="14.4" x14ac:dyDescent="0.3"/>
  <cols>
    <col min="1" max="1" width="3.77734375" style="1" customWidth="1"/>
    <col min="2" max="2" width="13.77734375" style="1" customWidth="1"/>
    <col min="3" max="3" width="4.6640625" style="1" customWidth="1"/>
    <col min="4" max="4" width="9.109375" style="1" customWidth="1"/>
    <col min="5" max="5" width="12.109375" style="1" customWidth="1"/>
    <col min="6" max="18" width="13.77734375" style="1" customWidth="1"/>
    <col min="19" max="19" width="4.77734375" style="1" customWidth="1"/>
    <col min="20" max="22" width="9.44140625" style="1" customWidth="1"/>
    <col min="23" max="23" width="2.5546875" style="1" customWidth="1"/>
    <col min="24" max="27" width="9.44140625" style="1" customWidth="1"/>
    <col min="28" max="28" width="13.77734375" style="1" customWidth="1"/>
    <col min="29" max="29" width="11.5546875" style="1"/>
    <col min="30" max="31" width="9.44140625" style="1" customWidth="1"/>
    <col min="32" max="16384" width="11.5546875" style="1"/>
  </cols>
  <sheetData>
    <row r="1" spans="2:31" ht="36" customHeight="1" x14ac:dyDescent="0.3">
      <c r="B1" s="86" t="s">
        <v>0</v>
      </c>
      <c r="C1" s="87"/>
      <c r="D1" s="87"/>
      <c r="E1" s="87"/>
      <c r="F1" s="87"/>
      <c r="G1" s="87"/>
    </row>
    <row r="2" spans="2:31" ht="7.2" customHeight="1" x14ac:dyDescent="0.3"/>
    <row r="3" spans="2:31" x14ac:dyDescent="0.3">
      <c r="B3" s="88" t="s">
        <v>1</v>
      </c>
      <c r="C3" s="89"/>
      <c r="D3" s="89"/>
      <c r="E3" s="89"/>
      <c r="F3" s="2" t="s">
        <v>2</v>
      </c>
      <c r="G3" s="3">
        <v>421</v>
      </c>
      <c r="H3" s="3">
        <v>421</v>
      </c>
      <c r="I3" s="3">
        <v>417</v>
      </c>
      <c r="J3" s="3">
        <v>414</v>
      </c>
      <c r="K3" s="3">
        <v>415</v>
      </c>
      <c r="L3" s="3">
        <v>415</v>
      </c>
      <c r="M3" s="3">
        <v>417</v>
      </c>
      <c r="N3" s="3">
        <v>419</v>
      </c>
      <c r="O3" s="3">
        <v>417</v>
      </c>
      <c r="P3" s="3">
        <v>419</v>
      </c>
      <c r="Q3" s="3">
        <v>420</v>
      </c>
      <c r="R3" s="3">
        <v>420</v>
      </c>
      <c r="T3" s="4">
        <f>+R3</f>
        <v>420</v>
      </c>
      <c r="U3" s="4">
        <f>+AVERAGE(G3:R3)</f>
        <v>417.91666666666669</v>
      </c>
      <c r="V3" s="3">
        <v>421</v>
      </c>
      <c r="X3" s="3">
        <v>428</v>
      </c>
      <c r="Y3" s="3">
        <v>414</v>
      </c>
      <c r="Z3" s="3">
        <v>418</v>
      </c>
      <c r="AA3" s="3">
        <v>419</v>
      </c>
      <c r="AD3" s="3">
        <v>420</v>
      </c>
      <c r="AE3" s="3">
        <v>429</v>
      </c>
    </row>
    <row r="4" spans="2:31" x14ac:dyDescent="0.3">
      <c r="F4" s="2" t="s">
        <v>3</v>
      </c>
      <c r="G4" s="3">
        <v>454</v>
      </c>
      <c r="H4" s="3">
        <v>454</v>
      </c>
      <c r="I4" s="3">
        <v>454</v>
      </c>
      <c r="J4" s="3">
        <v>457</v>
      </c>
      <c r="K4" s="3">
        <v>457</v>
      </c>
      <c r="L4" s="3">
        <v>457</v>
      </c>
      <c r="M4" s="3">
        <v>457</v>
      </c>
      <c r="N4" s="3">
        <v>457</v>
      </c>
      <c r="O4" s="3">
        <v>457</v>
      </c>
      <c r="P4" s="3">
        <v>457</v>
      </c>
      <c r="Q4" s="3">
        <v>457</v>
      </c>
      <c r="R4" s="3">
        <v>457</v>
      </c>
      <c r="T4" s="4">
        <f t="shared" ref="T4:T67" si="0">+R4</f>
        <v>457</v>
      </c>
      <c r="U4" s="4">
        <f t="shared" ref="U4:U67" si="1">+AVERAGE(G4:R4)</f>
        <v>456.25</v>
      </c>
      <c r="V4" s="3">
        <v>457</v>
      </c>
      <c r="X4" s="3">
        <v>454</v>
      </c>
      <c r="Y4" s="3">
        <v>457</v>
      </c>
      <c r="Z4" s="3">
        <v>457</v>
      </c>
      <c r="AA4" s="3">
        <v>457</v>
      </c>
      <c r="AD4" s="3">
        <v>457</v>
      </c>
      <c r="AE4" s="3">
        <v>457</v>
      </c>
    </row>
    <row r="5" spans="2:31" ht="4.95" customHeight="1" x14ac:dyDescent="0.3">
      <c r="T5" s="4">
        <f t="shared" si="0"/>
        <v>0</v>
      </c>
      <c r="U5" s="4" t="e">
        <f t="shared" si="1"/>
        <v>#DIV/0!</v>
      </c>
    </row>
    <row r="6" spans="2:31" x14ac:dyDescent="0.3">
      <c r="B6" s="90" t="s">
        <v>4</v>
      </c>
      <c r="C6" s="89"/>
      <c r="D6" s="91" t="s">
        <v>5</v>
      </c>
      <c r="E6" s="89"/>
      <c r="F6" s="7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T6" s="4" t="str">
        <f t="shared" si="0"/>
        <v>202512</v>
      </c>
      <c r="U6" s="4" t="e">
        <f t="shared" si="1"/>
        <v>#DIV/0!</v>
      </c>
      <c r="V6" s="8" t="s">
        <v>19</v>
      </c>
      <c r="X6" s="8" t="s">
        <v>20</v>
      </c>
      <c r="Y6" s="8" t="s">
        <v>21</v>
      </c>
      <c r="Z6" s="8" t="s">
        <v>22</v>
      </c>
      <c r="AA6" s="8" t="s">
        <v>23</v>
      </c>
      <c r="AD6" s="8" t="s">
        <v>24</v>
      </c>
      <c r="AE6" s="8" t="s">
        <v>25</v>
      </c>
    </row>
    <row r="7" spans="2:31" x14ac:dyDescent="0.3">
      <c r="B7" s="92" t="s">
        <v>26</v>
      </c>
      <c r="C7" s="87"/>
      <c r="D7" s="92" t="s">
        <v>26</v>
      </c>
      <c r="E7" s="87"/>
      <c r="F7" s="9" t="s">
        <v>2</v>
      </c>
      <c r="G7" s="10">
        <v>13</v>
      </c>
      <c r="H7" s="10">
        <v>13</v>
      </c>
      <c r="I7" s="10">
        <v>14</v>
      </c>
      <c r="J7" s="10">
        <v>14</v>
      </c>
      <c r="K7" s="10">
        <v>14</v>
      </c>
      <c r="L7" s="10">
        <v>15</v>
      </c>
      <c r="M7" s="10">
        <v>15</v>
      </c>
      <c r="N7" s="10">
        <v>15</v>
      </c>
      <c r="O7" s="10">
        <v>15</v>
      </c>
      <c r="P7" s="10">
        <v>15</v>
      </c>
      <c r="Q7" s="10">
        <v>15</v>
      </c>
      <c r="R7" s="10">
        <v>15</v>
      </c>
      <c r="T7" s="4">
        <f t="shared" si="0"/>
        <v>15</v>
      </c>
      <c r="U7" s="4">
        <f t="shared" si="1"/>
        <v>14.416666666666666</v>
      </c>
      <c r="V7" s="10">
        <v>14</v>
      </c>
      <c r="X7" s="10">
        <v>13</v>
      </c>
      <c r="Y7" s="10">
        <v>14</v>
      </c>
      <c r="Z7" s="10">
        <v>15</v>
      </c>
      <c r="AA7" s="10">
        <v>15</v>
      </c>
      <c r="AD7" s="10">
        <v>15</v>
      </c>
      <c r="AE7" s="10">
        <v>14</v>
      </c>
    </row>
    <row r="8" spans="2:31" x14ac:dyDescent="0.3">
      <c r="B8" s="93"/>
      <c r="C8" s="89"/>
      <c r="D8" s="93"/>
      <c r="E8" s="89"/>
      <c r="F8" s="9" t="s">
        <v>3</v>
      </c>
      <c r="G8" s="10">
        <v>15</v>
      </c>
      <c r="H8" s="10">
        <v>15</v>
      </c>
      <c r="I8" s="10">
        <v>15</v>
      </c>
      <c r="J8" s="10">
        <v>15</v>
      </c>
      <c r="K8" s="10">
        <v>15</v>
      </c>
      <c r="L8" s="10">
        <v>15</v>
      </c>
      <c r="M8" s="10">
        <v>15</v>
      </c>
      <c r="N8" s="10">
        <v>15</v>
      </c>
      <c r="O8" s="10">
        <v>15</v>
      </c>
      <c r="P8" s="10">
        <v>15</v>
      </c>
      <c r="Q8" s="10">
        <v>15</v>
      </c>
      <c r="R8" s="10">
        <v>15</v>
      </c>
      <c r="T8" s="4">
        <f t="shared" si="0"/>
        <v>15</v>
      </c>
      <c r="U8" s="4">
        <f t="shared" si="1"/>
        <v>15</v>
      </c>
      <c r="V8" s="10">
        <v>15</v>
      </c>
      <c r="X8" s="10">
        <v>15</v>
      </c>
      <c r="Y8" s="10">
        <v>15</v>
      </c>
      <c r="Z8" s="10">
        <v>15</v>
      </c>
      <c r="AA8" s="10">
        <v>15</v>
      </c>
      <c r="AD8" s="10">
        <v>15</v>
      </c>
      <c r="AE8" s="10">
        <v>15</v>
      </c>
    </row>
    <row r="9" spans="2:31" x14ac:dyDescent="0.3">
      <c r="B9" s="92" t="s">
        <v>27</v>
      </c>
      <c r="C9" s="87"/>
      <c r="D9" s="92" t="s">
        <v>27</v>
      </c>
      <c r="E9" s="87"/>
      <c r="F9" s="9" t="s">
        <v>2</v>
      </c>
      <c r="G9" s="10">
        <v>3</v>
      </c>
      <c r="H9" s="10">
        <v>3</v>
      </c>
      <c r="I9" s="10">
        <v>3</v>
      </c>
      <c r="J9" s="10">
        <v>3</v>
      </c>
      <c r="K9" s="10">
        <v>3</v>
      </c>
      <c r="L9" s="10">
        <v>3</v>
      </c>
      <c r="M9" s="10">
        <v>3</v>
      </c>
      <c r="N9" s="10">
        <v>3</v>
      </c>
      <c r="O9" s="10">
        <v>3</v>
      </c>
      <c r="P9" s="10">
        <v>3</v>
      </c>
      <c r="Q9" s="10">
        <v>3</v>
      </c>
      <c r="R9" s="10">
        <v>3</v>
      </c>
      <c r="T9" s="4">
        <f t="shared" si="0"/>
        <v>3</v>
      </c>
      <c r="U9" s="4">
        <f t="shared" si="1"/>
        <v>3</v>
      </c>
      <c r="V9" s="10">
        <v>3</v>
      </c>
      <c r="X9" s="10">
        <v>3</v>
      </c>
      <c r="Y9" s="10">
        <v>3</v>
      </c>
      <c r="Z9" s="10">
        <v>3</v>
      </c>
      <c r="AA9" s="10">
        <v>3</v>
      </c>
      <c r="AD9" s="10">
        <v>3</v>
      </c>
      <c r="AE9" s="10">
        <v>3</v>
      </c>
    </row>
    <row r="10" spans="2:31" x14ac:dyDescent="0.3">
      <c r="B10" s="93"/>
      <c r="C10" s="89"/>
      <c r="D10" s="93"/>
      <c r="E10" s="89"/>
      <c r="F10" s="9" t="s">
        <v>3</v>
      </c>
      <c r="G10" s="10">
        <v>3</v>
      </c>
      <c r="H10" s="10">
        <v>3</v>
      </c>
      <c r="I10" s="10">
        <v>3</v>
      </c>
      <c r="J10" s="10">
        <v>3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3</v>
      </c>
      <c r="Q10" s="10">
        <v>3</v>
      </c>
      <c r="R10" s="10">
        <v>3</v>
      </c>
      <c r="T10" s="4">
        <f t="shared" si="0"/>
        <v>3</v>
      </c>
      <c r="U10" s="4">
        <f t="shared" si="1"/>
        <v>3</v>
      </c>
      <c r="V10" s="10">
        <v>3</v>
      </c>
      <c r="X10" s="10">
        <v>3</v>
      </c>
      <c r="Y10" s="10">
        <v>3</v>
      </c>
      <c r="Z10" s="10">
        <v>3</v>
      </c>
      <c r="AA10" s="10">
        <v>3</v>
      </c>
      <c r="AD10" s="10">
        <v>3</v>
      </c>
      <c r="AE10" s="10">
        <v>3</v>
      </c>
    </row>
    <row r="11" spans="2:31" x14ac:dyDescent="0.3">
      <c r="B11" s="92" t="s">
        <v>28</v>
      </c>
      <c r="C11" s="87"/>
      <c r="D11" s="92" t="s">
        <v>28</v>
      </c>
      <c r="E11" s="87"/>
      <c r="F11" s="9" t="s">
        <v>2</v>
      </c>
      <c r="G11" s="10">
        <v>2</v>
      </c>
      <c r="H11" s="10">
        <v>2</v>
      </c>
      <c r="I11" s="10">
        <v>2</v>
      </c>
      <c r="J11" s="10">
        <v>2</v>
      </c>
      <c r="K11" s="10">
        <v>2</v>
      </c>
      <c r="L11" s="10">
        <v>2</v>
      </c>
      <c r="M11" s="10">
        <v>2</v>
      </c>
      <c r="N11" s="10">
        <v>2</v>
      </c>
      <c r="O11" s="10">
        <v>2</v>
      </c>
      <c r="P11" s="10">
        <v>2</v>
      </c>
      <c r="Q11" s="10">
        <v>2</v>
      </c>
      <c r="R11" s="10">
        <v>2</v>
      </c>
      <c r="T11" s="4">
        <f t="shared" si="0"/>
        <v>2</v>
      </c>
      <c r="U11" s="4">
        <f t="shared" si="1"/>
        <v>2</v>
      </c>
      <c r="V11" s="10">
        <v>2</v>
      </c>
      <c r="X11" s="10">
        <v>2</v>
      </c>
      <c r="Y11" s="10">
        <v>2</v>
      </c>
      <c r="Z11" s="10">
        <v>2</v>
      </c>
      <c r="AA11" s="10">
        <v>2</v>
      </c>
      <c r="AD11" s="10">
        <v>2</v>
      </c>
      <c r="AE11" s="10">
        <v>2</v>
      </c>
    </row>
    <row r="12" spans="2:31" x14ac:dyDescent="0.3">
      <c r="B12" s="93"/>
      <c r="C12" s="89"/>
      <c r="D12" s="93"/>
      <c r="E12" s="89"/>
      <c r="F12" s="9" t="s">
        <v>3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2</v>
      </c>
      <c r="M12" s="10">
        <v>2</v>
      </c>
      <c r="N12" s="10">
        <v>2</v>
      </c>
      <c r="O12" s="10">
        <v>2</v>
      </c>
      <c r="P12" s="10">
        <v>2</v>
      </c>
      <c r="Q12" s="10">
        <v>2</v>
      </c>
      <c r="R12" s="10">
        <v>2</v>
      </c>
      <c r="T12" s="4">
        <f t="shared" si="0"/>
        <v>2</v>
      </c>
      <c r="U12" s="4">
        <f t="shared" si="1"/>
        <v>2</v>
      </c>
      <c r="V12" s="10">
        <v>2</v>
      </c>
      <c r="X12" s="10">
        <v>2</v>
      </c>
      <c r="Y12" s="10">
        <v>2</v>
      </c>
      <c r="Z12" s="10">
        <v>2</v>
      </c>
      <c r="AA12" s="10">
        <v>2</v>
      </c>
      <c r="AD12" s="10">
        <v>2</v>
      </c>
      <c r="AE12" s="10">
        <v>2</v>
      </c>
    </row>
    <row r="13" spans="2:31" x14ac:dyDescent="0.3">
      <c r="B13" s="92" t="s">
        <v>117</v>
      </c>
      <c r="C13" s="87"/>
      <c r="D13" s="92" t="s">
        <v>30</v>
      </c>
      <c r="E13" s="87"/>
      <c r="F13" s="9" t="s">
        <v>2</v>
      </c>
      <c r="G13" s="10">
        <v>5</v>
      </c>
      <c r="H13" s="10">
        <v>5</v>
      </c>
      <c r="I13" s="10">
        <v>5</v>
      </c>
      <c r="J13" s="10">
        <v>5</v>
      </c>
      <c r="K13" s="10">
        <v>5</v>
      </c>
      <c r="L13" s="10">
        <v>5</v>
      </c>
      <c r="M13" s="10">
        <v>5</v>
      </c>
      <c r="N13" s="10">
        <v>5</v>
      </c>
      <c r="O13" s="10">
        <v>5</v>
      </c>
      <c r="P13" s="10">
        <v>5</v>
      </c>
      <c r="Q13" s="10">
        <v>5</v>
      </c>
      <c r="R13" s="10">
        <v>5</v>
      </c>
      <c r="T13" s="4">
        <f t="shared" si="0"/>
        <v>5</v>
      </c>
      <c r="U13" s="4">
        <f t="shared" si="1"/>
        <v>5</v>
      </c>
      <c r="V13" s="10">
        <v>5</v>
      </c>
      <c r="X13" s="10">
        <v>5</v>
      </c>
      <c r="Y13" s="10">
        <v>5</v>
      </c>
      <c r="Z13" s="10">
        <v>5</v>
      </c>
      <c r="AA13" s="10">
        <v>5</v>
      </c>
      <c r="AD13" s="10">
        <v>5</v>
      </c>
      <c r="AE13" s="10">
        <v>5</v>
      </c>
    </row>
    <row r="14" spans="2:31" x14ac:dyDescent="0.3">
      <c r="B14" s="94"/>
      <c r="C14" s="87"/>
      <c r="D14" s="93"/>
      <c r="E14" s="89"/>
      <c r="F14" s="9" t="s">
        <v>3</v>
      </c>
      <c r="G14" s="10">
        <v>5</v>
      </c>
      <c r="H14" s="10">
        <v>5</v>
      </c>
      <c r="I14" s="10">
        <v>5</v>
      </c>
      <c r="J14" s="10">
        <v>5</v>
      </c>
      <c r="K14" s="10">
        <v>5</v>
      </c>
      <c r="L14" s="10">
        <v>5</v>
      </c>
      <c r="M14" s="10">
        <v>5</v>
      </c>
      <c r="N14" s="10">
        <v>5</v>
      </c>
      <c r="O14" s="10">
        <v>5</v>
      </c>
      <c r="P14" s="10">
        <v>5</v>
      </c>
      <c r="Q14" s="10">
        <v>5</v>
      </c>
      <c r="R14" s="10">
        <v>5</v>
      </c>
      <c r="T14" s="4">
        <f t="shared" si="0"/>
        <v>5</v>
      </c>
      <c r="U14" s="4">
        <f t="shared" si="1"/>
        <v>5</v>
      </c>
      <c r="V14" s="10">
        <v>5</v>
      </c>
      <c r="X14" s="10">
        <v>5</v>
      </c>
      <c r="Y14" s="10">
        <v>5</v>
      </c>
      <c r="Z14" s="10">
        <v>5</v>
      </c>
      <c r="AA14" s="10">
        <v>5</v>
      </c>
      <c r="AD14" s="10">
        <v>5</v>
      </c>
      <c r="AE14" s="10">
        <v>5</v>
      </c>
    </row>
    <row r="15" spans="2:31" x14ac:dyDescent="0.3">
      <c r="B15" s="94"/>
      <c r="C15" s="87"/>
      <c r="D15" s="92" t="s">
        <v>31</v>
      </c>
      <c r="E15" s="87"/>
      <c r="F15" s="9" t="s">
        <v>2</v>
      </c>
      <c r="G15" s="10">
        <v>5</v>
      </c>
      <c r="H15" s="10">
        <v>5</v>
      </c>
      <c r="I15" s="10">
        <v>4</v>
      </c>
      <c r="J15" s="10">
        <v>5</v>
      </c>
      <c r="K15" s="10">
        <v>5</v>
      </c>
      <c r="L15" s="10">
        <v>5</v>
      </c>
      <c r="M15" s="10">
        <v>5</v>
      </c>
      <c r="N15" s="10">
        <v>5</v>
      </c>
      <c r="O15" s="10">
        <v>5</v>
      </c>
      <c r="P15" s="10">
        <v>5</v>
      </c>
      <c r="Q15" s="10">
        <v>5</v>
      </c>
      <c r="R15" s="10">
        <v>5</v>
      </c>
      <c r="T15" s="4">
        <f t="shared" si="0"/>
        <v>5</v>
      </c>
      <c r="U15" s="4">
        <f t="shared" si="1"/>
        <v>4.916666666666667</v>
      </c>
      <c r="V15" s="10">
        <v>5</v>
      </c>
      <c r="X15" s="10">
        <v>5</v>
      </c>
      <c r="Y15" s="10">
        <v>5</v>
      </c>
      <c r="Z15" s="10">
        <v>5</v>
      </c>
      <c r="AA15" s="10">
        <v>5</v>
      </c>
      <c r="AD15" s="10">
        <v>5</v>
      </c>
      <c r="AE15" s="10">
        <v>5</v>
      </c>
    </row>
    <row r="16" spans="2:31" x14ac:dyDescent="0.3">
      <c r="B16" s="94"/>
      <c r="C16" s="87"/>
      <c r="D16" s="93"/>
      <c r="E16" s="89"/>
      <c r="F16" s="9" t="s">
        <v>3</v>
      </c>
      <c r="G16" s="10">
        <v>5</v>
      </c>
      <c r="H16" s="10">
        <v>5</v>
      </c>
      <c r="I16" s="10">
        <v>5</v>
      </c>
      <c r="J16" s="10">
        <v>5</v>
      </c>
      <c r="K16" s="10">
        <v>5</v>
      </c>
      <c r="L16" s="10">
        <v>5</v>
      </c>
      <c r="M16" s="10">
        <v>5</v>
      </c>
      <c r="N16" s="10">
        <v>5</v>
      </c>
      <c r="O16" s="10">
        <v>5</v>
      </c>
      <c r="P16" s="10">
        <v>5</v>
      </c>
      <c r="Q16" s="10">
        <v>5</v>
      </c>
      <c r="R16" s="10">
        <v>5</v>
      </c>
      <c r="T16" s="4">
        <f t="shared" si="0"/>
        <v>5</v>
      </c>
      <c r="U16" s="4">
        <f t="shared" si="1"/>
        <v>5</v>
      </c>
      <c r="V16" s="10">
        <v>5</v>
      </c>
      <c r="X16" s="10">
        <v>5</v>
      </c>
      <c r="Y16" s="10">
        <v>5</v>
      </c>
      <c r="Z16" s="10">
        <v>5</v>
      </c>
      <c r="AA16" s="10">
        <v>5</v>
      </c>
      <c r="AD16" s="10">
        <v>5</v>
      </c>
      <c r="AE16" s="10">
        <v>5</v>
      </c>
    </row>
    <row r="17" spans="2:31" x14ac:dyDescent="0.3">
      <c r="B17" s="94"/>
      <c r="C17" s="87"/>
      <c r="D17" s="92" t="s">
        <v>29</v>
      </c>
      <c r="E17" s="87"/>
      <c r="F17" s="9" t="s">
        <v>2</v>
      </c>
      <c r="G17" s="10">
        <v>8</v>
      </c>
      <c r="H17" s="10">
        <v>8</v>
      </c>
      <c r="I17" s="10">
        <v>9</v>
      </c>
      <c r="J17" s="10">
        <v>9</v>
      </c>
      <c r="K17" s="10">
        <v>9</v>
      </c>
      <c r="L17" s="10">
        <v>9</v>
      </c>
      <c r="M17" s="10">
        <v>9</v>
      </c>
      <c r="N17" s="10">
        <v>9</v>
      </c>
      <c r="O17" s="10">
        <v>9</v>
      </c>
      <c r="P17" s="10">
        <v>9</v>
      </c>
      <c r="Q17" s="10">
        <v>9</v>
      </c>
      <c r="R17" s="10">
        <v>9</v>
      </c>
      <c r="T17" s="4">
        <f t="shared" si="0"/>
        <v>9</v>
      </c>
      <c r="U17" s="4">
        <f t="shared" si="1"/>
        <v>8.8333333333333339</v>
      </c>
      <c r="V17" s="10">
        <v>9</v>
      </c>
      <c r="X17" s="10">
        <v>8</v>
      </c>
      <c r="Y17" s="10">
        <v>9</v>
      </c>
      <c r="Z17" s="10">
        <v>9</v>
      </c>
      <c r="AA17" s="10">
        <v>9</v>
      </c>
      <c r="AD17" s="10">
        <v>9</v>
      </c>
      <c r="AE17" s="10">
        <v>9</v>
      </c>
    </row>
    <row r="18" spans="2:31" x14ac:dyDescent="0.3">
      <c r="B18" s="93"/>
      <c r="C18" s="89"/>
      <c r="D18" s="93"/>
      <c r="E18" s="89"/>
      <c r="F18" s="9" t="s">
        <v>3</v>
      </c>
      <c r="G18" s="10">
        <v>10</v>
      </c>
      <c r="H18" s="10">
        <v>10</v>
      </c>
      <c r="I18" s="10">
        <v>10</v>
      </c>
      <c r="J18" s="10">
        <v>10</v>
      </c>
      <c r="K18" s="10">
        <v>10</v>
      </c>
      <c r="L18" s="10">
        <v>10</v>
      </c>
      <c r="M18" s="10">
        <v>10</v>
      </c>
      <c r="N18" s="10">
        <v>10</v>
      </c>
      <c r="O18" s="10">
        <v>10</v>
      </c>
      <c r="P18" s="10">
        <v>10</v>
      </c>
      <c r="Q18" s="10">
        <v>10</v>
      </c>
      <c r="R18" s="10">
        <v>10</v>
      </c>
      <c r="T18" s="4">
        <f t="shared" si="0"/>
        <v>10</v>
      </c>
      <c r="U18" s="4">
        <f t="shared" si="1"/>
        <v>10</v>
      </c>
      <c r="V18" s="10">
        <v>10</v>
      </c>
      <c r="X18" s="10">
        <v>10</v>
      </c>
      <c r="Y18" s="10">
        <v>10</v>
      </c>
      <c r="Z18" s="10">
        <v>10</v>
      </c>
      <c r="AA18" s="10">
        <v>10</v>
      </c>
      <c r="AD18" s="10">
        <v>10</v>
      </c>
      <c r="AE18" s="10">
        <v>10</v>
      </c>
    </row>
    <row r="19" spans="2:31" x14ac:dyDescent="0.3">
      <c r="B19" s="92" t="s">
        <v>32</v>
      </c>
      <c r="C19" s="87"/>
      <c r="D19" s="92" t="s">
        <v>33</v>
      </c>
      <c r="E19" s="87"/>
      <c r="F19" s="9" t="s">
        <v>2</v>
      </c>
      <c r="G19" s="10">
        <v>3</v>
      </c>
      <c r="H19" s="10">
        <v>3</v>
      </c>
      <c r="I19" s="10">
        <v>3</v>
      </c>
      <c r="J19" s="10">
        <v>3</v>
      </c>
      <c r="K19" s="10">
        <v>3</v>
      </c>
      <c r="L19" s="10">
        <v>3</v>
      </c>
      <c r="M19" s="10">
        <v>3</v>
      </c>
      <c r="N19" s="10">
        <v>3</v>
      </c>
      <c r="O19" s="10">
        <v>2</v>
      </c>
      <c r="P19" s="10">
        <v>0</v>
      </c>
      <c r="Q19" s="10">
        <v>0</v>
      </c>
      <c r="R19" s="10">
        <v>0</v>
      </c>
      <c r="T19" s="4">
        <f t="shared" si="0"/>
        <v>0</v>
      </c>
      <c r="U19" s="4">
        <f t="shared" si="1"/>
        <v>2.1666666666666665</v>
      </c>
      <c r="V19" s="10">
        <v>2</v>
      </c>
      <c r="X19" s="10">
        <v>3</v>
      </c>
      <c r="Y19" s="10">
        <v>3</v>
      </c>
      <c r="Z19" s="10">
        <v>3</v>
      </c>
      <c r="AA19" s="10">
        <v>0</v>
      </c>
      <c r="AD19" s="10">
        <v>0</v>
      </c>
      <c r="AE19" s="10">
        <v>3</v>
      </c>
    </row>
    <row r="20" spans="2:31" x14ac:dyDescent="0.3">
      <c r="B20" s="94"/>
      <c r="C20" s="87"/>
      <c r="D20" s="93"/>
      <c r="E20" s="89"/>
      <c r="F20" s="9" t="s">
        <v>3</v>
      </c>
      <c r="G20" s="10">
        <v>5</v>
      </c>
      <c r="H20" s="10">
        <v>5</v>
      </c>
      <c r="I20" s="10">
        <v>5</v>
      </c>
      <c r="J20" s="10">
        <v>5</v>
      </c>
      <c r="K20" s="10">
        <v>5</v>
      </c>
      <c r="L20" s="10">
        <v>5</v>
      </c>
      <c r="M20" s="10">
        <v>5</v>
      </c>
      <c r="N20" s="10">
        <v>5</v>
      </c>
      <c r="O20" s="10">
        <v>5</v>
      </c>
      <c r="P20" s="10">
        <v>5</v>
      </c>
      <c r="Q20" s="10">
        <v>5</v>
      </c>
      <c r="R20" s="10">
        <v>5</v>
      </c>
      <c r="T20" s="4">
        <f t="shared" si="0"/>
        <v>5</v>
      </c>
      <c r="U20" s="4">
        <f t="shared" si="1"/>
        <v>5</v>
      </c>
      <c r="V20" s="10">
        <v>5</v>
      </c>
      <c r="X20" s="10">
        <v>5</v>
      </c>
      <c r="Y20" s="10">
        <v>5</v>
      </c>
      <c r="Z20" s="10">
        <v>5</v>
      </c>
      <c r="AA20" s="10">
        <v>5</v>
      </c>
      <c r="AD20" s="10">
        <v>5</v>
      </c>
      <c r="AE20" s="10">
        <v>5</v>
      </c>
    </row>
    <row r="21" spans="2:31" x14ac:dyDescent="0.3">
      <c r="B21" s="94"/>
      <c r="C21" s="87"/>
      <c r="D21" s="92" t="s">
        <v>34</v>
      </c>
      <c r="E21" s="87"/>
      <c r="F21" s="9" t="s">
        <v>2</v>
      </c>
      <c r="G21" s="10">
        <v>13</v>
      </c>
      <c r="H21" s="10">
        <v>13</v>
      </c>
      <c r="I21" s="10">
        <v>13</v>
      </c>
      <c r="J21" s="10">
        <v>13</v>
      </c>
      <c r="K21" s="10">
        <v>13</v>
      </c>
      <c r="L21" s="10">
        <v>13</v>
      </c>
      <c r="M21" s="10">
        <v>13</v>
      </c>
      <c r="N21" s="10">
        <v>12</v>
      </c>
      <c r="O21" s="10">
        <v>12</v>
      </c>
      <c r="P21" s="10">
        <v>11</v>
      </c>
      <c r="Q21" s="10">
        <v>11</v>
      </c>
      <c r="R21" s="10">
        <v>12</v>
      </c>
      <c r="T21" s="4">
        <f t="shared" si="0"/>
        <v>12</v>
      </c>
      <c r="U21" s="4">
        <f t="shared" si="1"/>
        <v>12.416666666666666</v>
      </c>
      <c r="V21" s="10">
        <v>12</v>
      </c>
      <c r="X21" s="10">
        <v>13</v>
      </c>
      <c r="Y21" s="10">
        <v>13</v>
      </c>
      <c r="Z21" s="10">
        <v>12</v>
      </c>
      <c r="AA21" s="10">
        <v>11</v>
      </c>
      <c r="AD21" s="10">
        <v>12</v>
      </c>
      <c r="AE21" s="10">
        <v>12</v>
      </c>
    </row>
    <row r="22" spans="2:31" x14ac:dyDescent="0.3">
      <c r="B22" s="94"/>
      <c r="C22" s="87"/>
      <c r="D22" s="93"/>
      <c r="E22" s="89"/>
      <c r="F22" s="9" t="s">
        <v>3</v>
      </c>
      <c r="G22" s="10">
        <v>13</v>
      </c>
      <c r="H22" s="10">
        <v>13</v>
      </c>
      <c r="I22" s="10">
        <v>13</v>
      </c>
      <c r="J22" s="10">
        <v>13</v>
      </c>
      <c r="K22" s="10">
        <v>13</v>
      </c>
      <c r="L22" s="10">
        <v>13</v>
      </c>
      <c r="M22" s="10">
        <v>13</v>
      </c>
      <c r="N22" s="10">
        <v>13</v>
      </c>
      <c r="O22" s="10">
        <v>13</v>
      </c>
      <c r="P22" s="10">
        <v>13</v>
      </c>
      <c r="Q22" s="10">
        <v>13</v>
      </c>
      <c r="R22" s="10">
        <v>13</v>
      </c>
      <c r="T22" s="4">
        <f t="shared" si="0"/>
        <v>13</v>
      </c>
      <c r="U22" s="4">
        <f t="shared" si="1"/>
        <v>13</v>
      </c>
      <c r="V22" s="10">
        <v>13</v>
      </c>
      <c r="X22" s="10">
        <v>13</v>
      </c>
      <c r="Y22" s="10">
        <v>13</v>
      </c>
      <c r="Z22" s="10">
        <v>13</v>
      </c>
      <c r="AA22" s="10">
        <v>13</v>
      </c>
      <c r="AD22" s="10">
        <v>13</v>
      </c>
      <c r="AE22" s="10">
        <v>13</v>
      </c>
    </row>
    <row r="23" spans="2:31" x14ac:dyDescent="0.3">
      <c r="B23" s="94"/>
      <c r="C23" s="87"/>
      <c r="D23" s="92" t="s">
        <v>35</v>
      </c>
      <c r="E23" s="87"/>
      <c r="F23" s="9" t="s">
        <v>2</v>
      </c>
      <c r="G23" s="10">
        <v>19</v>
      </c>
      <c r="H23" s="10">
        <v>18</v>
      </c>
      <c r="I23" s="10">
        <v>17</v>
      </c>
      <c r="J23" s="10">
        <v>17</v>
      </c>
      <c r="K23" s="10">
        <v>19</v>
      </c>
      <c r="L23" s="10">
        <v>19</v>
      </c>
      <c r="M23" s="10">
        <v>19</v>
      </c>
      <c r="N23" s="10">
        <v>19</v>
      </c>
      <c r="O23" s="10">
        <v>19</v>
      </c>
      <c r="P23" s="10">
        <v>19</v>
      </c>
      <c r="Q23" s="10">
        <v>19</v>
      </c>
      <c r="R23" s="10">
        <v>19</v>
      </c>
      <c r="T23" s="4">
        <f t="shared" si="0"/>
        <v>19</v>
      </c>
      <c r="U23" s="4">
        <f t="shared" si="1"/>
        <v>18.583333333333332</v>
      </c>
      <c r="V23" s="10">
        <v>19</v>
      </c>
      <c r="X23" s="10">
        <v>18</v>
      </c>
      <c r="Y23" s="10">
        <v>18</v>
      </c>
      <c r="Z23" s="10">
        <v>19</v>
      </c>
      <c r="AA23" s="10">
        <v>19</v>
      </c>
      <c r="AD23" s="10">
        <v>19</v>
      </c>
      <c r="AE23" s="10">
        <v>19</v>
      </c>
    </row>
    <row r="24" spans="2:31" x14ac:dyDescent="0.3">
      <c r="B24" s="94"/>
      <c r="C24" s="87"/>
      <c r="D24" s="93"/>
      <c r="E24" s="89"/>
      <c r="F24" s="9" t="s">
        <v>3</v>
      </c>
      <c r="G24" s="10">
        <v>20</v>
      </c>
      <c r="H24" s="10">
        <v>20</v>
      </c>
      <c r="I24" s="10">
        <v>20</v>
      </c>
      <c r="J24" s="10">
        <v>20</v>
      </c>
      <c r="K24" s="10">
        <v>20</v>
      </c>
      <c r="L24" s="10">
        <v>20</v>
      </c>
      <c r="M24" s="10">
        <v>20</v>
      </c>
      <c r="N24" s="10">
        <v>20</v>
      </c>
      <c r="O24" s="10">
        <v>20</v>
      </c>
      <c r="P24" s="10">
        <v>20</v>
      </c>
      <c r="Q24" s="10">
        <v>20</v>
      </c>
      <c r="R24" s="10">
        <v>20</v>
      </c>
      <c r="T24" s="4">
        <f t="shared" si="0"/>
        <v>20</v>
      </c>
      <c r="U24" s="4">
        <f t="shared" si="1"/>
        <v>20</v>
      </c>
      <c r="V24" s="10">
        <v>20</v>
      </c>
      <c r="X24" s="10">
        <v>20</v>
      </c>
      <c r="Y24" s="10">
        <v>20</v>
      </c>
      <c r="Z24" s="10">
        <v>20</v>
      </c>
      <c r="AA24" s="10">
        <v>20</v>
      </c>
      <c r="AD24" s="10">
        <v>20</v>
      </c>
      <c r="AE24" s="10">
        <v>20</v>
      </c>
    </row>
    <row r="25" spans="2:31" x14ac:dyDescent="0.3">
      <c r="B25" s="94"/>
      <c r="C25" s="87"/>
      <c r="D25" s="92" t="s">
        <v>36</v>
      </c>
      <c r="E25" s="87"/>
      <c r="F25" s="9" t="s">
        <v>2</v>
      </c>
      <c r="G25" s="10">
        <v>8</v>
      </c>
      <c r="H25" s="10">
        <v>8</v>
      </c>
      <c r="I25" s="10">
        <v>8</v>
      </c>
      <c r="J25" s="10">
        <v>8</v>
      </c>
      <c r="K25" s="10">
        <v>8</v>
      </c>
      <c r="L25" s="10">
        <v>8</v>
      </c>
      <c r="M25" s="10">
        <v>8</v>
      </c>
      <c r="N25" s="10">
        <v>7</v>
      </c>
      <c r="O25" s="10">
        <v>7</v>
      </c>
      <c r="P25" s="10">
        <v>7</v>
      </c>
      <c r="Q25" s="10">
        <v>7</v>
      </c>
      <c r="R25" s="10">
        <v>7</v>
      </c>
      <c r="T25" s="4">
        <f t="shared" si="0"/>
        <v>7</v>
      </c>
      <c r="U25" s="4">
        <f t="shared" si="1"/>
        <v>7.583333333333333</v>
      </c>
      <c r="V25" s="10">
        <v>8</v>
      </c>
      <c r="X25" s="10">
        <v>8</v>
      </c>
      <c r="Y25" s="10">
        <v>8</v>
      </c>
      <c r="Z25" s="10">
        <v>7</v>
      </c>
      <c r="AA25" s="10">
        <v>7</v>
      </c>
      <c r="AD25" s="10">
        <v>7</v>
      </c>
      <c r="AE25" s="10">
        <v>8</v>
      </c>
    </row>
    <row r="26" spans="2:31" x14ac:dyDescent="0.3">
      <c r="B26" s="94"/>
      <c r="C26" s="87"/>
      <c r="D26" s="93"/>
      <c r="E26" s="89"/>
      <c r="F26" s="9" t="s">
        <v>3</v>
      </c>
      <c r="G26" s="10">
        <v>8</v>
      </c>
      <c r="H26" s="10">
        <v>8</v>
      </c>
      <c r="I26" s="10">
        <v>8</v>
      </c>
      <c r="J26" s="10">
        <v>8</v>
      </c>
      <c r="K26" s="10">
        <v>8</v>
      </c>
      <c r="L26" s="10">
        <v>8</v>
      </c>
      <c r="M26" s="10">
        <v>8</v>
      </c>
      <c r="N26" s="10">
        <v>8</v>
      </c>
      <c r="O26" s="10">
        <v>8</v>
      </c>
      <c r="P26" s="10">
        <v>8</v>
      </c>
      <c r="Q26" s="10">
        <v>8</v>
      </c>
      <c r="R26" s="10">
        <v>8</v>
      </c>
      <c r="T26" s="4">
        <f t="shared" si="0"/>
        <v>8</v>
      </c>
      <c r="U26" s="4">
        <f t="shared" si="1"/>
        <v>8</v>
      </c>
      <c r="V26" s="10">
        <v>8</v>
      </c>
      <c r="X26" s="10">
        <v>8</v>
      </c>
      <c r="Y26" s="10">
        <v>8</v>
      </c>
      <c r="Z26" s="10">
        <v>8</v>
      </c>
      <c r="AA26" s="10">
        <v>8</v>
      </c>
      <c r="AD26" s="10">
        <v>8</v>
      </c>
      <c r="AE26" s="10">
        <v>8</v>
      </c>
    </row>
    <row r="27" spans="2:31" x14ac:dyDescent="0.3">
      <c r="B27" s="94"/>
      <c r="C27" s="87"/>
      <c r="D27" s="92" t="s">
        <v>37</v>
      </c>
      <c r="E27" s="87"/>
      <c r="F27" s="9" t="s">
        <v>2</v>
      </c>
      <c r="G27" s="10">
        <v>3</v>
      </c>
      <c r="H27" s="10">
        <v>3</v>
      </c>
      <c r="I27" s="10">
        <v>4</v>
      </c>
      <c r="J27" s="10">
        <v>4</v>
      </c>
      <c r="K27" s="10">
        <v>4</v>
      </c>
      <c r="L27" s="10">
        <v>4</v>
      </c>
      <c r="M27" s="10">
        <v>4</v>
      </c>
      <c r="N27" s="10">
        <v>4</v>
      </c>
      <c r="O27" s="10">
        <v>4</v>
      </c>
      <c r="P27" s="10">
        <v>6</v>
      </c>
      <c r="Q27" s="10">
        <v>7</v>
      </c>
      <c r="R27" s="10">
        <v>7</v>
      </c>
      <c r="T27" s="4">
        <f t="shared" si="0"/>
        <v>7</v>
      </c>
      <c r="U27" s="4">
        <f t="shared" si="1"/>
        <v>4.5</v>
      </c>
      <c r="V27" s="10">
        <v>5</v>
      </c>
      <c r="X27" s="10">
        <v>3</v>
      </c>
      <c r="Y27" s="10">
        <v>4</v>
      </c>
      <c r="Z27" s="10">
        <v>4</v>
      </c>
      <c r="AA27" s="10">
        <v>7</v>
      </c>
      <c r="AD27" s="10">
        <v>7</v>
      </c>
      <c r="AE27" s="10">
        <v>5</v>
      </c>
    </row>
    <row r="28" spans="2:31" x14ac:dyDescent="0.3">
      <c r="B28" s="93"/>
      <c r="C28" s="89"/>
      <c r="D28" s="93"/>
      <c r="E28" s="89"/>
      <c r="F28" s="9" t="s">
        <v>3</v>
      </c>
      <c r="G28" s="10">
        <v>3</v>
      </c>
      <c r="H28" s="10">
        <v>3</v>
      </c>
      <c r="I28" s="10">
        <v>3</v>
      </c>
      <c r="J28" s="10">
        <v>3</v>
      </c>
      <c r="K28" s="10">
        <v>3</v>
      </c>
      <c r="L28" s="10">
        <v>3</v>
      </c>
      <c r="M28" s="10">
        <v>3</v>
      </c>
      <c r="N28" s="10">
        <v>3</v>
      </c>
      <c r="O28" s="10">
        <v>3</v>
      </c>
      <c r="P28" s="10">
        <v>3</v>
      </c>
      <c r="Q28" s="10">
        <v>3</v>
      </c>
      <c r="R28" s="10">
        <v>3</v>
      </c>
      <c r="T28" s="4">
        <f t="shared" si="0"/>
        <v>3</v>
      </c>
      <c r="U28" s="4">
        <f t="shared" si="1"/>
        <v>3</v>
      </c>
      <c r="V28" s="10">
        <v>3</v>
      </c>
      <c r="X28" s="10">
        <v>3</v>
      </c>
      <c r="Y28" s="10">
        <v>3</v>
      </c>
      <c r="Z28" s="10">
        <v>3</v>
      </c>
      <c r="AA28" s="10">
        <v>3</v>
      </c>
      <c r="AD28" s="10">
        <v>3</v>
      </c>
      <c r="AE28" s="10">
        <v>3</v>
      </c>
    </row>
    <row r="29" spans="2:31" x14ac:dyDescent="0.3">
      <c r="B29" s="92" t="s">
        <v>38</v>
      </c>
      <c r="C29" s="87"/>
      <c r="D29" s="92" t="s">
        <v>39</v>
      </c>
      <c r="E29" s="87"/>
      <c r="F29" s="9" t="s">
        <v>2</v>
      </c>
      <c r="G29" s="10">
        <v>11</v>
      </c>
      <c r="H29" s="10">
        <v>11</v>
      </c>
      <c r="I29" s="10">
        <v>11</v>
      </c>
      <c r="J29" s="10">
        <v>11</v>
      </c>
      <c r="K29" s="10">
        <v>12</v>
      </c>
      <c r="L29" s="10">
        <v>11</v>
      </c>
      <c r="M29" s="10">
        <v>11</v>
      </c>
      <c r="N29" s="10">
        <v>12</v>
      </c>
      <c r="O29" s="10">
        <v>13</v>
      </c>
      <c r="P29" s="10">
        <v>14</v>
      </c>
      <c r="Q29" s="10">
        <v>14</v>
      </c>
      <c r="R29" s="10">
        <v>15</v>
      </c>
      <c r="T29" s="4">
        <f t="shared" si="0"/>
        <v>15</v>
      </c>
      <c r="U29" s="4">
        <f t="shared" si="1"/>
        <v>12.166666666666666</v>
      </c>
      <c r="V29" s="10">
        <v>12</v>
      </c>
      <c r="X29" s="10">
        <v>11</v>
      </c>
      <c r="Y29" s="10">
        <v>11</v>
      </c>
      <c r="Z29" s="10">
        <v>12</v>
      </c>
      <c r="AA29" s="10">
        <v>14</v>
      </c>
      <c r="AD29" s="10">
        <v>15</v>
      </c>
      <c r="AE29" s="10">
        <v>12</v>
      </c>
    </row>
    <row r="30" spans="2:31" x14ac:dyDescent="0.3">
      <c r="B30" s="94"/>
      <c r="C30" s="87"/>
      <c r="D30" s="93"/>
      <c r="E30" s="89"/>
      <c r="F30" s="9" t="s">
        <v>3</v>
      </c>
      <c r="G30" s="10">
        <v>14</v>
      </c>
      <c r="H30" s="10">
        <v>14</v>
      </c>
      <c r="I30" s="10">
        <v>14</v>
      </c>
      <c r="J30" s="10">
        <v>14</v>
      </c>
      <c r="K30" s="10">
        <v>14</v>
      </c>
      <c r="L30" s="10">
        <v>14</v>
      </c>
      <c r="M30" s="10">
        <v>14</v>
      </c>
      <c r="N30" s="10">
        <v>14</v>
      </c>
      <c r="O30" s="10">
        <v>14</v>
      </c>
      <c r="P30" s="10">
        <v>14</v>
      </c>
      <c r="Q30" s="10">
        <v>14</v>
      </c>
      <c r="R30" s="10">
        <v>14</v>
      </c>
      <c r="T30" s="4">
        <f t="shared" si="0"/>
        <v>14</v>
      </c>
      <c r="U30" s="4">
        <f t="shared" si="1"/>
        <v>14</v>
      </c>
      <c r="V30" s="10">
        <v>14</v>
      </c>
      <c r="X30" s="10">
        <v>14</v>
      </c>
      <c r="Y30" s="10">
        <v>14</v>
      </c>
      <c r="Z30" s="10">
        <v>14</v>
      </c>
      <c r="AA30" s="10">
        <v>14</v>
      </c>
      <c r="AD30" s="10">
        <v>14</v>
      </c>
      <c r="AE30" s="10">
        <v>14</v>
      </c>
    </row>
    <row r="31" spans="2:31" x14ac:dyDescent="0.3">
      <c r="B31" s="94"/>
      <c r="C31" s="87"/>
      <c r="D31" s="92" t="s">
        <v>40</v>
      </c>
      <c r="E31" s="87"/>
      <c r="F31" s="9" t="s">
        <v>2</v>
      </c>
      <c r="G31" s="10">
        <v>3</v>
      </c>
      <c r="H31" s="10">
        <v>3</v>
      </c>
      <c r="I31" s="10">
        <v>2</v>
      </c>
      <c r="J31" s="10">
        <v>2</v>
      </c>
      <c r="K31" s="10">
        <v>2</v>
      </c>
      <c r="L31" s="10">
        <v>2</v>
      </c>
      <c r="M31" s="10">
        <v>2</v>
      </c>
      <c r="N31" s="10">
        <v>2</v>
      </c>
      <c r="O31" s="10">
        <v>2</v>
      </c>
      <c r="P31" s="10">
        <v>2</v>
      </c>
      <c r="Q31" s="10">
        <v>2</v>
      </c>
      <c r="R31" s="10">
        <v>2</v>
      </c>
      <c r="T31" s="4">
        <f t="shared" si="0"/>
        <v>2</v>
      </c>
      <c r="U31" s="4">
        <f t="shared" si="1"/>
        <v>2.1666666666666665</v>
      </c>
      <c r="V31" s="10">
        <v>2</v>
      </c>
      <c r="X31" s="10">
        <v>3</v>
      </c>
      <c r="Y31" s="10">
        <v>2</v>
      </c>
      <c r="Z31" s="10">
        <v>2</v>
      </c>
      <c r="AA31" s="10">
        <v>2</v>
      </c>
      <c r="AD31" s="10">
        <v>2</v>
      </c>
      <c r="AE31" s="10">
        <v>2</v>
      </c>
    </row>
    <row r="32" spans="2:31" x14ac:dyDescent="0.3">
      <c r="B32" s="94"/>
      <c r="C32" s="87"/>
      <c r="D32" s="93"/>
      <c r="E32" s="89"/>
      <c r="F32" s="9" t="s">
        <v>3</v>
      </c>
      <c r="G32" s="10">
        <v>5</v>
      </c>
      <c r="H32" s="10">
        <v>5</v>
      </c>
      <c r="I32" s="10">
        <v>5</v>
      </c>
      <c r="J32" s="10">
        <v>5</v>
      </c>
      <c r="K32" s="10">
        <v>5</v>
      </c>
      <c r="L32" s="10">
        <v>5</v>
      </c>
      <c r="M32" s="10">
        <v>5</v>
      </c>
      <c r="N32" s="10">
        <v>5</v>
      </c>
      <c r="O32" s="10">
        <v>5</v>
      </c>
      <c r="P32" s="10">
        <v>5</v>
      </c>
      <c r="Q32" s="10">
        <v>5</v>
      </c>
      <c r="R32" s="10">
        <v>5</v>
      </c>
      <c r="T32" s="4">
        <f t="shared" si="0"/>
        <v>5</v>
      </c>
      <c r="U32" s="4">
        <f t="shared" si="1"/>
        <v>5</v>
      </c>
      <c r="V32" s="10">
        <v>5</v>
      </c>
      <c r="X32" s="10">
        <v>5</v>
      </c>
      <c r="Y32" s="10">
        <v>5</v>
      </c>
      <c r="Z32" s="10">
        <v>5</v>
      </c>
      <c r="AA32" s="10">
        <v>5</v>
      </c>
      <c r="AD32" s="10">
        <v>5</v>
      </c>
      <c r="AE32" s="10">
        <v>5</v>
      </c>
    </row>
    <row r="33" spans="2:31" x14ac:dyDescent="0.3">
      <c r="B33" s="94"/>
      <c r="C33" s="87"/>
      <c r="D33" s="92" t="s">
        <v>41</v>
      </c>
      <c r="E33" s="87"/>
      <c r="F33" s="9" t="s">
        <v>2</v>
      </c>
      <c r="G33" s="10">
        <v>8</v>
      </c>
      <c r="H33" s="10">
        <v>8</v>
      </c>
      <c r="I33" s="10">
        <v>7</v>
      </c>
      <c r="J33" s="10">
        <v>7</v>
      </c>
      <c r="K33" s="10">
        <v>7</v>
      </c>
      <c r="L33" s="10">
        <v>9</v>
      </c>
      <c r="M33" s="10">
        <v>10</v>
      </c>
      <c r="N33" s="10">
        <v>11</v>
      </c>
      <c r="O33" s="10">
        <v>11</v>
      </c>
      <c r="P33" s="10">
        <v>11</v>
      </c>
      <c r="Q33" s="10">
        <v>12</v>
      </c>
      <c r="R33" s="10">
        <v>11</v>
      </c>
      <c r="T33" s="4">
        <f t="shared" si="0"/>
        <v>11</v>
      </c>
      <c r="U33" s="4">
        <f t="shared" si="1"/>
        <v>9.3333333333333339</v>
      </c>
      <c r="V33" s="10">
        <v>9</v>
      </c>
      <c r="X33" s="10">
        <v>8</v>
      </c>
      <c r="Y33" s="10">
        <v>8</v>
      </c>
      <c r="Z33" s="10">
        <v>11</v>
      </c>
      <c r="AA33" s="10">
        <v>11</v>
      </c>
      <c r="AD33" s="10">
        <v>11</v>
      </c>
      <c r="AE33" s="10">
        <v>9</v>
      </c>
    </row>
    <row r="34" spans="2:31" x14ac:dyDescent="0.3">
      <c r="B34" s="93"/>
      <c r="C34" s="89"/>
      <c r="D34" s="93"/>
      <c r="E34" s="89"/>
      <c r="F34" s="9" t="s">
        <v>3</v>
      </c>
      <c r="G34" s="10">
        <v>8</v>
      </c>
      <c r="H34" s="10">
        <v>8</v>
      </c>
      <c r="I34" s="10">
        <v>8</v>
      </c>
      <c r="J34" s="10">
        <v>8</v>
      </c>
      <c r="K34" s="10">
        <v>8</v>
      </c>
      <c r="L34" s="10">
        <v>8</v>
      </c>
      <c r="M34" s="10">
        <v>8</v>
      </c>
      <c r="N34" s="10">
        <v>8</v>
      </c>
      <c r="O34" s="10">
        <v>8</v>
      </c>
      <c r="P34" s="10">
        <v>8</v>
      </c>
      <c r="Q34" s="10">
        <v>8</v>
      </c>
      <c r="R34" s="10">
        <v>8</v>
      </c>
      <c r="T34" s="4">
        <f t="shared" si="0"/>
        <v>8</v>
      </c>
      <c r="U34" s="4">
        <f t="shared" si="1"/>
        <v>8</v>
      </c>
      <c r="V34" s="10">
        <v>8</v>
      </c>
      <c r="X34" s="10">
        <v>8</v>
      </c>
      <c r="Y34" s="10">
        <v>8</v>
      </c>
      <c r="Z34" s="10">
        <v>8</v>
      </c>
      <c r="AA34" s="10">
        <v>8</v>
      </c>
      <c r="AD34" s="10">
        <v>8</v>
      </c>
      <c r="AE34" s="10">
        <v>8</v>
      </c>
    </row>
    <row r="35" spans="2:31" x14ac:dyDescent="0.3">
      <c r="B35" s="92" t="s">
        <v>42</v>
      </c>
      <c r="C35" s="87"/>
      <c r="D35" s="92" t="s">
        <v>43</v>
      </c>
      <c r="E35" s="87"/>
      <c r="F35" s="9" t="s">
        <v>2</v>
      </c>
      <c r="G35" s="10">
        <v>2</v>
      </c>
      <c r="H35" s="10">
        <v>2</v>
      </c>
      <c r="I35" s="10">
        <v>2</v>
      </c>
      <c r="J35" s="10">
        <v>2</v>
      </c>
      <c r="K35" s="10">
        <v>2</v>
      </c>
      <c r="L35" s="10">
        <v>2</v>
      </c>
      <c r="M35" s="10">
        <v>2</v>
      </c>
      <c r="N35" s="10">
        <v>2</v>
      </c>
      <c r="O35" s="10">
        <v>2</v>
      </c>
      <c r="P35" s="10">
        <v>2</v>
      </c>
      <c r="Q35" s="10">
        <v>2</v>
      </c>
      <c r="R35" s="10">
        <v>2</v>
      </c>
      <c r="T35" s="4">
        <f t="shared" si="0"/>
        <v>2</v>
      </c>
      <c r="U35" s="4">
        <f t="shared" si="1"/>
        <v>2</v>
      </c>
      <c r="V35" s="10">
        <v>2</v>
      </c>
      <c r="X35" s="10">
        <v>2</v>
      </c>
      <c r="Y35" s="10">
        <v>2</v>
      </c>
      <c r="Z35" s="10">
        <v>2</v>
      </c>
      <c r="AA35" s="10">
        <v>2</v>
      </c>
      <c r="AD35" s="10">
        <v>2</v>
      </c>
      <c r="AE35" s="10">
        <v>2</v>
      </c>
    </row>
    <row r="36" spans="2:31" x14ac:dyDescent="0.3">
      <c r="B36" s="94"/>
      <c r="C36" s="87"/>
      <c r="D36" s="93"/>
      <c r="E36" s="89"/>
      <c r="F36" s="9" t="s">
        <v>3</v>
      </c>
      <c r="G36" s="10">
        <v>3</v>
      </c>
      <c r="H36" s="10">
        <v>3</v>
      </c>
      <c r="I36" s="10">
        <v>3</v>
      </c>
      <c r="J36" s="10">
        <v>3</v>
      </c>
      <c r="K36" s="10">
        <v>3</v>
      </c>
      <c r="L36" s="10">
        <v>3</v>
      </c>
      <c r="M36" s="10">
        <v>3</v>
      </c>
      <c r="N36" s="10">
        <v>3</v>
      </c>
      <c r="O36" s="10">
        <v>3</v>
      </c>
      <c r="P36" s="10">
        <v>3</v>
      </c>
      <c r="Q36" s="10">
        <v>3</v>
      </c>
      <c r="R36" s="10">
        <v>3</v>
      </c>
      <c r="T36" s="4">
        <f t="shared" si="0"/>
        <v>3</v>
      </c>
      <c r="U36" s="4">
        <f t="shared" si="1"/>
        <v>3</v>
      </c>
      <c r="V36" s="10">
        <v>3</v>
      </c>
      <c r="X36" s="10">
        <v>3</v>
      </c>
      <c r="Y36" s="10">
        <v>3</v>
      </c>
      <c r="Z36" s="10">
        <v>3</v>
      </c>
      <c r="AA36" s="10">
        <v>3</v>
      </c>
      <c r="AD36" s="10">
        <v>3</v>
      </c>
      <c r="AE36" s="10">
        <v>3</v>
      </c>
    </row>
    <row r="37" spans="2:31" x14ac:dyDescent="0.3">
      <c r="B37" s="94"/>
      <c r="C37" s="87"/>
      <c r="D37" s="92" t="s">
        <v>44</v>
      </c>
      <c r="E37" s="87"/>
      <c r="F37" s="9" t="s">
        <v>2</v>
      </c>
      <c r="G37" s="10">
        <v>9</v>
      </c>
      <c r="H37" s="10">
        <v>9</v>
      </c>
      <c r="I37" s="10">
        <v>9</v>
      </c>
      <c r="J37" s="10">
        <v>9</v>
      </c>
      <c r="K37" s="10">
        <v>9</v>
      </c>
      <c r="L37" s="10">
        <v>9</v>
      </c>
      <c r="M37" s="10">
        <v>9</v>
      </c>
      <c r="N37" s="10">
        <v>9</v>
      </c>
      <c r="O37" s="10">
        <v>9</v>
      </c>
      <c r="P37" s="10">
        <v>9</v>
      </c>
      <c r="Q37" s="10">
        <v>9</v>
      </c>
      <c r="R37" s="10">
        <v>9</v>
      </c>
      <c r="T37" s="4">
        <f t="shared" si="0"/>
        <v>9</v>
      </c>
      <c r="U37" s="4">
        <f t="shared" si="1"/>
        <v>9</v>
      </c>
      <c r="V37" s="10">
        <v>9</v>
      </c>
      <c r="X37" s="10">
        <v>9</v>
      </c>
      <c r="Y37" s="10">
        <v>9</v>
      </c>
      <c r="Z37" s="10">
        <v>9</v>
      </c>
      <c r="AA37" s="10">
        <v>9</v>
      </c>
      <c r="AD37" s="10">
        <v>9</v>
      </c>
      <c r="AE37" s="10">
        <v>9</v>
      </c>
    </row>
    <row r="38" spans="2:31" x14ac:dyDescent="0.3">
      <c r="B38" s="94"/>
      <c r="C38" s="87"/>
      <c r="D38" s="93"/>
      <c r="E38" s="89"/>
      <c r="F38" s="9" t="s">
        <v>3</v>
      </c>
      <c r="G38" s="10">
        <v>9</v>
      </c>
      <c r="H38" s="10">
        <v>9</v>
      </c>
      <c r="I38" s="10">
        <v>9</v>
      </c>
      <c r="J38" s="10">
        <v>9</v>
      </c>
      <c r="K38" s="10">
        <v>9</v>
      </c>
      <c r="L38" s="10">
        <v>9</v>
      </c>
      <c r="M38" s="10">
        <v>9</v>
      </c>
      <c r="N38" s="10">
        <v>9</v>
      </c>
      <c r="O38" s="10">
        <v>9</v>
      </c>
      <c r="P38" s="10">
        <v>9</v>
      </c>
      <c r="Q38" s="10">
        <v>9</v>
      </c>
      <c r="R38" s="10">
        <v>9</v>
      </c>
      <c r="T38" s="4">
        <f t="shared" si="0"/>
        <v>9</v>
      </c>
      <c r="U38" s="4">
        <f t="shared" si="1"/>
        <v>9</v>
      </c>
      <c r="V38" s="10">
        <v>9</v>
      </c>
      <c r="X38" s="10">
        <v>9</v>
      </c>
      <c r="Y38" s="10">
        <v>9</v>
      </c>
      <c r="Z38" s="10">
        <v>9</v>
      </c>
      <c r="AA38" s="10">
        <v>9</v>
      </c>
      <c r="AD38" s="10">
        <v>9</v>
      </c>
      <c r="AE38" s="10">
        <v>9</v>
      </c>
    </row>
    <row r="39" spans="2:31" x14ac:dyDescent="0.3">
      <c r="B39" s="94"/>
      <c r="C39" s="87"/>
      <c r="D39" s="92" t="s">
        <v>42</v>
      </c>
      <c r="E39" s="87"/>
      <c r="F39" s="9" t="s">
        <v>2</v>
      </c>
      <c r="G39" s="10">
        <v>11</v>
      </c>
      <c r="H39" s="10">
        <v>11</v>
      </c>
      <c r="I39" s="10">
        <v>11</v>
      </c>
      <c r="J39" s="10">
        <v>11</v>
      </c>
      <c r="K39" s="10">
        <v>10</v>
      </c>
      <c r="L39" s="10">
        <v>10</v>
      </c>
      <c r="M39" s="10">
        <v>10</v>
      </c>
      <c r="N39" s="10">
        <v>10</v>
      </c>
      <c r="O39" s="10">
        <v>10</v>
      </c>
      <c r="P39" s="10">
        <v>10</v>
      </c>
      <c r="Q39" s="10">
        <v>10</v>
      </c>
      <c r="R39" s="10">
        <v>10</v>
      </c>
      <c r="T39" s="4">
        <f t="shared" si="0"/>
        <v>10</v>
      </c>
      <c r="U39" s="4">
        <f t="shared" si="1"/>
        <v>10.333333333333334</v>
      </c>
      <c r="V39" s="10">
        <v>10</v>
      </c>
      <c r="X39" s="10">
        <v>11</v>
      </c>
      <c r="Y39" s="10">
        <v>10</v>
      </c>
      <c r="Z39" s="10">
        <v>10</v>
      </c>
      <c r="AA39" s="10">
        <v>10</v>
      </c>
      <c r="AD39" s="10">
        <v>10</v>
      </c>
      <c r="AE39" s="10">
        <v>10</v>
      </c>
    </row>
    <row r="40" spans="2:31" x14ac:dyDescent="0.3">
      <c r="B40" s="93"/>
      <c r="C40" s="89"/>
      <c r="D40" s="93"/>
      <c r="E40" s="89"/>
      <c r="F40" s="9" t="s">
        <v>3</v>
      </c>
      <c r="G40" s="10">
        <v>10</v>
      </c>
      <c r="H40" s="10">
        <v>10</v>
      </c>
      <c r="I40" s="10">
        <v>10</v>
      </c>
      <c r="J40" s="10">
        <v>10</v>
      </c>
      <c r="K40" s="10">
        <v>10</v>
      </c>
      <c r="L40" s="10">
        <v>10</v>
      </c>
      <c r="M40" s="10">
        <v>10</v>
      </c>
      <c r="N40" s="10">
        <v>10</v>
      </c>
      <c r="O40" s="10">
        <v>10</v>
      </c>
      <c r="P40" s="10">
        <v>10</v>
      </c>
      <c r="Q40" s="10">
        <v>10</v>
      </c>
      <c r="R40" s="10">
        <v>10</v>
      </c>
      <c r="T40" s="4">
        <f t="shared" si="0"/>
        <v>10</v>
      </c>
      <c r="U40" s="4">
        <f t="shared" si="1"/>
        <v>10</v>
      </c>
      <c r="V40" s="10">
        <v>10</v>
      </c>
      <c r="X40" s="10">
        <v>10</v>
      </c>
      <c r="Y40" s="10">
        <v>10</v>
      </c>
      <c r="Z40" s="10">
        <v>10</v>
      </c>
      <c r="AA40" s="10">
        <v>10</v>
      </c>
      <c r="AD40" s="10">
        <v>10</v>
      </c>
      <c r="AE40" s="10">
        <v>10</v>
      </c>
    </row>
    <row r="41" spans="2:31" x14ac:dyDescent="0.3">
      <c r="B41" s="92" t="s">
        <v>45</v>
      </c>
      <c r="C41" s="87"/>
      <c r="D41" s="92" t="s">
        <v>46</v>
      </c>
      <c r="E41" s="87"/>
      <c r="F41" s="9" t="s">
        <v>2</v>
      </c>
      <c r="G41" s="10">
        <v>8</v>
      </c>
      <c r="H41" s="10">
        <v>8</v>
      </c>
      <c r="I41" s="10">
        <v>8</v>
      </c>
      <c r="J41" s="10">
        <v>8</v>
      </c>
      <c r="K41" s="10">
        <v>8</v>
      </c>
      <c r="L41" s="10">
        <v>8</v>
      </c>
      <c r="M41" s="10">
        <v>8</v>
      </c>
      <c r="N41" s="10">
        <v>8</v>
      </c>
      <c r="O41" s="10">
        <v>8</v>
      </c>
      <c r="P41" s="10">
        <v>8</v>
      </c>
      <c r="Q41" s="10">
        <v>8</v>
      </c>
      <c r="R41" s="10">
        <v>8</v>
      </c>
      <c r="T41" s="4">
        <f t="shared" si="0"/>
        <v>8</v>
      </c>
      <c r="U41" s="4">
        <f t="shared" si="1"/>
        <v>8</v>
      </c>
      <c r="V41" s="10">
        <v>8</v>
      </c>
      <c r="X41" s="10">
        <v>8</v>
      </c>
      <c r="Y41" s="10">
        <v>8</v>
      </c>
      <c r="Z41" s="10">
        <v>8</v>
      </c>
      <c r="AA41" s="10">
        <v>8</v>
      </c>
      <c r="AD41" s="10">
        <v>8</v>
      </c>
      <c r="AE41" s="10">
        <v>8</v>
      </c>
    </row>
    <row r="42" spans="2:31" x14ac:dyDescent="0.3">
      <c r="B42" s="94"/>
      <c r="C42" s="87"/>
      <c r="D42" s="93"/>
      <c r="E42" s="89"/>
      <c r="F42" s="9" t="s">
        <v>3</v>
      </c>
      <c r="G42" s="10">
        <v>8</v>
      </c>
      <c r="H42" s="10">
        <v>8</v>
      </c>
      <c r="I42" s="10">
        <v>8</v>
      </c>
      <c r="J42" s="10">
        <v>8</v>
      </c>
      <c r="K42" s="10">
        <v>8</v>
      </c>
      <c r="L42" s="10">
        <v>8</v>
      </c>
      <c r="M42" s="10">
        <v>8</v>
      </c>
      <c r="N42" s="10">
        <v>8</v>
      </c>
      <c r="O42" s="10">
        <v>8</v>
      </c>
      <c r="P42" s="10">
        <v>8</v>
      </c>
      <c r="Q42" s="10">
        <v>8</v>
      </c>
      <c r="R42" s="10">
        <v>8</v>
      </c>
      <c r="T42" s="4">
        <f t="shared" si="0"/>
        <v>8</v>
      </c>
      <c r="U42" s="4">
        <f t="shared" si="1"/>
        <v>8</v>
      </c>
      <c r="V42" s="10">
        <v>8</v>
      </c>
      <c r="X42" s="10">
        <v>8</v>
      </c>
      <c r="Y42" s="10">
        <v>8</v>
      </c>
      <c r="Z42" s="10">
        <v>8</v>
      </c>
      <c r="AA42" s="10">
        <v>8</v>
      </c>
      <c r="AD42" s="10">
        <v>8</v>
      </c>
      <c r="AE42" s="10">
        <v>8</v>
      </c>
    </row>
    <row r="43" spans="2:31" x14ac:dyDescent="0.3">
      <c r="B43" s="94"/>
      <c r="C43" s="87"/>
      <c r="D43" s="92" t="s">
        <v>47</v>
      </c>
      <c r="E43" s="87"/>
      <c r="F43" s="9" t="s">
        <v>2</v>
      </c>
      <c r="G43" s="10">
        <v>6</v>
      </c>
      <c r="H43" s="10">
        <v>6</v>
      </c>
      <c r="I43" s="10">
        <v>6</v>
      </c>
      <c r="J43" s="10">
        <v>5</v>
      </c>
      <c r="K43" s="10">
        <v>5</v>
      </c>
      <c r="L43" s="10">
        <v>5</v>
      </c>
      <c r="M43" s="10">
        <v>5</v>
      </c>
      <c r="N43" s="10">
        <v>5</v>
      </c>
      <c r="O43" s="10">
        <v>5</v>
      </c>
      <c r="P43" s="10">
        <v>5</v>
      </c>
      <c r="Q43" s="10">
        <v>5</v>
      </c>
      <c r="R43" s="10">
        <v>5</v>
      </c>
      <c r="T43" s="4">
        <f t="shared" si="0"/>
        <v>5</v>
      </c>
      <c r="U43" s="4">
        <f t="shared" si="1"/>
        <v>5.25</v>
      </c>
      <c r="V43" s="10">
        <v>5</v>
      </c>
      <c r="X43" s="10">
        <v>6</v>
      </c>
      <c r="Y43" s="10">
        <v>5</v>
      </c>
      <c r="Z43" s="10">
        <v>5</v>
      </c>
      <c r="AA43" s="10">
        <v>5</v>
      </c>
      <c r="AD43" s="10">
        <v>5</v>
      </c>
      <c r="AE43" s="10">
        <v>5</v>
      </c>
    </row>
    <row r="44" spans="2:31" x14ac:dyDescent="0.3">
      <c r="B44" s="94"/>
      <c r="C44" s="87"/>
      <c r="D44" s="93"/>
      <c r="E44" s="89"/>
      <c r="F44" s="9" t="s">
        <v>3</v>
      </c>
      <c r="G44" s="10">
        <v>6</v>
      </c>
      <c r="H44" s="10">
        <v>6</v>
      </c>
      <c r="I44" s="10">
        <v>6</v>
      </c>
      <c r="J44" s="10">
        <v>6</v>
      </c>
      <c r="K44" s="10">
        <v>6</v>
      </c>
      <c r="L44" s="10">
        <v>6</v>
      </c>
      <c r="M44" s="10">
        <v>6</v>
      </c>
      <c r="N44" s="10">
        <v>6</v>
      </c>
      <c r="O44" s="10">
        <v>6</v>
      </c>
      <c r="P44" s="10">
        <v>6</v>
      </c>
      <c r="Q44" s="10">
        <v>6</v>
      </c>
      <c r="R44" s="10">
        <v>6</v>
      </c>
      <c r="T44" s="4">
        <f t="shared" si="0"/>
        <v>6</v>
      </c>
      <c r="U44" s="4">
        <f t="shared" si="1"/>
        <v>6</v>
      </c>
      <c r="V44" s="10">
        <v>6</v>
      </c>
      <c r="X44" s="10">
        <v>6</v>
      </c>
      <c r="Y44" s="10">
        <v>6</v>
      </c>
      <c r="Z44" s="10">
        <v>6</v>
      </c>
      <c r="AA44" s="10">
        <v>6</v>
      </c>
      <c r="AD44" s="10">
        <v>6</v>
      </c>
      <c r="AE44" s="10">
        <v>6</v>
      </c>
    </row>
    <row r="45" spans="2:31" x14ac:dyDescent="0.3">
      <c r="B45" s="94"/>
      <c r="C45" s="87"/>
      <c r="D45" s="92" t="s">
        <v>48</v>
      </c>
      <c r="E45" s="87"/>
      <c r="F45" s="9" t="s">
        <v>2</v>
      </c>
      <c r="G45" s="10">
        <v>5</v>
      </c>
      <c r="H45" s="10">
        <v>5</v>
      </c>
      <c r="I45" s="10">
        <v>5</v>
      </c>
      <c r="J45" s="10">
        <v>5</v>
      </c>
      <c r="K45" s="10">
        <v>5</v>
      </c>
      <c r="L45" s="10">
        <v>5</v>
      </c>
      <c r="M45" s="10">
        <v>4</v>
      </c>
      <c r="N45" s="10">
        <v>5</v>
      </c>
      <c r="O45" s="10">
        <v>5</v>
      </c>
      <c r="P45" s="10">
        <v>5</v>
      </c>
      <c r="Q45" s="10">
        <v>5</v>
      </c>
      <c r="R45" s="10">
        <v>5</v>
      </c>
      <c r="T45" s="4">
        <f t="shared" si="0"/>
        <v>5</v>
      </c>
      <c r="U45" s="4">
        <f t="shared" si="1"/>
        <v>4.916666666666667</v>
      </c>
      <c r="V45" s="10">
        <v>5</v>
      </c>
      <c r="X45" s="10">
        <v>5</v>
      </c>
      <c r="Y45" s="10">
        <v>5</v>
      </c>
      <c r="Z45" s="10">
        <v>5</v>
      </c>
      <c r="AA45" s="10">
        <v>5</v>
      </c>
      <c r="AD45" s="10">
        <v>5</v>
      </c>
      <c r="AE45" s="10">
        <v>5</v>
      </c>
    </row>
    <row r="46" spans="2:31" x14ac:dyDescent="0.3">
      <c r="B46" s="94"/>
      <c r="C46" s="87"/>
      <c r="D46" s="93"/>
      <c r="E46" s="89"/>
      <c r="F46" s="9" t="s">
        <v>3</v>
      </c>
      <c r="G46" s="10">
        <v>5</v>
      </c>
      <c r="H46" s="10">
        <v>5</v>
      </c>
      <c r="I46" s="10">
        <v>5</v>
      </c>
      <c r="J46" s="10">
        <v>5</v>
      </c>
      <c r="K46" s="10">
        <v>5</v>
      </c>
      <c r="L46" s="10">
        <v>5</v>
      </c>
      <c r="M46" s="10">
        <v>5</v>
      </c>
      <c r="N46" s="10">
        <v>5</v>
      </c>
      <c r="O46" s="10">
        <v>5</v>
      </c>
      <c r="P46" s="10">
        <v>5</v>
      </c>
      <c r="Q46" s="10">
        <v>5</v>
      </c>
      <c r="R46" s="10">
        <v>5</v>
      </c>
      <c r="T46" s="4">
        <f t="shared" si="0"/>
        <v>5</v>
      </c>
      <c r="U46" s="4">
        <f t="shared" si="1"/>
        <v>5</v>
      </c>
      <c r="V46" s="10">
        <v>5</v>
      </c>
      <c r="X46" s="10">
        <v>5</v>
      </c>
      <c r="Y46" s="10">
        <v>5</v>
      </c>
      <c r="Z46" s="10">
        <v>5</v>
      </c>
      <c r="AA46" s="10">
        <v>5</v>
      </c>
      <c r="AD46" s="10">
        <v>5</v>
      </c>
      <c r="AE46" s="10">
        <v>5</v>
      </c>
    </row>
    <row r="47" spans="2:31" x14ac:dyDescent="0.3">
      <c r="B47" s="94"/>
      <c r="C47" s="87"/>
      <c r="D47" s="92" t="s">
        <v>49</v>
      </c>
      <c r="E47" s="87"/>
      <c r="F47" s="9" t="s">
        <v>2</v>
      </c>
      <c r="G47" s="10">
        <v>55</v>
      </c>
      <c r="H47" s="10">
        <v>56</v>
      </c>
      <c r="I47" s="10">
        <v>58</v>
      </c>
      <c r="J47" s="10">
        <v>53</v>
      </c>
      <c r="K47" s="10">
        <v>51</v>
      </c>
      <c r="L47" s="10">
        <v>52</v>
      </c>
      <c r="M47" s="10">
        <v>52</v>
      </c>
      <c r="N47" s="10">
        <v>52</v>
      </c>
      <c r="O47" s="10">
        <v>50</v>
      </c>
      <c r="P47" s="10">
        <v>52</v>
      </c>
      <c r="Q47" s="10">
        <v>50</v>
      </c>
      <c r="R47" s="10">
        <v>51</v>
      </c>
      <c r="T47" s="4">
        <f t="shared" si="0"/>
        <v>51</v>
      </c>
      <c r="U47" s="4">
        <f t="shared" si="1"/>
        <v>52.666666666666664</v>
      </c>
      <c r="V47" s="10">
        <v>53</v>
      </c>
      <c r="X47" s="10">
        <v>56</v>
      </c>
      <c r="Y47" s="10">
        <v>52</v>
      </c>
      <c r="Z47" s="10">
        <v>51</v>
      </c>
      <c r="AA47" s="10">
        <v>51</v>
      </c>
      <c r="AD47" s="10">
        <v>51</v>
      </c>
      <c r="AE47" s="10">
        <v>53</v>
      </c>
    </row>
    <row r="48" spans="2:31" x14ac:dyDescent="0.3">
      <c r="B48" s="94"/>
      <c r="C48" s="87"/>
      <c r="D48" s="93"/>
      <c r="E48" s="89"/>
      <c r="F48" s="9" t="s">
        <v>3</v>
      </c>
      <c r="G48" s="10">
        <v>56</v>
      </c>
      <c r="H48" s="10">
        <v>56</v>
      </c>
      <c r="I48" s="10">
        <v>56</v>
      </c>
      <c r="J48" s="10">
        <v>56</v>
      </c>
      <c r="K48" s="10">
        <v>56</v>
      </c>
      <c r="L48" s="10">
        <v>56</v>
      </c>
      <c r="M48" s="10">
        <v>56</v>
      </c>
      <c r="N48" s="10">
        <v>56</v>
      </c>
      <c r="O48" s="10">
        <v>56</v>
      </c>
      <c r="P48" s="10">
        <v>56</v>
      </c>
      <c r="Q48" s="10">
        <v>56</v>
      </c>
      <c r="R48" s="10">
        <v>56</v>
      </c>
      <c r="T48" s="4">
        <f t="shared" si="0"/>
        <v>56</v>
      </c>
      <c r="U48" s="4">
        <f t="shared" si="1"/>
        <v>56</v>
      </c>
      <c r="V48" s="10">
        <v>56</v>
      </c>
      <c r="X48" s="10">
        <v>56</v>
      </c>
      <c r="Y48" s="10">
        <v>56</v>
      </c>
      <c r="Z48" s="10">
        <v>56</v>
      </c>
      <c r="AA48" s="10">
        <v>56</v>
      </c>
      <c r="AD48" s="10">
        <v>56</v>
      </c>
      <c r="AE48" s="10">
        <v>56</v>
      </c>
    </row>
    <row r="49" spans="2:31" x14ac:dyDescent="0.3">
      <c r="B49" s="94"/>
      <c r="C49" s="87"/>
      <c r="D49" s="92" t="s">
        <v>45</v>
      </c>
      <c r="E49" s="87"/>
      <c r="F49" s="9" t="s">
        <v>2</v>
      </c>
      <c r="G49" s="10">
        <v>5</v>
      </c>
      <c r="H49" s="10">
        <v>5</v>
      </c>
      <c r="I49" s="10">
        <v>5</v>
      </c>
      <c r="J49" s="10">
        <v>5</v>
      </c>
      <c r="K49" s="10">
        <v>5</v>
      </c>
      <c r="L49" s="10">
        <v>5</v>
      </c>
      <c r="M49" s="10">
        <v>5</v>
      </c>
      <c r="N49" s="10">
        <v>5</v>
      </c>
      <c r="O49" s="10">
        <v>4</v>
      </c>
      <c r="P49" s="10">
        <v>4</v>
      </c>
      <c r="Q49" s="10">
        <v>4</v>
      </c>
      <c r="R49" s="10">
        <v>4</v>
      </c>
      <c r="T49" s="4">
        <f t="shared" si="0"/>
        <v>4</v>
      </c>
      <c r="U49" s="4">
        <f t="shared" si="1"/>
        <v>4.666666666666667</v>
      </c>
      <c r="V49" s="10">
        <v>5</v>
      </c>
      <c r="X49" s="10">
        <v>5</v>
      </c>
      <c r="Y49" s="10">
        <v>5</v>
      </c>
      <c r="Z49" s="10">
        <v>5</v>
      </c>
      <c r="AA49" s="10">
        <v>4</v>
      </c>
      <c r="AD49" s="10">
        <v>4</v>
      </c>
      <c r="AE49" s="10">
        <v>5</v>
      </c>
    </row>
    <row r="50" spans="2:31" x14ac:dyDescent="0.3">
      <c r="B50" s="93"/>
      <c r="C50" s="89"/>
      <c r="D50" s="93"/>
      <c r="E50" s="89"/>
      <c r="F50" s="9" t="s">
        <v>3</v>
      </c>
      <c r="G50" s="10">
        <v>5</v>
      </c>
      <c r="H50" s="10">
        <v>5</v>
      </c>
      <c r="I50" s="10">
        <v>5</v>
      </c>
      <c r="J50" s="10">
        <v>6</v>
      </c>
      <c r="K50" s="10">
        <v>6</v>
      </c>
      <c r="L50" s="10">
        <v>6</v>
      </c>
      <c r="M50" s="10">
        <v>6</v>
      </c>
      <c r="N50" s="10">
        <v>6</v>
      </c>
      <c r="O50" s="10">
        <v>6</v>
      </c>
      <c r="P50" s="10">
        <v>6</v>
      </c>
      <c r="Q50" s="10">
        <v>6</v>
      </c>
      <c r="R50" s="10">
        <v>6</v>
      </c>
      <c r="T50" s="4">
        <f t="shared" si="0"/>
        <v>6</v>
      </c>
      <c r="U50" s="4">
        <f t="shared" si="1"/>
        <v>5.75</v>
      </c>
      <c r="V50" s="10">
        <v>6</v>
      </c>
      <c r="X50" s="10">
        <v>5</v>
      </c>
      <c r="Y50" s="10">
        <v>6</v>
      </c>
      <c r="Z50" s="10">
        <v>6</v>
      </c>
      <c r="AA50" s="10">
        <v>6</v>
      </c>
      <c r="AD50" s="10">
        <v>6</v>
      </c>
      <c r="AE50" s="10">
        <v>6</v>
      </c>
    </row>
    <row r="51" spans="2:31" x14ac:dyDescent="0.3">
      <c r="B51" s="92" t="s">
        <v>50</v>
      </c>
      <c r="C51" s="87"/>
      <c r="D51" s="92" t="s">
        <v>51</v>
      </c>
      <c r="E51" s="87"/>
      <c r="F51" s="9" t="s">
        <v>2</v>
      </c>
      <c r="G51" s="10">
        <v>32</v>
      </c>
      <c r="H51" s="10">
        <v>32</v>
      </c>
      <c r="I51" s="10">
        <v>31</v>
      </c>
      <c r="J51" s="10">
        <v>31</v>
      </c>
      <c r="K51" s="10">
        <v>30</v>
      </c>
      <c r="L51" s="10">
        <v>30</v>
      </c>
      <c r="M51" s="10">
        <v>32</v>
      </c>
      <c r="N51" s="10">
        <v>32</v>
      </c>
      <c r="O51" s="10">
        <v>32</v>
      </c>
      <c r="P51" s="10">
        <v>32</v>
      </c>
      <c r="Q51" s="10">
        <v>33</v>
      </c>
      <c r="R51" s="10">
        <v>33</v>
      </c>
      <c r="T51" s="4">
        <f t="shared" si="0"/>
        <v>33</v>
      </c>
      <c r="U51" s="4">
        <f t="shared" si="1"/>
        <v>31.666666666666668</v>
      </c>
      <c r="V51" s="10">
        <v>32</v>
      </c>
      <c r="X51" s="10">
        <v>32</v>
      </c>
      <c r="Y51" s="10">
        <v>30</v>
      </c>
      <c r="Z51" s="10">
        <v>32</v>
      </c>
      <c r="AA51" s="10">
        <v>33</v>
      </c>
      <c r="AD51" s="10">
        <v>33</v>
      </c>
      <c r="AE51" s="10">
        <v>32</v>
      </c>
    </row>
    <row r="52" spans="2:31" x14ac:dyDescent="0.3">
      <c r="B52" s="94"/>
      <c r="C52" s="87"/>
      <c r="D52" s="93"/>
      <c r="E52" s="89"/>
      <c r="F52" s="9" t="s">
        <v>3</v>
      </c>
      <c r="G52" s="10">
        <v>38</v>
      </c>
      <c r="H52" s="10">
        <v>38</v>
      </c>
      <c r="I52" s="10">
        <v>38</v>
      </c>
      <c r="J52" s="10">
        <v>38</v>
      </c>
      <c r="K52" s="10">
        <v>38</v>
      </c>
      <c r="L52" s="10">
        <v>38</v>
      </c>
      <c r="M52" s="10">
        <v>38</v>
      </c>
      <c r="N52" s="10">
        <v>38</v>
      </c>
      <c r="O52" s="10">
        <v>38</v>
      </c>
      <c r="P52" s="10">
        <v>38</v>
      </c>
      <c r="Q52" s="10">
        <v>38</v>
      </c>
      <c r="R52" s="10">
        <v>38</v>
      </c>
      <c r="T52" s="4">
        <f t="shared" si="0"/>
        <v>38</v>
      </c>
      <c r="U52" s="4">
        <f t="shared" si="1"/>
        <v>38</v>
      </c>
      <c r="V52" s="10">
        <v>38</v>
      </c>
      <c r="X52" s="10">
        <v>38</v>
      </c>
      <c r="Y52" s="10">
        <v>38</v>
      </c>
      <c r="Z52" s="10">
        <v>38</v>
      </c>
      <c r="AA52" s="10">
        <v>38</v>
      </c>
      <c r="AD52" s="10">
        <v>38</v>
      </c>
      <c r="AE52" s="10">
        <v>38</v>
      </c>
    </row>
    <row r="53" spans="2:31" x14ac:dyDescent="0.3">
      <c r="B53" s="94"/>
      <c r="C53" s="87"/>
      <c r="D53" s="92" t="s">
        <v>52</v>
      </c>
      <c r="E53" s="87"/>
      <c r="F53" s="9" t="s">
        <v>2</v>
      </c>
      <c r="G53" s="10">
        <v>33</v>
      </c>
      <c r="H53" s="10">
        <v>33</v>
      </c>
      <c r="I53" s="10">
        <v>32</v>
      </c>
      <c r="J53" s="10">
        <v>33</v>
      </c>
      <c r="K53" s="10">
        <v>33</v>
      </c>
      <c r="L53" s="10">
        <v>33</v>
      </c>
      <c r="M53" s="10">
        <v>33</v>
      </c>
      <c r="N53" s="10">
        <v>33</v>
      </c>
      <c r="O53" s="10">
        <v>33</v>
      </c>
      <c r="P53" s="10">
        <v>33</v>
      </c>
      <c r="Q53" s="10">
        <v>34</v>
      </c>
      <c r="R53" s="10">
        <v>34</v>
      </c>
      <c r="T53" s="4">
        <f t="shared" si="0"/>
        <v>34</v>
      </c>
      <c r="U53" s="4">
        <f t="shared" si="1"/>
        <v>33.083333333333336</v>
      </c>
      <c r="V53" s="10">
        <v>33</v>
      </c>
      <c r="X53" s="10">
        <v>33</v>
      </c>
      <c r="Y53" s="10">
        <v>33</v>
      </c>
      <c r="Z53" s="10">
        <v>33</v>
      </c>
      <c r="AA53" s="10">
        <v>34</v>
      </c>
      <c r="AD53" s="10">
        <v>34</v>
      </c>
      <c r="AE53" s="10">
        <v>33</v>
      </c>
    </row>
    <row r="54" spans="2:31" x14ac:dyDescent="0.3">
      <c r="B54" s="94"/>
      <c r="C54" s="87"/>
      <c r="D54" s="93"/>
      <c r="E54" s="89"/>
      <c r="F54" s="9" t="s">
        <v>3</v>
      </c>
      <c r="G54" s="10">
        <v>36</v>
      </c>
      <c r="H54" s="10">
        <v>36</v>
      </c>
      <c r="I54" s="10">
        <v>36</v>
      </c>
      <c r="J54" s="10">
        <v>36</v>
      </c>
      <c r="K54" s="10">
        <v>36</v>
      </c>
      <c r="L54" s="10">
        <v>36</v>
      </c>
      <c r="M54" s="10">
        <v>36</v>
      </c>
      <c r="N54" s="10">
        <v>36</v>
      </c>
      <c r="O54" s="10">
        <v>36</v>
      </c>
      <c r="P54" s="10">
        <v>36</v>
      </c>
      <c r="Q54" s="10">
        <v>36</v>
      </c>
      <c r="R54" s="10">
        <v>36</v>
      </c>
      <c r="T54" s="4">
        <f t="shared" si="0"/>
        <v>36</v>
      </c>
      <c r="U54" s="4">
        <f t="shared" si="1"/>
        <v>36</v>
      </c>
      <c r="V54" s="10">
        <v>36</v>
      </c>
      <c r="X54" s="10">
        <v>36</v>
      </c>
      <c r="Y54" s="10">
        <v>36</v>
      </c>
      <c r="Z54" s="10">
        <v>36</v>
      </c>
      <c r="AA54" s="10">
        <v>36</v>
      </c>
      <c r="AD54" s="10">
        <v>36</v>
      </c>
      <c r="AE54" s="10">
        <v>36</v>
      </c>
    </row>
    <row r="55" spans="2:31" x14ac:dyDescent="0.3">
      <c r="B55" s="94"/>
      <c r="C55" s="87"/>
      <c r="D55" s="92" t="s">
        <v>53</v>
      </c>
      <c r="E55" s="87"/>
      <c r="F55" s="9" t="s">
        <v>2</v>
      </c>
      <c r="G55" s="10">
        <v>3</v>
      </c>
      <c r="H55" s="10">
        <v>3</v>
      </c>
      <c r="I55" s="10">
        <v>3</v>
      </c>
      <c r="J55" s="10">
        <v>3</v>
      </c>
      <c r="K55" s="10">
        <v>3</v>
      </c>
      <c r="L55" s="10">
        <v>3</v>
      </c>
      <c r="M55" s="10">
        <v>3</v>
      </c>
      <c r="N55" s="10">
        <v>3</v>
      </c>
      <c r="O55" s="10">
        <v>3</v>
      </c>
      <c r="P55" s="10">
        <v>3</v>
      </c>
      <c r="Q55" s="10">
        <v>3</v>
      </c>
      <c r="R55" s="10">
        <v>3</v>
      </c>
      <c r="T55" s="4">
        <f t="shared" si="0"/>
        <v>3</v>
      </c>
      <c r="U55" s="4">
        <f t="shared" si="1"/>
        <v>3</v>
      </c>
      <c r="V55" s="10">
        <v>3</v>
      </c>
      <c r="X55" s="10">
        <v>3</v>
      </c>
      <c r="Y55" s="10">
        <v>3</v>
      </c>
      <c r="Z55" s="10">
        <v>3</v>
      </c>
      <c r="AA55" s="10">
        <v>3</v>
      </c>
      <c r="AD55" s="10">
        <v>3</v>
      </c>
      <c r="AE55" s="10">
        <v>3</v>
      </c>
    </row>
    <row r="56" spans="2:31" x14ac:dyDescent="0.3">
      <c r="B56" s="94"/>
      <c r="C56" s="87"/>
      <c r="D56" s="93"/>
      <c r="E56" s="89"/>
      <c r="F56" s="9" t="s">
        <v>3</v>
      </c>
      <c r="G56" s="10">
        <v>3</v>
      </c>
      <c r="H56" s="10">
        <v>3</v>
      </c>
      <c r="I56" s="10">
        <v>3</v>
      </c>
      <c r="J56" s="10">
        <v>3</v>
      </c>
      <c r="K56" s="10">
        <v>3</v>
      </c>
      <c r="L56" s="10">
        <v>3</v>
      </c>
      <c r="M56" s="10">
        <v>3</v>
      </c>
      <c r="N56" s="10">
        <v>3</v>
      </c>
      <c r="O56" s="10">
        <v>3</v>
      </c>
      <c r="P56" s="10">
        <v>3</v>
      </c>
      <c r="Q56" s="10">
        <v>3</v>
      </c>
      <c r="R56" s="10">
        <v>3</v>
      </c>
      <c r="T56" s="4">
        <f t="shared" si="0"/>
        <v>3</v>
      </c>
      <c r="U56" s="4">
        <f t="shared" si="1"/>
        <v>3</v>
      </c>
      <c r="V56" s="10">
        <v>3</v>
      </c>
      <c r="X56" s="10">
        <v>3</v>
      </c>
      <c r="Y56" s="10">
        <v>3</v>
      </c>
      <c r="Z56" s="10">
        <v>3</v>
      </c>
      <c r="AA56" s="10">
        <v>3</v>
      </c>
      <c r="AD56" s="10">
        <v>3</v>
      </c>
      <c r="AE56" s="10">
        <v>3</v>
      </c>
    </row>
    <row r="57" spans="2:31" x14ac:dyDescent="0.3">
      <c r="B57" s="94"/>
      <c r="C57" s="87"/>
      <c r="D57" s="92" t="s">
        <v>54</v>
      </c>
      <c r="E57" s="87"/>
      <c r="F57" s="9" t="s">
        <v>2</v>
      </c>
      <c r="G57" s="10">
        <v>28</v>
      </c>
      <c r="H57" s="10">
        <v>27</v>
      </c>
      <c r="I57" s="10">
        <v>26</v>
      </c>
      <c r="J57" s="10">
        <v>26</v>
      </c>
      <c r="K57" s="10">
        <v>26</v>
      </c>
      <c r="L57" s="10">
        <v>26</v>
      </c>
      <c r="M57" s="10">
        <v>25</v>
      </c>
      <c r="N57" s="10">
        <v>26</v>
      </c>
      <c r="O57" s="10">
        <v>27</v>
      </c>
      <c r="P57" s="10">
        <v>26</v>
      </c>
      <c r="Q57" s="10">
        <v>26</v>
      </c>
      <c r="R57" s="10">
        <v>26</v>
      </c>
      <c r="T57" s="4">
        <f t="shared" si="0"/>
        <v>26</v>
      </c>
      <c r="U57" s="4">
        <f t="shared" si="1"/>
        <v>26.25</v>
      </c>
      <c r="V57" s="10">
        <v>26</v>
      </c>
      <c r="X57" s="10">
        <v>27</v>
      </c>
      <c r="Y57" s="10">
        <v>26</v>
      </c>
      <c r="Z57" s="10">
        <v>26</v>
      </c>
      <c r="AA57" s="10">
        <v>26</v>
      </c>
      <c r="AD57" s="10">
        <v>26</v>
      </c>
      <c r="AE57" s="10">
        <v>26</v>
      </c>
    </row>
    <row r="58" spans="2:31" x14ac:dyDescent="0.3">
      <c r="B58" s="94"/>
      <c r="C58" s="87"/>
      <c r="D58" s="93"/>
      <c r="E58" s="89"/>
      <c r="F58" s="9" t="s">
        <v>3</v>
      </c>
      <c r="G58" s="10">
        <v>28</v>
      </c>
      <c r="H58" s="10">
        <v>28</v>
      </c>
      <c r="I58" s="10">
        <v>28</v>
      </c>
      <c r="J58" s="10">
        <v>28</v>
      </c>
      <c r="K58" s="10">
        <v>28</v>
      </c>
      <c r="L58" s="10">
        <v>28</v>
      </c>
      <c r="M58" s="10">
        <v>28</v>
      </c>
      <c r="N58" s="10">
        <v>28</v>
      </c>
      <c r="O58" s="10">
        <v>28</v>
      </c>
      <c r="P58" s="10">
        <v>28</v>
      </c>
      <c r="Q58" s="10">
        <v>28</v>
      </c>
      <c r="R58" s="10">
        <v>28</v>
      </c>
      <c r="T58" s="4">
        <f t="shared" si="0"/>
        <v>28</v>
      </c>
      <c r="U58" s="4">
        <f t="shared" si="1"/>
        <v>28</v>
      </c>
      <c r="V58" s="10">
        <v>28</v>
      </c>
      <c r="X58" s="10">
        <v>28</v>
      </c>
      <c r="Y58" s="10">
        <v>28</v>
      </c>
      <c r="Z58" s="10">
        <v>28</v>
      </c>
      <c r="AA58" s="10">
        <v>28</v>
      </c>
      <c r="AD58" s="10">
        <v>28</v>
      </c>
      <c r="AE58" s="10">
        <v>28</v>
      </c>
    </row>
    <row r="59" spans="2:31" x14ac:dyDescent="0.3">
      <c r="B59" s="94"/>
      <c r="C59" s="87"/>
      <c r="D59" s="92" t="s">
        <v>55</v>
      </c>
      <c r="E59" s="89"/>
      <c r="F59" s="9" t="s">
        <v>3</v>
      </c>
      <c r="G59" s="10">
        <v>3</v>
      </c>
      <c r="H59" s="10">
        <v>3</v>
      </c>
      <c r="I59" s="10">
        <v>3</v>
      </c>
      <c r="J59" s="10">
        <v>3</v>
      </c>
      <c r="K59" s="10">
        <v>3</v>
      </c>
      <c r="L59" s="10">
        <v>3</v>
      </c>
      <c r="M59" s="10">
        <v>3</v>
      </c>
      <c r="N59" s="10">
        <v>3</v>
      </c>
      <c r="O59" s="10">
        <v>3</v>
      </c>
      <c r="P59" s="10">
        <v>3</v>
      </c>
      <c r="Q59" s="10">
        <v>3</v>
      </c>
      <c r="R59" s="10">
        <v>3</v>
      </c>
      <c r="T59" s="4">
        <f t="shared" si="0"/>
        <v>3</v>
      </c>
      <c r="U59" s="4">
        <f t="shared" si="1"/>
        <v>3</v>
      </c>
      <c r="V59" s="10">
        <v>0</v>
      </c>
      <c r="X59" s="10">
        <v>3</v>
      </c>
      <c r="Y59" s="10">
        <v>3</v>
      </c>
      <c r="Z59" s="10">
        <v>3</v>
      </c>
      <c r="AA59" s="10">
        <v>3</v>
      </c>
      <c r="AD59" s="10">
        <v>0</v>
      </c>
      <c r="AE59" s="10">
        <v>0</v>
      </c>
    </row>
    <row r="60" spans="2:31" x14ac:dyDescent="0.3">
      <c r="B60" s="94"/>
      <c r="C60" s="87"/>
      <c r="D60" s="92" t="s">
        <v>56</v>
      </c>
      <c r="E60" s="87"/>
      <c r="F60" s="9" t="s">
        <v>2</v>
      </c>
      <c r="G60" s="10">
        <v>9</v>
      </c>
      <c r="H60" s="10">
        <v>9</v>
      </c>
      <c r="I60" s="10">
        <v>10</v>
      </c>
      <c r="J60" s="10">
        <v>10</v>
      </c>
      <c r="K60" s="10">
        <v>10</v>
      </c>
      <c r="L60" s="10">
        <v>10</v>
      </c>
      <c r="M60" s="10">
        <v>10</v>
      </c>
      <c r="N60" s="10">
        <v>10</v>
      </c>
      <c r="O60" s="10">
        <v>10</v>
      </c>
      <c r="P60" s="10">
        <v>10</v>
      </c>
      <c r="Q60" s="10">
        <v>10</v>
      </c>
      <c r="R60" s="10">
        <v>8</v>
      </c>
      <c r="T60" s="4">
        <f t="shared" si="0"/>
        <v>8</v>
      </c>
      <c r="U60" s="4">
        <f t="shared" si="1"/>
        <v>9.6666666666666661</v>
      </c>
      <c r="V60" s="10">
        <v>3</v>
      </c>
      <c r="X60" s="10">
        <v>9</v>
      </c>
      <c r="Y60" s="10">
        <v>10</v>
      </c>
      <c r="Z60" s="10">
        <v>10</v>
      </c>
      <c r="AA60" s="10">
        <v>9</v>
      </c>
      <c r="AD60" s="10">
        <v>3</v>
      </c>
      <c r="AE60" s="10">
        <v>3</v>
      </c>
    </row>
    <row r="61" spans="2:31" x14ac:dyDescent="0.3">
      <c r="B61" s="94"/>
      <c r="C61" s="87"/>
      <c r="D61" s="93"/>
      <c r="E61" s="89"/>
      <c r="F61" s="9" t="s">
        <v>3</v>
      </c>
      <c r="G61" s="10">
        <v>9</v>
      </c>
      <c r="H61" s="10">
        <v>9</v>
      </c>
      <c r="I61" s="10">
        <v>9</v>
      </c>
      <c r="J61" s="10">
        <v>10</v>
      </c>
      <c r="K61" s="10">
        <v>10</v>
      </c>
      <c r="L61" s="10">
        <v>10</v>
      </c>
      <c r="M61" s="10">
        <v>10</v>
      </c>
      <c r="N61" s="10">
        <v>10</v>
      </c>
      <c r="O61" s="10">
        <v>10</v>
      </c>
      <c r="P61" s="10">
        <v>10</v>
      </c>
      <c r="Q61" s="10">
        <v>10</v>
      </c>
      <c r="R61" s="10">
        <v>10</v>
      </c>
      <c r="T61" s="4">
        <f t="shared" si="0"/>
        <v>10</v>
      </c>
      <c r="U61" s="4">
        <f t="shared" si="1"/>
        <v>9.75</v>
      </c>
      <c r="V61" s="10">
        <v>10</v>
      </c>
      <c r="X61" s="10">
        <v>9</v>
      </c>
      <c r="Y61" s="10">
        <v>10</v>
      </c>
      <c r="Z61" s="10">
        <v>10</v>
      </c>
      <c r="AA61" s="10">
        <v>10</v>
      </c>
      <c r="AD61" s="10">
        <v>8</v>
      </c>
      <c r="AE61" s="10">
        <v>10</v>
      </c>
    </row>
    <row r="62" spans="2:31" x14ac:dyDescent="0.3">
      <c r="B62" s="94"/>
      <c r="C62" s="87"/>
      <c r="D62" s="92" t="s">
        <v>57</v>
      </c>
      <c r="E62" s="87"/>
      <c r="F62" s="9" t="s">
        <v>2</v>
      </c>
      <c r="G62" s="10">
        <v>9</v>
      </c>
      <c r="H62" s="10">
        <v>9</v>
      </c>
      <c r="I62" s="10">
        <v>10</v>
      </c>
      <c r="J62" s="10">
        <v>10</v>
      </c>
      <c r="K62" s="10">
        <v>10</v>
      </c>
      <c r="L62" s="10">
        <v>10</v>
      </c>
      <c r="M62" s="10">
        <v>10</v>
      </c>
      <c r="N62" s="10">
        <v>9</v>
      </c>
      <c r="O62" s="10">
        <v>9</v>
      </c>
      <c r="P62" s="10">
        <v>9</v>
      </c>
      <c r="Q62" s="10">
        <v>8</v>
      </c>
      <c r="R62" s="10">
        <v>8</v>
      </c>
      <c r="T62" s="4">
        <f t="shared" si="0"/>
        <v>8</v>
      </c>
      <c r="U62" s="4">
        <f t="shared" si="1"/>
        <v>9.25</v>
      </c>
      <c r="V62" s="10">
        <v>10</v>
      </c>
      <c r="X62" s="10">
        <v>9</v>
      </c>
      <c r="Y62" s="10">
        <v>10</v>
      </c>
      <c r="Z62" s="10">
        <v>9</v>
      </c>
      <c r="AA62" s="10">
        <v>8</v>
      </c>
      <c r="AD62" s="10">
        <v>10</v>
      </c>
      <c r="AE62" s="10">
        <v>10</v>
      </c>
    </row>
    <row r="63" spans="2:31" x14ac:dyDescent="0.3">
      <c r="B63" s="94"/>
      <c r="C63" s="87"/>
      <c r="D63" s="93"/>
      <c r="E63" s="89"/>
      <c r="F63" s="9" t="s">
        <v>3</v>
      </c>
      <c r="G63" s="10">
        <v>9</v>
      </c>
      <c r="H63" s="10">
        <v>9</v>
      </c>
      <c r="I63" s="10">
        <v>9</v>
      </c>
      <c r="J63" s="10">
        <v>9</v>
      </c>
      <c r="K63" s="10">
        <v>9</v>
      </c>
      <c r="L63" s="10">
        <v>9</v>
      </c>
      <c r="M63" s="10">
        <v>9</v>
      </c>
      <c r="N63" s="10">
        <v>9</v>
      </c>
      <c r="O63" s="10">
        <v>9</v>
      </c>
      <c r="P63" s="10">
        <v>9</v>
      </c>
      <c r="Q63" s="10">
        <v>9</v>
      </c>
      <c r="R63" s="10">
        <v>9</v>
      </c>
      <c r="T63" s="4">
        <f t="shared" si="0"/>
        <v>9</v>
      </c>
      <c r="U63" s="4">
        <f t="shared" si="1"/>
        <v>9</v>
      </c>
      <c r="V63" s="10">
        <v>9</v>
      </c>
      <c r="X63" s="10">
        <v>9</v>
      </c>
      <c r="Y63" s="10">
        <v>9</v>
      </c>
      <c r="Z63" s="10">
        <v>9</v>
      </c>
      <c r="AA63" s="10">
        <v>9</v>
      </c>
      <c r="AD63" s="10">
        <v>8</v>
      </c>
      <c r="AE63" s="10">
        <v>9</v>
      </c>
    </row>
    <row r="64" spans="2:31" x14ac:dyDescent="0.3">
      <c r="B64" s="94"/>
      <c r="C64" s="87"/>
      <c r="D64" s="92" t="s">
        <v>50</v>
      </c>
      <c r="E64" s="87"/>
      <c r="F64" s="9" t="s">
        <v>2</v>
      </c>
      <c r="G64" s="10">
        <v>2</v>
      </c>
      <c r="H64" s="10">
        <v>2</v>
      </c>
      <c r="I64" s="10">
        <v>2</v>
      </c>
      <c r="J64" s="10">
        <v>2</v>
      </c>
      <c r="K64" s="10">
        <v>2</v>
      </c>
      <c r="L64" s="10">
        <v>2</v>
      </c>
      <c r="M64" s="10">
        <v>2</v>
      </c>
      <c r="N64" s="10">
        <v>2</v>
      </c>
      <c r="O64" s="10">
        <v>2</v>
      </c>
      <c r="P64" s="10">
        <v>2</v>
      </c>
      <c r="Q64" s="10">
        <v>2</v>
      </c>
      <c r="R64" s="10">
        <v>2</v>
      </c>
      <c r="T64" s="4">
        <f t="shared" si="0"/>
        <v>2</v>
      </c>
      <c r="U64" s="4">
        <f t="shared" si="1"/>
        <v>2</v>
      </c>
      <c r="V64" s="10">
        <v>9</v>
      </c>
      <c r="X64" s="10">
        <v>2</v>
      </c>
      <c r="Y64" s="10">
        <v>2</v>
      </c>
      <c r="Z64" s="10">
        <v>2</v>
      </c>
      <c r="AA64" s="10">
        <v>2</v>
      </c>
      <c r="AD64" s="10">
        <v>9</v>
      </c>
      <c r="AE64" s="10">
        <v>9</v>
      </c>
    </row>
    <row r="65" spans="2:31" x14ac:dyDescent="0.3">
      <c r="B65" s="93"/>
      <c r="C65" s="89"/>
      <c r="D65" s="93"/>
      <c r="E65" s="89"/>
      <c r="F65" s="9" t="s">
        <v>3</v>
      </c>
      <c r="G65" s="10">
        <v>2</v>
      </c>
      <c r="H65" s="10">
        <v>2</v>
      </c>
      <c r="I65" s="10">
        <v>2</v>
      </c>
      <c r="J65" s="10">
        <v>2</v>
      </c>
      <c r="K65" s="10">
        <v>2</v>
      </c>
      <c r="L65" s="10">
        <v>2</v>
      </c>
      <c r="M65" s="10">
        <v>2</v>
      </c>
      <c r="N65" s="10">
        <v>2</v>
      </c>
      <c r="O65" s="10">
        <v>2</v>
      </c>
      <c r="P65" s="10">
        <v>2</v>
      </c>
      <c r="Q65" s="10">
        <v>2</v>
      </c>
      <c r="R65" s="10">
        <v>2</v>
      </c>
      <c r="T65" s="4">
        <f t="shared" si="0"/>
        <v>2</v>
      </c>
      <c r="U65" s="4">
        <f t="shared" si="1"/>
        <v>2</v>
      </c>
      <c r="V65" s="10">
        <v>2</v>
      </c>
      <c r="X65" s="10">
        <v>2</v>
      </c>
      <c r="Y65" s="10">
        <v>2</v>
      </c>
      <c r="Z65" s="10">
        <v>2</v>
      </c>
      <c r="AA65" s="10">
        <v>2</v>
      </c>
      <c r="AD65" s="10">
        <v>2</v>
      </c>
      <c r="AE65" s="10">
        <v>2</v>
      </c>
    </row>
    <row r="66" spans="2:31" x14ac:dyDescent="0.3">
      <c r="B66" s="92" t="s">
        <v>58</v>
      </c>
      <c r="C66" s="87"/>
      <c r="D66" s="92" t="s">
        <v>59</v>
      </c>
      <c r="E66" s="87"/>
      <c r="F66" s="9" t="s">
        <v>2</v>
      </c>
      <c r="G66" s="10">
        <v>8</v>
      </c>
      <c r="H66" s="10">
        <v>8</v>
      </c>
      <c r="I66" s="10">
        <v>8</v>
      </c>
      <c r="J66" s="10">
        <v>8</v>
      </c>
      <c r="K66" s="10">
        <v>8</v>
      </c>
      <c r="L66" s="10">
        <v>8</v>
      </c>
      <c r="M66" s="10">
        <v>7</v>
      </c>
      <c r="N66" s="10">
        <v>7</v>
      </c>
      <c r="O66" s="10">
        <v>7</v>
      </c>
      <c r="P66" s="10">
        <v>7</v>
      </c>
      <c r="Q66" s="10">
        <v>7</v>
      </c>
      <c r="R66" s="10">
        <v>7</v>
      </c>
      <c r="T66" s="4">
        <f t="shared" si="0"/>
        <v>7</v>
      </c>
      <c r="U66" s="4">
        <f t="shared" si="1"/>
        <v>7.5</v>
      </c>
      <c r="V66" s="10">
        <v>2</v>
      </c>
      <c r="X66" s="10">
        <v>8</v>
      </c>
      <c r="Y66" s="10">
        <v>8</v>
      </c>
      <c r="Z66" s="10">
        <v>7</v>
      </c>
      <c r="AA66" s="10">
        <v>7</v>
      </c>
      <c r="AD66" s="10">
        <v>2</v>
      </c>
      <c r="AE66" s="10">
        <v>2</v>
      </c>
    </row>
    <row r="67" spans="2:31" x14ac:dyDescent="0.3">
      <c r="B67" s="94"/>
      <c r="C67" s="87"/>
      <c r="D67" s="93"/>
      <c r="E67" s="89"/>
      <c r="F67" s="9" t="s">
        <v>3</v>
      </c>
      <c r="G67" s="10">
        <v>9</v>
      </c>
      <c r="H67" s="10">
        <v>9</v>
      </c>
      <c r="I67" s="10">
        <v>9</v>
      </c>
      <c r="J67" s="10">
        <v>9</v>
      </c>
      <c r="K67" s="10">
        <v>9</v>
      </c>
      <c r="L67" s="10">
        <v>9</v>
      </c>
      <c r="M67" s="10">
        <v>9</v>
      </c>
      <c r="N67" s="10">
        <v>9</v>
      </c>
      <c r="O67" s="10">
        <v>9</v>
      </c>
      <c r="P67" s="10">
        <v>9</v>
      </c>
      <c r="Q67" s="10">
        <v>9</v>
      </c>
      <c r="R67" s="10">
        <v>9</v>
      </c>
      <c r="T67" s="4">
        <f t="shared" si="0"/>
        <v>9</v>
      </c>
      <c r="U67" s="4">
        <f t="shared" si="1"/>
        <v>9</v>
      </c>
      <c r="V67" s="10">
        <v>8</v>
      </c>
      <c r="X67" s="10">
        <v>9</v>
      </c>
      <c r="Y67" s="10">
        <v>9</v>
      </c>
      <c r="Z67" s="10">
        <v>9</v>
      </c>
      <c r="AA67" s="10">
        <v>9</v>
      </c>
      <c r="AD67" s="10">
        <v>7</v>
      </c>
      <c r="AE67" s="10">
        <v>8</v>
      </c>
    </row>
    <row r="68" spans="2:31" x14ac:dyDescent="0.3">
      <c r="B68" s="94"/>
      <c r="C68" s="87"/>
      <c r="D68" s="92" t="s">
        <v>60</v>
      </c>
      <c r="E68" s="87"/>
      <c r="F68" s="9" t="s">
        <v>2</v>
      </c>
      <c r="G68" s="10">
        <v>9</v>
      </c>
      <c r="H68" s="10">
        <v>9</v>
      </c>
      <c r="I68" s="10">
        <v>9</v>
      </c>
      <c r="J68" s="10">
        <v>9</v>
      </c>
      <c r="K68" s="10">
        <v>9</v>
      </c>
      <c r="L68" s="10">
        <v>9</v>
      </c>
      <c r="M68" s="10">
        <v>9</v>
      </c>
      <c r="N68" s="10">
        <v>9</v>
      </c>
      <c r="O68" s="10">
        <v>9</v>
      </c>
      <c r="P68" s="10">
        <v>9</v>
      </c>
      <c r="Q68" s="10">
        <v>9</v>
      </c>
      <c r="R68" s="10">
        <v>9</v>
      </c>
      <c r="T68" s="4">
        <f t="shared" ref="T68:T131" si="2">+R68</f>
        <v>9</v>
      </c>
      <c r="U68" s="4">
        <f t="shared" ref="U68:U131" si="3">+AVERAGE(G68:R68)</f>
        <v>9</v>
      </c>
      <c r="V68" s="10">
        <v>9</v>
      </c>
      <c r="X68" s="10">
        <v>9</v>
      </c>
      <c r="Y68" s="10">
        <v>9</v>
      </c>
      <c r="Z68" s="10">
        <v>9</v>
      </c>
      <c r="AA68" s="10">
        <v>9</v>
      </c>
      <c r="AD68" s="10">
        <v>9</v>
      </c>
      <c r="AE68" s="10">
        <v>9</v>
      </c>
    </row>
    <row r="69" spans="2:31" x14ac:dyDescent="0.3">
      <c r="B69" s="94"/>
      <c r="C69" s="87"/>
      <c r="D69" s="93"/>
      <c r="E69" s="89"/>
      <c r="F69" s="9" t="s">
        <v>3</v>
      </c>
      <c r="G69" s="10">
        <v>9</v>
      </c>
      <c r="H69" s="10">
        <v>9</v>
      </c>
      <c r="I69" s="10">
        <v>9</v>
      </c>
      <c r="J69" s="10">
        <v>9</v>
      </c>
      <c r="K69" s="10">
        <v>9</v>
      </c>
      <c r="L69" s="10">
        <v>9</v>
      </c>
      <c r="M69" s="10">
        <v>9</v>
      </c>
      <c r="N69" s="10">
        <v>9</v>
      </c>
      <c r="O69" s="10">
        <v>9</v>
      </c>
      <c r="P69" s="10">
        <v>9</v>
      </c>
      <c r="Q69" s="10">
        <v>9</v>
      </c>
      <c r="R69" s="10">
        <v>9</v>
      </c>
      <c r="T69" s="4">
        <f t="shared" si="2"/>
        <v>9</v>
      </c>
      <c r="U69" s="4">
        <f t="shared" si="3"/>
        <v>9</v>
      </c>
      <c r="V69" s="10">
        <v>9</v>
      </c>
      <c r="X69" s="10">
        <v>9</v>
      </c>
      <c r="Y69" s="10">
        <v>9</v>
      </c>
      <c r="Z69" s="10">
        <v>9</v>
      </c>
      <c r="AA69" s="10">
        <v>9</v>
      </c>
      <c r="AD69" s="10">
        <v>9</v>
      </c>
      <c r="AE69" s="10">
        <v>9</v>
      </c>
    </row>
    <row r="70" spans="2:31" x14ac:dyDescent="0.3">
      <c r="B70" s="94"/>
      <c r="C70" s="87"/>
      <c r="D70" s="92" t="s">
        <v>58</v>
      </c>
      <c r="E70" s="87"/>
      <c r="F70" s="9" t="s">
        <v>2</v>
      </c>
      <c r="G70" s="10">
        <v>2</v>
      </c>
      <c r="H70" s="10">
        <v>2</v>
      </c>
      <c r="I70" s="10">
        <v>2</v>
      </c>
      <c r="J70" s="10">
        <v>2</v>
      </c>
      <c r="K70" s="10">
        <v>2</v>
      </c>
      <c r="L70" s="10">
        <v>2</v>
      </c>
      <c r="M70" s="10">
        <v>2</v>
      </c>
      <c r="N70" s="10">
        <v>2</v>
      </c>
      <c r="O70" s="10">
        <v>2</v>
      </c>
      <c r="P70" s="10">
        <v>2</v>
      </c>
      <c r="Q70" s="10">
        <v>2</v>
      </c>
      <c r="R70" s="10">
        <v>3</v>
      </c>
      <c r="T70" s="4">
        <f t="shared" si="2"/>
        <v>3</v>
      </c>
      <c r="U70" s="4">
        <f t="shared" si="3"/>
        <v>2.0833333333333335</v>
      </c>
      <c r="V70" s="10">
        <v>9</v>
      </c>
      <c r="X70" s="10">
        <v>2</v>
      </c>
      <c r="Y70" s="10">
        <v>2</v>
      </c>
      <c r="Z70" s="10">
        <v>2</v>
      </c>
      <c r="AA70" s="10">
        <v>2</v>
      </c>
      <c r="AD70" s="10">
        <v>9</v>
      </c>
      <c r="AE70" s="10">
        <v>9</v>
      </c>
    </row>
    <row r="71" spans="2:31" x14ac:dyDescent="0.3">
      <c r="B71" s="93"/>
      <c r="C71" s="89"/>
      <c r="D71" s="93"/>
      <c r="E71" s="89"/>
      <c r="F71" s="9" t="s">
        <v>3</v>
      </c>
      <c r="G71" s="10">
        <v>2</v>
      </c>
      <c r="H71" s="10">
        <v>2</v>
      </c>
      <c r="I71" s="10">
        <v>2</v>
      </c>
      <c r="J71" s="10">
        <v>2</v>
      </c>
      <c r="K71" s="10">
        <v>2</v>
      </c>
      <c r="L71" s="10">
        <v>2</v>
      </c>
      <c r="M71" s="10">
        <v>2</v>
      </c>
      <c r="N71" s="10">
        <v>2</v>
      </c>
      <c r="O71" s="10">
        <v>2</v>
      </c>
      <c r="P71" s="10">
        <v>2</v>
      </c>
      <c r="Q71" s="10">
        <v>2</v>
      </c>
      <c r="R71" s="10">
        <v>2</v>
      </c>
      <c r="T71" s="4">
        <f t="shared" si="2"/>
        <v>2</v>
      </c>
      <c r="U71" s="4">
        <f t="shared" si="3"/>
        <v>2</v>
      </c>
      <c r="V71" s="10">
        <v>2</v>
      </c>
      <c r="X71" s="10">
        <v>2</v>
      </c>
      <c r="Y71" s="10">
        <v>2</v>
      </c>
      <c r="Z71" s="10">
        <v>2</v>
      </c>
      <c r="AA71" s="10">
        <v>2</v>
      </c>
      <c r="AD71" s="10">
        <v>3</v>
      </c>
      <c r="AE71" s="10">
        <v>2</v>
      </c>
    </row>
    <row r="72" spans="2:31" x14ac:dyDescent="0.3">
      <c r="B72" s="92" t="s">
        <v>61</v>
      </c>
      <c r="C72" s="89"/>
      <c r="D72" s="92" t="s">
        <v>61</v>
      </c>
      <c r="E72" s="89"/>
      <c r="F72" s="9" t="s">
        <v>2</v>
      </c>
      <c r="G72" s="10">
        <v>3</v>
      </c>
      <c r="H72" s="10">
        <v>3</v>
      </c>
      <c r="I72" s="10">
        <v>3</v>
      </c>
      <c r="J72" s="10">
        <v>3</v>
      </c>
      <c r="K72" s="10">
        <v>3</v>
      </c>
      <c r="L72" s="10">
        <v>3</v>
      </c>
      <c r="M72" s="10">
        <v>3</v>
      </c>
      <c r="N72" s="10">
        <v>3</v>
      </c>
      <c r="O72" s="10">
        <v>3</v>
      </c>
      <c r="P72" s="10">
        <v>3</v>
      </c>
      <c r="Q72" s="10">
        <v>3</v>
      </c>
      <c r="R72" s="10">
        <v>3</v>
      </c>
      <c r="T72" s="4">
        <f t="shared" si="2"/>
        <v>3</v>
      </c>
      <c r="U72" s="4">
        <f t="shared" si="3"/>
        <v>3</v>
      </c>
      <c r="V72" s="10">
        <v>2</v>
      </c>
      <c r="X72" s="10">
        <v>3</v>
      </c>
      <c r="Y72" s="10">
        <v>3</v>
      </c>
      <c r="Z72" s="10">
        <v>3</v>
      </c>
      <c r="AA72" s="10">
        <v>3</v>
      </c>
      <c r="AD72" s="10">
        <v>2</v>
      </c>
      <c r="AE72" s="10">
        <v>2</v>
      </c>
    </row>
    <row r="73" spans="2:31" x14ac:dyDescent="0.3">
      <c r="B73" s="92" t="s">
        <v>62</v>
      </c>
      <c r="C73" s="87"/>
      <c r="D73" s="92" t="s">
        <v>63</v>
      </c>
      <c r="E73" s="87"/>
      <c r="F73" s="9" t="s">
        <v>2</v>
      </c>
      <c r="G73" s="10">
        <v>16</v>
      </c>
      <c r="H73" s="10">
        <v>16</v>
      </c>
      <c r="I73" s="10">
        <v>16</v>
      </c>
      <c r="J73" s="10">
        <v>16</v>
      </c>
      <c r="K73" s="10">
        <v>16</v>
      </c>
      <c r="L73" s="10">
        <v>15</v>
      </c>
      <c r="M73" s="10">
        <v>15</v>
      </c>
      <c r="N73" s="10">
        <v>15</v>
      </c>
      <c r="O73" s="10">
        <v>15</v>
      </c>
      <c r="P73" s="10">
        <v>14</v>
      </c>
      <c r="Q73" s="10">
        <v>14</v>
      </c>
      <c r="R73" s="10">
        <v>13</v>
      </c>
      <c r="T73" s="4">
        <f t="shared" si="2"/>
        <v>13</v>
      </c>
      <c r="U73" s="4">
        <f t="shared" si="3"/>
        <v>15.083333333333334</v>
      </c>
      <c r="V73" s="10">
        <v>3</v>
      </c>
      <c r="X73" s="10">
        <v>16</v>
      </c>
      <c r="Y73" s="10">
        <v>16</v>
      </c>
      <c r="Z73" s="10">
        <v>15</v>
      </c>
      <c r="AA73" s="10">
        <v>14</v>
      </c>
      <c r="AD73" s="10">
        <v>3</v>
      </c>
      <c r="AE73" s="10">
        <v>3</v>
      </c>
    </row>
    <row r="74" spans="2:31" x14ac:dyDescent="0.3">
      <c r="B74" s="94"/>
      <c r="C74" s="87"/>
      <c r="D74" s="93"/>
      <c r="E74" s="89"/>
      <c r="F74" s="9" t="s">
        <v>3</v>
      </c>
      <c r="G74" s="10">
        <v>17</v>
      </c>
      <c r="H74" s="10">
        <v>17</v>
      </c>
      <c r="I74" s="10">
        <v>17</v>
      </c>
      <c r="J74" s="10">
        <v>17</v>
      </c>
      <c r="K74" s="10">
        <v>17</v>
      </c>
      <c r="L74" s="10">
        <v>17</v>
      </c>
      <c r="M74" s="10">
        <v>17</v>
      </c>
      <c r="N74" s="10">
        <v>17</v>
      </c>
      <c r="O74" s="10">
        <v>17</v>
      </c>
      <c r="P74" s="10">
        <v>17</v>
      </c>
      <c r="Q74" s="10">
        <v>17</v>
      </c>
      <c r="R74" s="10">
        <v>17</v>
      </c>
      <c r="T74" s="4">
        <f t="shared" si="2"/>
        <v>17</v>
      </c>
      <c r="U74" s="4">
        <f t="shared" si="3"/>
        <v>17</v>
      </c>
      <c r="V74" s="10">
        <v>15</v>
      </c>
      <c r="X74" s="10">
        <v>17</v>
      </c>
      <c r="Y74" s="10">
        <v>17</v>
      </c>
      <c r="Z74" s="10">
        <v>17</v>
      </c>
      <c r="AA74" s="10">
        <v>17</v>
      </c>
      <c r="AD74" s="10">
        <v>13</v>
      </c>
      <c r="AE74" s="10">
        <v>15</v>
      </c>
    </row>
    <row r="75" spans="2:31" x14ac:dyDescent="0.3">
      <c r="B75" s="94"/>
      <c r="C75" s="87"/>
      <c r="D75" s="92" t="s">
        <v>64</v>
      </c>
      <c r="E75" s="87"/>
      <c r="F75" s="9" t="s">
        <v>2</v>
      </c>
      <c r="G75" s="10">
        <v>14</v>
      </c>
      <c r="H75" s="10">
        <v>14</v>
      </c>
      <c r="I75" s="10">
        <v>9</v>
      </c>
      <c r="J75" s="10">
        <v>9</v>
      </c>
      <c r="K75" s="10">
        <v>12</v>
      </c>
      <c r="L75" s="10">
        <v>12</v>
      </c>
      <c r="M75" s="10">
        <v>12</v>
      </c>
      <c r="N75" s="10">
        <v>13</v>
      </c>
      <c r="O75" s="10">
        <v>13</v>
      </c>
      <c r="P75" s="10">
        <v>13</v>
      </c>
      <c r="Q75" s="10">
        <v>13</v>
      </c>
      <c r="R75" s="10">
        <v>13</v>
      </c>
      <c r="T75" s="4">
        <f t="shared" si="2"/>
        <v>13</v>
      </c>
      <c r="U75" s="4">
        <f t="shared" si="3"/>
        <v>12.25</v>
      </c>
      <c r="V75" s="10">
        <v>17</v>
      </c>
      <c r="X75" s="10">
        <v>12</v>
      </c>
      <c r="Y75" s="10">
        <v>11</v>
      </c>
      <c r="Z75" s="10">
        <v>13</v>
      </c>
      <c r="AA75" s="10">
        <v>13</v>
      </c>
      <c r="AD75" s="10">
        <v>17</v>
      </c>
      <c r="AE75" s="10">
        <v>17</v>
      </c>
    </row>
    <row r="76" spans="2:31" x14ac:dyDescent="0.3">
      <c r="B76" s="94"/>
      <c r="C76" s="87"/>
      <c r="D76" s="93"/>
      <c r="E76" s="89"/>
      <c r="F76" s="9" t="s">
        <v>3</v>
      </c>
      <c r="G76" s="10">
        <v>15</v>
      </c>
      <c r="H76" s="10">
        <v>15</v>
      </c>
      <c r="I76" s="10">
        <v>15</v>
      </c>
      <c r="J76" s="10">
        <v>15</v>
      </c>
      <c r="K76" s="10">
        <v>15</v>
      </c>
      <c r="L76" s="10">
        <v>15</v>
      </c>
      <c r="M76" s="10">
        <v>15</v>
      </c>
      <c r="N76" s="10">
        <v>15</v>
      </c>
      <c r="O76" s="10">
        <v>15</v>
      </c>
      <c r="P76" s="10">
        <v>15</v>
      </c>
      <c r="Q76" s="10">
        <v>15</v>
      </c>
      <c r="R76" s="10">
        <v>15</v>
      </c>
      <c r="T76" s="4">
        <f t="shared" si="2"/>
        <v>15</v>
      </c>
      <c r="U76" s="4">
        <f t="shared" si="3"/>
        <v>15</v>
      </c>
      <c r="V76" s="10">
        <v>12</v>
      </c>
      <c r="X76" s="10">
        <v>15</v>
      </c>
      <c r="Y76" s="10">
        <v>15</v>
      </c>
      <c r="Z76" s="10">
        <v>15</v>
      </c>
      <c r="AA76" s="10">
        <v>15</v>
      </c>
      <c r="AD76" s="10">
        <v>13</v>
      </c>
      <c r="AE76" s="10">
        <v>12</v>
      </c>
    </row>
    <row r="77" spans="2:31" x14ac:dyDescent="0.3">
      <c r="B77" s="94"/>
      <c r="C77" s="87"/>
      <c r="D77" s="92" t="s">
        <v>65</v>
      </c>
      <c r="E77" s="87"/>
      <c r="F77" s="9" t="s">
        <v>2</v>
      </c>
      <c r="G77" s="10">
        <v>1</v>
      </c>
      <c r="H77" s="10">
        <v>1</v>
      </c>
      <c r="I77" s="10">
        <v>2</v>
      </c>
      <c r="J77" s="10">
        <v>2</v>
      </c>
      <c r="K77" s="10">
        <v>2</v>
      </c>
      <c r="L77" s="10">
        <v>2</v>
      </c>
      <c r="M77" s="10">
        <v>2</v>
      </c>
      <c r="N77" s="10">
        <v>2</v>
      </c>
      <c r="O77" s="10">
        <v>2</v>
      </c>
      <c r="P77" s="10">
        <v>2</v>
      </c>
      <c r="Q77" s="10">
        <v>2</v>
      </c>
      <c r="R77" s="10">
        <v>2</v>
      </c>
      <c r="T77" s="4">
        <f t="shared" si="2"/>
        <v>2</v>
      </c>
      <c r="U77" s="4">
        <f t="shared" si="3"/>
        <v>1.8333333333333333</v>
      </c>
      <c r="V77" s="10">
        <v>15</v>
      </c>
      <c r="X77" s="10">
        <v>1</v>
      </c>
      <c r="Y77" s="10">
        <v>2</v>
      </c>
      <c r="Z77" s="10">
        <v>2</v>
      </c>
      <c r="AA77" s="10">
        <v>2</v>
      </c>
      <c r="AD77" s="10">
        <v>15</v>
      </c>
      <c r="AE77" s="10">
        <v>15</v>
      </c>
    </row>
    <row r="78" spans="2:31" x14ac:dyDescent="0.3">
      <c r="B78" s="94"/>
      <c r="C78" s="87"/>
      <c r="D78" s="93"/>
      <c r="E78" s="89"/>
      <c r="F78" s="9" t="s">
        <v>3</v>
      </c>
      <c r="G78" s="10">
        <v>2</v>
      </c>
      <c r="H78" s="10">
        <v>2</v>
      </c>
      <c r="I78" s="10">
        <v>2</v>
      </c>
      <c r="J78" s="10">
        <v>2</v>
      </c>
      <c r="K78" s="10">
        <v>2</v>
      </c>
      <c r="L78" s="10">
        <v>2</v>
      </c>
      <c r="M78" s="10">
        <v>2</v>
      </c>
      <c r="N78" s="10">
        <v>2</v>
      </c>
      <c r="O78" s="10">
        <v>2</v>
      </c>
      <c r="P78" s="10">
        <v>2</v>
      </c>
      <c r="Q78" s="10">
        <v>2</v>
      </c>
      <c r="R78" s="10">
        <v>2</v>
      </c>
      <c r="T78" s="4">
        <f t="shared" si="2"/>
        <v>2</v>
      </c>
      <c r="U78" s="4">
        <f t="shared" si="3"/>
        <v>2</v>
      </c>
      <c r="V78" s="10">
        <v>2</v>
      </c>
      <c r="X78" s="10">
        <v>2</v>
      </c>
      <c r="Y78" s="10">
        <v>2</v>
      </c>
      <c r="Z78" s="10">
        <v>2</v>
      </c>
      <c r="AA78" s="10">
        <v>2</v>
      </c>
      <c r="AD78" s="10">
        <v>2</v>
      </c>
      <c r="AE78" s="10">
        <v>2</v>
      </c>
    </row>
    <row r="79" spans="2:31" x14ac:dyDescent="0.3">
      <c r="B79" s="94"/>
      <c r="C79" s="87"/>
      <c r="D79" s="92" t="s">
        <v>62</v>
      </c>
      <c r="E79" s="87"/>
      <c r="F79" s="9" t="s">
        <v>2</v>
      </c>
      <c r="G79" s="10">
        <v>5</v>
      </c>
      <c r="H79" s="10">
        <v>5</v>
      </c>
      <c r="I79" s="10">
        <v>5</v>
      </c>
      <c r="J79" s="10">
        <v>5</v>
      </c>
      <c r="K79" s="10">
        <v>5</v>
      </c>
      <c r="L79" s="10">
        <v>5</v>
      </c>
      <c r="M79" s="10">
        <v>5</v>
      </c>
      <c r="N79" s="10">
        <v>5</v>
      </c>
      <c r="O79" s="10">
        <v>5</v>
      </c>
      <c r="P79" s="10">
        <v>5</v>
      </c>
      <c r="Q79" s="10">
        <v>5</v>
      </c>
      <c r="R79" s="10">
        <v>5</v>
      </c>
      <c r="T79" s="4">
        <f t="shared" si="2"/>
        <v>5</v>
      </c>
      <c r="U79" s="4">
        <f t="shared" si="3"/>
        <v>5</v>
      </c>
      <c r="V79" s="10">
        <v>2</v>
      </c>
      <c r="X79" s="10">
        <v>5</v>
      </c>
      <c r="Y79" s="10">
        <v>5</v>
      </c>
      <c r="Z79" s="10">
        <v>5</v>
      </c>
      <c r="AA79" s="10">
        <v>5</v>
      </c>
      <c r="AD79" s="10">
        <v>2</v>
      </c>
      <c r="AE79" s="10">
        <v>2</v>
      </c>
    </row>
    <row r="80" spans="2:31" x14ac:dyDescent="0.3">
      <c r="B80" s="93"/>
      <c r="C80" s="89"/>
      <c r="D80" s="93"/>
      <c r="E80" s="89"/>
      <c r="F80" s="9" t="s">
        <v>3</v>
      </c>
      <c r="G80" s="10">
        <v>5</v>
      </c>
      <c r="H80" s="10">
        <v>5</v>
      </c>
      <c r="I80" s="10">
        <v>5</v>
      </c>
      <c r="J80" s="10">
        <v>5</v>
      </c>
      <c r="K80" s="10">
        <v>5</v>
      </c>
      <c r="L80" s="10">
        <v>5</v>
      </c>
      <c r="M80" s="10">
        <v>5</v>
      </c>
      <c r="N80" s="10">
        <v>5</v>
      </c>
      <c r="O80" s="10">
        <v>5</v>
      </c>
      <c r="P80" s="10">
        <v>5</v>
      </c>
      <c r="Q80" s="10">
        <v>5</v>
      </c>
      <c r="R80" s="10">
        <v>5</v>
      </c>
      <c r="T80" s="4">
        <f t="shared" si="2"/>
        <v>5</v>
      </c>
      <c r="U80" s="4">
        <f t="shared" si="3"/>
        <v>5</v>
      </c>
      <c r="V80" s="10">
        <v>5</v>
      </c>
      <c r="X80" s="10">
        <v>5</v>
      </c>
      <c r="Y80" s="10">
        <v>5</v>
      </c>
      <c r="Z80" s="10">
        <v>5</v>
      </c>
      <c r="AA80" s="10">
        <v>5</v>
      </c>
      <c r="AD80" s="10">
        <v>5</v>
      </c>
      <c r="AE80" s="10">
        <v>5</v>
      </c>
    </row>
    <row r="81" spans="2:31" x14ac:dyDescent="0.3">
      <c r="B81" s="92" t="s">
        <v>66</v>
      </c>
      <c r="C81" s="87"/>
      <c r="D81" s="92" t="s">
        <v>67</v>
      </c>
      <c r="E81" s="87"/>
      <c r="F81" s="9" t="s">
        <v>2</v>
      </c>
      <c r="G81" s="10">
        <v>5</v>
      </c>
      <c r="H81" s="10">
        <v>5</v>
      </c>
      <c r="I81" s="10">
        <v>5</v>
      </c>
      <c r="J81" s="10">
        <v>5</v>
      </c>
      <c r="K81" s="10">
        <v>5</v>
      </c>
      <c r="L81" s="10">
        <v>5</v>
      </c>
      <c r="M81" s="10">
        <v>5</v>
      </c>
      <c r="N81" s="10">
        <v>5</v>
      </c>
      <c r="O81" s="10">
        <v>5</v>
      </c>
      <c r="P81" s="10">
        <v>5</v>
      </c>
      <c r="Q81" s="10">
        <v>5</v>
      </c>
      <c r="R81" s="10">
        <v>5</v>
      </c>
      <c r="T81" s="4">
        <f t="shared" si="2"/>
        <v>5</v>
      </c>
      <c r="U81" s="4">
        <f t="shared" si="3"/>
        <v>5</v>
      </c>
      <c r="V81" s="10">
        <v>5</v>
      </c>
      <c r="X81" s="10">
        <v>5</v>
      </c>
      <c r="Y81" s="10">
        <v>5</v>
      </c>
      <c r="Z81" s="10">
        <v>5</v>
      </c>
      <c r="AA81" s="10">
        <v>5</v>
      </c>
      <c r="AD81" s="10">
        <v>5</v>
      </c>
      <c r="AE81" s="10">
        <v>5</v>
      </c>
    </row>
    <row r="82" spans="2:31" x14ac:dyDescent="0.3">
      <c r="B82" s="94"/>
      <c r="C82" s="87"/>
      <c r="D82" s="93"/>
      <c r="E82" s="89"/>
      <c r="F82" s="9" t="s">
        <v>3</v>
      </c>
      <c r="G82" s="10">
        <v>5</v>
      </c>
      <c r="H82" s="10">
        <v>5</v>
      </c>
      <c r="I82" s="10">
        <v>5</v>
      </c>
      <c r="J82" s="10">
        <v>5</v>
      </c>
      <c r="K82" s="10">
        <v>5</v>
      </c>
      <c r="L82" s="10">
        <v>5</v>
      </c>
      <c r="M82" s="10">
        <v>5</v>
      </c>
      <c r="N82" s="10">
        <v>5</v>
      </c>
      <c r="O82" s="10">
        <v>5</v>
      </c>
      <c r="P82" s="10">
        <v>5</v>
      </c>
      <c r="Q82" s="10">
        <v>5</v>
      </c>
      <c r="R82" s="10">
        <v>5</v>
      </c>
      <c r="T82" s="4">
        <f t="shared" si="2"/>
        <v>5</v>
      </c>
      <c r="U82" s="4">
        <f t="shared" si="3"/>
        <v>5</v>
      </c>
      <c r="V82" s="10">
        <v>5</v>
      </c>
      <c r="X82" s="10">
        <v>5</v>
      </c>
      <c r="Y82" s="10">
        <v>5</v>
      </c>
      <c r="Z82" s="10">
        <v>5</v>
      </c>
      <c r="AA82" s="10">
        <v>5</v>
      </c>
      <c r="AD82" s="10">
        <v>5</v>
      </c>
      <c r="AE82" s="10">
        <v>5</v>
      </c>
    </row>
    <row r="83" spans="2:31" x14ac:dyDescent="0.3">
      <c r="B83" s="94"/>
      <c r="C83" s="87"/>
      <c r="D83" s="92" t="s">
        <v>68</v>
      </c>
      <c r="E83" s="87"/>
      <c r="F83" s="9" t="s">
        <v>2</v>
      </c>
      <c r="G83" s="10">
        <v>3</v>
      </c>
      <c r="H83" s="10">
        <v>3</v>
      </c>
      <c r="I83" s="10">
        <v>3</v>
      </c>
      <c r="J83" s="10">
        <v>3</v>
      </c>
      <c r="K83" s="10">
        <v>3</v>
      </c>
      <c r="L83" s="10">
        <v>3</v>
      </c>
      <c r="M83" s="10">
        <v>2</v>
      </c>
      <c r="N83" s="10">
        <v>2</v>
      </c>
      <c r="O83" s="10">
        <v>2</v>
      </c>
      <c r="P83" s="10">
        <v>3</v>
      </c>
      <c r="Q83" s="10">
        <v>3</v>
      </c>
      <c r="R83" s="10">
        <v>3</v>
      </c>
      <c r="T83" s="4">
        <f t="shared" si="2"/>
        <v>3</v>
      </c>
      <c r="U83" s="4">
        <f t="shared" si="3"/>
        <v>2.75</v>
      </c>
      <c r="V83" s="10">
        <v>5</v>
      </c>
      <c r="X83" s="10">
        <v>3</v>
      </c>
      <c r="Y83" s="10">
        <v>3</v>
      </c>
      <c r="Z83" s="10">
        <v>2</v>
      </c>
      <c r="AA83" s="10">
        <v>3</v>
      </c>
      <c r="AD83" s="10">
        <v>5</v>
      </c>
      <c r="AE83" s="10">
        <v>5</v>
      </c>
    </row>
    <row r="84" spans="2:31" x14ac:dyDescent="0.3">
      <c r="B84" s="94"/>
      <c r="C84" s="87"/>
      <c r="D84" s="93"/>
      <c r="E84" s="89"/>
      <c r="F84" s="9" t="s">
        <v>3</v>
      </c>
      <c r="G84" s="10">
        <v>3</v>
      </c>
      <c r="H84" s="10">
        <v>3</v>
      </c>
      <c r="I84" s="10">
        <v>3</v>
      </c>
      <c r="J84" s="10">
        <v>3</v>
      </c>
      <c r="K84" s="10">
        <v>3</v>
      </c>
      <c r="L84" s="10">
        <v>3</v>
      </c>
      <c r="M84" s="10">
        <v>3</v>
      </c>
      <c r="N84" s="10">
        <v>3</v>
      </c>
      <c r="O84" s="10">
        <v>3</v>
      </c>
      <c r="P84" s="10">
        <v>3</v>
      </c>
      <c r="Q84" s="10">
        <v>3</v>
      </c>
      <c r="R84" s="10">
        <v>3</v>
      </c>
      <c r="T84" s="4">
        <f t="shared" si="2"/>
        <v>3</v>
      </c>
      <c r="U84" s="4">
        <f t="shared" si="3"/>
        <v>3</v>
      </c>
      <c r="V84" s="10">
        <v>3</v>
      </c>
      <c r="X84" s="10">
        <v>3</v>
      </c>
      <c r="Y84" s="10">
        <v>3</v>
      </c>
      <c r="Z84" s="10">
        <v>3</v>
      </c>
      <c r="AA84" s="10">
        <v>3</v>
      </c>
      <c r="AD84" s="10">
        <v>3</v>
      </c>
      <c r="AE84" s="10">
        <v>3</v>
      </c>
    </row>
    <row r="85" spans="2:31" x14ac:dyDescent="0.3">
      <c r="B85" s="94"/>
      <c r="C85" s="87"/>
      <c r="D85" s="92" t="s">
        <v>69</v>
      </c>
      <c r="E85" s="87"/>
      <c r="F85" s="9" t="s">
        <v>2</v>
      </c>
      <c r="G85" s="10">
        <v>4</v>
      </c>
      <c r="H85" s="10">
        <v>5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T85" s="4">
        <f t="shared" si="2"/>
        <v>0</v>
      </c>
      <c r="U85" s="4">
        <f t="shared" si="3"/>
        <v>0.75</v>
      </c>
      <c r="V85" s="10">
        <v>3</v>
      </c>
      <c r="X85" s="10">
        <v>5</v>
      </c>
      <c r="Y85" s="10">
        <v>0</v>
      </c>
      <c r="Z85" s="10">
        <v>0</v>
      </c>
      <c r="AA85" s="10">
        <v>0</v>
      </c>
      <c r="AD85" s="10">
        <v>3</v>
      </c>
      <c r="AE85" s="10">
        <v>3</v>
      </c>
    </row>
    <row r="86" spans="2:31" x14ac:dyDescent="0.3">
      <c r="B86" s="94"/>
      <c r="C86" s="87"/>
      <c r="D86" s="93"/>
      <c r="E86" s="89"/>
      <c r="F86" s="9" t="s">
        <v>3</v>
      </c>
      <c r="G86" s="10">
        <v>6</v>
      </c>
      <c r="H86" s="10">
        <v>6</v>
      </c>
      <c r="I86" s="10">
        <v>6</v>
      </c>
      <c r="J86" s="10">
        <v>6</v>
      </c>
      <c r="K86" s="10">
        <v>6</v>
      </c>
      <c r="L86" s="10">
        <v>6</v>
      </c>
      <c r="M86" s="10">
        <v>6</v>
      </c>
      <c r="N86" s="10">
        <v>6</v>
      </c>
      <c r="O86" s="10">
        <v>6</v>
      </c>
      <c r="P86" s="10">
        <v>6</v>
      </c>
      <c r="Q86" s="10">
        <v>6</v>
      </c>
      <c r="R86" s="10">
        <v>6</v>
      </c>
      <c r="T86" s="4">
        <f t="shared" si="2"/>
        <v>6</v>
      </c>
      <c r="U86" s="4">
        <f t="shared" si="3"/>
        <v>6</v>
      </c>
      <c r="V86" s="10">
        <v>1</v>
      </c>
      <c r="X86" s="10">
        <v>6</v>
      </c>
      <c r="Y86" s="10">
        <v>6</v>
      </c>
      <c r="Z86" s="10">
        <v>6</v>
      </c>
      <c r="AA86" s="10">
        <v>6</v>
      </c>
      <c r="AD86" s="10">
        <v>0</v>
      </c>
      <c r="AE86" s="10">
        <v>5</v>
      </c>
    </row>
    <row r="87" spans="2:31" x14ac:dyDescent="0.3">
      <c r="B87" s="94"/>
      <c r="C87" s="87"/>
      <c r="D87" s="92" t="s">
        <v>70</v>
      </c>
      <c r="E87" s="89"/>
      <c r="F87" s="9" t="s">
        <v>2</v>
      </c>
      <c r="G87" s="10">
        <v>0</v>
      </c>
      <c r="H87" s="10">
        <v>0</v>
      </c>
      <c r="I87" s="10">
        <v>8</v>
      </c>
      <c r="J87" s="10">
        <v>8</v>
      </c>
      <c r="K87" s="10">
        <v>8</v>
      </c>
      <c r="L87" s="10">
        <v>8</v>
      </c>
      <c r="M87" s="10">
        <v>8</v>
      </c>
      <c r="N87" s="10">
        <v>8</v>
      </c>
      <c r="O87" s="10">
        <v>8</v>
      </c>
      <c r="P87" s="10">
        <v>8</v>
      </c>
      <c r="Q87" s="10">
        <v>7</v>
      </c>
      <c r="R87" s="10">
        <v>7</v>
      </c>
      <c r="T87" s="4">
        <f t="shared" si="2"/>
        <v>7</v>
      </c>
      <c r="U87" s="4">
        <f t="shared" si="3"/>
        <v>6.5</v>
      </c>
      <c r="V87" s="10">
        <v>6</v>
      </c>
      <c r="X87" s="10">
        <v>8</v>
      </c>
      <c r="Y87" s="10">
        <v>8</v>
      </c>
      <c r="Z87" s="10">
        <v>8</v>
      </c>
      <c r="AA87" s="10">
        <v>7</v>
      </c>
      <c r="AD87" s="10">
        <v>6</v>
      </c>
      <c r="AE87" s="10">
        <v>6</v>
      </c>
    </row>
    <row r="88" spans="2:31" x14ac:dyDescent="0.3">
      <c r="B88" s="94"/>
      <c r="C88" s="87"/>
      <c r="D88" s="92" t="s">
        <v>71</v>
      </c>
      <c r="E88" s="87"/>
      <c r="F88" s="9" t="s">
        <v>2</v>
      </c>
      <c r="G88" s="10">
        <v>4</v>
      </c>
      <c r="H88" s="10">
        <v>3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T88" s="4">
        <f t="shared" si="2"/>
        <v>0</v>
      </c>
      <c r="U88" s="4">
        <f t="shared" si="3"/>
        <v>0.58333333333333337</v>
      </c>
      <c r="V88" s="10">
        <v>8</v>
      </c>
      <c r="X88" s="10">
        <v>4</v>
      </c>
      <c r="Y88" s="10">
        <v>0</v>
      </c>
      <c r="Z88" s="10">
        <v>0</v>
      </c>
      <c r="AA88" s="10">
        <v>0</v>
      </c>
      <c r="AD88" s="10">
        <v>7</v>
      </c>
      <c r="AE88" s="10">
        <v>8</v>
      </c>
    </row>
    <row r="89" spans="2:31" x14ac:dyDescent="0.3">
      <c r="B89" s="94"/>
      <c r="C89" s="87"/>
      <c r="D89" s="93"/>
      <c r="E89" s="89"/>
      <c r="F89" s="9" t="s">
        <v>3</v>
      </c>
      <c r="G89" s="10">
        <v>5</v>
      </c>
      <c r="H89" s="10">
        <v>5</v>
      </c>
      <c r="I89" s="10">
        <v>5</v>
      </c>
      <c r="J89" s="10">
        <v>5</v>
      </c>
      <c r="K89" s="10">
        <v>5</v>
      </c>
      <c r="L89" s="10">
        <v>5</v>
      </c>
      <c r="M89" s="10">
        <v>5</v>
      </c>
      <c r="N89" s="10">
        <v>5</v>
      </c>
      <c r="O89" s="10">
        <v>5</v>
      </c>
      <c r="P89" s="10">
        <v>5</v>
      </c>
      <c r="Q89" s="10">
        <v>5</v>
      </c>
      <c r="R89" s="10">
        <v>5</v>
      </c>
      <c r="T89" s="4">
        <f t="shared" si="2"/>
        <v>5</v>
      </c>
      <c r="U89" s="4">
        <f t="shared" si="3"/>
        <v>5</v>
      </c>
      <c r="V89" s="10">
        <v>1</v>
      </c>
      <c r="X89" s="10">
        <v>5</v>
      </c>
      <c r="Y89" s="10">
        <v>5</v>
      </c>
      <c r="Z89" s="10">
        <v>5</v>
      </c>
      <c r="AA89" s="10">
        <v>5</v>
      </c>
      <c r="AD89" s="10">
        <v>0</v>
      </c>
      <c r="AE89" s="10">
        <v>4</v>
      </c>
    </row>
    <row r="90" spans="2:31" x14ac:dyDescent="0.3">
      <c r="B90" s="94"/>
      <c r="C90" s="87"/>
      <c r="D90" s="92" t="s">
        <v>72</v>
      </c>
      <c r="E90" s="87"/>
      <c r="F90" s="9" t="s">
        <v>2</v>
      </c>
      <c r="G90" s="10">
        <v>2</v>
      </c>
      <c r="H90" s="10">
        <v>2</v>
      </c>
      <c r="I90" s="10">
        <v>2</v>
      </c>
      <c r="J90" s="10">
        <v>3</v>
      </c>
      <c r="K90" s="10">
        <v>3</v>
      </c>
      <c r="L90" s="10">
        <v>3</v>
      </c>
      <c r="M90" s="10">
        <v>2</v>
      </c>
      <c r="N90" s="10">
        <v>2</v>
      </c>
      <c r="O90" s="10">
        <v>2</v>
      </c>
      <c r="P90" s="10">
        <v>2</v>
      </c>
      <c r="Q90" s="10">
        <v>2</v>
      </c>
      <c r="R90" s="10">
        <v>2</v>
      </c>
      <c r="T90" s="4">
        <f t="shared" si="2"/>
        <v>2</v>
      </c>
      <c r="U90" s="4">
        <f t="shared" si="3"/>
        <v>2.25</v>
      </c>
      <c r="V90" s="10">
        <v>5</v>
      </c>
      <c r="X90" s="10">
        <v>2</v>
      </c>
      <c r="Y90" s="10">
        <v>3</v>
      </c>
      <c r="Z90" s="10">
        <v>2</v>
      </c>
      <c r="AA90" s="10">
        <v>2</v>
      </c>
      <c r="AD90" s="10">
        <v>5</v>
      </c>
      <c r="AE90" s="10">
        <v>5</v>
      </c>
    </row>
    <row r="91" spans="2:31" x14ac:dyDescent="0.3">
      <c r="B91" s="94"/>
      <c r="C91" s="87"/>
      <c r="D91" s="93"/>
      <c r="E91" s="89"/>
      <c r="F91" s="9" t="s">
        <v>3</v>
      </c>
      <c r="G91" s="10">
        <v>3</v>
      </c>
      <c r="H91" s="10">
        <v>3</v>
      </c>
      <c r="I91" s="10">
        <v>3</v>
      </c>
      <c r="J91" s="10">
        <v>3</v>
      </c>
      <c r="K91" s="10">
        <v>3</v>
      </c>
      <c r="L91" s="10">
        <v>3</v>
      </c>
      <c r="M91" s="10">
        <v>3</v>
      </c>
      <c r="N91" s="10">
        <v>3</v>
      </c>
      <c r="O91" s="10">
        <v>3</v>
      </c>
      <c r="P91" s="10">
        <v>3</v>
      </c>
      <c r="Q91" s="10">
        <v>3</v>
      </c>
      <c r="R91" s="10">
        <v>3</v>
      </c>
      <c r="T91" s="4">
        <f t="shared" si="2"/>
        <v>3</v>
      </c>
      <c r="U91" s="4">
        <f t="shared" si="3"/>
        <v>3</v>
      </c>
      <c r="V91" s="10">
        <v>2</v>
      </c>
      <c r="X91" s="10">
        <v>3</v>
      </c>
      <c r="Y91" s="10">
        <v>3</v>
      </c>
      <c r="Z91" s="10">
        <v>3</v>
      </c>
      <c r="AA91" s="10">
        <v>3</v>
      </c>
      <c r="AD91" s="10">
        <v>2</v>
      </c>
      <c r="AE91" s="10">
        <v>2</v>
      </c>
    </row>
    <row r="92" spans="2:31" x14ac:dyDescent="0.3">
      <c r="B92" s="94"/>
      <c r="C92" s="87"/>
      <c r="D92" s="92" t="s">
        <v>73</v>
      </c>
      <c r="E92" s="87"/>
      <c r="F92" s="9" t="s">
        <v>2</v>
      </c>
      <c r="G92" s="10">
        <v>3</v>
      </c>
      <c r="H92" s="10">
        <v>3</v>
      </c>
      <c r="I92" s="10">
        <v>3</v>
      </c>
      <c r="J92" s="10">
        <v>3</v>
      </c>
      <c r="K92" s="10">
        <v>3</v>
      </c>
      <c r="L92" s="10">
        <v>3</v>
      </c>
      <c r="M92" s="10">
        <v>3</v>
      </c>
      <c r="N92" s="10">
        <v>3</v>
      </c>
      <c r="O92" s="10">
        <v>3</v>
      </c>
      <c r="P92" s="10">
        <v>3</v>
      </c>
      <c r="Q92" s="10">
        <v>3</v>
      </c>
      <c r="R92" s="10">
        <v>3</v>
      </c>
      <c r="T92" s="4">
        <f t="shared" si="2"/>
        <v>3</v>
      </c>
      <c r="U92" s="4">
        <f t="shared" si="3"/>
        <v>3</v>
      </c>
      <c r="V92" s="10">
        <v>3</v>
      </c>
      <c r="X92" s="10">
        <v>3</v>
      </c>
      <c r="Y92" s="10">
        <v>3</v>
      </c>
      <c r="Z92" s="10">
        <v>3</v>
      </c>
      <c r="AA92" s="10">
        <v>3</v>
      </c>
      <c r="AD92" s="10">
        <v>3</v>
      </c>
      <c r="AE92" s="10">
        <v>3</v>
      </c>
    </row>
    <row r="93" spans="2:31" x14ac:dyDescent="0.3">
      <c r="B93" s="94"/>
      <c r="C93" s="87"/>
      <c r="D93" s="93"/>
      <c r="E93" s="89"/>
      <c r="F93" s="9" t="s">
        <v>3</v>
      </c>
      <c r="G93" s="10">
        <v>3</v>
      </c>
      <c r="H93" s="10">
        <v>3</v>
      </c>
      <c r="I93" s="10">
        <v>3</v>
      </c>
      <c r="J93" s="10">
        <v>3</v>
      </c>
      <c r="K93" s="10">
        <v>3</v>
      </c>
      <c r="L93" s="10">
        <v>3</v>
      </c>
      <c r="M93" s="10">
        <v>3</v>
      </c>
      <c r="N93" s="10">
        <v>3</v>
      </c>
      <c r="O93" s="10">
        <v>3</v>
      </c>
      <c r="P93" s="10">
        <v>3</v>
      </c>
      <c r="Q93" s="10">
        <v>3</v>
      </c>
      <c r="R93" s="10">
        <v>3</v>
      </c>
      <c r="T93" s="4">
        <f t="shared" si="2"/>
        <v>3</v>
      </c>
      <c r="U93" s="4">
        <f t="shared" si="3"/>
        <v>3</v>
      </c>
      <c r="V93" s="10">
        <v>3</v>
      </c>
      <c r="X93" s="10">
        <v>3</v>
      </c>
      <c r="Y93" s="10">
        <v>3</v>
      </c>
      <c r="Z93" s="10">
        <v>3</v>
      </c>
      <c r="AA93" s="10">
        <v>3</v>
      </c>
      <c r="AD93" s="10">
        <v>3</v>
      </c>
      <c r="AE93" s="10">
        <v>3</v>
      </c>
    </row>
    <row r="94" spans="2:31" x14ac:dyDescent="0.3">
      <c r="B94" s="94"/>
      <c r="C94" s="87"/>
      <c r="D94" s="92" t="s">
        <v>74</v>
      </c>
      <c r="E94" s="87"/>
      <c r="F94" s="9" t="s">
        <v>2</v>
      </c>
      <c r="G94" s="10">
        <v>4</v>
      </c>
      <c r="H94" s="10">
        <v>4</v>
      </c>
      <c r="I94" s="10">
        <v>4</v>
      </c>
      <c r="J94" s="10">
        <v>4</v>
      </c>
      <c r="K94" s="10">
        <v>4</v>
      </c>
      <c r="L94" s="10">
        <v>4</v>
      </c>
      <c r="M94" s="10">
        <v>4</v>
      </c>
      <c r="N94" s="10">
        <v>4</v>
      </c>
      <c r="O94" s="10">
        <v>4</v>
      </c>
      <c r="P94" s="10">
        <v>4</v>
      </c>
      <c r="Q94" s="10">
        <v>4</v>
      </c>
      <c r="R94" s="10">
        <v>4</v>
      </c>
      <c r="T94" s="4">
        <f t="shared" si="2"/>
        <v>4</v>
      </c>
      <c r="U94" s="4">
        <f t="shared" si="3"/>
        <v>4</v>
      </c>
      <c r="V94" s="10">
        <v>3</v>
      </c>
      <c r="X94" s="10">
        <v>4</v>
      </c>
      <c r="Y94" s="10">
        <v>4</v>
      </c>
      <c r="Z94" s="10">
        <v>4</v>
      </c>
      <c r="AA94" s="10">
        <v>4</v>
      </c>
      <c r="AD94" s="10">
        <v>3</v>
      </c>
      <c r="AE94" s="10">
        <v>3</v>
      </c>
    </row>
    <row r="95" spans="2:31" x14ac:dyDescent="0.3">
      <c r="B95" s="94"/>
      <c r="C95" s="87"/>
      <c r="D95" s="93"/>
      <c r="E95" s="89"/>
      <c r="F95" s="9" t="s">
        <v>3</v>
      </c>
      <c r="G95" s="10">
        <v>3</v>
      </c>
      <c r="H95" s="10">
        <v>3</v>
      </c>
      <c r="I95" s="10">
        <v>3</v>
      </c>
      <c r="J95" s="10">
        <v>4</v>
      </c>
      <c r="K95" s="10">
        <v>4</v>
      </c>
      <c r="L95" s="10">
        <v>4</v>
      </c>
      <c r="M95" s="10">
        <v>4</v>
      </c>
      <c r="N95" s="10">
        <v>4</v>
      </c>
      <c r="O95" s="10">
        <v>4</v>
      </c>
      <c r="P95" s="10">
        <v>4</v>
      </c>
      <c r="Q95" s="10">
        <v>4</v>
      </c>
      <c r="R95" s="10">
        <v>4</v>
      </c>
      <c r="T95" s="4">
        <f t="shared" si="2"/>
        <v>4</v>
      </c>
      <c r="U95" s="4">
        <f t="shared" si="3"/>
        <v>3.75</v>
      </c>
      <c r="V95" s="10">
        <v>4</v>
      </c>
      <c r="X95" s="10">
        <v>3</v>
      </c>
      <c r="Y95" s="10">
        <v>4</v>
      </c>
      <c r="Z95" s="10">
        <v>4</v>
      </c>
      <c r="AA95" s="10">
        <v>4</v>
      </c>
      <c r="AD95" s="10">
        <v>4</v>
      </c>
      <c r="AE95" s="10">
        <v>4</v>
      </c>
    </row>
    <row r="96" spans="2:31" x14ac:dyDescent="0.3">
      <c r="B96" s="94"/>
      <c r="C96" s="87"/>
      <c r="D96" s="92" t="s">
        <v>66</v>
      </c>
      <c r="E96" s="87"/>
      <c r="F96" s="9" t="s">
        <v>2</v>
      </c>
      <c r="G96" s="10">
        <v>2</v>
      </c>
      <c r="H96" s="10">
        <v>3</v>
      </c>
      <c r="I96" s="10">
        <v>3</v>
      </c>
      <c r="J96" s="10">
        <v>3</v>
      </c>
      <c r="K96" s="10">
        <v>2</v>
      </c>
      <c r="L96" s="10">
        <v>2</v>
      </c>
      <c r="M96" s="10">
        <v>3</v>
      </c>
      <c r="N96" s="10">
        <v>3</v>
      </c>
      <c r="O96" s="10">
        <v>3</v>
      </c>
      <c r="P96" s="10">
        <v>3</v>
      </c>
      <c r="Q96" s="10">
        <v>3</v>
      </c>
      <c r="R96" s="10">
        <v>3</v>
      </c>
      <c r="T96" s="4">
        <f t="shared" si="2"/>
        <v>3</v>
      </c>
      <c r="U96" s="4">
        <f t="shared" si="3"/>
        <v>2.75</v>
      </c>
      <c r="V96" s="10">
        <v>4</v>
      </c>
      <c r="X96" s="10">
        <v>3</v>
      </c>
      <c r="Y96" s="10">
        <v>2</v>
      </c>
      <c r="Z96" s="10">
        <v>3</v>
      </c>
      <c r="AA96" s="10">
        <v>3</v>
      </c>
      <c r="AD96" s="10">
        <v>4</v>
      </c>
      <c r="AE96" s="10">
        <v>4</v>
      </c>
    </row>
    <row r="97" spans="2:31" x14ac:dyDescent="0.3">
      <c r="B97" s="93"/>
      <c r="C97" s="89"/>
      <c r="D97" s="93"/>
      <c r="E97" s="89"/>
      <c r="F97" s="9" t="s">
        <v>3</v>
      </c>
      <c r="G97" s="10">
        <v>4</v>
      </c>
      <c r="H97" s="10">
        <v>4</v>
      </c>
      <c r="I97" s="10">
        <v>4</v>
      </c>
      <c r="J97" s="10">
        <v>4</v>
      </c>
      <c r="K97" s="10">
        <v>4</v>
      </c>
      <c r="L97" s="10">
        <v>4</v>
      </c>
      <c r="M97" s="10">
        <v>4</v>
      </c>
      <c r="N97" s="10">
        <v>4</v>
      </c>
      <c r="O97" s="10">
        <v>4</v>
      </c>
      <c r="P97" s="10">
        <v>4</v>
      </c>
      <c r="Q97" s="10">
        <v>4</v>
      </c>
      <c r="R97" s="10">
        <v>4</v>
      </c>
      <c r="T97" s="4">
        <f t="shared" si="2"/>
        <v>4</v>
      </c>
      <c r="U97" s="4">
        <f t="shared" si="3"/>
        <v>4</v>
      </c>
      <c r="V97" s="10">
        <v>3</v>
      </c>
      <c r="X97" s="10">
        <v>4</v>
      </c>
      <c r="Y97" s="10">
        <v>4</v>
      </c>
      <c r="Z97" s="10">
        <v>4</v>
      </c>
      <c r="AA97" s="10">
        <v>4</v>
      </c>
      <c r="AD97" s="10">
        <v>3</v>
      </c>
      <c r="AE97" s="10">
        <v>3</v>
      </c>
    </row>
    <row r="98" spans="2:31" x14ac:dyDescent="0.3">
      <c r="B98" s="92" t="s">
        <v>75</v>
      </c>
      <c r="C98" s="87"/>
      <c r="D98" s="92" t="s">
        <v>76</v>
      </c>
      <c r="E98" s="87"/>
      <c r="F98" s="9" t="s">
        <v>2</v>
      </c>
      <c r="G98" s="10">
        <v>5</v>
      </c>
      <c r="H98" s="10">
        <v>5</v>
      </c>
      <c r="I98" s="10">
        <v>5</v>
      </c>
      <c r="J98" s="10">
        <v>5</v>
      </c>
      <c r="K98" s="10">
        <v>5</v>
      </c>
      <c r="L98" s="10">
        <v>4</v>
      </c>
      <c r="M98" s="10">
        <v>6</v>
      </c>
      <c r="N98" s="10">
        <v>6</v>
      </c>
      <c r="O98" s="10">
        <v>6</v>
      </c>
      <c r="P98" s="10">
        <v>6</v>
      </c>
      <c r="Q98" s="10">
        <v>7</v>
      </c>
      <c r="R98" s="10">
        <v>7</v>
      </c>
      <c r="T98" s="4">
        <f t="shared" si="2"/>
        <v>7</v>
      </c>
      <c r="U98" s="4">
        <f t="shared" si="3"/>
        <v>5.583333333333333</v>
      </c>
      <c r="V98" s="10">
        <v>4</v>
      </c>
      <c r="X98" s="10">
        <v>5</v>
      </c>
      <c r="Y98" s="10">
        <v>5</v>
      </c>
      <c r="Z98" s="10">
        <v>6</v>
      </c>
      <c r="AA98" s="10">
        <v>7</v>
      </c>
      <c r="AD98" s="10">
        <v>4</v>
      </c>
      <c r="AE98" s="10">
        <v>4</v>
      </c>
    </row>
    <row r="99" spans="2:31" x14ac:dyDescent="0.3">
      <c r="B99" s="94"/>
      <c r="C99" s="87"/>
      <c r="D99" s="93"/>
      <c r="E99" s="89"/>
      <c r="F99" s="9" t="s">
        <v>3</v>
      </c>
      <c r="G99" s="10">
        <v>7</v>
      </c>
      <c r="H99" s="10">
        <v>7</v>
      </c>
      <c r="I99" s="10">
        <v>7</v>
      </c>
      <c r="J99" s="10">
        <v>7</v>
      </c>
      <c r="K99" s="10">
        <v>7</v>
      </c>
      <c r="L99" s="10">
        <v>7</v>
      </c>
      <c r="M99" s="10">
        <v>7</v>
      </c>
      <c r="N99" s="10">
        <v>7</v>
      </c>
      <c r="O99" s="10">
        <v>7</v>
      </c>
      <c r="P99" s="10">
        <v>7</v>
      </c>
      <c r="Q99" s="10">
        <v>7</v>
      </c>
      <c r="R99" s="10">
        <v>7</v>
      </c>
      <c r="T99" s="4">
        <f t="shared" si="2"/>
        <v>7</v>
      </c>
      <c r="U99" s="4">
        <f t="shared" si="3"/>
        <v>7</v>
      </c>
      <c r="V99" s="10">
        <v>6</v>
      </c>
      <c r="X99" s="10">
        <v>7</v>
      </c>
      <c r="Y99" s="10">
        <v>7</v>
      </c>
      <c r="Z99" s="10">
        <v>7</v>
      </c>
      <c r="AA99" s="10">
        <v>7</v>
      </c>
      <c r="AD99" s="10">
        <v>7</v>
      </c>
      <c r="AE99" s="10">
        <v>6</v>
      </c>
    </row>
    <row r="100" spans="2:31" x14ac:dyDescent="0.3">
      <c r="B100" s="94"/>
      <c r="C100" s="87"/>
      <c r="D100" s="92" t="s">
        <v>77</v>
      </c>
      <c r="E100" s="87"/>
      <c r="F100" s="9" t="s">
        <v>2</v>
      </c>
      <c r="G100" s="10">
        <v>4</v>
      </c>
      <c r="H100" s="10">
        <v>4</v>
      </c>
      <c r="I100" s="10">
        <v>4</v>
      </c>
      <c r="J100" s="10">
        <v>4</v>
      </c>
      <c r="K100" s="10">
        <v>4</v>
      </c>
      <c r="L100" s="10">
        <v>4</v>
      </c>
      <c r="M100" s="10">
        <v>4</v>
      </c>
      <c r="N100" s="10">
        <v>4</v>
      </c>
      <c r="O100" s="10">
        <v>4</v>
      </c>
      <c r="P100" s="10">
        <v>4</v>
      </c>
      <c r="Q100" s="10">
        <v>4</v>
      </c>
      <c r="R100" s="10">
        <v>4</v>
      </c>
      <c r="T100" s="4">
        <f t="shared" si="2"/>
        <v>4</v>
      </c>
      <c r="U100" s="4">
        <f t="shared" si="3"/>
        <v>4</v>
      </c>
      <c r="V100" s="10">
        <v>7</v>
      </c>
      <c r="X100" s="10">
        <v>4</v>
      </c>
      <c r="Y100" s="10">
        <v>4</v>
      </c>
      <c r="Z100" s="10">
        <v>4</v>
      </c>
      <c r="AA100" s="10">
        <v>4</v>
      </c>
      <c r="AD100" s="10">
        <v>7</v>
      </c>
      <c r="AE100" s="10">
        <v>7</v>
      </c>
    </row>
    <row r="101" spans="2:31" x14ac:dyDescent="0.3">
      <c r="B101" s="94"/>
      <c r="C101" s="87"/>
      <c r="D101" s="93"/>
      <c r="E101" s="89"/>
      <c r="F101" s="9" t="s">
        <v>3</v>
      </c>
      <c r="G101" s="10">
        <v>4</v>
      </c>
      <c r="H101" s="10">
        <v>4</v>
      </c>
      <c r="I101" s="10">
        <v>4</v>
      </c>
      <c r="J101" s="10">
        <v>4</v>
      </c>
      <c r="K101" s="10">
        <v>4</v>
      </c>
      <c r="L101" s="10">
        <v>4</v>
      </c>
      <c r="M101" s="10">
        <v>4</v>
      </c>
      <c r="N101" s="10">
        <v>4</v>
      </c>
      <c r="O101" s="10">
        <v>4</v>
      </c>
      <c r="P101" s="10">
        <v>4</v>
      </c>
      <c r="Q101" s="10">
        <v>4</v>
      </c>
      <c r="R101" s="10">
        <v>4</v>
      </c>
      <c r="T101" s="4">
        <f t="shared" si="2"/>
        <v>4</v>
      </c>
      <c r="U101" s="4">
        <f t="shared" si="3"/>
        <v>4</v>
      </c>
      <c r="V101" s="10">
        <v>4</v>
      </c>
      <c r="X101" s="10">
        <v>4</v>
      </c>
      <c r="Y101" s="10">
        <v>4</v>
      </c>
      <c r="Z101" s="10">
        <v>4</v>
      </c>
      <c r="AA101" s="10">
        <v>4</v>
      </c>
      <c r="AD101" s="10">
        <v>4</v>
      </c>
      <c r="AE101" s="10">
        <v>4</v>
      </c>
    </row>
    <row r="102" spans="2:31" x14ac:dyDescent="0.3">
      <c r="B102" s="94"/>
      <c r="C102" s="87"/>
      <c r="D102" s="92" t="s">
        <v>75</v>
      </c>
      <c r="E102" s="87"/>
      <c r="F102" s="9" t="s">
        <v>2</v>
      </c>
      <c r="G102" s="10">
        <v>6</v>
      </c>
      <c r="H102" s="10">
        <v>6</v>
      </c>
      <c r="I102" s="10">
        <v>6</v>
      </c>
      <c r="J102" s="10">
        <v>6</v>
      </c>
      <c r="K102" s="10">
        <v>6</v>
      </c>
      <c r="L102" s="10">
        <v>5</v>
      </c>
      <c r="M102" s="10">
        <v>6</v>
      </c>
      <c r="N102" s="10">
        <v>6</v>
      </c>
      <c r="O102" s="10">
        <v>6</v>
      </c>
      <c r="P102" s="10">
        <v>7</v>
      </c>
      <c r="Q102" s="10">
        <v>7</v>
      </c>
      <c r="R102" s="10">
        <v>7</v>
      </c>
      <c r="T102" s="4">
        <f t="shared" si="2"/>
        <v>7</v>
      </c>
      <c r="U102" s="4">
        <f t="shared" si="3"/>
        <v>6.166666666666667</v>
      </c>
      <c r="V102" s="10">
        <v>4</v>
      </c>
      <c r="X102" s="10">
        <v>6</v>
      </c>
      <c r="Y102" s="10">
        <v>6</v>
      </c>
      <c r="Z102" s="10">
        <v>6</v>
      </c>
      <c r="AA102" s="10">
        <v>7</v>
      </c>
      <c r="AD102" s="10">
        <v>4</v>
      </c>
      <c r="AE102" s="10">
        <v>4</v>
      </c>
    </row>
    <row r="103" spans="2:31" x14ac:dyDescent="0.3">
      <c r="B103" s="93"/>
      <c r="C103" s="89"/>
      <c r="D103" s="93"/>
      <c r="E103" s="89"/>
      <c r="F103" s="9" t="s">
        <v>3</v>
      </c>
      <c r="G103" s="10">
        <v>6</v>
      </c>
      <c r="H103" s="10">
        <v>6</v>
      </c>
      <c r="I103" s="10">
        <v>6</v>
      </c>
      <c r="J103" s="10">
        <v>6</v>
      </c>
      <c r="K103" s="10">
        <v>6</v>
      </c>
      <c r="L103" s="10">
        <v>6</v>
      </c>
      <c r="M103" s="10">
        <v>6</v>
      </c>
      <c r="N103" s="10">
        <v>6</v>
      </c>
      <c r="O103" s="10">
        <v>6</v>
      </c>
      <c r="P103" s="10">
        <v>6</v>
      </c>
      <c r="Q103" s="10">
        <v>6</v>
      </c>
      <c r="R103" s="10">
        <v>6</v>
      </c>
      <c r="T103" s="4">
        <f t="shared" si="2"/>
        <v>6</v>
      </c>
      <c r="U103" s="4">
        <f t="shared" si="3"/>
        <v>6</v>
      </c>
      <c r="V103" s="10">
        <v>6</v>
      </c>
      <c r="X103" s="10">
        <v>6</v>
      </c>
      <c r="Y103" s="10">
        <v>6</v>
      </c>
      <c r="Z103" s="10">
        <v>6</v>
      </c>
      <c r="AA103" s="10">
        <v>6</v>
      </c>
      <c r="AD103" s="10">
        <v>7</v>
      </c>
      <c r="AE103" s="10">
        <v>6</v>
      </c>
    </row>
    <row r="104" spans="2:31" x14ac:dyDescent="0.3">
      <c r="T104" s="4">
        <f t="shared" si="2"/>
        <v>0</v>
      </c>
      <c r="U104" s="4" t="e">
        <f t="shared" si="3"/>
        <v>#DIV/0!</v>
      </c>
      <c r="V104" s="10">
        <v>6</v>
      </c>
      <c r="AD104" s="10">
        <v>6</v>
      </c>
      <c r="AE104" s="10">
        <v>6</v>
      </c>
    </row>
    <row r="105" spans="2:31" ht="11.25" customHeight="1" x14ac:dyDescent="0.3">
      <c r="T105" s="4">
        <f t="shared" si="2"/>
        <v>0</v>
      </c>
      <c r="U105" s="4" t="e">
        <f t="shared" si="3"/>
        <v>#DIV/0!</v>
      </c>
    </row>
    <row r="106" spans="2:31" x14ac:dyDescent="0.3">
      <c r="B106" s="88" t="s">
        <v>78</v>
      </c>
      <c r="C106" s="89"/>
      <c r="D106" s="89"/>
      <c r="E106" s="89"/>
      <c r="F106" s="2" t="s">
        <v>2</v>
      </c>
      <c r="G106" s="3">
        <v>86</v>
      </c>
      <c r="H106" s="3">
        <v>86</v>
      </c>
      <c r="I106" s="3">
        <v>85</v>
      </c>
      <c r="J106" s="3">
        <v>86</v>
      </c>
      <c r="K106" s="3">
        <v>86</v>
      </c>
      <c r="L106" s="3">
        <v>87</v>
      </c>
      <c r="M106" s="3">
        <v>88</v>
      </c>
      <c r="N106" s="3">
        <v>86</v>
      </c>
      <c r="O106" s="3">
        <v>86</v>
      </c>
      <c r="P106" s="3">
        <v>86</v>
      </c>
      <c r="Q106" s="3">
        <v>86</v>
      </c>
      <c r="R106" s="3">
        <v>86</v>
      </c>
      <c r="T106" s="4">
        <f t="shared" si="2"/>
        <v>86</v>
      </c>
      <c r="U106" s="4">
        <f t="shared" si="3"/>
        <v>86.166666666666671</v>
      </c>
      <c r="V106" s="3">
        <v>86</v>
      </c>
      <c r="X106" s="3">
        <v>86</v>
      </c>
      <c r="Y106" s="3">
        <v>87</v>
      </c>
      <c r="Z106" s="3">
        <v>86</v>
      </c>
      <c r="AA106" s="3">
        <v>86</v>
      </c>
      <c r="AD106" s="3">
        <v>86</v>
      </c>
      <c r="AE106" s="3">
        <v>86</v>
      </c>
    </row>
    <row r="107" spans="2:31" x14ac:dyDescent="0.3">
      <c r="F107" s="2" t="s">
        <v>3</v>
      </c>
      <c r="G107" s="3">
        <v>102</v>
      </c>
      <c r="H107" s="3">
        <v>101</v>
      </c>
      <c r="I107" s="3">
        <v>102</v>
      </c>
      <c r="J107" s="3">
        <v>102</v>
      </c>
      <c r="K107" s="3">
        <v>102</v>
      </c>
      <c r="L107" s="3">
        <v>102</v>
      </c>
      <c r="M107" s="3">
        <v>101</v>
      </c>
      <c r="N107" s="3">
        <v>101</v>
      </c>
      <c r="O107" s="3">
        <v>100</v>
      </c>
      <c r="P107" s="3">
        <v>100</v>
      </c>
      <c r="Q107" s="3">
        <v>100</v>
      </c>
      <c r="R107" s="3">
        <v>100</v>
      </c>
      <c r="T107" s="4">
        <f t="shared" si="2"/>
        <v>100</v>
      </c>
      <c r="U107" s="4">
        <f t="shared" si="3"/>
        <v>101.08333333333333</v>
      </c>
      <c r="V107" s="3">
        <v>101</v>
      </c>
      <c r="X107" s="3">
        <v>101</v>
      </c>
      <c r="Y107" s="3">
        <v>102</v>
      </c>
      <c r="Z107" s="3">
        <v>101</v>
      </c>
      <c r="AA107" s="3">
        <v>100</v>
      </c>
      <c r="AD107" s="3">
        <v>100</v>
      </c>
      <c r="AE107" s="3">
        <v>101</v>
      </c>
    </row>
    <row r="108" spans="2:31" ht="1.95" customHeight="1" x14ac:dyDescent="0.3">
      <c r="T108" s="4">
        <f t="shared" si="2"/>
        <v>0</v>
      </c>
      <c r="U108" s="4" t="e">
        <f t="shared" si="3"/>
        <v>#DIV/0!</v>
      </c>
    </row>
    <row r="109" spans="2:31" x14ac:dyDescent="0.3">
      <c r="B109" s="90" t="s">
        <v>79</v>
      </c>
      <c r="C109" s="89"/>
      <c r="D109" s="89"/>
      <c r="E109" s="89"/>
      <c r="F109" s="2" t="s">
        <v>2</v>
      </c>
      <c r="G109" s="3">
        <v>86</v>
      </c>
      <c r="H109" s="3">
        <v>85.5</v>
      </c>
      <c r="I109" s="3">
        <v>85</v>
      </c>
      <c r="J109" s="3">
        <v>83</v>
      </c>
      <c r="K109" s="3">
        <v>82</v>
      </c>
      <c r="L109" s="3">
        <v>83</v>
      </c>
      <c r="M109" s="3">
        <v>85</v>
      </c>
      <c r="N109" s="3">
        <v>83</v>
      </c>
      <c r="O109" s="3">
        <v>83</v>
      </c>
      <c r="P109" s="3">
        <v>83</v>
      </c>
      <c r="Q109" s="3">
        <v>82.5</v>
      </c>
      <c r="R109" s="3">
        <v>82.5</v>
      </c>
      <c r="T109" s="4">
        <f t="shared" si="2"/>
        <v>82.5</v>
      </c>
      <c r="U109" s="4">
        <f t="shared" si="3"/>
        <v>83.625</v>
      </c>
      <c r="V109" s="3">
        <v>84</v>
      </c>
      <c r="X109" s="3">
        <v>86</v>
      </c>
      <c r="Y109" s="3">
        <v>83</v>
      </c>
      <c r="Z109" s="3">
        <v>84</v>
      </c>
      <c r="AA109" s="3">
        <v>83</v>
      </c>
      <c r="AD109" s="3">
        <v>83</v>
      </c>
      <c r="AE109" s="3">
        <v>84</v>
      </c>
    </row>
    <row r="110" spans="2:31" x14ac:dyDescent="0.3">
      <c r="F110" s="2" t="s">
        <v>3</v>
      </c>
      <c r="G110" s="3">
        <v>101</v>
      </c>
      <c r="H110" s="3">
        <v>100</v>
      </c>
      <c r="I110" s="3">
        <v>100</v>
      </c>
      <c r="J110" s="3">
        <v>100</v>
      </c>
      <c r="K110" s="3">
        <v>100</v>
      </c>
      <c r="L110" s="3">
        <v>100</v>
      </c>
      <c r="M110" s="3">
        <v>100</v>
      </c>
      <c r="N110" s="3">
        <v>100</v>
      </c>
      <c r="O110" s="3">
        <v>100</v>
      </c>
      <c r="P110" s="3">
        <v>100</v>
      </c>
      <c r="Q110" s="3">
        <v>100</v>
      </c>
      <c r="R110" s="3">
        <v>100</v>
      </c>
      <c r="T110" s="4">
        <f t="shared" si="2"/>
        <v>100</v>
      </c>
      <c r="U110" s="4">
        <f t="shared" si="3"/>
        <v>100.08333333333333</v>
      </c>
      <c r="V110" s="3">
        <v>100</v>
      </c>
      <c r="X110" s="3">
        <v>100</v>
      </c>
      <c r="Y110" s="3">
        <v>100</v>
      </c>
      <c r="Z110" s="3">
        <v>100</v>
      </c>
      <c r="AA110" s="3">
        <v>100</v>
      </c>
      <c r="AD110" s="3">
        <v>100</v>
      </c>
      <c r="AE110" s="3">
        <v>100</v>
      </c>
    </row>
    <row r="111" spans="2:31" ht="1.05" customHeight="1" x14ac:dyDescent="0.3">
      <c r="T111" s="4">
        <f t="shared" si="2"/>
        <v>0</v>
      </c>
      <c r="U111" s="4" t="e">
        <f t="shared" si="3"/>
        <v>#DIV/0!</v>
      </c>
    </row>
    <row r="112" spans="2:31" x14ac:dyDescent="0.3">
      <c r="B112" s="90" t="s">
        <v>80</v>
      </c>
      <c r="C112" s="89"/>
      <c r="D112" s="89"/>
      <c r="E112" s="89"/>
      <c r="F112" s="2" t="s">
        <v>2</v>
      </c>
      <c r="G112" s="3">
        <v>0</v>
      </c>
      <c r="H112" s="3">
        <v>0</v>
      </c>
      <c r="I112" s="3">
        <v>0</v>
      </c>
      <c r="J112" s="3">
        <v>3</v>
      </c>
      <c r="K112" s="3">
        <v>4</v>
      </c>
      <c r="L112" s="3">
        <v>4</v>
      </c>
      <c r="M112" s="3">
        <v>3</v>
      </c>
      <c r="N112" s="3">
        <v>3</v>
      </c>
      <c r="O112" s="3">
        <v>3</v>
      </c>
      <c r="P112" s="3">
        <v>3</v>
      </c>
      <c r="Q112" s="3">
        <v>3</v>
      </c>
      <c r="R112" s="3">
        <v>3</v>
      </c>
      <c r="T112" s="4">
        <f t="shared" si="2"/>
        <v>3</v>
      </c>
      <c r="U112" s="4">
        <f t="shared" si="3"/>
        <v>2.4166666666666665</v>
      </c>
      <c r="V112" s="3">
        <v>3</v>
      </c>
      <c r="X112" s="3">
        <v>0</v>
      </c>
      <c r="Y112" s="3">
        <v>4</v>
      </c>
      <c r="Z112" s="3">
        <v>3</v>
      </c>
      <c r="AA112" s="3">
        <v>3</v>
      </c>
      <c r="AD112" s="3">
        <v>3</v>
      </c>
      <c r="AE112" s="3">
        <v>2</v>
      </c>
    </row>
    <row r="113" spans="2:31" x14ac:dyDescent="0.3">
      <c r="F113" s="2" t="s">
        <v>3</v>
      </c>
      <c r="G113" s="3">
        <v>1</v>
      </c>
      <c r="H113" s="3">
        <v>1</v>
      </c>
      <c r="I113" s="3">
        <v>2</v>
      </c>
      <c r="J113" s="3">
        <v>2</v>
      </c>
      <c r="K113" s="3">
        <v>2</v>
      </c>
      <c r="L113" s="3">
        <v>2</v>
      </c>
      <c r="M113" s="3">
        <v>1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T113" s="4">
        <f t="shared" si="2"/>
        <v>0</v>
      </c>
      <c r="U113" s="4">
        <f t="shared" si="3"/>
        <v>1</v>
      </c>
      <c r="V113" s="3">
        <v>1</v>
      </c>
      <c r="X113" s="3">
        <v>1</v>
      </c>
      <c r="Y113" s="3">
        <v>2</v>
      </c>
      <c r="Z113" s="3">
        <v>1</v>
      </c>
      <c r="AA113" s="3">
        <v>0</v>
      </c>
      <c r="AD113" s="3">
        <v>0</v>
      </c>
      <c r="AE113" s="3">
        <v>1</v>
      </c>
    </row>
    <row r="114" spans="2:31" ht="10.199999999999999" customHeight="1" x14ac:dyDescent="0.3">
      <c r="T114" s="4">
        <f t="shared" si="2"/>
        <v>0</v>
      </c>
      <c r="U114" s="4" t="e">
        <f t="shared" si="3"/>
        <v>#DIV/0!</v>
      </c>
    </row>
    <row r="115" spans="2:31" x14ac:dyDescent="0.3">
      <c r="B115" s="5" t="s">
        <v>81</v>
      </c>
      <c r="C115" s="91" t="s">
        <v>5</v>
      </c>
      <c r="D115" s="89"/>
      <c r="E115" s="6" t="s">
        <v>5</v>
      </c>
      <c r="F115" s="7" t="s">
        <v>6</v>
      </c>
      <c r="G115" s="8" t="s">
        <v>7</v>
      </c>
      <c r="H115" s="8" t="s">
        <v>8</v>
      </c>
      <c r="I115" s="8" t="s">
        <v>9</v>
      </c>
      <c r="J115" s="8" t="s">
        <v>10</v>
      </c>
      <c r="K115" s="8" t="s">
        <v>11</v>
      </c>
      <c r="L115" s="8" t="s">
        <v>12</v>
      </c>
      <c r="M115" s="8" t="s">
        <v>13</v>
      </c>
      <c r="N115" s="8" t="s">
        <v>14</v>
      </c>
      <c r="O115" s="8" t="s">
        <v>15</v>
      </c>
      <c r="P115" s="8" t="s">
        <v>16</v>
      </c>
      <c r="Q115" s="8" t="s">
        <v>17</v>
      </c>
      <c r="R115" s="8" t="s">
        <v>18</v>
      </c>
      <c r="T115" s="4" t="str">
        <f t="shared" si="2"/>
        <v>202512</v>
      </c>
      <c r="U115" s="4" t="e">
        <f t="shared" si="3"/>
        <v>#DIV/0!</v>
      </c>
      <c r="V115" s="8" t="s">
        <v>19</v>
      </c>
      <c r="X115" s="8" t="s">
        <v>20</v>
      </c>
      <c r="Y115" s="8" t="s">
        <v>21</v>
      </c>
      <c r="Z115" s="8" t="s">
        <v>22</v>
      </c>
      <c r="AA115" s="8" t="s">
        <v>23</v>
      </c>
      <c r="AD115" s="8" t="s">
        <v>24</v>
      </c>
      <c r="AE115" s="8" t="s">
        <v>25</v>
      </c>
    </row>
    <row r="116" spans="2:31" x14ac:dyDescent="0.3">
      <c r="B116" s="92" t="s">
        <v>26</v>
      </c>
      <c r="C116" s="92" t="s">
        <v>26</v>
      </c>
      <c r="D116" s="87"/>
      <c r="E116" s="92" t="s">
        <v>82</v>
      </c>
      <c r="F116" s="9" t="s">
        <v>2</v>
      </c>
      <c r="G116" s="10">
        <v>0</v>
      </c>
      <c r="H116" s="10">
        <v>0</v>
      </c>
      <c r="I116" s="10">
        <v>0</v>
      </c>
      <c r="J116" s="10">
        <v>3</v>
      </c>
      <c r="K116" s="10">
        <v>3</v>
      </c>
      <c r="L116" s="10">
        <v>3</v>
      </c>
      <c r="M116" s="10">
        <v>3</v>
      </c>
      <c r="N116" s="10">
        <v>3</v>
      </c>
      <c r="O116" s="10">
        <v>3</v>
      </c>
      <c r="P116" s="10">
        <v>3</v>
      </c>
      <c r="Q116" s="10">
        <v>3</v>
      </c>
      <c r="R116" s="10">
        <v>3</v>
      </c>
      <c r="T116" s="4">
        <f t="shared" si="2"/>
        <v>3</v>
      </c>
      <c r="U116" s="4">
        <f t="shared" si="3"/>
        <v>2.25</v>
      </c>
      <c r="V116" s="10">
        <v>2</v>
      </c>
      <c r="X116" s="10">
        <v>0</v>
      </c>
      <c r="Y116" s="10">
        <v>3</v>
      </c>
      <c r="Z116" s="10">
        <v>3</v>
      </c>
      <c r="AA116" s="10">
        <v>3</v>
      </c>
      <c r="AD116" s="10">
        <v>3</v>
      </c>
      <c r="AE116" s="10">
        <v>2</v>
      </c>
    </row>
    <row r="117" spans="2:31" x14ac:dyDescent="0.3">
      <c r="B117" s="93"/>
      <c r="C117" s="93"/>
      <c r="D117" s="89"/>
      <c r="E117" s="93"/>
      <c r="F117" s="9" t="s">
        <v>3</v>
      </c>
      <c r="G117" s="10">
        <v>1</v>
      </c>
      <c r="H117" s="10">
        <v>1</v>
      </c>
      <c r="I117" s="10">
        <v>2</v>
      </c>
      <c r="J117" s="10">
        <v>2</v>
      </c>
      <c r="K117" s="10">
        <v>2</v>
      </c>
      <c r="L117" s="10">
        <v>2</v>
      </c>
      <c r="M117" s="10">
        <v>1</v>
      </c>
      <c r="N117" s="10">
        <v>1</v>
      </c>
      <c r="O117" s="10">
        <v>0</v>
      </c>
      <c r="P117" s="10">
        <v>0</v>
      </c>
      <c r="Q117" s="10">
        <v>0</v>
      </c>
      <c r="R117" s="10">
        <v>0</v>
      </c>
      <c r="T117" s="4">
        <f t="shared" si="2"/>
        <v>0</v>
      </c>
      <c r="U117" s="4">
        <f t="shared" si="3"/>
        <v>1</v>
      </c>
      <c r="V117" s="10">
        <v>1</v>
      </c>
      <c r="X117" s="10">
        <v>1</v>
      </c>
      <c r="Y117" s="10">
        <v>2</v>
      </c>
      <c r="Z117" s="10">
        <v>1</v>
      </c>
      <c r="AA117" s="10">
        <v>0</v>
      </c>
      <c r="AD117" s="10">
        <v>0</v>
      </c>
      <c r="AE117" s="10">
        <v>1</v>
      </c>
    </row>
    <row r="118" spans="2:31" x14ac:dyDescent="0.3">
      <c r="B118" s="92" t="s">
        <v>32</v>
      </c>
      <c r="C118" s="92" t="s">
        <v>33</v>
      </c>
      <c r="D118" s="87"/>
      <c r="E118" s="92" t="s">
        <v>83</v>
      </c>
      <c r="F118" s="9" t="s">
        <v>2</v>
      </c>
      <c r="G118" s="10">
        <v>1</v>
      </c>
      <c r="H118" s="10">
        <v>1</v>
      </c>
      <c r="I118" s="10">
        <v>1</v>
      </c>
      <c r="J118" s="10">
        <v>1</v>
      </c>
      <c r="K118" s="10">
        <v>1</v>
      </c>
      <c r="L118" s="10">
        <v>1</v>
      </c>
      <c r="M118" s="10">
        <v>1</v>
      </c>
      <c r="N118" s="10">
        <v>1</v>
      </c>
      <c r="O118" s="10">
        <v>1</v>
      </c>
      <c r="P118" s="10">
        <v>1</v>
      </c>
      <c r="Q118" s="10">
        <v>1</v>
      </c>
      <c r="R118" s="10">
        <v>1</v>
      </c>
      <c r="T118" s="4">
        <f t="shared" si="2"/>
        <v>1</v>
      </c>
      <c r="U118" s="4">
        <f t="shared" si="3"/>
        <v>1</v>
      </c>
      <c r="V118" s="10">
        <v>1</v>
      </c>
      <c r="X118" s="10">
        <v>1</v>
      </c>
      <c r="Y118" s="10">
        <v>1</v>
      </c>
      <c r="Z118" s="10">
        <v>1</v>
      </c>
      <c r="AA118" s="10">
        <v>1</v>
      </c>
      <c r="AD118" s="10">
        <v>1</v>
      </c>
      <c r="AE118" s="10">
        <v>1</v>
      </c>
    </row>
    <row r="119" spans="2:31" x14ac:dyDescent="0.3">
      <c r="B119" s="94"/>
      <c r="C119" s="93"/>
      <c r="D119" s="89"/>
      <c r="E119" s="93"/>
      <c r="F119" s="9" t="s">
        <v>3</v>
      </c>
      <c r="G119" s="10">
        <v>1</v>
      </c>
      <c r="H119" s="10">
        <v>1</v>
      </c>
      <c r="I119" s="10">
        <v>1</v>
      </c>
      <c r="J119" s="10">
        <v>1</v>
      </c>
      <c r="K119" s="10">
        <v>1</v>
      </c>
      <c r="L119" s="10">
        <v>1</v>
      </c>
      <c r="M119" s="10">
        <v>1</v>
      </c>
      <c r="N119" s="10">
        <v>1</v>
      </c>
      <c r="O119" s="10">
        <v>1</v>
      </c>
      <c r="P119" s="10">
        <v>1</v>
      </c>
      <c r="Q119" s="10">
        <v>1</v>
      </c>
      <c r="R119" s="10">
        <v>1</v>
      </c>
      <c r="T119" s="4">
        <f t="shared" si="2"/>
        <v>1</v>
      </c>
      <c r="U119" s="4">
        <f t="shared" si="3"/>
        <v>1</v>
      </c>
      <c r="V119" s="10">
        <v>1</v>
      </c>
      <c r="X119" s="10">
        <v>1</v>
      </c>
      <c r="Y119" s="10">
        <v>1</v>
      </c>
      <c r="Z119" s="10">
        <v>1</v>
      </c>
      <c r="AA119" s="10">
        <v>1</v>
      </c>
      <c r="AD119" s="10">
        <v>1</v>
      </c>
      <c r="AE119" s="10">
        <v>1</v>
      </c>
    </row>
    <row r="120" spans="2:31" x14ac:dyDescent="0.3">
      <c r="B120" s="94"/>
      <c r="C120" s="92" t="s">
        <v>35</v>
      </c>
      <c r="D120" s="87"/>
      <c r="E120" s="92" t="s">
        <v>83</v>
      </c>
      <c r="F120" s="9" t="s">
        <v>2</v>
      </c>
      <c r="G120" s="10">
        <v>1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1</v>
      </c>
      <c r="Q120" s="10">
        <v>1</v>
      </c>
      <c r="R120" s="10">
        <v>1</v>
      </c>
      <c r="T120" s="4">
        <f t="shared" si="2"/>
        <v>1</v>
      </c>
      <c r="U120" s="4">
        <f t="shared" si="3"/>
        <v>1</v>
      </c>
      <c r="V120" s="10">
        <v>1</v>
      </c>
      <c r="X120" s="10">
        <v>1</v>
      </c>
      <c r="Y120" s="10">
        <v>1</v>
      </c>
      <c r="Z120" s="10">
        <v>1</v>
      </c>
      <c r="AA120" s="10">
        <v>1</v>
      </c>
      <c r="AD120" s="10">
        <v>1</v>
      </c>
      <c r="AE120" s="10">
        <v>1</v>
      </c>
    </row>
    <row r="121" spans="2:31" x14ac:dyDescent="0.3">
      <c r="B121" s="93"/>
      <c r="C121" s="93"/>
      <c r="D121" s="89"/>
      <c r="E121" s="93"/>
      <c r="F121" s="9" t="s">
        <v>3</v>
      </c>
      <c r="G121" s="10">
        <v>1</v>
      </c>
      <c r="H121" s="10">
        <v>1</v>
      </c>
      <c r="I121" s="10">
        <v>1</v>
      </c>
      <c r="J121" s="10">
        <v>1</v>
      </c>
      <c r="K121" s="10">
        <v>1</v>
      </c>
      <c r="L121" s="10">
        <v>1</v>
      </c>
      <c r="M121" s="10">
        <v>1</v>
      </c>
      <c r="N121" s="10">
        <v>1</v>
      </c>
      <c r="O121" s="10">
        <v>1</v>
      </c>
      <c r="P121" s="10">
        <v>1</v>
      </c>
      <c r="Q121" s="10">
        <v>1</v>
      </c>
      <c r="R121" s="10">
        <v>1</v>
      </c>
      <c r="T121" s="4">
        <f t="shared" si="2"/>
        <v>1</v>
      </c>
      <c r="U121" s="4">
        <f t="shared" si="3"/>
        <v>1</v>
      </c>
      <c r="V121" s="10">
        <v>1</v>
      </c>
      <c r="X121" s="10">
        <v>1</v>
      </c>
      <c r="Y121" s="10">
        <v>1</v>
      </c>
      <c r="Z121" s="10">
        <v>1</v>
      </c>
      <c r="AA121" s="10">
        <v>1</v>
      </c>
      <c r="AD121" s="10">
        <v>1</v>
      </c>
      <c r="AE121" s="10">
        <v>1</v>
      </c>
    </row>
    <row r="122" spans="2:31" x14ac:dyDescent="0.3">
      <c r="B122" s="92" t="s">
        <v>38</v>
      </c>
      <c r="C122" s="92" t="s">
        <v>41</v>
      </c>
      <c r="D122" s="87"/>
      <c r="E122" s="92" t="s">
        <v>83</v>
      </c>
      <c r="F122" s="9" t="s">
        <v>2</v>
      </c>
      <c r="G122" s="10">
        <v>1</v>
      </c>
      <c r="H122" s="10">
        <v>1</v>
      </c>
      <c r="I122" s="10">
        <v>1</v>
      </c>
      <c r="J122" s="10">
        <v>1</v>
      </c>
      <c r="K122" s="10">
        <v>1</v>
      </c>
      <c r="L122" s="10">
        <v>1</v>
      </c>
      <c r="M122" s="10">
        <v>2</v>
      </c>
      <c r="N122" s="10">
        <v>2</v>
      </c>
      <c r="O122" s="10">
        <v>2</v>
      </c>
      <c r="P122" s="10">
        <v>2</v>
      </c>
      <c r="Q122" s="10">
        <v>0.5</v>
      </c>
      <c r="R122" s="10">
        <v>0.5</v>
      </c>
      <c r="T122" s="4">
        <f t="shared" si="2"/>
        <v>0.5</v>
      </c>
      <c r="U122" s="4">
        <f t="shared" si="3"/>
        <v>1.25</v>
      </c>
      <c r="V122" s="10">
        <v>1</v>
      </c>
      <c r="X122" s="10">
        <v>1</v>
      </c>
      <c r="Y122" s="10">
        <v>1</v>
      </c>
      <c r="Z122" s="10">
        <v>2</v>
      </c>
      <c r="AA122" s="10">
        <v>1</v>
      </c>
      <c r="AD122" s="10">
        <v>1</v>
      </c>
      <c r="AE122" s="10">
        <v>1</v>
      </c>
    </row>
    <row r="123" spans="2:31" x14ac:dyDescent="0.3">
      <c r="B123" s="93"/>
      <c r="C123" s="93"/>
      <c r="D123" s="89"/>
      <c r="E123" s="93"/>
      <c r="F123" s="9" t="s">
        <v>3</v>
      </c>
      <c r="G123" s="10">
        <v>1</v>
      </c>
      <c r="H123" s="10">
        <v>1</v>
      </c>
      <c r="I123" s="10">
        <v>1</v>
      </c>
      <c r="J123" s="10">
        <v>1</v>
      </c>
      <c r="K123" s="10">
        <v>1</v>
      </c>
      <c r="L123" s="10">
        <v>1</v>
      </c>
      <c r="M123" s="10">
        <v>1</v>
      </c>
      <c r="N123" s="10">
        <v>1</v>
      </c>
      <c r="O123" s="10">
        <v>1</v>
      </c>
      <c r="P123" s="10">
        <v>1</v>
      </c>
      <c r="Q123" s="10">
        <v>1</v>
      </c>
      <c r="R123" s="10">
        <v>1</v>
      </c>
      <c r="T123" s="4">
        <f t="shared" si="2"/>
        <v>1</v>
      </c>
      <c r="U123" s="4">
        <f t="shared" si="3"/>
        <v>1</v>
      </c>
      <c r="V123" s="10">
        <v>1</v>
      </c>
      <c r="X123" s="10">
        <v>1</v>
      </c>
      <c r="Y123" s="10">
        <v>1</v>
      </c>
      <c r="Z123" s="10">
        <v>1</v>
      </c>
      <c r="AA123" s="10">
        <v>1</v>
      </c>
      <c r="AD123" s="10">
        <v>1</v>
      </c>
      <c r="AE123" s="10">
        <v>1</v>
      </c>
    </row>
    <row r="124" spans="2:31" x14ac:dyDescent="0.3">
      <c r="B124" s="92" t="s">
        <v>45</v>
      </c>
      <c r="C124" s="92" t="s">
        <v>48</v>
      </c>
      <c r="D124" s="89"/>
      <c r="E124" s="9" t="s">
        <v>83</v>
      </c>
      <c r="F124" s="9" t="s">
        <v>2</v>
      </c>
      <c r="G124" s="10">
        <v>0</v>
      </c>
      <c r="H124" s="10">
        <v>0</v>
      </c>
      <c r="I124" s="10">
        <v>0</v>
      </c>
      <c r="J124" s="10">
        <v>0</v>
      </c>
      <c r="K124" s="10">
        <v>1</v>
      </c>
      <c r="L124" s="10">
        <v>1</v>
      </c>
      <c r="M124" s="10">
        <v>1</v>
      </c>
      <c r="N124" s="10">
        <v>1</v>
      </c>
      <c r="O124" s="10">
        <v>1</v>
      </c>
      <c r="P124" s="10">
        <v>1</v>
      </c>
      <c r="Q124" s="10">
        <v>1</v>
      </c>
      <c r="R124" s="10">
        <v>1</v>
      </c>
      <c r="T124" s="4">
        <f t="shared" si="2"/>
        <v>1</v>
      </c>
      <c r="U124" s="4">
        <f t="shared" si="3"/>
        <v>0.66666666666666663</v>
      </c>
      <c r="V124" s="10">
        <v>1</v>
      </c>
      <c r="X124" s="10">
        <v>0</v>
      </c>
      <c r="Y124" s="10">
        <v>1</v>
      </c>
      <c r="Z124" s="10">
        <v>1</v>
      </c>
      <c r="AA124" s="10">
        <v>1</v>
      </c>
      <c r="AD124" s="10">
        <v>1</v>
      </c>
      <c r="AE124" s="10">
        <v>1</v>
      </c>
    </row>
    <row r="125" spans="2:31" x14ac:dyDescent="0.3">
      <c r="B125" s="94"/>
      <c r="C125" s="92" t="s">
        <v>49</v>
      </c>
      <c r="D125" s="87"/>
      <c r="E125" s="92" t="s">
        <v>83</v>
      </c>
      <c r="F125" s="9" t="s">
        <v>2</v>
      </c>
      <c r="G125" s="10">
        <v>24</v>
      </c>
      <c r="H125" s="10">
        <v>24</v>
      </c>
      <c r="I125" s="10">
        <v>24</v>
      </c>
      <c r="J125" s="10">
        <v>24</v>
      </c>
      <c r="K125" s="10">
        <v>24</v>
      </c>
      <c r="L125" s="10">
        <v>24</v>
      </c>
      <c r="M125" s="10">
        <v>24</v>
      </c>
      <c r="N125" s="10">
        <v>24</v>
      </c>
      <c r="O125" s="10">
        <v>24</v>
      </c>
      <c r="P125" s="10">
        <v>24</v>
      </c>
      <c r="Q125" s="10">
        <v>24</v>
      </c>
      <c r="R125" s="10">
        <v>24</v>
      </c>
      <c r="T125" s="4">
        <f t="shared" si="2"/>
        <v>24</v>
      </c>
      <c r="U125" s="4">
        <f t="shared" si="3"/>
        <v>24</v>
      </c>
      <c r="V125" s="10">
        <v>24</v>
      </c>
      <c r="X125" s="10">
        <v>24</v>
      </c>
      <c r="Y125" s="10">
        <v>24</v>
      </c>
      <c r="Z125" s="10">
        <v>24</v>
      </c>
      <c r="AA125" s="10">
        <v>24</v>
      </c>
      <c r="AD125" s="10">
        <v>24</v>
      </c>
      <c r="AE125" s="10">
        <v>24</v>
      </c>
    </row>
    <row r="126" spans="2:31" x14ac:dyDescent="0.3">
      <c r="B126" s="94"/>
      <c r="C126" s="93"/>
      <c r="D126" s="89"/>
      <c r="E126" s="93"/>
      <c r="F126" s="9" t="s">
        <v>3</v>
      </c>
      <c r="G126" s="10">
        <v>24</v>
      </c>
      <c r="H126" s="10">
        <v>24</v>
      </c>
      <c r="I126" s="10">
        <v>24</v>
      </c>
      <c r="J126" s="10">
        <v>24</v>
      </c>
      <c r="K126" s="10">
        <v>24</v>
      </c>
      <c r="L126" s="10">
        <v>24</v>
      </c>
      <c r="M126" s="10">
        <v>24</v>
      </c>
      <c r="N126" s="10">
        <v>24</v>
      </c>
      <c r="O126" s="10">
        <v>24</v>
      </c>
      <c r="P126" s="10">
        <v>24</v>
      </c>
      <c r="Q126" s="10">
        <v>24</v>
      </c>
      <c r="R126" s="10">
        <v>24</v>
      </c>
      <c r="T126" s="4">
        <f t="shared" si="2"/>
        <v>24</v>
      </c>
      <c r="U126" s="4">
        <f t="shared" si="3"/>
        <v>24</v>
      </c>
      <c r="V126" s="10">
        <v>24</v>
      </c>
      <c r="X126" s="10">
        <v>24</v>
      </c>
      <c r="Y126" s="10">
        <v>24</v>
      </c>
      <c r="Z126" s="10">
        <v>24</v>
      </c>
      <c r="AA126" s="10">
        <v>24</v>
      </c>
      <c r="AD126" s="10">
        <v>24</v>
      </c>
      <c r="AE126" s="10">
        <v>24</v>
      </c>
    </row>
    <row r="127" spans="2:31" x14ac:dyDescent="0.3">
      <c r="B127" s="93"/>
      <c r="C127" s="92" t="s">
        <v>45</v>
      </c>
      <c r="D127" s="89"/>
      <c r="E127" s="9" t="s">
        <v>82</v>
      </c>
      <c r="F127" s="9" t="s">
        <v>2</v>
      </c>
      <c r="G127" s="10">
        <v>0</v>
      </c>
      <c r="H127" s="10">
        <v>0</v>
      </c>
      <c r="I127" s="10">
        <v>0</v>
      </c>
      <c r="J127" s="10">
        <v>0</v>
      </c>
      <c r="K127" s="10">
        <v>1</v>
      </c>
      <c r="L127" s="10">
        <v>1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T127" s="4">
        <f t="shared" si="2"/>
        <v>0</v>
      </c>
      <c r="U127" s="4">
        <f t="shared" si="3"/>
        <v>0.16666666666666666</v>
      </c>
      <c r="V127" s="10">
        <v>0</v>
      </c>
      <c r="X127" s="10">
        <v>0</v>
      </c>
      <c r="Y127" s="10">
        <v>1</v>
      </c>
      <c r="Z127" s="10">
        <v>0</v>
      </c>
      <c r="AA127" s="10">
        <v>0</v>
      </c>
      <c r="AD127" s="10">
        <v>0</v>
      </c>
      <c r="AE127" s="10">
        <v>0</v>
      </c>
    </row>
    <row r="128" spans="2:31" x14ac:dyDescent="0.3">
      <c r="B128" s="92" t="s">
        <v>50</v>
      </c>
      <c r="C128" s="92" t="s">
        <v>51</v>
      </c>
      <c r="D128" s="89"/>
      <c r="E128" s="9" t="s">
        <v>83</v>
      </c>
      <c r="F128" s="9" t="s">
        <v>3</v>
      </c>
      <c r="G128" s="10">
        <v>13</v>
      </c>
      <c r="H128" s="10">
        <v>13</v>
      </c>
      <c r="I128" s="10">
        <v>13</v>
      </c>
      <c r="J128" s="10">
        <v>13</v>
      </c>
      <c r="K128" s="10">
        <v>13</v>
      </c>
      <c r="L128" s="10">
        <v>13</v>
      </c>
      <c r="M128" s="10">
        <v>13</v>
      </c>
      <c r="N128" s="10">
        <v>13</v>
      </c>
      <c r="O128" s="10">
        <v>13</v>
      </c>
      <c r="P128" s="10">
        <v>13</v>
      </c>
      <c r="Q128" s="10">
        <v>13</v>
      </c>
      <c r="R128" s="10">
        <v>13</v>
      </c>
      <c r="T128" s="4">
        <f t="shared" si="2"/>
        <v>13</v>
      </c>
      <c r="U128" s="4">
        <f t="shared" si="3"/>
        <v>13</v>
      </c>
      <c r="V128" s="10">
        <v>0</v>
      </c>
      <c r="X128" s="10">
        <v>13</v>
      </c>
      <c r="Y128" s="10">
        <v>13</v>
      </c>
      <c r="Z128" s="10">
        <v>13</v>
      </c>
      <c r="AA128" s="10">
        <v>13</v>
      </c>
      <c r="AD128" s="10">
        <v>0</v>
      </c>
      <c r="AE128" s="10">
        <v>0</v>
      </c>
    </row>
    <row r="129" spans="2:31" x14ac:dyDescent="0.3">
      <c r="B129" s="94"/>
      <c r="C129" s="92" t="s">
        <v>54</v>
      </c>
      <c r="D129" s="87"/>
      <c r="E129" s="92" t="s">
        <v>83</v>
      </c>
      <c r="F129" s="9" t="s">
        <v>2</v>
      </c>
      <c r="G129" s="10">
        <v>1</v>
      </c>
      <c r="H129" s="10">
        <v>1</v>
      </c>
      <c r="I129" s="10">
        <v>1</v>
      </c>
      <c r="J129" s="10">
        <v>1</v>
      </c>
      <c r="K129" s="10">
        <v>1</v>
      </c>
      <c r="L129" s="10">
        <v>1</v>
      </c>
      <c r="M129" s="10">
        <v>2</v>
      </c>
      <c r="N129" s="10">
        <v>1</v>
      </c>
      <c r="O129" s="10">
        <v>1</v>
      </c>
      <c r="P129" s="10">
        <v>1</v>
      </c>
      <c r="Q129" s="10">
        <v>1</v>
      </c>
      <c r="R129" s="10">
        <v>1</v>
      </c>
      <c r="T129" s="4">
        <f t="shared" si="2"/>
        <v>1</v>
      </c>
      <c r="U129" s="4">
        <f t="shared" si="3"/>
        <v>1.0833333333333333</v>
      </c>
      <c r="V129" s="10">
        <v>13</v>
      </c>
      <c r="X129" s="10">
        <v>1</v>
      </c>
      <c r="Y129" s="10">
        <v>1</v>
      </c>
      <c r="Z129" s="10">
        <v>1</v>
      </c>
      <c r="AA129" s="10">
        <v>1</v>
      </c>
      <c r="AD129" s="10">
        <v>13</v>
      </c>
      <c r="AE129" s="10">
        <v>13</v>
      </c>
    </row>
    <row r="130" spans="2:31" x14ac:dyDescent="0.3">
      <c r="B130" s="94"/>
      <c r="C130" s="93"/>
      <c r="D130" s="89"/>
      <c r="E130" s="93"/>
      <c r="F130" s="9" t="s">
        <v>3</v>
      </c>
      <c r="G130" s="10">
        <v>3</v>
      </c>
      <c r="H130" s="10">
        <v>3</v>
      </c>
      <c r="I130" s="10">
        <v>3</v>
      </c>
      <c r="J130" s="10">
        <v>3</v>
      </c>
      <c r="K130" s="10">
        <v>3</v>
      </c>
      <c r="L130" s="10">
        <v>3</v>
      </c>
      <c r="M130" s="10">
        <v>3</v>
      </c>
      <c r="N130" s="10">
        <v>3</v>
      </c>
      <c r="O130" s="10">
        <v>3</v>
      </c>
      <c r="P130" s="10">
        <v>3</v>
      </c>
      <c r="Q130" s="10">
        <v>3</v>
      </c>
      <c r="R130" s="10">
        <v>3</v>
      </c>
      <c r="T130" s="4">
        <f t="shared" si="2"/>
        <v>3</v>
      </c>
      <c r="U130" s="4">
        <f t="shared" si="3"/>
        <v>3</v>
      </c>
      <c r="V130" s="10">
        <v>1</v>
      </c>
      <c r="X130" s="10">
        <v>3</v>
      </c>
      <c r="Y130" s="10">
        <v>3</v>
      </c>
      <c r="Z130" s="10">
        <v>3</v>
      </c>
      <c r="AA130" s="10">
        <v>3</v>
      </c>
      <c r="AD130" s="10">
        <v>1</v>
      </c>
      <c r="AE130" s="10">
        <v>1</v>
      </c>
    </row>
    <row r="131" spans="2:31" x14ac:dyDescent="0.3">
      <c r="B131" s="94"/>
      <c r="C131" s="92" t="s">
        <v>57</v>
      </c>
      <c r="D131" s="87"/>
      <c r="E131" s="92" t="s">
        <v>83</v>
      </c>
      <c r="F131" s="9" t="s">
        <v>2</v>
      </c>
      <c r="G131" s="10">
        <v>6</v>
      </c>
      <c r="H131" s="10">
        <v>6</v>
      </c>
      <c r="I131" s="10">
        <v>6</v>
      </c>
      <c r="J131" s="10">
        <v>6</v>
      </c>
      <c r="K131" s="10">
        <v>6</v>
      </c>
      <c r="L131" s="10">
        <v>6</v>
      </c>
      <c r="M131" s="10">
        <v>5</v>
      </c>
      <c r="N131" s="10">
        <v>4</v>
      </c>
      <c r="O131" s="10">
        <v>4</v>
      </c>
      <c r="P131" s="10">
        <v>4</v>
      </c>
      <c r="Q131" s="10">
        <v>4</v>
      </c>
      <c r="R131" s="10">
        <v>4</v>
      </c>
      <c r="T131" s="4">
        <f t="shared" si="2"/>
        <v>4</v>
      </c>
      <c r="U131" s="4">
        <f t="shared" si="3"/>
        <v>5.083333333333333</v>
      </c>
      <c r="V131" s="10">
        <v>3</v>
      </c>
      <c r="X131" s="10">
        <v>6</v>
      </c>
      <c r="Y131" s="10">
        <v>6</v>
      </c>
      <c r="Z131" s="10">
        <v>4</v>
      </c>
      <c r="AA131" s="10">
        <v>4</v>
      </c>
      <c r="AD131" s="10">
        <v>3</v>
      </c>
      <c r="AE131" s="10">
        <v>3</v>
      </c>
    </row>
    <row r="132" spans="2:31" x14ac:dyDescent="0.3">
      <c r="B132" s="94"/>
      <c r="C132" s="93"/>
      <c r="D132" s="89"/>
      <c r="E132" s="93"/>
      <c r="F132" s="9" t="s">
        <v>3</v>
      </c>
      <c r="G132" s="10">
        <v>4</v>
      </c>
      <c r="H132" s="10">
        <v>4</v>
      </c>
      <c r="I132" s="10">
        <v>4</v>
      </c>
      <c r="J132" s="10">
        <v>4</v>
      </c>
      <c r="K132" s="10">
        <v>4</v>
      </c>
      <c r="L132" s="10">
        <v>4</v>
      </c>
      <c r="M132" s="10">
        <v>4</v>
      </c>
      <c r="N132" s="10">
        <v>4</v>
      </c>
      <c r="O132" s="10">
        <v>4</v>
      </c>
      <c r="P132" s="10">
        <v>4</v>
      </c>
      <c r="Q132" s="10">
        <v>4</v>
      </c>
      <c r="R132" s="10">
        <v>4</v>
      </c>
      <c r="T132" s="4">
        <f t="shared" ref="T132:T195" si="4">+R132</f>
        <v>4</v>
      </c>
      <c r="U132" s="4">
        <f t="shared" ref="U132:U195" si="5">+AVERAGE(G132:R132)</f>
        <v>4</v>
      </c>
      <c r="V132" s="10">
        <v>5</v>
      </c>
      <c r="X132" s="10">
        <v>4</v>
      </c>
      <c r="Y132" s="10">
        <v>4</v>
      </c>
      <c r="Z132" s="10">
        <v>4</v>
      </c>
      <c r="AA132" s="10">
        <v>4</v>
      </c>
      <c r="AD132" s="10">
        <v>4</v>
      </c>
      <c r="AE132" s="10">
        <v>5</v>
      </c>
    </row>
    <row r="133" spans="2:31" x14ac:dyDescent="0.3">
      <c r="B133" s="94"/>
      <c r="C133" s="92" t="s">
        <v>50</v>
      </c>
      <c r="D133" s="87"/>
      <c r="E133" s="92" t="s">
        <v>83</v>
      </c>
      <c r="F133" s="9" t="s">
        <v>2</v>
      </c>
      <c r="G133" s="10">
        <v>2</v>
      </c>
      <c r="H133" s="10">
        <v>2</v>
      </c>
      <c r="I133" s="10">
        <v>2</v>
      </c>
      <c r="J133" s="10">
        <v>1</v>
      </c>
      <c r="K133" s="10">
        <v>1</v>
      </c>
      <c r="L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2</v>
      </c>
      <c r="R133" s="10">
        <v>2</v>
      </c>
      <c r="T133" s="4">
        <f t="shared" si="4"/>
        <v>2</v>
      </c>
      <c r="U133" s="4">
        <f t="shared" si="5"/>
        <v>1.4166666666666667</v>
      </c>
      <c r="V133" s="10">
        <v>4</v>
      </c>
      <c r="X133" s="10">
        <v>2</v>
      </c>
      <c r="Y133" s="10">
        <v>1</v>
      </c>
      <c r="Z133" s="10">
        <v>1</v>
      </c>
      <c r="AA133" s="10">
        <v>2</v>
      </c>
      <c r="AD133" s="10">
        <v>4</v>
      </c>
      <c r="AE133" s="10">
        <v>4</v>
      </c>
    </row>
    <row r="134" spans="2:31" x14ac:dyDescent="0.3">
      <c r="B134" s="93"/>
      <c r="C134" s="93"/>
      <c r="D134" s="89"/>
      <c r="E134" s="93"/>
      <c r="F134" s="9" t="s">
        <v>3</v>
      </c>
      <c r="G134" s="10">
        <v>2</v>
      </c>
      <c r="H134" s="10">
        <v>2</v>
      </c>
      <c r="I134" s="10">
        <v>2</v>
      </c>
      <c r="J134" s="10">
        <v>2</v>
      </c>
      <c r="K134" s="10">
        <v>2</v>
      </c>
      <c r="L134" s="10">
        <v>2</v>
      </c>
      <c r="M134" s="10">
        <v>2</v>
      </c>
      <c r="N134" s="10">
        <v>2</v>
      </c>
      <c r="O134" s="10">
        <v>2</v>
      </c>
      <c r="P134" s="10">
        <v>2</v>
      </c>
      <c r="Q134" s="10">
        <v>2</v>
      </c>
      <c r="R134" s="10">
        <v>2</v>
      </c>
      <c r="T134" s="4">
        <f t="shared" si="4"/>
        <v>2</v>
      </c>
      <c r="U134" s="4">
        <f t="shared" si="5"/>
        <v>2</v>
      </c>
      <c r="V134" s="10">
        <v>1</v>
      </c>
      <c r="X134" s="10">
        <v>2</v>
      </c>
      <c r="Y134" s="10">
        <v>2</v>
      </c>
      <c r="Z134" s="10">
        <v>2</v>
      </c>
      <c r="AA134" s="10">
        <v>2</v>
      </c>
      <c r="AD134" s="10">
        <v>2</v>
      </c>
      <c r="AE134" s="10">
        <v>1</v>
      </c>
    </row>
    <row r="135" spans="2:31" x14ac:dyDescent="0.3">
      <c r="B135" s="92" t="s">
        <v>58</v>
      </c>
      <c r="C135" s="92" t="s">
        <v>60</v>
      </c>
      <c r="D135" s="87"/>
      <c r="E135" s="92" t="s">
        <v>83</v>
      </c>
      <c r="F135" s="9" t="s">
        <v>2</v>
      </c>
      <c r="G135" s="10">
        <v>3</v>
      </c>
      <c r="H135" s="10">
        <v>3</v>
      </c>
      <c r="I135" s="10">
        <v>3</v>
      </c>
      <c r="J135" s="10">
        <v>3</v>
      </c>
      <c r="K135" s="10">
        <v>2</v>
      </c>
      <c r="L135" s="10">
        <v>2</v>
      </c>
      <c r="M135" s="10">
        <v>2</v>
      </c>
      <c r="N135" s="10">
        <v>2</v>
      </c>
      <c r="O135" s="10">
        <v>2</v>
      </c>
      <c r="P135" s="10">
        <v>2</v>
      </c>
      <c r="Q135" s="10">
        <v>2</v>
      </c>
      <c r="R135" s="10">
        <v>2</v>
      </c>
      <c r="T135" s="4">
        <f t="shared" si="4"/>
        <v>2</v>
      </c>
      <c r="U135" s="4">
        <f t="shared" si="5"/>
        <v>2.3333333333333335</v>
      </c>
      <c r="V135" s="10">
        <v>2</v>
      </c>
      <c r="X135" s="10">
        <v>3</v>
      </c>
      <c r="Y135" s="10">
        <v>2</v>
      </c>
      <c r="Z135" s="10">
        <v>2</v>
      </c>
      <c r="AA135" s="10">
        <v>2</v>
      </c>
      <c r="AD135" s="10">
        <v>2</v>
      </c>
      <c r="AE135" s="10">
        <v>2</v>
      </c>
    </row>
    <row r="136" spans="2:31" x14ac:dyDescent="0.3">
      <c r="B136" s="93"/>
      <c r="C136" s="93"/>
      <c r="D136" s="89"/>
      <c r="E136" s="93"/>
      <c r="F136" s="9" t="s">
        <v>3</v>
      </c>
      <c r="G136" s="10">
        <v>3</v>
      </c>
      <c r="H136" s="10">
        <v>3</v>
      </c>
      <c r="I136" s="10">
        <v>3</v>
      </c>
      <c r="J136" s="10">
        <v>3</v>
      </c>
      <c r="K136" s="10">
        <v>3</v>
      </c>
      <c r="L136" s="10">
        <v>3</v>
      </c>
      <c r="M136" s="10">
        <v>3</v>
      </c>
      <c r="N136" s="10">
        <v>3</v>
      </c>
      <c r="O136" s="10">
        <v>3</v>
      </c>
      <c r="P136" s="10">
        <v>3</v>
      </c>
      <c r="Q136" s="10">
        <v>3</v>
      </c>
      <c r="R136" s="10">
        <v>3</v>
      </c>
      <c r="T136" s="4">
        <f t="shared" si="4"/>
        <v>3</v>
      </c>
      <c r="U136" s="4">
        <f t="shared" si="5"/>
        <v>3</v>
      </c>
      <c r="V136" s="10">
        <v>2</v>
      </c>
      <c r="X136" s="10">
        <v>3</v>
      </c>
      <c r="Y136" s="10">
        <v>3</v>
      </c>
      <c r="Z136" s="10">
        <v>3</v>
      </c>
      <c r="AA136" s="10">
        <v>3</v>
      </c>
      <c r="AD136" s="10">
        <v>2</v>
      </c>
      <c r="AE136" s="10">
        <v>2</v>
      </c>
    </row>
    <row r="137" spans="2:31" x14ac:dyDescent="0.3">
      <c r="B137" s="92" t="s">
        <v>62</v>
      </c>
      <c r="C137" s="92" t="s">
        <v>63</v>
      </c>
      <c r="D137" s="87"/>
      <c r="E137" s="92" t="s">
        <v>83</v>
      </c>
      <c r="F137" s="9" t="s">
        <v>2</v>
      </c>
      <c r="G137" s="10">
        <v>34</v>
      </c>
      <c r="H137" s="10">
        <v>34</v>
      </c>
      <c r="I137" s="10">
        <v>34</v>
      </c>
      <c r="J137" s="10">
        <v>34</v>
      </c>
      <c r="K137" s="10">
        <v>34</v>
      </c>
      <c r="L137" s="10">
        <v>34</v>
      </c>
      <c r="M137" s="10">
        <v>34</v>
      </c>
      <c r="N137" s="10">
        <v>34</v>
      </c>
      <c r="O137" s="10">
        <v>34</v>
      </c>
      <c r="P137" s="10">
        <v>34</v>
      </c>
      <c r="Q137" s="10">
        <v>34</v>
      </c>
      <c r="R137" s="10">
        <v>34</v>
      </c>
      <c r="T137" s="4">
        <f t="shared" si="4"/>
        <v>34</v>
      </c>
      <c r="U137" s="4">
        <f t="shared" si="5"/>
        <v>34</v>
      </c>
      <c r="V137" s="10">
        <v>3</v>
      </c>
      <c r="X137" s="10">
        <v>34</v>
      </c>
      <c r="Y137" s="10">
        <v>34</v>
      </c>
      <c r="Z137" s="10">
        <v>34</v>
      </c>
      <c r="AA137" s="10">
        <v>34</v>
      </c>
      <c r="AD137" s="10">
        <v>3</v>
      </c>
      <c r="AE137" s="10">
        <v>3</v>
      </c>
    </row>
    <row r="138" spans="2:31" x14ac:dyDescent="0.3">
      <c r="B138" s="93"/>
      <c r="C138" s="93"/>
      <c r="D138" s="89"/>
      <c r="E138" s="93"/>
      <c r="F138" s="9" t="s">
        <v>3</v>
      </c>
      <c r="G138" s="10">
        <v>34</v>
      </c>
      <c r="H138" s="10">
        <v>34</v>
      </c>
      <c r="I138" s="10">
        <v>34</v>
      </c>
      <c r="J138" s="10">
        <v>34</v>
      </c>
      <c r="K138" s="10">
        <v>34</v>
      </c>
      <c r="L138" s="10">
        <v>34</v>
      </c>
      <c r="M138" s="10">
        <v>34</v>
      </c>
      <c r="N138" s="10">
        <v>34</v>
      </c>
      <c r="O138" s="10">
        <v>34</v>
      </c>
      <c r="P138" s="10">
        <v>34</v>
      </c>
      <c r="Q138" s="10">
        <v>34</v>
      </c>
      <c r="R138" s="10">
        <v>34</v>
      </c>
      <c r="T138" s="4">
        <f t="shared" si="4"/>
        <v>34</v>
      </c>
      <c r="U138" s="4">
        <f t="shared" si="5"/>
        <v>34</v>
      </c>
      <c r="V138" s="10">
        <v>34</v>
      </c>
      <c r="X138" s="10">
        <v>34</v>
      </c>
      <c r="Y138" s="10">
        <v>34</v>
      </c>
      <c r="Z138" s="10">
        <v>34</v>
      </c>
      <c r="AA138" s="10">
        <v>34</v>
      </c>
      <c r="AD138" s="10">
        <v>34</v>
      </c>
      <c r="AE138" s="10">
        <v>34</v>
      </c>
    </row>
    <row r="139" spans="2:31" x14ac:dyDescent="0.3">
      <c r="B139" s="92" t="s">
        <v>75</v>
      </c>
      <c r="C139" s="92" t="s">
        <v>76</v>
      </c>
      <c r="D139" s="87"/>
      <c r="E139" s="92" t="s">
        <v>83</v>
      </c>
      <c r="F139" s="9" t="s">
        <v>2</v>
      </c>
      <c r="G139" s="10">
        <v>5</v>
      </c>
      <c r="H139" s="10">
        <v>4.5</v>
      </c>
      <c r="I139" s="10">
        <v>4</v>
      </c>
      <c r="J139" s="10">
        <v>3</v>
      </c>
      <c r="K139" s="10">
        <v>3</v>
      </c>
      <c r="L139" s="10">
        <v>3</v>
      </c>
      <c r="M139" s="10">
        <v>5</v>
      </c>
      <c r="N139" s="10">
        <v>5</v>
      </c>
      <c r="O139" s="10">
        <v>5</v>
      </c>
      <c r="P139" s="10">
        <v>5</v>
      </c>
      <c r="Q139" s="10">
        <v>5</v>
      </c>
      <c r="R139" s="10">
        <v>5</v>
      </c>
      <c r="T139" s="4">
        <f t="shared" si="4"/>
        <v>5</v>
      </c>
      <c r="U139" s="4">
        <f t="shared" si="5"/>
        <v>4.375</v>
      </c>
      <c r="V139" s="10">
        <v>34</v>
      </c>
      <c r="X139" s="10">
        <v>5</v>
      </c>
      <c r="Y139" s="10">
        <v>3</v>
      </c>
      <c r="Z139" s="10">
        <v>5</v>
      </c>
      <c r="AA139" s="10">
        <v>5</v>
      </c>
      <c r="AD139" s="10">
        <v>34</v>
      </c>
      <c r="AE139" s="10">
        <v>34</v>
      </c>
    </row>
    <row r="140" spans="2:31" x14ac:dyDescent="0.3">
      <c r="B140" s="94"/>
      <c r="C140" s="93"/>
      <c r="D140" s="89"/>
      <c r="E140" s="93"/>
      <c r="F140" s="9" t="s">
        <v>3</v>
      </c>
      <c r="G140" s="10">
        <v>7</v>
      </c>
      <c r="H140" s="10">
        <v>6</v>
      </c>
      <c r="I140" s="10">
        <v>6</v>
      </c>
      <c r="J140" s="10">
        <v>6</v>
      </c>
      <c r="K140" s="10">
        <v>6</v>
      </c>
      <c r="L140" s="10">
        <v>6</v>
      </c>
      <c r="M140" s="10">
        <v>6</v>
      </c>
      <c r="N140" s="10">
        <v>6</v>
      </c>
      <c r="O140" s="10">
        <v>6</v>
      </c>
      <c r="P140" s="10">
        <v>6</v>
      </c>
      <c r="Q140" s="10">
        <v>6</v>
      </c>
      <c r="R140" s="10">
        <v>6</v>
      </c>
      <c r="T140" s="4">
        <f t="shared" si="4"/>
        <v>6</v>
      </c>
      <c r="U140" s="4">
        <f t="shared" si="5"/>
        <v>6.083333333333333</v>
      </c>
      <c r="V140" s="10">
        <v>4</v>
      </c>
      <c r="X140" s="10">
        <v>6</v>
      </c>
      <c r="Y140" s="10">
        <v>6</v>
      </c>
      <c r="Z140" s="10">
        <v>6</v>
      </c>
      <c r="AA140" s="10">
        <v>6</v>
      </c>
      <c r="AD140" s="10">
        <v>5</v>
      </c>
      <c r="AE140" s="10">
        <v>4</v>
      </c>
    </row>
    <row r="141" spans="2:31" x14ac:dyDescent="0.3">
      <c r="B141" s="94"/>
      <c r="C141" s="92" t="s">
        <v>77</v>
      </c>
      <c r="D141" s="87"/>
      <c r="E141" s="92" t="s">
        <v>83</v>
      </c>
      <c r="F141" s="9" t="s">
        <v>2</v>
      </c>
      <c r="G141" s="10">
        <v>8</v>
      </c>
      <c r="H141" s="10">
        <v>8</v>
      </c>
      <c r="I141" s="10">
        <v>8</v>
      </c>
      <c r="J141" s="10">
        <v>8</v>
      </c>
      <c r="K141" s="10">
        <v>7</v>
      </c>
      <c r="L141" s="10">
        <v>8</v>
      </c>
      <c r="M141" s="10">
        <v>7</v>
      </c>
      <c r="N141" s="10">
        <v>7</v>
      </c>
      <c r="O141" s="10">
        <v>7</v>
      </c>
      <c r="P141" s="10">
        <v>7</v>
      </c>
      <c r="Q141" s="10">
        <v>7</v>
      </c>
      <c r="R141" s="10">
        <v>7</v>
      </c>
      <c r="T141" s="4">
        <f t="shared" si="4"/>
        <v>7</v>
      </c>
      <c r="U141" s="4">
        <f t="shared" si="5"/>
        <v>7.416666666666667</v>
      </c>
      <c r="V141" s="10">
        <v>6</v>
      </c>
      <c r="X141" s="10">
        <v>8</v>
      </c>
      <c r="Y141" s="10">
        <v>8</v>
      </c>
      <c r="Z141" s="10">
        <v>7</v>
      </c>
      <c r="AA141" s="10">
        <v>7</v>
      </c>
      <c r="AD141" s="10">
        <v>6</v>
      </c>
      <c r="AE141" s="10">
        <v>6</v>
      </c>
    </row>
    <row r="142" spans="2:31" x14ac:dyDescent="0.3">
      <c r="B142" s="93"/>
      <c r="C142" s="93"/>
      <c r="D142" s="89"/>
      <c r="E142" s="93"/>
      <c r="F142" s="9" t="s">
        <v>3</v>
      </c>
      <c r="G142" s="10">
        <v>8</v>
      </c>
      <c r="H142" s="10">
        <v>8</v>
      </c>
      <c r="I142" s="10">
        <v>8</v>
      </c>
      <c r="J142" s="10">
        <v>8</v>
      </c>
      <c r="K142" s="10">
        <v>8</v>
      </c>
      <c r="L142" s="10">
        <v>8</v>
      </c>
      <c r="M142" s="10">
        <v>8</v>
      </c>
      <c r="N142" s="10">
        <v>8</v>
      </c>
      <c r="O142" s="10">
        <v>8</v>
      </c>
      <c r="P142" s="10">
        <v>8</v>
      </c>
      <c r="Q142" s="10">
        <v>8</v>
      </c>
      <c r="R142" s="10">
        <v>8</v>
      </c>
      <c r="T142" s="4">
        <f t="shared" si="4"/>
        <v>8</v>
      </c>
      <c r="U142" s="4">
        <f t="shared" si="5"/>
        <v>8</v>
      </c>
      <c r="V142" s="10">
        <v>7</v>
      </c>
      <c r="X142" s="10">
        <v>8</v>
      </c>
      <c r="Y142" s="10">
        <v>8</v>
      </c>
      <c r="Z142" s="10">
        <v>8</v>
      </c>
      <c r="AA142" s="10">
        <v>8</v>
      </c>
      <c r="AD142" s="10">
        <v>7</v>
      </c>
      <c r="AE142" s="10">
        <v>7</v>
      </c>
    </row>
    <row r="143" spans="2:31" x14ac:dyDescent="0.3">
      <c r="T143" s="4">
        <f t="shared" si="4"/>
        <v>0</v>
      </c>
      <c r="U143" s="4" t="e">
        <f t="shared" si="5"/>
        <v>#DIV/0!</v>
      </c>
      <c r="V143" s="10">
        <v>8</v>
      </c>
      <c r="AD143" s="10">
        <v>8</v>
      </c>
      <c r="AE143" s="10">
        <v>8</v>
      </c>
    </row>
    <row r="144" spans="2:31" ht="6.45" customHeight="1" x14ac:dyDescent="0.3">
      <c r="T144" s="4">
        <f t="shared" si="4"/>
        <v>0</v>
      </c>
      <c r="U144" s="4" t="e">
        <f t="shared" si="5"/>
        <v>#DIV/0!</v>
      </c>
    </row>
    <row r="145" spans="2:31" x14ac:dyDescent="0.3">
      <c r="B145" s="90" t="s">
        <v>84</v>
      </c>
      <c r="C145" s="89"/>
      <c r="D145" s="89"/>
      <c r="E145" s="89"/>
      <c r="F145" s="2" t="s">
        <v>2</v>
      </c>
      <c r="G145" s="3">
        <v>363</v>
      </c>
      <c r="H145" s="3">
        <v>372</v>
      </c>
      <c r="I145" s="3">
        <v>376</v>
      </c>
      <c r="J145" s="3">
        <v>378</v>
      </c>
      <c r="K145" s="3">
        <v>389</v>
      </c>
      <c r="L145" s="3">
        <v>393</v>
      </c>
      <c r="M145" s="3">
        <v>394</v>
      </c>
      <c r="N145" s="3">
        <v>389</v>
      </c>
      <c r="O145" s="3">
        <v>394</v>
      </c>
      <c r="P145" s="3">
        <v>397</v>
      </c>
      <c r="Q145" s="3">
        <v>400</v>
      </c>
      <c r="R145" s="3">
        <v>402</v>
      </c>
      <c r="T145" s="4">
        <f t="shared" si="4"/>
        <v>402</v>
      </c>
      <c r="U145" s="4">
        <f t="shared" si="5"/>
        <v>387.25</v>
      </c>
      <c r="V145" s="3">
        <v>393</v>
      </c>
      <c r="X145" s="3">
        <v>372</v>
      </c>
      <c r="Y145" s="3">
        <v>388</v>
      </c>
      <c r="Z145" s="3">
        <v>392</v>
      </c>
      <c r="AA145" s="3">
        <v>400</v>
      </c>
      <c r="AD145" s="3">
        <v>402</v>
      </c>
      <c r="AE145" s="3">
        <v>390</v>
      </c>
    </row>
    <row r="146" spans="2:31" x14ac:dyDescent="0.3">
      <c r="F146" s="2" t="s">
        <v>3</v>
      </c>
      <c r="G146" s="3">
        <v>451</v>
      </c>
      <c r="H146" s="3">
        <v>453</v>
      </c>
      <c r="I146" s="3">
        <v>463</v>
      </c>
      <c r="J146" s="3">
        <v>472</v>
      </c>
      <c r="K146" s="3">
        <v>474</v>
      </c>
      <c r="L146" s="3">
        <v>475</v>
      </c>
      <c r="M146" s="3">
        <v>476</v>
      </c>
      <c r="N146" s="3">
        <v>480</v>
      </c>
      <c r="O146" s="3">
        <v>480</v>
      </c>
      <c r="P146" s="3">
        <v>481</v>
      </c>
      <c r="Q146" s="3">
        <v>482</v>
      </c>
      <c r="R146" s="3">
        <v>482</v>
      </c>
      <c r="T146" s="4">
        <f t="shared" si="4"/>
        <v>482</v>
      </c>
      <c r="U146" s="4">
        <f t="shared" si="5"/>
        <v>472.41666666666669</v>
      </c>
      <c r="V146" s="3">
        <v>472</v>
      </c>
      <c r="X146" s="3">
        <v>455</v>
      </c>
      <c r="Y146" s="3">
        <v>473</v>
      </c>
      <c r="Z146" s="3">
        <v>479</v>
      </c>
      <c r="AA146" s="3">
        <v>482</v>
      </c>
      <c r="AD146" s="3">
        <v>482</v>
      </c>
      <c r="AE146" s="3">
        <v>472</v>
      </c>
    </row>
    <row r="147" spans="2:31" ht="3" customHeight="1" x14ac:dyDescent="0.3">
      <c r="T147" s="4">
        <f t="shared" si="4"/>
        <v>0</v>
      </c>
      <c r="U147" s="4" t="e">
        <f t="shared" si="5"/>
        <v>#DIV/0!</v>
      </c>
    </row>
    <row r="148" spans="2:31" x14ac:dyDescent="0.3">
      <c r="B148" s="90" t="s">
        <v>5</v>
      </c>
      <c r="C148" s="89"/>
      <c r="D148" s="89"/>
      <c r="E148" s="89"/>
      <c r="F148" s="7" t="s">
        <v>6</v>
      </c>
      <c r="G148" s="8" t="s">
        <v>7</v>
      </c>
      <c r="H148" s="8" t="s">
        <v>8</v>
      </c>
      <c r="I148" s="8" t="s">
        <v>9</v>
      </c>
      <c r="J148" s="8" t="s">
        <v>10</v>
      </c>
      <c r="K148" s="8" t="s">
        <v>11</v>
      </c>
      <c r="L148" s="8" t="s">
        <v>12</v>
      </c>
      <c r="M148" s="8" t="s">
        <v>13</v>
      </c>
      <c r="N148" s="8" t="s">
        <v>14</v>
      </c>
      <c r="O148" s="8" t="s">
        <v>15</v>
      </c>
      <c r="P148" s="8" t="s">
        <v>16</v>
      </c>
      <c r="Q148" s="8" t="s">
        <v>17</v>
      </c>
      <c r="R148" s="8" t="s">
        <v>18</v>
      </c>
      <c r="T148" s="4" t="str">
        <f t="shared" si="4"/>
        <v>202512</v>
      </c>
      <c r="U148" s="4" t="e">
        <f t="shared" si="5"/>
        <v>#DIV/0!</v>
      </c>
      <c r="V148" s="8" t="s">
        <v>19</v>
      </c>
      <c r="X148" s="8" t="s">
        <v>20</v>
      </c>
      <c r="Y148" s="8" t="s">
        <v>21</v>
      </c>
      <c r="Z148" s="8" t="s">
        <v>22</v>
      </c>
      <c r="AA148" s="8" t="s">
        <v>23</v>
      </c>
      <c r="AD148" s="8" t="s">
        <v>24</v>
      </c>
      <c r="AE148" s="8" t="s">
        <v>25</v>
      </c>
    </row>
    <row r="149" spans="2:31" x14ac:dyDescent="0.3">
      <c r="B149" s="92" t="s">
        <v>32</v>
      </c>
      <c r="C149" s="87"/>
      <c r="D149" s="87"/>
      <c r="E149" s="87"/>
      <c r="F149" s="9" t="s">
        <v>2</v>
      </c>
      <c r="G149" s="10">
        <v>2</v>
      </c>
      <c r="H149" s="10">
        <v>2</v>
      </c>
      <c r="I149" s="10">
        <v>2</v>
      </c>
      <c r="J149" s="10">
        <v>2</v>
      </c>
      <c r="K149" s="10">
        <v>4</v>
      </c>
      <c r="L149" s="10">
        <v>6</v>
      </c>
      <c r="M149" s="10">
        <v>6</v>
      </c>
      <c r="N149" s="10">
        <v>6</v>
      </c>
      <c r="O149" s="10">
        <v>6</v>
      </c>
      <c r="P149" s="10">
        <v>6</v>
      </c>
      <c r="Q149" s="10">
        <v>6</v>
      </c>
      <c r="R149" s="10">
        <v>6</v>
      </c>
      <c r="T149" s="4">
        <f t="shared" si="4"/>
        <v>6</v>
      </c>
      <c r="U149" s="4">
        <f t="shared" si="5"/>
        <v>4.5</v>
      </c>
      <c r="V149" s="10">
        <v>7</v>
      </c>
      <c r="X149" s="10">
        <v>2</v>
      </c>
      <c r="Y149" s="10">
        <v>5</v>
      </c>
      <c r="Z149" s="10">
        <v>6</v>
      </c>
      <c r="AA149" s="10">
        <v>6</v>
      </c>
      <c r="AD149" s="10">
        <v>6</v>
      </c>
      <c r="AE149" s="10">
        <v>6</v>
      </c>
    </row>
    <row r="150" spans="2:31" x14ac:dyDescent="0.3">
      <c r="B150" s="93"/>
      <c r="C150" s="89"/>
      <c r="D150" s="89"/>
      <c r="E150" s="89"/>
      <c r="F150" s="9" t="s">
        <v>3</v>
      </c>
      <c r="G150" s="10">
        <v>3</v>
      </c>
      <c r="H150" s="10">
        <v>3</v>
      </c>
      <c r="I150" s="10">
        <v>3</v>
      </c>
      <c r="J150" s="10">
        <v>3</v>
      </c>
      <c r="K150" s="10">
        <v>3</v>
      </c>
      <c r="L150" s="10">
        <v>3</v>
      </c>
      <c r="M150" s="10">
        <v>3</v>
      </c>
      <c r="N150" s="10">
        <v>3</v>
      </c>
      <c r="O150" s="10">
        <v>3</v>
      </c>
      <c r="P150" s="10">
        <v>3</v>
      </c>
      <c r="Q150" s="10">
        <v>3</v>
      </c>
      <c r="R150" s="10">
        <v>3</v>
      </c>
      <c r="T150" s="4">
        <f t="shared" si="4"/>
        <v>3</v>
      </c>
      <c r="U150" s="4">
        <f t="shared" si="5"/>
        <v>3</v>
      </c>
      <c r="V150" s="10">
        <v>3</v>
      </c>
      <c r="X150" s="10">
        <v>3</v>
      </c>
      <c r="Y150" s="10">
        <v>3</v>
      </c>
      <c r="Z150" s="10">
        <v>3</v>
      </c>
      <c r="AA150" s="10">
        <v>3</v>
      </c>
      <c r="AD150" s="10">
        <v>3</v>
      </c>
      <c r="AE150" s="10">
        <v>3</v>
      </c>
    </row>
    <row r="151" spans="2:31" x14ac:dyDescent="0.3">
      <c r="B151" s="92" t="s">
        <v>38</v>
      </c>
      <c r="C151" s="87"/>
      <c r="D151" s="87"/>
      <c r="E151" s="87"/>
      <c r="F151" s="9" t="s">
        <v>2</v>
      </c>
      <c r="G151" s="10">
        <v>305</v>
      </c>
      <c r="H151" s="10">
        <v>312</v>
      </c>
      <c r="I151" s="10">
        <v>317</v>
      </c>
      <c r="J151" s="10">
        <v>316</v>
      </c>
      <c r="K151" s="10">
        <v>316</v>
      </c>
      <c r="L151" s="10">
        <v>319</v>
      </c>
      <c r="M151" s="10">
        <v>321</v>
      </c>
      <c r="N151" s="10">
        <v>316</v>
      </c>
      <c r="O151" s="10">
        <v>321</v>
      </c>
      <c r="P151" s="10">
        <v>324</v>
      </c>
      <c r="Q151" s="10">
        <v>327</v>
      </c>
      <c r="R151" s="10">
        <v>330</v>
      </c>
      <c r="T151" s="4">
        <f t="shared" si="4"/>
        <v>330</v>
      </c>
      <c r="U151" s="4">
        <f t="shared" si="5"/>
        <v>318.66666666666669</v>
      </c>
      <c r="V151" s="10">
        <v>319</v>
      </c>
      <c r="X151" s="10">
        <v>312</v>
      </c>
      <c r="Y151" s="10">
        <v>317</v>
      </c>
      <c r="Z151" s="10">
        <v>319</v>
      </c>
      <c r="AA151" s="10">
        <v>327</v>
      </c>
      <c r="AD151" s="10">
        <v>330</v>
      </c>
      <c r="AE151" s="10">
        <v>319</v>
      </c>
    </row>
    <row r="152" spans="2:31" x14ac:dyDescent="0.3">
      <c r="B152" s="93"/>
      <c r="C152" s="89"/>
      <c r="D152" s="89"/>
      <c r="E152" s="89"/>
      <c r="F152" s="9" t="s">
        <v>3</v>
      </c>
      <c r="G152" s="10">
        <v>372</v>
      </c>
      <c r="H152" s="10">
        <v>374</v>
      </c>
      <c r="I152" s="10">
        <v>384</v>
      </c>
      <c r="J152" s="10">
        <v>393</v>
      </c>
      <c r="K152" s="10">
        <v>395</v>
      </c>
      <c r="L152" s="10">
        <v>396</v>
      </c>
      <c r="M152" s="10">
        <v>397</v>
      </c>
      <c r="N152" s="10">
        <v>401</v>
      </c>
      <c r="O152" s="10">
        <v>401</v>
      </c>
      <c r="P152" s="10">
        <v>402</v>
      </c>
      <c r="Q152" s="10">
        <v>403</v>
      </c>
      <c r="R152" s="10">
        <v>403</v>
      </c>
      <c r="T152" s="4">
        <f t="shared" si="4"/>
        <v>403</v>
      </c>
      <c r="U152" s="4">
        <f t="shared" si="5"/>
        <v>393.41666666666669</v>
      </c>
      <c r="V152" s="10">
        <v>393</v>
      </c>
      <c r="X152" s="10">
        <v>376</v>
      </c>
      <c r="Y152" s="10">
        <v>394</v>
      </c>
      <c r="Z152" s="10">
        <v>400</v>
      </c>
      <c r="AA152" s="10">
        <v>403</v>
      </c>
      <c r="AD152" s="10">
        <v>403</v>
      </c>
      <c r="AE152" s="10">
        <v>393</v>
      </c>
    </row>
    <row r="153" spans="2:31" x14ac:dyDescent="0.3">
      <c r="B153" s="92" t="s">
        <v>42</v>
      </c>
      <c r="C153" s="87"/>
      <c r="D153" s="87"/>
      <c r="E153" s="87"/>
      <c r="F153" s="9" t="s">
        <v>2</v>
      </c>
      <c r="G153" s="10">
        <v>38</v>
      </c>
      <c r="H153" s="10">
        <v>39</v>
      </c>
      <c r="I153" s="10">
        <v>38</v>
      </c>
      <c r="J153" s="10">
        <v>40</v>
      </c>
      <c r="K153" s="10">
        <v>49</v>
      </c>
      <c r="L153" s="10">
        <v>50</v>
      </c>
      <c r="M153" s="10">
        <v>51</v>
      </c>
      <c r="N153" s="10">
        <v>51</v>
      </c>
      <c r="O153" s="10">
        <v>51</v>
      </c>
      <c r="P153" s="10">
        <v>51</v>
      </c>
      <c r="Q153" s="10">
        <v>51</v>
      </c>
      <c r="R153" s="10">
        <v>51</v>
      </c>
      <c r="T153" s="4">
        <f t="shared" si="4"/>
        <v>51</v>
      </c>
      <c r="U153" s="4">
        <f t="shared" si="5"/>
        <v>46.666666666666664</v>
      </c>
      <c r="V153" s="10">
        <v>49</v>
      </c>
      <c r="X153" s="10">
        <v>39</v>
      </c>
      <c r="Y153" s="10">
        <v>47</v>
      </c>
      <c r="Z153" s="10">
        <v>51</v>
      </c>
      <c r="AA153" s="10">
        <v>51</v>
      </c>
      <c r="AD153" s="10">
        <v>51</v>
      </c>
      <c r="AE153" s="10">
        <v>47</v>
      </c>
    </row>
    <row r="154" spans="2:31" x14ac:dyDescent="0.3">
      <c r="B154" s="93"/>
      <c r="C154" s="89"/>
      <c r="D154" s="89"/>
      <c r="E154" s="89"/>
      <c r="F154" s="9" t="s">
        <v>3</v>
      </c>
      <c r="G154" s="10">
        <v>56</v>
      </c>
      <c r="H154" s="10">
        <v>56</v>
      </c>
      <c r="I154" s="10">
        <v>56</v>
      </c>
      <c r="J154" s="10">
        <v>56</v>
      </c>
      <c r="K154" s="10">
        <v>56</v>
      </c>
      <c r="L154" s="10">
        <v>56</v>
      </c>
      <c r="M154" s="10">
        <v>56</v>
      </c>
      <c r="N154" s="10">
        <v>56</v>
      </c>
      <c r="O154" s="10">
        <v>56</v>
      </c>
      <c r="P154" s="10">
        <v>56</v>
      </c>
      <c r="Q154" s="10">
        <v>56</v>
      </c>
      <c r="R154" s="10">
        <v>56</v>
      </c>
      <c r="T154" s="4">
        <f t="shared" si="4"/>
        <v>56</v>
      </c>
      <c r="U154" s="4">
        <f t="shared" si="5"/>
        <v>56</v>
      </c>
      <c r="V154" s="10">
        <v>56</v>
      </c>
      <c r="X154" s="10">
        <v>56</v>
      </c>
      <c r="Y154" s="10">
        <v>56</v>
      </c>
      <c r="Z154" s="10">
        <v>56</v>
      </c>
      <c r="AA154" s="10">
        <v>56</v>
      </c>
      <c r="AD154" s="10">
        <v>56</v>
      </c>
      <c r="AE154" s="10">
        <v>56</v>
      </c>
    </row>
    <row r="155" spans="2:31" x14ac:dyDescent="0.3">
      <c r="B155" s="92" t="s">
        <v>45</v>
      </c>
      <c r="C155" s="87"/>
      <c r="D155" s="87"/>
      <c r="E155" s="87"/>
      <c r="F155" s="9" t="s">
        <v>2</v>
      </c>
      <c r="G155" s="10">
        <v>1</v>
      </c>
      <c r="H155" s="10">
        <v>2</v>
      </c>
      <c r="I155" s="10">
        <v>2</v>
      </c>
      <c r="J155" s="10">
        <v>2</v>
      </c>
      <c r="K155" s="10">
        <v>2</v>
      </c>
      <c r="L155" s="10">
        <v>2</v>
      </c>
      <c r="M155" s="10">
        <v>2</v>
      </c>
      <c r="N155" s="10">
        <v>2</v>
      </c>
      <c r="O155" s="10">
        <v>2</v>
      </c>
      <c r="P155" s="10">
        <v>2</v>
      </c>
      <c r="Q155" s="10">
        <v>2</v>
      </c>
      <c r="R155" s="10">
        <v>2</v>
      </c>
      <c r="T155" s="4">
        <f t="shared" si="4"/>
        <v>2</v>
      </c>
      <c r="U155" s="4">
        <f t="shared" si="5"/>
        <v>1.9166666666666667</v>
      </c>
      <c r="V155" s="10">
        <v>2</v>
      </c>
      <c r="X155" s="10">
        <v>2</v>
      </c>
      <c r="Y155" s="10">
        <v>2</v>
      </c>
      <c r="Z155" s="10">
        <v>2</v>
      </c>
      <c r="AA155" s="10">
        <v>2</v>
      </c>
      <c r="AD155" s="10">
        <v>2</v>
      </c>
      <c r="AE155" s="10">
        <v>2</v>
      </c>
    </row>
    <row r="156" spans="2:31" x14ac:dyDescent="0.3">
      <c r="B156" s="93"/>
      <c r="C156" s="89"/>
      <c r="D156" s="89"/>
      <c r="E156" s="89"/>
      <c r="F156" s="9" t="s">
        <v>3</v>
      </c>
      <c r="G156" s="10">
        <v>2</v>
      </c>
      <c r="H156" s="10">
        <v>2</v>
      </c>
      <c r="I156" s="10">
        <v>2</v>
      </c>
      <c r="J156" s="10">
        <v>2</v>
      </c>
      <c r="K156" s="10">
        <v>2</v>
      </c>
      <c r="L156" s="10">
        <v>2</v>
      </c>
      <c r="M156" s="10">
        <v>2</v>
      </c>
      <c r="N156" s="10">
        <v>2</v>
      </c>
      <c r="O156" s="10">
        <v>2</v>
      </c>
      <c r="P156" s="10">
        <v>2</v>
      </c>
      <c r="Q156" s="10">
        <v>2</v>
      </c>
      <c r="R156" s="10">
        <v>2</v>
      </c>
      <c r="T156" s="4">
        <f t="shared" si="4"/>
        <v>2</v>
      </c>
      <c r="U156" s="4">
        <f t="shared" si="5"/>
        <v>2</v>
      </c>
      <c r="V156" s="10">
        <v>2</v>
      </c>
      <c r="X156" s="10">
        <v>2</v>
      </c>
      <c r="Y156" s="10">
        <v>2</v>
      </c>
      <c r="Z156" s="10">
        <v>2</v>
      </c>
      <c r="AA156" s="10">
        <v>2</v>
      </c>
      <c r="AD156" s="10">
        <v>2</v>
      </c>
      <c r="AE156" s="10">
        <v>2</v>
      </c>
    </row>
    <row r="157" spans="2:31" x14ac:dyDescent="0.3">
      <c r="B157" s="92" t="s">
        <v>50</v>
      </c>
      <c r="C157" s="87"/>
      <c r="D157" s="87"/>
      <c r="E157" s="87"/>
      <c r="F157" s="9" t="s">
        <v>2</v>
      </c>
      <c r="G157" s="10">
        <v>1</v>
      </c>
      <c r="H157" s="10">
        <v>1</v>
      </c>
      <c r="I157" s="10">
        <v>1</v>
      </c>
      <c r="J157" s="10">
        <v>1</v>
      </c>
      <c r="K157" s="10">
        <v>1</v>
      </c>
      <c r="L157" s="10">
        <v>1</v>
      </c>
      <c r="M157" s="10">
        <v>1</v>
      </c>
      <c r="N157" s="10">
        <v>1</v>
      </c>
      <c r="O157" s="10">
        <v>1</v>
      </c>
      <c r="P157" s="10">
        <v>1</v>
      </c>
      <c r="Q157" s="10">
        <v>1</v>
      </c>
      <c r="R157" s="10">
        <v>1</v>
      </c>
      <c r="T157" s="4">
        <f t="shared" si="4"/>
        <v>1</v>
      </c>
      <c r="U157" s="4">
        <f t="shared" si="5"/>
        <v>1</v>
      </c>
      <c r="V157" s="10">
        <v>1</v>
      </c>
      <c r="X157" s="10">
        <v>1</v>
      </c>
      <c r="Y157" s="10">
        <v>1</v>
      </c>
      <c r="Z157" s="10">
        <v>1</v>
      </c>
      <c r="AA157" s="10">
        <v>1</v>
      </c>
      <c r="AD157" s="10">
        <v>1</v>
      </c>
      <c r="AE157" s="10">
        <v>1</v>
      </c>
    </row>
    <row r="158" spans="2:31" x14ac:dyDescent="0.3">
      <c r="B158" s="93"/>
      <c r="C158" s="89"/>
      <c r="D158" s="89"/>
      <c r="E158" s="89"/>
      <c r="F158" s="9" t="s">
        <v>3</v>
      </c>
      <c r="G158" s="10">
        <v>1</v>
      </c>
      <c r="H158" s="10">
        <v>1</v>
      </c>
      <c r="I158" s="10">
        <v>1</v>
      </c>
      <c r="J158" s="10">
        <v>1</v>
      </c>
      <c r="K158" s="10">
        <v>1</v>
      </c>
      <c r="L158" s="10">
        <v>1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1</v>
      </c>
      <c r="T158" s="4">
        <f t="shared" si="4"/>
        <v>1</v>
      </c>
      <c r="U158" s="4">
        <f t="shared" si="5"/>
        <v>1</v>
      </c>
      <c r="V158" s="10">
        <v>1</v>
      </c>
      <c r="X158" s="10">
        <v>1</v>
      </c>
      <c r="Y158" s="10">
        <v>1</v>
      </c>
      <c r="Z158" s="10">
        <v>1</v>
      </c>
      <c r="AA158" s="10">
        <v>1</v>
      </c>
      <c r="AD158" s="10">
        <v>1</v>
      </c>
      <c r="AE158" s="10">
        <v>1</v>
      </c>
    </row>
    <row r="159" spans="2:31" x14ac:dyDescent="0.3">
      <c r="B159" s="92" t="s">
        <v>58</v>
      </c>
      <c r="C159" s="87"/>
      <c r="D159" s="87"/>
      <c r="E159" s="87"/>
      <c r="F159" s="9" t="s">
        <v>2</v>
      </c>
      <c r="G159" s="10">
        <v>6</v>
      </c>
      <c r="H159" s="10">
        <v>6</v>
      </c>
      <c r="I159" s="10">
        <v>6</v>
      </c>
      <c r="J159" s="10">
        <v>6</v>
      </c>
      <c r="K159" s="10">
        <v>6</v>
      </c>
      <c r="L159" s="10">
        <v>6</v>
      </c>
      <c r="M159" s="10">
        <v>6</v>
      </c>
      <c r="N159" s="10">
        <v>6</v>
      </c>
      <c r="O159" s="10">
        <v>6</v>
      </c>
      <c r="P159" s="10">
        <v>6</v>
      </c>
      <c r="Q159" s="10">
        <v>6</v>
      </c>
      <c r="R159" s="10">
        <v>5</v>
      </c>
      <c r="T159" s="4">
        <f t="shared" si="4"/>
        <v>5</v>
      </c>
      <c r="U159" s="4">
        <f t="shared" si="5"/>
        <v>5.916666666666667</v>
      </c>
      <c r="V159" s="10">
        <v>6</v>
      </c>
      <c r="X159" s="10">
        <v>6</v>
      </c>
      <c r="Y159" s="10">
        <v>6</v>
      </c>
      <c r="Z159" s="10">
        <v>6</v>
      </c>
      <c r="AA159" s="10">
        <v>6</v>
      </c>
      <c r="AD159" s="10">
        <v>5</v>
      </c>
      <c r="AE159" s="10">
        <v>6</v>
      </c>
    </row>
    <row r="160" spans="2:31" x14ac:dyDescent="0.3">
      <c r="B160" s="93"/>
      <c r="C160" s="89"/>
      <c r="D160" s="89"/>
      <c r="E160" s="89"/>
      <c r="F160" s="9" t="s">
        <v>3</v>
      </c>
      <c r="G160" s="10">
        <v>6</v>
      </c>
      <c r="H160" s="10">
        <v>6</v>
      </c>
      <c r="I160" s="10">
        <v>6</v>
      </c>
      <c r="J160" s="10">
        <v>6</v>
      </c>
      <c r="K160" s="10">
        <v>6</v>
      </c>
      <c r="L160" s="10">
        <v>6</v>
      </c>
      <c r="M160" s="10">
        <v>6</v>
      </c>
      <c r="N160" s="10">
        <v>6</v>
      </c>
      <c r="O160" s="10">
        <v>6</v>
      </c>
      <c r="P160" s="10">
        <v>6</v>
      </c>
      <c r="Q160" s="10">
        <v>6</v>
      </c>
      <c r="R160" s="10">
        <v>6</v>
      </c>
      <c r="T160" s="4">
        <f t="shared" si="4"/>
        <v>6</v>
      </c>
      <c r="U160" s="4">
        <f t="shared" si="5"/>
        <v>6</v>
      </c>
      <c r="V160" s="10">
        <v>6</v>
      </c>
      <c r="X160" s="10">
        <v>6</v>
      </c>
      <c r="Y160" s="10">
        <v>6</v>
      </c>
      <c r="Z160" s="10">
        <v>6</v>
      </c>
      <c r="AA160" s="10">
        <v>6</v>
      </c>
      <c r="AD160" s="10">
        <v>6</v>
      </c>
      <c r="AE160" s="10">
        <v>6</v>
      </c>
    </row>
    <row r="161" spans="2:31" x14ac:dyDescent="0.3">
      <c r="B161" s="92" t="s">
        <v>62</v>
      </c>
      <c r="C161" s="89"/>
      <c r="D161" s="89"/>
      <c r="E161" s="89"/>
      <c r="F161" s="9" t="s">
        <v>2</v>
      </c>
      <c r="G161" s="10">
        <v>0</v>
      </c>
      <c r="H161" s="10">
        <v>0</v>
      </c>
      <c r="I161" s="10">
        <v>0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1</v>
      </c>
      <c r="T161" s="4">
        <f t="shared" si="4"/>
        <v>1</v>
      </c>
      <c r="U161" s="4">
        <f t="shared" si="5"/>
        <v>0.75</v>
      </c>
      <c r="V161" s="10">
        <v>1</v>
      </c>
      <c r="X161" s="10">
        <v>0</v>
      </c>
      <c r="Y161" s="10">
        <v>1</v>
      </c>
      <c r="Z161" s="10">
        <v>1</v>
      </c>
      <c r="AA161" s="10">
        <v>1</v>
      </c>
      <c r="AD161" s="10">
        <v>1</v>
      </c>
      <c r="AE161" s="10">
        <v>1</v>
      </c>
    </row>
    <row r="162" spans="2:31" x14ac:dyDescent="0.3">
      <c r="B162" s="92" t="s">
        <v>75</v>
      </c>
      <c r="C162" s="87"/>
      <c r="D162" s="87"/>
      <c r="E162" s="87"/>
      <c r="F162" s="9" t="s">
        <v>2</v>
      </c>
      <c r="G162" s="10">
        <v>10</v>
      </c>
      <c r="H162" s="10">
        <v>10</v>
      </c>
      <c r="I162" s="10">
        <v>10</v>
      </c>
      <c r="J162" s="10">
        <v>10</v>
      </c>
      <c r="K162" s="10">
        <v>10</v>
      </c>
      <c r="L162" s="10">
        <v>8</v>
      </c>
      <c r="M162" s="10">
        <v>6</v>
      </c>
      <c r="N162" s="10">
        <v>6</v>
      </c>
      <c r="O162" s="10">
        <v>6</v>
      </c>
      <c r="P162" s="10">
        <v>6</v>
      </c>
      <c r="Q162" s="10">
        <v>6</v>
      </c>
      <c r="R162" s="10">
        <v>6</v>
      </c>
      <c r="T162" s="4">
        <f t="shared" si="4"/>
        <v>6</v>
      </c>
      <c r="U162" s="4">
        <f t="shared" si="5"/>
        <v>7.833333333333333</v>
      </c>
      <c r="V162" s="10">
        <v>8</v>
      </c>
      <c r="X162" s="10">
        <v>10</v>
      </c>
      <c r="Y162" s="10">
        <v>9</v>
      </c>
      <c r="Z162" s="10">
        <v>6</v>
      </c>
      <c r="AA162" s="10">
        <v>6</v>
      </c>
      <c r="AD162" s="10">
        <v>6</v>
      </c>
      <c r="AE162" s="10">
        <v>8</v>
      </c>
    </row>
    <row r="163" spans="2:31" x14ac:dyDescent="0.3">
      <c r="B163" s="93"/>
      <c r="C163" s="89"/>
      <c r="D163" s="89"/>
      <c r="E163" s="89"/>
      <c r="F163" s="9" t="s">
        <v>3</v>
      </c>
      <c r="G163" s="10">
        <v>11</v>
      </c>
      <c r="H163" s="10">
        <v>11</v>
      </c>
      <c r="I163" s="10">
        <v>11</v>
      </c>
      <c r="J163" s="10">
        <v>11</v>
      </c>
      <c r="K163" s="10">
        <v>11</v>
      </c>
      <c r="L163" s="10">
        <v>11</v>
      </c>
      <c r="M163" s="10">
        <v>11</v>
      </c>
      <c r="N163" s="10">
        <v>11</v>
      </c>
      <c r="O163" s="10">
        <v>11</v>
      </c>
      <c r="P163" s="10">
        <v>11</v>
      </c>
      <c r="Q163" s="10">
        <v>11</v>
      </c>
      <c r="R163" s="10">
        <v>11</v>
      </c>
      <c r="T163" s="4">
        <f t="shared" si="4"/>
        <v>11</v>
      </c>
      <c r="U163" s="4">
        <f t="shared" si="5"/>
        <v>11</v>
      </c>
      <c r="V163" s="10">
        <v>11</v>
      </c>
      <c r="X163" s="10">
        <v>11</v>
      </c>
      <c r="Y163" s="10">
        <v>11</v>
      </c>
      <c r="Z163" s="10">
        <v>11</v>
      </c>
      <c r="AA163" s="10">
        <v>11</v>
      </c>
      <c r="AD163" s="10">
        <v>11</v>
      </c>
      <c r="AE163" s="10">
        <v>11</v>
      </c>
    </row>
    <row r="164" spans="2:31" ht="6.15" customHeight="1" x14ac:dyDescent="0.3">
      <c r="T164" s="4">
        <f t="shared" si="4"/>
        <v>0</v>
      </c>
      <c r="U164" s="4" t="e">
        <f t="shared" si="5"/>
        <v>#DIV/0!</v>
      </c>
    </row>
    <row r="165" spans="2:31" x14ac:dyDescent="0.3">
      <c r="B165" s="90" t="s">
        <v>85</v>
      </c>
      <c r="C165" s="89"/>
      <c r="D165" s="89"/>
      <c r="E165" s="89"/>
      <c r="F165" s="2" t="s">
        <v>2</v>
      </c>
      <c r="G165" s="3">
        <v>6102</v>
      </c>
      <c r="H165" s="3">
        <v>6682</v>
      </c>
      <c r="I165" s="3">
        <v>7413.34</v>
      </c>
      <c r="J165" s="3">
        <v>8213.5</v>
      </c>
      <c r="K165" s="3">
        <v>8766.82</v>
      </c>
      <c r="L165" s="3">
        <v>9511</v>
      </c>
      <c r="M165" s="3">
        <v>8925.9</v>
      </c>
      <c r="N165" s="3">
        <v>9361.7999999999993</v>
      </c>
      <c r="O165" s="3">
        <v>10005.299999999999</v>
      </c>
      <c r="P165" s="3">
        <v>10299.33</v>
      </c>
      <c r="Q165" s="3">
        <v>10618.35</v>
      </c>
      <c r="R165" s="3">
        <v>10774.81</v>
      </c>
      <c r="T165" s="4">
        <f t="shared" si="4"/>
        <v>10774.81</v>
      </c>
      <c r="U165" s="4">
        <f t="shared" si="5"/>
        <v>8889.5125000000007</v>
      </c>
      <c r="V165" s="3">
        <v>8889</v>
      </c>
      <c r="X165" s="3">
        <v>6732</v>
      </c>
      <c r="Y165" s="3">
        <v>8830</v>
      </c>
      <c r="Z165" s="3">
        <v>9431</v>
      </c>
      <c r="AA165" s="3">
        <v>10565</v>
      </c>
      <c r="AD165" s="3">
        <v>10775</v>
      </c>
      <c r="AE165" s="3">
        <v>8889</v>
      </c>
    </row>
    <row r="166" spans="2:31" x14ac:dyDescent="0.3">
      <c r="F166" s="2" t="s">
        <v>3</v>
      </c>
      <c r="G166" s="3">
        <v>7753.45</v>
      </c>
      <c r="H166" s="3">
        <v>7795.93</v>
      </c>
      <c r="I166" s="3">
        <v>8737.5300000000007</v>
      </c>
      <c r="J166" s="3">
        <v>8778.98</v>
      </c>
      <c r="K166" s="3">
        <v>9144.92</v>
      </c>
      <c r="L166" s="3">
        <v>9546.73</v>
      </c>
      <c r="M166" s="3">
        <v>9681.57</v>
      </c>
      <c r="N166" s="3">
        <v>9819.7099999999991</v>
      </c>
      <c r="O166" s="3">
        <v>9547.4500000000007</v>
      </c>
      <c r="P166" s="3">
        <v>9515.2000000000007</v>
      </c>
      <c r="Q166" s="3">
        <v>9257.8799999999992</v>
      </c>
      <c r="R166" s="3">
        <v>8936.06</v>
      </c>
      <c r="T166" s="4">
        <f t="shared" si="4"/>
        <v>8936.06</v>
      </c>
      <c r="U166" s="4">
        <f t="shared" si="5"/>
        <v>9042.9508333333324</v>
      </c>
      <c r="V166" s="3">
        <v>9056</v>
      </c>
      <c r="X166" s="3">
        <v>8096</v>
      </c>
      <c r="Y166" s="3">
        <v>9157</v>
      </c>
      <c r="Z166" s="3">
        <v>9695</v>
      </c>
      <c r="AA166" s="3">
        <v>9236</v>
      </c>
      <c r="AD166" s="3">
        <v>8936</v>
      </c>
      <c r="AE166" s="3">
        <v>9056</v>
      </c>
    </row>
    <row r="167" spans="2:31" ht="3" customHeight="1" x14ac:dyDescent="0.3">
      <c r="T167" s="4">
        <f t="shared" si="4"/>
        <v>0</v>
      </c>
      <c r="U167" s="4" t="e">
        <f t="shared" si="5"/>
        <v>#DIV/0!</v>
      </c>
    </row>
    <row r="168" spans="2:31" x14ac:dyDescent="0.3">
      <c r="B168" s="90" t="s">
        <v>5</v>
      </c>
      <c r="C168" s="89"/>
      <c r="D168" s="89"/>
      <c r="E168" s="89"/>
      <c r="F168" s="7" t="s">
        <v>6</v>
      </c>
      <c r="G168" s="8" t="s">
        <v>7</v>
      </c>
      <c r="H168" s="8" t="s">
        <v>8</v>
      </c>
      <c r="I168" s="8" t="s">
        <v>9</v>
      </c>
      <c r="J168" s="8" t="s">
        <v>10</v>
      </c>
      <c r="K168" s="8" t="s">
        <v>11</v>
      </c>
      <c r="L168" s="8" t="s">
        <v>12</v>
      </c>
      <c r="M168" s="8" t="s">
        <v>13</v>
      </c>
      <c r="N168" s="8" t="s">
        <v>14</v>
      </c>
      <c r="O168" s="8" t="s">
        <v>15</v>
      </c>
      <c r="P168" s="8" t="s">
        <v>16</v>
      </c>
      <c r="Q168" s="8" t="s">
        <v>17</v>
      </c>
      <c r="R168" s="8" t="s">
        <v>18</v>
      </c>
      <c r="T168" s="4" t="str">
        <f t="shared" si="4"/>
        <v>202512</v>
      </c>
      <c r="U168" s="4" t="e">
        <f t="shared" si="5"/>
        <v>#DIV/0!</v>
      </c>
      <c r="V168" s="8" t="s">
        <v>19</v>
      </c>
      <c r="X168" s="8" t="s">
        <v>20</v>
      </c>
      <c r="Y168" s="8" t="s">
        <v>21</v>
      </c>
      <c r="Z168" s="8" t="s">
        <v>22</v>
      </c>
      <c r="AA168" s="8" t="s">
        <v>23</v>
      </c>
      <c r="AD168" s="8" t="s">
        <v>24</v>
      </c>
      <c r="AE168" s="8" t="s">
        <v>25</v>
      </c>
    </row>
    <row r="169" spans="2:31" x14ac:dyDescent="0.3">
      <c r="B169" s="92" t="s">
        <v>38</v>
      </c>
      <c r="C169" s="87"/>
      <c r="D169" s="92" t="s">
        <v>83</v>
      </c>
      <c r="E169" s="87"/>
      <c r="F169" s="9" t="s">
        <v>2</v>
      </c>
      <c r="G169" s="10">
        <v>5776</v>
      </c>
      <c r="H169" s="10">
        <v>6405</v>
      </c>
      <c r="I169" s="10">
        <v>7091.34</v>
      </c>
      <c r="J169" s="10">
        <v>7854.5</v>
      </c>
      <c r="K169" s="10">
        <v>8307.32</v>
      </c>
      <c r="L169" s="10">
        <v>8946.5</v>
      </c>
      <c r="M169" s="10">
        <v>8377.9</v>
      </c>
      <c r="N169" s="10">
        <v>8768</v>
      </c>
      <c r="O169" s="10">
        <v>9205.25</v>
      </c>
      <c r="P169" s="10">
        <v>9514.32</v>
      </c>
      <c r="Q169" s="10">
        <v>9769.41</v>
      </c>
      <c r="R169" s="10">
        <v>9887.2800000000007</v>
      </c>
      <c r="T169" s="4">
        <f t="shared" si="4"/>
        <v>9887.2800000000007</v>
      </c>
      <c r="U169" s="4">
        <f t="shared" si="5"/>
        <v>8325.2350000000006</v>
      </c>
      <c r="V169" s="10">
        <v>8325</v>
      </c>
      <c r="X169" s="10">
        <v>6424</v>
      </c>
      <c r="Y169" s="10">
        <v>8369</v>
      </c>
      <c r="Z169" s="10">
        <v>8784</v>
      </c>
      <c r="AA169" s="10">
        <v>9724</v>
      </c>
      <c r="AD169" s="10">
        <v>9887</v>
      </c>
      <c r="AE169" s="10">
        <v>8325</v>
      </c>
    </row>
    <row r="170" spans="2:31" x14ac:dyDescent="0.3">
      <c r="B170" s="94"/>
      <c r="C170" s="87"/>
      <c r="D170" s="93"/>
      <c r="E170" s="89"/>
      <c r="F170" s="9" t="s">
        <v>3</v>
      </c>
      <c r="G170" s="10">
        <v>7365.45</v>
      </c>
      <c r="H170" s="10">
        <v>7407.93</v>
      </c>
      <c r="I170" s="10">
        <v>8362.5300000000007</v>
      </c>
      <c r="J170" s="10">
        <v>8415.98</v>
      </c>
      <c r="K170" s="10">
        <v>8781.92</v>
      </c>
      <c r="L170" s="10">
        <v>9189.73</v>
      </c>
      <c r="M170" s="10">
        <v>9324.57</v>
      </c>
      <c r="N170" s="10">
        <v>9462.7099999999991</v>
      </c>
      <c r="O170" s="10">
        <v>9199.4500000000007</v>
      </c>
      <c r="P170" s="10">
        <v>9142.07</v>
      </c>
      <c r="Q170" s="10">
        <v>8867.6299999999992</v>
      </c>
      <c r="R170" s="10">
        <v>8548.93</v>
      </c>
      <c r="T170" s="4">
        <f t="shared" si="4"/>
        <v>8548.93</v>
      </c>
      <c r="U170" s="4">
        <f t="shared" si="5"/>
        <v>8672.4083333333328</v>
      </c>
      <c r="V170" s="10">
        <v>8673</v>
      </c>
      <c r="X170" s="10">
        <v>7712</v>
      </c>
      <c r="Y170" s="10">
        <v>8796</v>
      </c>
      <c r="Z170" s="10">
        <v>9329</v>
      </c>
      <c r="AA170" s="10">
        <v>8853</v>
      </c>
      <c r="AD170" s="10">
        <v>8549</v>
      </c>
      <c r="AE170" s="10">
        <v>8673</v>
      </c>
    </row>
    <row r="171" spans="2:31" x14ac:dyDescent="0.3">
      <c r="B171" s="94"/>
      <c r="C171" s="87"/>
      <c r="D171" s="92" t="s">
        <v>82</v>
      </c>
      <c r="E171" s="87"/>
      <c r="F171" s="9" t="s">
        <v>2</v>
      </c>
      <c r="G171" s="10">
        <v>119</v>
      </c>
      <c r="H171" s="10">
        <v>84</v>
      </c>
      <c r="I171" s="10">
        <v>71</v>
      </c>
      <c r="J171" s="10">
        <v>112</v>
      </c>
      <c r="K171" s="10">
        <v>219.5</v>
      </c>
      <c r="L171" s="10">
        <v>320.5</v>
      </c>
      <c r="M171" s="10">
        <v>282</v>
      </c>
      <c r="N171" s="10">
        <v>306.8</v>
      </c>
      <c r="O171" s="10">
        <v>546.04999999999995</v>
      </c>
      <c r="P171" s="10">
        <v>616.01</v>
      </c>
      <c r="Q171" s="10">
        <v>664.94</v>
      </c>
      <c r="R171" s="10">
        <v>704.53</v>
      </c>
      <c r="T171" s="4">
        <f t="shared" si="4"/>
        <v>704.53</v>
      </c>
      <c r="U171" s="4">
        <f t="shared" si="5"/>
        <v>337.19416666666666</v>
      </c>
      <c r="V171" s="10">
        <v>337</v>
      </c>
      <c r="X171" s="10">
        <v>91</v>
      </c>
      <c r="Y171" s="10">
        <v>217</v>
      </c>
      <c r="Z171" s="10">
        <v>378</v>
      </c>
      <c r="AA171" s="10">
        <v>662</v>
      </c>
      <c r="AD171" s="10">
        <v>705</v>
      </c>
      <c r="AE171" s="10">
        <v>337</v>
      </c>
    </row>
    <row r="172" spans="2:31" x14ac:dyDescent="0.3">
      <c r="B172" s="93"/>
      <c r="C172" s="89"/>
      <c r="D172" s="93"/>
      <c r="E172" s="89"/>
      <c r="F172" s="9" t="s">
        <v>3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18</v>
      </c>
      <c r="P172" s="10">
        <v>21.13</v>
      </c>
      <c r="Q172" s="10">
        <v>24.25</v>
      </c>
      <c r="R172" s="10">
        <v>21.13</v>
      </c>
      <c r="T172" s="4">
        <f t="shared" si="4"/>
        <v>21.13</v>
      </c>
      <c r="U172" s="4">
        <f t="shared" si="5"/>
        <v>7.0424999999999995</v>
      </c>
      <c r="V172" s="10">
        <v>19</v>
      </c>
      <c r="X172" s="10">
        <v>0</v>
      </c>
      <c r="Y172" s="10">
        <v>0</v>
      </c>
      <c r="Z172" s="10">
        <v>18</v>
      </c>
      <c r="AA172" s="10">
        <v>22</v>
      </c>
      <c r="AD172" s="10">
        <v>21</v>
      </c>
      <c r="AE172" s="10">
        <v>19</v>
      </c>
    </row>
    <row r="173" spans="2:31" x14ac:dyDescent="0.3">
      <c r="B173" s="92" t="s">
        <v>42</v>
      </c>
      <c r="C173" s="87"/>
      <c r="D173" s="92" t="s">
        <v>83</v>
      </c>
      <c r="E173" s="87"/>
      <c r="F173" s="9" t="s">
        <v>2</v>
      </c>
      <c r="G173" s="10">
        <v>207</v>
      </c>
      <c r="H173" s="10">
        <v>193</v>
      </c>
      <c r="I173" s="10">
        <v>251</v>
      </c>
      <c r="J173" s="10">
        <v>247</v>
      </c>
      <c r="K173" s="10">
        <v>240</v>
      </c>
      <c r="L173" s="10">
        <v>244</v>
      </c>
      <c r="M173" s="10">
        <v>266</v>
      </c>
      <c r="N173" s="10">
        <v>287</v>
      </c>
      <c r="O173" s="10">
        <v>254</v>
      </c>
      <c r="P173" s="10">
        <v>169</v>
      </c>
      <c r="Q173" s="10">
        <v>184</v>
      </c>
      <c r="R173" s="10">
        <v>183</v>
      </c>
      <c r="T173" s="4">
        <f t="shared" si="4"/>
        <v>183</v>
      </c>
      <c r="U173" s="4">
        <f t="shared" si="5"/>
        <v>227.08333333333334</v>
      </c>
      <c r="V173" s="10">
        <v>227</v>
      </c>
      <c r="X173" s="10">
        <v>217</v>
      </c>
      <c r="Y173" s="10">
        <v>244</v>
      </c>
      <c r="Z173" s="10">
        <v>269</v>
      </c>
      <c r="AA173" s="10">
        <v>179</v>
      </c>
      <c r="AD173" s="10">
        <v>183</v>
      </c>
      <c r="AE173" s="10">
        <v>227</v>
      </c>
    </row>
    <row r="174" spans="2:31" x14ac:dyDescent="0.3">
      <c r="B174" s="93"/>
      <c r="C174" s="89"/>
      <c r="D174" s="93"/>
      <c r="E174" s="89"/>
      <c r="F174" s="9" t="s">
        <v>3</v>
      </c>
      <c r="G174" s="10">
        <v>388</v>
      </c>
      <c r="H174" s="10">
        <v>388</v>
      </c>
      <c r="I174" s="10">
        <v>375</v>
      </c>
      <c r="J174" s="10">
        <v>363</v>
      </c>
      <c r="K174" s="10">
        <v>363</v>
      </c>
      <c r="L174" s="10">
        <v>357</v>
      </c>
      <c r="M174" s="10">
        <v>357</v>
      </c>
      <c r="N174" s="10">
        <v>357</v>
      </c>
      <c r="O174" s="10">
        <v>330</v>
      </c>
      <c r="P174" s="10">
        <v>352</v>
      </c>
      <c r="Q174" s="10">
        <v>366</v>
      </c>
      <c r="R174" s="10">
        <v>366</v>
      </c>
      <c r="T174" s="4">
        <f t="shared" si="4"/>
        <v>366</v>
      </c>
      <c r="U174" s="4">
        <f t="shared" si="5"/>
        <v>363.5</v>
      </c>
      <c r="V174" s="10">
        <v>364</v>
      </c>
      <c r="X174" s="10">
        <v>384</v>
      </c>
      <c r="Y174" s="10">
        <v>361</v>
      </c>
      <c r="Z174" s="10">
        <v>348</v>
      </c>
      <c r="AA174" s="10">
        <v>361</v>
      </c>
      <c r="AD174" s="10">
        <v>366</v>
      </c>
      <c r="AE174" s="10">
        <v>364</v>
      </c>
    </row>
    <row r="175" spans="2:31" ht="4.95" customHeight="1" x14ac:dyDescent="0.3">
      <c r="T175" s="4">
        <f t="shared" si="4"/>
        <v>0</v>
      </c>
      <c r="U175" s="4" t="e">
        <f t="shared" si="5"/>
        <v>#DIV/0!</v>
      </c>
    </row>
    <row r="176" spans="2:31" x14ac:dyDescent="0.3">
      <c r="B176" s="95" t="s">
        <v>86</v>
      </c>
      <c r="C176" s="89"/>
      <c r="D176" s="89"/>
      <c r="E176" s="89"/>
      <c r="F176" s="2" t="s">
        <v>2</v>
      </c>
      <c r="G176" s="3">
        <v>33</v>
      </c>
      <c r="H176" s="3">
        <v>35</v>
      </c>
      <c r="I176" s="3">
        <v>34</v>
      </c>
      <c r="J176" s="3">
        <v>34</v>
      </c>
      <c r="K176" s="3">
        <v>26</v>
      </c>
      <c r="L176" s="3">
        <v>25</v>
      </c>
      <c r="M176" s="3">
        <v>25</v>
      </c>
      <c r="N176" s="3">
        <v>25</v>
      </c>
      <c r="O176" s="3">
        <v>25</v>
      </c>
      <c r="P176" s="3">
        <v>25</v>
      </c>
      <c r="Q176" s="3">
        <v>25</v>
      </c>
      <c r="R176" s="3">
        <v>29</v>
      </c>
      <c r="T176" s="4">
        <f t="shared" si="4"/>
        <v>29</v>
      </c>
      <c r="U176" s="4">
        <f t="shared" si="5"/>
        <v>28.416666666666668</v>
      </c>
      <c r="V176" s="3">
        <v>39</v>
      </c>
      <c r="X176" s="3">
        <v>35</v>
      </c>
      <c r="Y176" s="3">
        <v>29</v>
      </c>
      <c r="Z176" s="3">
        <v>25</v>
      </c>
      <c r="AA176" s="3">
        <v>28</v>
      </c>
      <c r="AD176" s="3">
        <v>29</v>
      </c>
      <c r="AE176" s="3">
        <v>33</v>
      </c>
    </row>
    <row r="177" spans="2:31" x14ac:dyDescent="0.3">
      <c r="F177" s="2" t="s">
        <v>3</v>
      </c>
      <c r="G177" s="3">
        <v>31</v>
      </c>
      <c r="H177" s="3">
        <v>31</v>
      </c>
      <c r="I177" s="3">
        <v>31</v>
      </c>
      <c r="J177" s="3">
        <v>23</v>
      </c>
      <c r="K177" s="3">
        <v>23</v>
      </c>
      <c r="L177" s="3">
        <v>23</v>
      </c>
      <c r="M177" s="3">
        <v>23</v>
      </c>
      <c r="N177" s="3">
        <v>23</v>
      </c>
      <c r="O177" s="3">
        <v>23</v>
      </c>
      <c r="P177" s="3">
        <v>23</v>
      </c>
      <c r="Q177" s="3">
        <v>23</v>
      </c>
      <c r="R177" s="3">
        <v>23</v>
      </c>
      <c r="T177" s="4">
        <f t="shared" si="4"/>
        <v>23</v>
      </c>
      <c r="U177" s="4">
        <f t="shared" si="5"/>
        <v>25</v>
      </c>
      <c r="V177" s="3">
        <v>29</v>
      </c>
      <c r="X177" s="3">
        <v>31</v>
      </c>
      <c r="Y177" s="3">
        <v>23</v>
      </c>
      <c r="Z177" s="3">
        <v>23</v>
      </c>
      <c r="AA177" s="3">
        <v>23</v>
      </c>
      <c r="AD177" s="3">
        <v>23</v>
      </c>
      <c r="AE177" s="3">
        <v>29</v>
      </c>
    </row>
    <row r="178" spans="2:31" ht="4.05" customHeight="1" x14ac:dyDescent="0.3">
      <c r="T178" s="4">
        <f t="shared" si="4"/>
        <v>0</v>
      </c>
      <c r="U178" s="4" t="e">
        <f t="shared" si="5"/>
        <v>#DIV/0!</v>
      </c>
    </row>
    <row r="179" spans="2:31" x14ac:dyDescent="0.3">
      <c r="B179" s="90" t="s">
        <v>5</v>
      </c>
      <c r="C179" s="89"/>
      <c r="D179" s="89"/>
      <c r="E179" s="89"/>
      <c r="F179" s="7" t="s">
        <v>6</v>
      </c>
      <c r="G179" s="8" t="s">
        <v>7</v>
      </c>
      <c r="H179" s="8" t="s">
        <v>8</v>
      </c>
      <c r="I179" s="8" t="s">
        <v>9</v>
      </c>
      <c r="J179" s="8" t="s">
        <v>10</v>
      </c>
      <c r="K179" s="8" t="s">
        <v>11</v>
      </c>
      <c r="L179" s="8" t="s">
        <v>12</v>
      </c>
      <c r="M179" s="8" t="s">
        <v>13</v>
      </c>
      <c r="N179" s="8" t="s">
        <v>14</v>
      </c>
      <c r="O179" s="8" t="s">
        <v>15</v>
      </c>
      <c r="P179" s="8" t="s">
        <v>16</v>
      </c>
      <c r="Q179" s="8" t="s">
        <v>17</v>
      </c>
      <c r="R179" s="8" t="s">
        <v>18</v>
      </c>
      <c r="T179" s="4" t="str">
        <f t="shared" si="4"/>
        <v>202512</v>
      </c>
      <c r="U179" s="4" t="e">
        <f t="shared" si="5"/>
        <v>#DIV/0!</v>
      </c>
      <c r="V179" s="8" t="s">
        <v>19</v>
      </c>
      <c r="X179" s="8" t="s">
        <v>20</v>
      </c>
      <c r="Y179" s="8" t="s">
        <v>21</v>
      </c>
      <c r="Z179" s="8" t="s">
        <v>22</v>
      </c>
      <c r="AA179" s="8" t="s">
        <v>23</v>
      </c>
      <c r="AD179" s="8" t="s">
        <v>24</v>
      </c>
      <c r="AE179" s="8" t="s">
        <v>25</v>
      </c>
    </row>
    <row r="180" spans="2:31" x14ac:dyDescent="0.3">
      <c r="B180" s="92" t="s">
        <v>87</v>
      </c>
      <c r="C180" s="87"/>
      <c r="D180" s="92" t="s">
        <v>29</v>
      </c>
      <c r="E180" s="87"/>
      <c r="F180" s="11" t="s">
        <v>2</v>
      </c>
      <c r="G180" s="12">
        <v>3</v>
      </c>
      <c r="H180" s="12">
        <v>3</v>
      </c>
      <c r="I180" s="12">
        <v>3</v>
      </c>
      <c r="J180" s="12">
        <v>3</v>
      </c>
      <c r="K180" s="12">
        <v>4</v>
      </c>
      <c r="L180" s="12">
        <v>4</v>
      </c>
      <c r="M180" s="12">
        <v>4</v>
      </c>
      <c r="N180" s="12">
        <v>4</v>
      </c>
      <c r="O180" s="12">
        <v>4</v>
      </c>
      <c r="P180" s="12">
        <v>4</v>
      </c>
      <c r="Q180" s="12">
        <v>4</v>
      </c>
      <c r="R180" s="12">
        <v>4</v>
      </c>
      <c r="T180" s="4">
        <f t="shared" si="4"/>
        <v>4</v>
      </c>
      <c r="U180" s="4">
        <f t="shared" si="5"/>
        <v>3.6666666666666665</v>
      </c>
      <c r="V180" s="10">
        <v>4</v>
      </c>
      <c r="X180" s="10">
        <v>1</v>
      </c>
      <c r="Y180" s="10">
        <v>1</v>
      </c>
      <c r="Z180" s="10">
        <v>1</v>
      </c>
      <c r="AA180" s="10">
        <v>1</v>
      </c>
      <c r="AD180" s="10">
        <v>4</v>
      </c>
      <c r="AE180" s="10">
        <v>4</v>
      </c>
    </row>
    <row r="181" spans="2:31" x14ac:dyDescent="0.3">
      <c r="B181" s="94"/>
      <c r="C181" s="87"/>
      <c r="D181" s="93"/>
      <c r="E181" s="89"/>
      <c r="F181" s="11" t="s">
        <v>3</v>
      </c>
      <c r="G181" s="12">
        <v>4</v>
      </c>
      <c r="H181" s="12">
        <v>4</v>
      </c>
      <c r="I181" s="12">
        <v>4</v>
      </c>
      <c r="J181" s="12">
        <v>4</v>
      </c>
      <c r="K181" s="12">
        <v>4</v>
      </c>
      <c r="L181" s="12">
        <v>4</v>
      </c>
      <c r="M181" s="12">
        <v>4</v>
      </c>
      <c r="N181" s="12">
        <v>4</v>
      </c>
      <c r="O181" s="12">
        <v>4</v>
      </c>
      <c r="P181" s="12">
        <v>4</v>
      </c>
      <c r="Q181" s="12">
        <v>4</v>
      </c>
      <c r="R181" s="12">
        <v>4</v>
      </c>
      <c r="T181" s="4">
        <f t="shared" si="4"/>
        <v>4</v>
      </c>
      <c r="U181" s="4">
        <f t="shared" si="5"/>
        <v>4</v>
      </c>
      <c r="V181" s="10">
        <v>1</v>
      </c>
      <c r="X181" s="10">
        <v>3</v>
      </c>
      <c r="Y181" s="10">
        <v>4</v>
      </c>
      <c r="Z181" s="10">
        <v>4</v>
      </c>
      <c r="AA181" s="10">
        <v>4</v>
      </c>
      <c r="AD181" s="10">
        <v>1</v>
      </c>
      <c r="AE181" s="10">
        <v>1</v>
      </c>
    </row>
    <row r="182" spans="2:31" x14ac:dyDescent="0.3">
      <c r="B182" s="94"/>
      <c r="C182" s="87"/>
      <c r="D182" s="92" t="s">
        <v>42</v>
      </c>
      <c r="E182" s="87"/>
      <c r="F182" s="11" t="s">
        <v>2</v>
      </c>
      <c r="G182" s="12">
        <v>12</v>
      </c>
      <c r="H182" s="12">
        <v>12</v>
      </c>
      <c r="I182" s="12">
        <v>12</v>
      </c>
      <c r="J182" s="12">
        <v>12</v>
      </c>
      <c r="K182" s="12">
        <v>3</v>
      </c>
      <c r="L182" s="12">
        <v>3</v>
      </c>
      <c r="M182" s="12">
        <v>3</v>
      </c>
      <c r="N182" s="12">
        <v>3</v>
      </c>
      <c r="O182" s="12">
        <v>3</v>
      </c>
      <c r="P182" s="12">
        <v>3</v>
      </c>
      <c r="Q182" s="12">
        <v>3</v>
      </c>
      <c r="R182" s="12">
        <v>3</v>
      </c>
      <c r="T182" s="4">
        <f t="shared" si="4"/>
        <v>3</v>
      </c>
      <c r="U182" s="4">
        <f t="shared" si="5"/>
        <v>6</v>
      </c>
      <c r="V182" s="10">
        <v>4</v>
      </c>
      <c r="X182" s="10">
        <v>4</v>
      </c>
      <c r="Y182" s="10">
        <v>4</v>
      </c>
      <c r="Z182" s="10">
        <v>4</v>
      </c>
      <c r="AA182" s="10">
        <v>4</v>
      </c>
      <c r="AD182" s="10">
        <v>4</v>
      </c>
      <c r="AE182" s="10">
        <v>4</v>
      </c>
    </row>
    <row r="183" spans="2:31" x14ac:dyDescent="0.3">
      <c r="B183" s="94"/>
      <c r="C183" s="87"/>
      <c r="D183" s="93"/>
      <c r="E183" s="89"/>
      <c r="F183" s="11" t="s">
        <v>3</v>
      </c>
      <c r="G183" s="12">
        <v>2</v>
      </c>
      <c r="H183" s="12">
        <v>2</v>
      </c>
      <c r="I183" s="12">
        <v>2</v>
      </c>
      <c r="J183" s="12">
        <v>2</v>
      </c>
      <c r="K183" s="12">
        <v>2</v>
      </c>
      <c r="L183" s="12">
        <v>2</v>
      </c>
      <c r="M183" s="12">
        <v>2</v>
      </c>
      <c r="N183" s="12">
        <v>2</v>
      </c>
      <c r="O183" s="12">
        <v>2</v>
      </c>
      <c r="P183" s="12">
        <v>2</v>
      </c>
      <c r="Q183" s="12">
        <v>2</v>
      </c>
      <c r="R183" s="12">
        <v>2</v>
      </c>
      <c r="T183" s="4">
        <f t="shared" si="4"/>
        <v>2</v>
      </c>
      <c r="U183" s="4">
        <f t="shared" si="5"/>
        <v>2</v>
      </c>
      <c r="V183" s="10">
        <v>2</v>
      </c>
      <c r="X183" s="10">
        <v>2</v>
      </c>
      <c r="Y183" s="10">
        <v>2</v>
      </c>
      <c r="Z183" s="10">
        <v>2</v>
      </c>
      <c r="AA183" s="10">
        <v>2</v>
      </c>
      <c r="AD183" s="10">
        <v>1</v>
      </c>
      <c r="AE183" s="10">
        <v>2</v>
      </c>
    </row>
    <row r="184" spans="2:31" x14ac:dyDescent="0.3">
      <c r="B184" s="94"/>
      <c r="C184" s="87"/>
      <c r="D184" s="92" t="s">
        <v>50</v>
      </c>
      <c r="E184" s="87"/>
      <c r="F184" s="11" t="s">
        <v>2</v>
      </c>
      <c r="G184" s="12">
        <v>5</v>
      </c>
      <c r="H184" s="12">
        <v>5</v>
      </c>
      <c r="I184" s="12">
        <v>5</v>
      </c>
      <c r="J184" s="12">
        <v>5</v>
      </c>
      <c r="K184" s="12">
        <v>5</v>
      </c>
      <c r="L184" s="12">
        <v>5</v>
      </c>
      <c r="M184" s="12">
        <v>5</v>
      </c>
      <c r="N184" s="12">
        <v>5</v>
      </c>
      <c r="O184" s="12">
        <v>5</v>
      </c>
      <c r="P184" s="12">
        <v>5</v>
      </c>
      <c r="Q184" s="12">
        <v>5</v>
      </c>
      <c r="R184" s="12">
        <v>5</v>
      </c>
      <c r="T184" s="4">
        <f t="shared" si="4"/>
        <v>5</v>
      </c>
      <c r="U184" s="4">
        <f t="shared" si="5"/>
        <v>5</v>
      </c>
      <c r="V184" s="10">
        <v>1</v>
      </c>
      <c r="X184" s="10">
        <v>1</v>
      </c>
      <c r="Y184" s="10">
        <v>1</v>
      </c>
      <c r="Z184" s="10">
        <v>1</v>
      </c>
      <c r="AA184" s="10">
        <v>1</v>
      </c>
      <c r="AD184" s="10">
        <v>1</v>
      </c>
      <c r="AE184" s="10">
        <v>1</v>
      </c>
    </row>
    <row r="185" spans="2:31" x14ac:dyDescent="0.3">
      <c r="B185" s="94"/>
      <c r="C185" s="87"/>
      <c r="D185" s="93"/>
      <c r="E185" s="89"/>
      <c r="F185" s="11" t="s">
        <v>3</v>
      </c>
      <c r="G185" s="12">
        <v>5</v>
      </c>
      <c r="H185" s="12">
        <v>5</v>
      </c>
      <c r="I185" s="12">
        <v>5</v>
      </c>
      <c r="J185" s="12">
        <v>5</v>
      </c>
      <c r="K185" s="12">
        <v>5</v>
      </c>
      <c r="L185" s="12">
        <v>5</v>
      </c>
      <c r="M185" s="12">
        <v>5</v>
      </c>
      <c r="N185" s="12">
        <v>5</v>
      </c>
      <c r="O185" s="12">
        <v>5</v>
      </c>
      <c r="P185" s="12">
        <v>5</v>
      </c>
      <c r="Q185" s="12">
        <v>5</v>
      </c>
      <c r="R185" s="12">
        <v>5</v>
      </c>
      <c r="T185" s="4">
        <f t="shared" si="4"/>
        <v>5</v>
      </c>
      <c r="U185" s="4">
        <f t="shared" si="5"/>
        <v>5</v>
      </c>
      <c r="V185" s="10">
        <v>2</v>
      </c>
      <c r="X185" s="10">
        <v>2</v>
      </c>
      <c r="Y185" s="10">
        <v>2</v>
      </c>
      <c r="Z185" s="10">
        <v>2</v>
      </c>
      <c r="AA185" s="10">
        <v>2</v>
      </c>
      <c r="AD185" s="10">
        <v>2</v>
      </c>
      <c r="AE185" s="10">
        <v>2</v>
      </c>
    </row>
    <row r="186" spans="2:31" x14ac:dyDescent="0.3">
      <c r="B186" s="94"/>
      <c r="C186" s="87"/>
      <c r="D186" s="92" t="s">
        <v>58</v>
      </c>
      <c r="E186" s="87"/>
      <c r="F186" s="11" t="s">
        <v>2</v>
      </c>
      <c r="G186" s="12">
        <v>1</v>
      </c>
      <c r="H186" s="12">
        <v>1</v>
      </c>
      <c r="I186" s="12">
        <v>1</v>
      </c>
      <c r="J186" s="12">
        <v>1</v>
      </c>
      <c r="K186" s="12">
        <v>1</v>
      </c>
      <c r="L186" s="12">
        <v>1</v>
      </c>
      <c r="M186" s="12">
        <v>1</v>
      </c>
      <c r="N186" s="12">
        <v>1</v>
      </c>
      <c r="O186" s="12">
        <v>1</v>
      </c>
      <c r="P186" s="12">
        <v>1</v>
      </c>
      <c r="Q186" s="12">
        <v>1</v>
      </c>
      <c r="R186" s="12">
        <v>1</v>
      </c>
      <c r="T186" s="4">
        <f t="shared" si="4"/>
        <v>1</v>
      </c>
      <c r="U186" s="4">
        <f t="shared" si="5"/>
        <v>1</v>
      </c>
      <c r="V186" s="10">
        <v>1</v>
      </c>
      <c r="X186" s="10">
        <v>1</v>
      </c>
      <c r="Y186" s="10">
        <v>1</v>
      </c>
      <c r="Z186" s="10">
        <v>1</v>
      </c>
      <c r="AA186" s="10">
        <v>1</v>
      </c>
      <c r="AD186" s="10">
        <v>1</v>
      </c>
      <c r="AE186" s="10">
        <v>1</v>
      </c>
    </row>
    <row r="187" spans="2:31" x14ac:dyDescent="0.3">
      <c r="B187" s="93"/>
      <c r="C187" s="89"/>
      <c r="D187" s="93"/>
      <c r="E187" s="89"/>
      <c r="F187" s="11" t="s">
        <v>3</v>
      </c>
      <c r="G187" s="12">
        <v>1</v>
      </c>
      <c r="H187" s="12">
        <v>1</v>
      </c>
      <c r="I187" s="12">
        <v>1</v>
      </c>
      <c r="J187" s="12">
        <v>1</v>
      </c>
      <c r="K187" s="12">
        <v>1</v>
      </c>
      <c r="L187" s="12">
        <v>1</v>
      </c>
      <c r="M187" s="12">
        <v>1</v>
      </c>
      <c r="N187" s="12">
        <v>1</v>
      </c>
      <c r="O187" s="12">
        <v>1</v>
      </c>
      <c r="P187" s="12">
        <v>1</v>
      </c>
      <c r="Q187" s="12">
        <v>1</v>
      </c>
      <c r="R187" s="12">
        <v>1</v>
      </c>
      <c r="T187" s="4">
        <f t="shared" si="4"/>
        <v>1</v>
      </c>
      <c r="U187" s="4">
        <f t="shared" si="5"/>
        <v>1</v>
      </c>
      <c r="V187" s="10">
        <v>6</v>
      </c>
      <c r="X187" s="10">
        <v>1</v>
      </c>
      <c r="Y187" s="10">
        <v>1</v>
      </c>
      <c r="Z187" s="10">
        <v>1</v>
      </c>
      <c r="AA187" s="10">
        <v>2</v>
      </c>
      <c r="AD187" s="10">
        <v>3</v>
      </c>
      <c r="AE187" s="10">
        <v>6</v>
      </c>
    </row>
    <row r="188" spans="2:31" x14ac:dyDescent="0.3">
      <c r="B188" s="92" t="s">
        <v>88</v>
      </c>
      <c r="C188" s="87"/>
      <c r="D188" s="92" t="s">
        <v>29</v>
      </c>
      <c r="E188" s="89"/>
      <c r="F188" s="11" t="s">
        <v>2</v>
      </c>
      <c r="G188" s="12">
        <v>1</v>
      </c>
      <c r="H188" s="12">
        <v>1</v>
      </c>
      <c r="I188" s="12">
        <v>1</v>
      </c>
      <c r="J188" s="12">
        <v>1</v>
      </c>
      <c r="K188" s="12">
        <v>1</v>
      </c>
      <c r="L188" s="12">
        <v>1</v>
      </c>
      <c r="M188" s="12">
        <v>1</v>
      </c>
      <c r="N188" s="12">
        <v>1</v>
      </c>
      <c r="O188" s="12">
        <v>1</v>
      </c>
      <c r="P188" s="12">
        <v>1</v>
      </c>
      <c r="Q188" s="12">
        <v>1</v>
      </c>
      <c r="R188" s="12">
        <v>1</v>
      </c>
      <c r="T188" s="4">
        <f t="shared" si="4"/>
        <v>1</v>
      </c>
      <c r="U188" s="4">
        <f t="shared" si="5"/>
        <v>1</v>
      </c>
      <c r="V188" s="10">
        <v>3</v>
      </c>
      <c r="X188" s="10">
        <v>12</v>
      </c>
      <c r="Y188" s="10">
        <v>6</v>
      </c>
      <c r="Z188" s="10">
        <v>3</v>
      </c>
      <c r="AA188" s="10">
        <v>3</v>
      </c>
      <c r="AD188" s="10">
        <v>2</v>
      </c>
      <c r="AE188" s="10">
        <v>2</v>
      </c>
    </row>
    <row r="189" spans="2:31" x14ac:dyDescent="0.3">
      <c r="B189" s="94"/>
      <c r="C189" s="87"/>
      <c r="D189" s="92" t="s">
        <v>32</v>
      </c>
      <c r="E189" s="87"/>
      <c r="F189" s="11" t="s">
        <v>2</v>
      </c>
      <c r="G189" s="12">
        <v>2</v>
      </c>
      <c r="H189" s="12">
        <v>2</v>
      </c>
      <c r="I189" s="12">
        <v>2</v>
      </c>
      <c r="J189" s="12">
        <v>2</v>
      </c>
      <c r="K189" s="12">
        <v>2</v>
      </c>
      <c r="L189" s="12">
        <v>2</v>
      </c>
      <c r="M189" s="12">
        <v>2</v>
      </c>
      <c r="N189" s="12">
        <v>2</v>
      </c>
      <c r="O189" s="12">
        <v>2</v>
      </c>
      <c r="P189" s="12">
        <v>2</v>
      </c>
      <c r="Q189" s="12">
        <v>1</v>
      </c>
      <c r="R189" s="12">
        <v>1</v>
      </c>
      <c r="T189" s="4">
        <f t="shared" si="4"/>
        <v>1</v>
      </c>
      <c r="U189" s="4">
        <f t="shared" si="5"/>
        <v>1.8333333333333333</v>
      </c>
      <c r="V189" s="10">
        <v>2</v>
      </c>
      <c r="X189" s="10">
        <v>1</v>
      </c>
      <c r="Y189" s="10">
        <v>1</v>
      </c>
      <c r="Z189" s="10">
        <v>1</v>
      </c>
      <c r="AA189" s="10">
        <v>1</v>
      </c>
      <c r="AD189" s="10">
        <v>2</v>
      </c>
      <c r="AE189" s="10">
        <v>2</v>
      </c>
    </row>
    <row r="190" spans="2:31" x14ac:dyDescent="0.3">
      <c r="B190" s="94"/>
      <c r="C190" s="87"/>
      <c r="D190" s="93"/>
      <c r="E190" s="89"/>
      <c r="F190" s="11" t="s">
        <v>3</v>
      </c>
      <c r="G190" s="12">
        <v>1</v>
      </c>
      <c r="H190" s="12">
        <v>1</v>
      </c>
      <c r="I190" s="12">
        <v>1</v>
      </c>
      <c r="J190" s="12">
        <v>1</v>
      </c>
      <c r="K190" s="12">
        <v>1</v>
      </c>
      <c r="L190" s="12">
        <v>1</v>
      </c>
      <c r="M190" s="12">
        <v>1</v>
      </c>
      <c r="N190" s="12">
        <v>1</v>
      </c>
      <c r="O190" s="12">
        <v>1</v>
      </c>
      <c r="P190" s="12">
        <v>1</v>
      </c>
      <c r="Q190" s="12">
        <v>1</v>
      </c>
      <c r="R190" s="12">
        <v>1</v>
      </c>
      <c r="T190" s="4">
        <f t="shared" si="4"/>
        <v>1</v>
      </c>
      <c r="U190" s="4">
        <f t="shared" si="5"/>
        <v>1</v>
      </c>
      <c r="V190" s="10">
        <v>1</v>
      </c>
      <c r="X190" s="10">
        <v>2</v>
      </c>
      <c r="Y190" s="10">
        <v>2</v>
      </c>
      <c r="Z190" s="10">
        <v>2</v>
      </c>
      <c r="AA190" s="10">
        <v>2</v>
      </c>
      <c r="AD190" s="10">
        <v>1</v>
      </c>
      <c r="AE190" s="10">
        <v>1</v>
      </c>
    </row>
    <row r="191" spans="2:31" x14ac:dyDescent="0.3">
      <c r="B191" s="94"/>
      <c r="C191" s="87"/>
      <c r="D191" s="92" t="s">
        <v>38</v>
      </c>
      <c r="E191" s="87"/>
      <c r="F191" s="11" t="s">
        <v>2</v>
      </c>
      <c r="G191" s="12">
        <v>2</v>
      </c>
      <c r="H191" s="12">
        <v>2</v>
      </c>
      <c r="I191" s="12">
        <v>2</v>
      </c>
      <c r="J191" s="12">
        <v>2</v>
      </c>
      <c r="K191" s="12">
        <v>2</v>
      </c>
      <c r="L191" s="12">
        <v>2</v>
      </c>
      <c r="M191" s="12">
        <v>2</v>
      </c>
      <c r="N191" s="12">
        <v>2</v>
      </c>
      <c r="O191" s="12">
        <v>2</v>
      </c>
      <c r="P191" s="12">
        <v>2</v>
      </c>
      <c r="Q191" s="12">
        <v>2</v>
      </c>
      <c r="R191" s="12">
        <v>2</v>
      </c>
      <c r="T191" s="4">
        <f t="shared" si="4"/>
        <v>2</v>
      </c>
      <c r="U191" s="4">
        <f t="shared" si="5"/>
        <v>2</v>
      </c>
      <c r="V191" s="10">
        <v>3</v>
      </c>
      <c r="X191" s="10">
        <v>2</v>
      </c>
      <c r="Y191" s="10">
        <v>2</v>
      </c>
      <c r="Z191" s="10">
        <v>2</v>
      </c>
      <c r="AA191" s="10">
        <v>3</v>
      </c>
      <c r="AD191" s="10">
        <v>4</v>
      </c>
      <c r="AE191" s="10">
        <v>3</v>
      </c>
    </row>
    <row r="192" spans="2:31" x14ac:dyDescent="0.3">
      <c r="B192" s="94"/>
      <c r="C192" s="87"/>
      <c r="D192" s="93"/>
      <c r="E192" s="89"/>
      <c r="F192" s="11" t="s">
        <v>3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1</v>
      </c>
      <c r="M192" s="12">
        <v>1</v>
      </c>
      <c r="N192" s="12">
        <v>1</v>
      </c>
      <c r="O192" s="12">
        <v>1</v>
      </c>
      <c r="P192" s="12">
        <v>1</v>
      </c>
      <c r="Q192" s="12">
        <v>1</v>
      </c>
      <c r="R192" s="12">
        <v>1</v>
      </c>
      <c r="T192" s="4">
        <f t="shared" si="4"/>
        <v>1</v>
      </c>
      <c r="U192" s="4">
        <f t="shared" si="5"/>
        <v>1</v>
      </c>
      <c r="V192" s="10">
        <v>1</v>
      </c>
      <c r="X192" s="10">
        <v>2</v>
      </c>
      <c r="Y192" s="10">
        <v>1</v>
      </c>
      <c r="Z192" s="10">
        <v>1</v>
      </c>
      <c r="AA192" s="10">
        <v>1</v>
      </c>
      <c r="AD192" s="10">
        <v>1</v>
      </c>
      <c r="AE192" s="10">
        <v>1</v>
      </c>
    </row>
    <row r="193" spans="2:31" x14ac:dyDescent="0.3">
      <c r="B193" s="94"/>
      <c r="C193" s="87"/>
      <c r="D193" s="92" t="s">
        <v>42</v>
      </c>
      <c r="E193" s="87"/>
      <c r="F193" s="11" t="s">
        <v>2</v>
      </c>
      <c r="G193" s="12">
        <v>1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>
        <v>1</v>
      </c>
      <c r="N193" s="12">
        <v>1</v>
      </c>
      <c r="O193" s="12">
        <v>1</v>
      </c>
      <c r="P193" s="12">
        <v>1</v>
      </c>
      <c r="Q193" s="12">
        <v>1</v>
      </c>
      <c r="R193" s="12">
        <v>2</v>
      </c>
      <c r="T193" s="4">
        <f t="shared" si="4"/>
        <v>2</v>
      </c>
      <c r="U193" s="4">
        <f t="shared" si="5"/>
        <v>1.0833333333333333</v>
      </c>
      <c r="V193" s="10">
        <v>5</v>
      </c>
      <c r="X193" s="10">
        <v>5</v>
      </c>
      <c r="Y193" s="10">
        <v>5</v>
      </c>
      <c r="Z193" s="10">
        <v>5</v>
      </c>
      <c r="AA193" s="10">
        <v>5</v>
      </c>
      <c r="AD193" s="10">
        <v>5</v>
      </c>
      <c r="AE193" s="10">
        <v>5</v>
      </c>
    </row>
    <row r="194" spans="2:31" x14ac:dyDescent="0.3">
      <c r="B194" s="94"/>
      <c r="C194" s="87"/>
      <c r="D194" s="93"/>
      <c r="E194" s="89"/>
      <c r="F194" s="11" t="s">
        <v>3</v>
      </c>
      <c r="G194" s="12">
        <v>1</v>
      </c>
      <c r="H194" s="12">
        <v>1</v>
      </c>
      <c r="I194" s="12">
        <v>1</v>
      </c>
      <c r="J194" s="12">
        <v>1</v>
      </c>
      <c r="K194" s="12">
        <v>1</v>
      </c>
      <c r="L194" s="12">
        <v>1</v>
      </c>
      <c r="M194" s="12">
        <v>1</v>
      </c>
      <c r="N194" s="12">
        <v>1</v>
      </c>
      <c r="O194" s="12">
        <v>1</v>
      </c>
      <c r="P194" s="12">
        <v>1</v>
      </c>
      <c r="Q194" s="12">
        <v>1</v>
      </c>
      <c r="R194" s="12">
        <v>1</v>
      </c>
      <c r="T194" s="4">
        <f t="shared" si="4"/>
        <v>1</v>
      </c>
      <c r="U194" s="4">
        <f t="shared" si="5"/>
        <v>1</v>
      </c>
      <c r="V194" s="10">
        <v>1</v>
      </c>
      <c r="X194" s="10">
        <v>5</v>
      </c>
      <c r="Y194" s="10">
        <v>5</v>
      </c>
      <c r="Z194" s="10">
        <v>5</v>
      </c>
      <c r="AA194" s="10">
        <v>5</v>
      </c>
      <c r="AD194" s="10">
        <v>0</v>
      </c>
      <c r="AE194" s="10">
        <v>0</v>
      </c>
    </row>
    <row r="195" spans="2:31" x14ac:dyDescent="0.3">
      <c r="B195" s="94"/>
      <c r="C195" s="87"/>
      <c r="D195" s="92" t="s">
        <v>45</v>
      </c>
      <c r="E195" s="87"/>
      <c r="F195" s="11" t="s">
        <v>2</v>
      </c>
      <c r="G195" s="12">
        <v>2</v>
      </c>
      <c r="H195" s="12">
        <v>2</v>
      </c>
      <c r="I195" s="12">
        <v>2</v>
      </c>
      <c r="J195" s="12">
        <v>2</v>
      </c>
      <c r="K195" s="12">
        <v>2</v>
      </c>
      <c r="L195" s="12">
        <v>2</v>
      </c>
      <c r="M195" s="12">
        <v>2</v>
      </c>
      <c r="N195" s="12">
        <v>2</v>
      </c>
      <c r="O195" s="12">
        <v>2</v>
      </c>
      <c r="P195" s="12">
        <v>2</v>
      </c>
      <c r="Q195" s="12">
        <v>2</v>
      </c>
      <c r="R195" s="12">
        <v>4</v>
      </c>
      <c r="T195" s="4">
        <f t="shared" si="4"/>
        <v>4</v>
      </c>
      <c r="U195" s="4">
        <f t="shared" si="5"/>
        <v>2.1666666666666665</v>
      </c>
      <c r="V195" s="10">
        <v>5</v>
      </c>
      <c r="X195" s="10">
        <v>1</v>
      </c>
      <c r="Y195" s="10">
        <v>0</v>
      </c>
      <c r="Z195" s="10">
        <v>0</v>
      </c>
      <c r="AA195" s="10">
        <v>0</v>
      </c>
      <c r="AD195" s="10">
        <v>5</v>
      </c>
      <c r="AE195" s="10">
        <v>5</v>
      </c>
    </row>
    <row r="196" spans="2:31" x14ac:dyDescent="0.3">
      <c r="B196" s="94"/>
      <c r="C196" s="87"/>
      <c r="D196" s="93"/>
      <c r="E196" s="89"/>
      <c r="F196" s="11" t="s">
        <v>3</v>
      </c>
      <c r="G196" s="12">
        <v>2</v>
      </c>
      <c r="H196" s="12">
        <v>2</v>
      </c>
      <c r="I196" s="12">
        <v>2</v>
      </c>
      <c r="J196" s="12">
        <v>1</v>
      </c>
      <c r="K196" s="12">
        <v>1</v>
      </c>
      <c r="L196" s="12">
        <v>1</v>
      </c>
      <c r="M196" s="12">
        <v>1</v>
      </c>
      <c r="N196" s="12">
        <v>1</v>
      </c>
      <c r="O196" s="12">
        <v>1</v>
      </c>
      <c r="P196" s="12">
        <v>1</v>
      </c>
      <c r="Q196" s="12">
        <v>1</v>
      </c>
      <c r="R196" s="12">
        <v>1</v>
      </c>
      <c r="T196" s="4">
        <f t="shared" ref="T196:T259" si="6">+R196</f>
        <v>1</v>
      </c>
      <c r="U196" s="4">
        <f t="shared" ref="U196:U259" si="7">+AVERAGE(G196:R196)</f>
        <v>1.25</v>
      </c>
      <c r="V196" s="10">
        <v>1</v>
      </c>
      <c r="X196" s="10">
        <v>1</v>
      </c>
      <c r="Y196" s="10">
        <v>1</v>
      </c>
      <c r="Z196" s="10">
        <v>1</v>
      </c>
      <c r="AA196" s="10">
        <v>1</v>
      </c>
      <c r="AD196" s="10">
        <v>0</v>
      </c>
      <c r="AE196" s="10">
        <v>1</v>
      </c>
    </row>
    <row r="197" spans="2:31" x14ac:dyDescent="0.3">
      <c r="B197" s="94"/>
      <c r="C197" s="87"/>
      <c r="D197" s="92" t="s">
        <v>50</v>
      </c>
      <c r="E197" s="89"/>
      <c r="F197" s="11" t="s">
        <v>3</v>
      </c>
      <c r="G197" s="12">
        <v>1</v>
      </c>
      <c r="H197" s="12">
        <v>1</v>
      </c>
      <c r="I197" s="12">
        <v>1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T197" s="4">
        <f t="shared" si="6"/>
        <v>0</v>
      </c>
      <c r="U197" s="4">
        <f t="shared" si="7"/>
        <v>0.25</v>
      </c>
      <c r="V197" s="10">
        <v>1</v>
      </c>
      <c r="X197" s="10">
        <v>1</v>
      </c>
      <c r="Y197" s="10">
        <v>1</v>
      </c>
      <c r="Z197" s="10">
        <v>1</v>
      </c>
      <c r="AA197" s="10">
        <v>1</v>
      </c>
      <c r="AD197" s="10">
        <v>1</v>
      </c>
      <c r="AE197" s="10">
        <v>1</v>
      </c>
    </row>
    <row r="198" spans="2:31" x14ac:dyDescent="0.3">
      <c r="B198" s="94"/>
      <c r="C198" s="87"/>
      <c r="D198" s="92" t="s">
        <v>62</v>
      </c>
      <c r="E198" s="87"/>
      <c r="F198" s="11" t="s">
        <v>2</v>
      </c>
      <c r="G198" s="12">
        <v>1</v>
      </c>
      <c r="H198" s="12">
        <v>1</v>
      </c>
      <c r="I198" s="12">
        <v>1</v>
      </c>
      <c r="J198" s="12">
        <v>1</v>
      </c>
      <c r="K198" s="12">
        <v>1</v>
      </c>
      <c r="L198" s="12">
        <v>1</v>
      </c>
      <c r="M198" s="12">
        <v>1</v>
      </c>
      <c r="N198" s="12">
        <v>1</v>
      </c>
      <c r="O198" s="12">
        <v>1</v>
      </c>
      <c r="P198" s="12">
        <v>1</v>
      </c>
      <c r="Q198" s="12">
        <v>2</v>
      </c>
      <c r="R198" s="12">
        <v>2</v>
      </c>
      <c r="T198" s="4">
        <f t="shared" si="6"/>
        <v>2</v>
      </c>
      <c r="U198" s="4">
        <f t="shared" si="7"/>
        <v>1.1666666666666667</v>
      </c>
      <c r="V198" s="10">
        <v>1</v>
      </c>
      <c r="X198" s="10">
        <v>1</v>
      </c>
      <c r="Y198" s="10">
        <v>1</v>
      </c>
      <c r="Z198" s="10">
        <v>1</v>
      </c>
      <c r="AA198" s="10">
        <v>2</v>
      </c>
      <c r="AD198" s="10">
        <v>1</v>
      </c>
      <c r="AE198" s="10">
        <v>1</v>
      </c>
    </row>
    <row r="199" spans="2:31" x14ac:dyDescent="0.3">
      <c r="B199" s="94"/>
      <c r="C199" s="87"/>
      <c r="D199" s="93"/>
      <c r="E199" s="89"/>
      <c r="F199" s="11" t="s">
        <v>3</v>
      </c>
      <c r="G199" s="12">
        <v>5</v>
      </c>
      <c r="H199" s="12">
        <v>5</v>
      </c>
      <c r="I199" s="12">
        <v>5</v>
      </c>
      <c r="J199" s="12">
        <v>4</v>
      </c>
      <c r="K199" s="12">
        <v>4</v>
      </c>
      <c r="L199" s="12">
        <v>4</v>
      </c>
      <c r="M199" s="12">
        <v>4</v>
      </c>
      <c r="N199" s="12">
        <v>4</v>
      </c>
      <c r="O199" s="12">
        <v>4</v>
      </c>
      <c r="P199" s="12">
        <v>4</v>
      </c>
      <c r="Q199" s="12">
        <v>4</v>
      </c>
      <c r="R199" s="12">
        <v>4</v>
      </c>
      <c r="T199" s="4">
        <f t="shared" si="6"/>
        <v>4</v>
      </c>
      <c r="U199" s="4">
        <f t="shared" si="7"/>
        <v>4.25</v>
      </c>
      <c r="V199" s="10">
        <v>2</v>
      </c>
      <c r="X199" s="10">
        <v>5</v>
      </c>
      <c r="Y199" s="10">
        <v>4</v>
      </c>
      <c r="Z199" s="10">
        <v>4</v>
      </c>
      <c r="AA199" s="10">
        <v>4</v>
      </c>
      <c r="AD199" s="10">
        <v>2</v>
      </c>
      <c r="AE199" s="10">
        <v>2</v>
      </c>
    </row>
    <row r="200" spans="2:31" x14ac:dyDescent="0.3">
      <c r="B200" s="94"/>
      <c r="C200" s="87"/>
      <c r="D200" s="92" t="s">
        <v>66</v>
      </c>
      <c r="E200" s="87"/>
      <c r="F200" s="11" t="s">
        <v>2</v>
      </c>
      <c r="G200" s="12">
        <v>3</v>
      </c>
      <c r="H200" s="12">
        <v>5</v>
      </c>
      <c r="I200" s="12">
        <v>4</v>
      </c>
      <c r="J200" s="12">
        <v>4</v>
      </c>
      <c r="K200" s="12">
        <v>4</v>
      </c>
      <c r="L200" s="12">
        <v>3</v>
      </c>
      <c r="M200" s="12">
        <v>3</v>
      </c>
      <c r="N200" s="12">
        <v>3</v>
      </c>
      <c r="O200" s="12">
        <v>3</v>
      </c>
      <c r="P200" s="12">
        <v>3</v>
      </c>
      <c r="Q200" s="12">
        <v>3</v>
      </c>
      <c r="R200" s="12">
        <v>4</v>
      </c>
      <c r="T200" s="4">
        <f t="shared" si="6"/>
        <v>4</v>
      </c>
      <c r="U200" s="4">
        <f t="shared" si="7"/>
        <v>3.5</v>
      </c>
      <c r="V200" s="10">
        <v>4</v>
      </c>
      <c r="X200" s="10">
        <v>5</v>
      </c>
      <c r="Y200" s="10">
        <v>4</v>
      </c>
      <c r="Z200" s="10">
        <v>3</v>
      </c>
      <c r="AA200" s="10">
        <v>3</v>
      </c>
      <c r="AD200" s="10">
        <v>4</v>
      </c>
      <c r="AE200" s="10">
        <v>4</v>
      </c>
    </row>
    <row r="201" spans="2:31" x14ac:dyDescent="0.3">
      <c r="B201" s="93"/>
      <c r="C201" s="89"/>
      <c r="D201" s="93"/>
      <c r="E201" s="89"/>
      <c r="F201" s="11" t="s">
        <v>3</v>
      </c>
      <c r="G201" s="12">
        <v>8</v>
      </c>
      <c r="H201" s="12">
        <v>8</v>
      </c>
      <c r="I201" s="12">
        <v>8</v>
      </c>
      <c r="J201" s="12">
        <v>3</v>
      </c>
      <c r="K201" s="12">
        <v>3</v>
      </c>
      <c r="L201" s="12">
        <v>3</v>
      </c>
      <c r="M201" s="12">
        <v>3</v>
      </c>
      <c r="N201" s="12">
        <v>3</v>
      </c>
      <c r="O201" s="12">
        <v>3</v>
      </c>
      <c r="P201" s="12">
        <v>3</v>
      </c>
      <c r="Q201" s="12">
        <v>3</v>
      </c>
      <c r="R201" s="12">
        <v>3</v>
      </c>
      <c r="T201" s="4">
        <f t="shared" si="6"/>
        <v>3</v>
      </c>
      <c r="U201" s="4">
        <f t="shared" si="7"/>
        <v>4.25</v>
      </c>
      <c r="V201" s="10">
        <v>9</v>
      </c>
      <c r="X201" s="10">
        <v>8</v>
      </c>
      <c r="Y201" s="10">
        <v>3</v>
      </c>
      <c r="Z201" s="10">
        <v>3</v>
      </c>
      <c r="AA201" s="10">
        <v>3</v>
      </c>
      <c r="AD201" s="10">
        <v>4</v>
      </c>
      <c r="AE201" s="10">
        <v>5</v>
      </c>
    </row>
    <row r="202" spans="2:31" x14ac:dyDescent="0.3">
      <c r="T202" s="4">
        <f t="shared" si="6"/>
        <v>0</v>
      </c>
      <c r="U202" s="4" t="e">
        <f t="shared" si="7"/>
        <v>#DIV/0!</v>
      </c>
      <c r="V202" s="10">
        <v>8</v>
      </c>
      <c r="AD202" s="10">
        <v>3</v>
      </c>
      <c r="AE202" s="10">
        <v>8</v>
      </c>
    </row>
    <row r="203" spans="2:31" ht="13.95" customHeight="1" x14ac:dyDescent="0.3">
      <c r="T203" s="4">
        <f t="shared" si="6"/>
        <v>0</v>
      </c>
      <c r="U203" s="4" t="e">
        <f t="shared" si="7"/>
        <v>#DIV/0!</v>
      </c>
    </row>
    <row r="204" spans="2:31" x14ac:dyDescent="0.3">
      <c r="B204" s="90" t="s">
        <v>89</v>
      </c>
      <c r="C204" s="89"/>
      <c r="D204" s="89"/>
      <c r="E204" s="89"/>
      <c r="F204" s="2" t="s">
        <v>2</v>
      </c>
      <c r="G204" s="3">
        <v>817</v>
      </c>
      <c r="H204" s="3">
        <v>828</v>
      </c>
      <c r="I204" s="3">
        <v>827</v>
      </c>
      <c r="J204" s="3">
        <v>826</v>
      </c>
      <c r="K204" s="3">
        <v>830</v>
      </c>
      <c r="L204" s="3">
        <v>833</v>
      </c>
      <c r="M204" s="3">
        <v>836</v>
      </c>
      <c r="N204" s="3">
        <v>833</v>
      </c>
      <c r="O204" s="3">
        <v>836</v>
      </c>
      <c r="P204" s="3">
        <v>841</v>
      </c>
      <c r="Q204" s="3">
        <v>845</v>
      </c>
      <c r="R204" s="3">
        <v>851</v>
      </c>
      <c r="T204" s="4">
        <f t="shared" si="6"/>
        <v>851</v>
      </c>
      <c r="U204" s="4">
        <f t="shared" si="7"/>
        <v>833.58333333333337</v>
      </c>
      <c r="V204" s="3">
        <v>834</v>
      </c>
      <c r="X204" s="3">
        <v>824</v>
      </c>
      <c r="Y204" s="3">
        <v>830</v>
      </c>
      <c r="Z204" s="3">
        <v>835</v>
      </c>
      <c r="AA204" s="3">
        <v>846</v>
      </c>
      <c r="AD204" s="3">
        <v>851</v>
      </c>
      <c r="AE204" s="3">
        <v>834</v>
      </c>
    </row>
    <row r="205" spans="2:31" x14ac:dyDescent="0.3">
      <c r="F205" s="2" t="s">
        <v>3</v>
      </c>
      <c r="G205" s="3">
        <v>936</v>
      </c>
      <c r="H205" s="3">
        <v>938</v>
      </c>
      <c r="I205" s="3">
        <v>948</v>
      </c>
      <c r="J205" s="3">
        <v>952</v>
      </c>
      <c r="K205" s="3">
        <v>954</v>
      </c>
      <c r="L205" s="3">
        <v>955</v>
      </c>
      <c r="M205" s="3">
        <v>956</v>
      </c>
      <c r="N205" s="3">
        <v>960</v>
      </c>
      <c r="O205" s="3">
        <v>960</v>
      </c>
      <c r="P205" s="3">
        <v>961</v>
      </c>
      <c r="Q205" s="3">
        <v>962</v>
      </c>
      <c r="R205" s="3">
        <v>962</v>
      </c>
      <c r="T205" s="4">
        <f t="shared" si="6"/>
        <v>962</v>
      </c>
      <c r="U205" s="4">
        <f t="shared" si="7"/>
        <v>953.66666666666663</v>
      </c>
      <c r="V205" s="3">
        <v>954</v>
      </c>
      <c r="X205" s="3">
        <v>941</v>
      </c>
      <c r="Y205" s="3">
        <v>954</v>
      </c>
      <c r="Z205" s="3">
        <v>959</v>
      </c>
      <c r="AA205" s="3">
        <v>962</v>
      </c>
      <c r="AD205" s="3">
        <v>962</v>
      </c>
      <c r="AE205" s="3">
        <v>954</v>
      </c>
    </row>
    <row r="206" spans="2:31" ht="1.95" customHeight="1" x14ac:dyDescent="0.3">
      <c r="T206" s="4">
        <f t="shared" si="6"/>
        <v>0</v>
      </c>
      <c r="U206" s="4" t="e">
        <f t="shared" si="7"/>
        <v>#DIV/0!</v>
      </c>
    </row>
    <row r="207" spans="2:31" x14ac:dyDescent="0.3">
      <c r="B207" s="90" t="s">
        <v>90</v>
      </c>
      <c r="C207" s="89"/>
      <c r="D207" s="89"/>
      <c r="E207" s="89"/>
      <c r="F207" s="2" t="s">
        <v>2</v>
      </c>
      <c r="G207" s="3">
        <v>6188</v>
      </c>
      <c r="H207" s="3">
        <v>6768</v>
      </c>
      <c r="I207" s="3">
        <v>7498</v>
      </c>
      <c r="J207" s="3">
        <v>8300</v>
      </c>
      <c r="K207" s="3">
        <v>8853</v>
      </c>
      <c r="L207" s="3">
        <v>9598</v>
      </c>
      <c r="M207" s="3">
        <v>9014</v>
      </c>
      <c r="N207" s="3">
        <v>9448</v>
      </c>
      <c r="O207" s="3">
        <v>10091</v>
      </c>
      <c r="P207" s="3">
        <v>10385</v>
      </c>
      <c r="Q207" s="3">
        <v>10704</v>
      </c>
      <c r="R207" s="3">
        <v>10860</v>
      </c>
      <c r="T207" s="4">
        <f t="shared" si="6"/>
        <v>10860</v>
      </c>
      <c r="U207" s="4">
        <f t="shared" si="7"/>
        <v>8975.5833333333339</v>
      </c>
      <c r="V207" s="3">
        <v>8976</v>
      </c>
      <c r="X207" s="3">
        <v>6818</v>
      </c>
      <c r="Y207" s="3">
        <v>8917</v>
      </c>
      <c r="Z207" s="3">
        <v>9518</v>
      </c>
      <c r="AA207" s="3">
        <v>10650</v>
      </c>
      <c r="AD207" s="3">
        <v>10860</v>
      </c>
      <c r="AE207" s="3">
        <v>8976</v>
      </c>
    </row>
    <row r="208" spans="2:31" x14ac:dyDescent="0.3">
      <c r="F208" s="2" t="s">
        <v>3</v>
      </c>
      <c r="G208" s="3">
        <v>7855</v>
      </c>
      <c r="H208" s="3">
        <v>7897</v>
      </c>
      <c r="I208" s="3">
        <v>8840</v>
      </c>
      <c r="J208" s="3">
        <v>8881</v>
      </c>
      <c r="K208" s="3">
        <v>9247</v>
      </c>
      <c r="L208" s="3">
        <v>9649</v>
      </c>
      <c r="M208" s="3">
        <v>9783</v>
      </c>
      <c r="N208" s="3">
        <v>9921</v>
      </c>
      <c r="O208" s="3">
        <v>9647</v>
      </c>
      <c r="P208" s="3">
        <v>9615</v>
      </c>
      <c r="Q208" s="3">
        <v>9358</v>
      </c>
      <c r="R208" s="3">
        <v>9036</v>
      </c>
      <c r="T208" s="4">
        <f t="shared" si="6"/>
        <v>9036</v>
      </c>
      <c r="U208" s="4">
        <f t="shared" si="7"/>
        <v>9144.0833333333339</v>
      </c>
      <c r="V208" s="3">
        <v>9144</v>
      </c>
      <c r="X208" s="3">
        <v>8197</v>
      </c>
      <c r="Y208" s="3">
        <v>9259</v>
      </c>
      <c r="Z208" s="3">
        <v>9784</v>
      </c>
      <c r="AA208" s="3">
        <v>9336</v>
      </c>
      <c r="AD208" s="3">
        <v>9036</v>
      </c>
      <c r="AE208" s="3">
        <v>9144</v>
      </c>
    </row>
    <row r="209" spans="2:31" ht="3" customHeight="1" x14ac:dyDescent="0.3">
      <c r="T209" s="4">
        <f t="shared" si="6"/>
        <v>0</v>
      </c>
      <c r="U209" s="4" t="e">
        <f t="shared" si="7"/>
        <v>#DIV/0!</v>
      </c>
    </row>
    <row r="210" spans="2:31" x14ac:dyDescent="0.3">
      <c r="B210" s="90" t="s">
        <v>91</v>
      </c>
      <c r="C210" s="89"/>
      <c r="D210" s="89"/>
      <c r="E210" s="89"/>
      <c r="F210" s="2" t="s">
        <v>2</v>
      </c>
      <c r="G210" s="3">
        <v>7005</v>
      </c>
      <c r="H210" s="3">
        <v>7596</v>
      </c>
      <c r="I210" s="3">
        <v>8325</v>
      </c>
      <c r="J210" s="3">
        <v>9126</v>
      </c>
      <c r="K210" s="3">
        <v>9683</v>
      </c>
      <c r="L210" s="3">
        <v>10431</v>
      </c>
      <c r="M210" s="3">
        <v>9850</v>
      </c>
      <c r="N210" s="3">
        <v>10281</v>
      </c>
      <c r="O210" s="3">
        <v>10927</v>
      </c>
      <c r="P210" s="3">
        <v>11226</v>
      </c>
      <c r="Q210" s="3">
        <v>11549</v>
      </c>
      <c r="R210" s="3">
        <v>11711</v>
      </c>
      <c r="T210" s="4">
        <f t="shared" si="6"/>
        <v>11711</v>
      </c>
      <c r="U210" s="4">
        <f t="shared" si="7"/>
        <v>9809.1666666666661</v>
      </c>
      <c r="V210" s="3">
        <v>9809</v>
      </c>
      <c r="X210" s="3">
        <v>7642</v>
      </c>
      <c r="Y210" s="3">
        <v>9747</v>
      </c>
      <c r="Z210" s="3">
        <v>10353</v>
      </c>
      <c r="AA210" s="3">
        <v>11495</v>
      </c>
      <c r="AD210" s="3">
        <v>11711</v>
      </c>
      <c r="AE210" s="3">
        <v>9809</v>
      </c>
    </row>
    <row r="211" spans="2:31" x14ac:dyDescent="0.3">
      <c r="F211" s="2" t="s">
        <v>3</v>
      </c>
      <c r="G211" s="3">
        <v>8791</v>
      </c>
      <c r="H211" s="3">
        <v>8835</v>
      </c>
      <c r="I211" s="3">
        <v>9788</v>
      </c>
      <c r="J211" s="3">
        <v>9833</v>
      </c>
      <c r="K211" s="3">
        <v>10201</v>
      </c>
      <c r="L211" s="3">
        <v>10604</v>
      </c>
      <c r="M211" s="3">
        <v>10739</v>
      </c>
      <c r="N211" s="3">
        <v>10881</v>
      </c>
      <c r="O211" s="3">
        <v>10607</v>
      </c>
      <c r="P211" s="3">
        <v>10576</v>
      </c>
      <c r="Q211" s="3">
        <v>10320</v>
      </c>
      <c r="R211" s="3">
        <v>9998</v>
      </c>
      <c r="T211" s="4">
        <f t="shared" si="6"/>
        <v>9998</v>
      </c>
      <c r="U211" s="4">
        <f t="shared" si="7"/>
        <v>10097.75</v>
      </c>
      <c r="V211" s="3">
        <v>10098</v>
      </c>
      <c r="X211" s="3">
        <v>9138</v>
      </c>
      <c r="Y211" s="3">
        <v>10213</v>
      </c>
      <c r="Z211" s="3">
        <v>10742</v>
      </c>
      <c r="AA211" s="3">
        <v>10298</v>
      </c>
      <c r="AD211" s="3">
        <v>9998</v>
      </c>
      <c r="AE211" s="3">
        <v>10098</v>
      </c>
    </row>
    <row r="212" spans="2:31" ht="3" customHeight="1" x14ac:dyDescent="0.3">
      <c r="T212" s="4">
        <f t="shared" si="6"/>
        <v>0</v>
      </c>
      <c r="U212" s="4" t="e">
        <f t="shared" si="7"/>
        <v>#DIV/0!</v>
      </c>
    </row>
    <row r="213" spans="2:31" ht="18" customHeight="1" x14ac:dyDescent="0.3">
      <c r="B213" s="90" t="s">
        <v>92</v>
      </c>
      <c r="C213" s="89"/>
      <c r="D213" s="89"/>
      <c r="E213" s="89"/>
      <c r="T213" s="4">
        <f t="shared" si="6"/>
        <v>0</v>
      </c>
      <c r="U213" s="4" t="e">
        <f t="shared" si="7"/>
        <v>#DIV/0!</v>
      </c>
    </row>
    <row r="214" spans="2:31" ht="4.05" customHeight="1" x14ac:dyDescent="0.3">
      <c r="T214" s="4">
        <f t="shared" si="6"/>
        <v>0</v>
      </c>
      <c r="U214" s="4" t="e">
        <f t="shared" si="7"/>
        <v>#DIV/0!</v>
      </c>
    </row>
    <row r="215" spans="2:31" x14ac:dyDescent="0.3">
      <c r="B215" s="96" t="s">
        <v>93</v>
      </c>
      <c r="C215" s="89"/>
      <c r="D215" s="89"/>
      <c r="E215" s="89"/>
      <c r="F215" s="7" t="s">
        <v>6</v>
      </c>
      <c r="G215" s="8" t="s">
        <v>7</v>
      </c>
      <c r="H215" s="8" t="s">
        <v>8</v>
      </c>
      <c r="I215" s="8" t="s">
        <v>9</v>
      </c>
      <c r="J215" s="8" t="s">
        <v>10</v>
      </c>
      <c r="K215" s="8" t="s">
        <v>11</v>
      </c>
      <c r="L215" s="8" t="s">
        <v>12</v>
      </c>
      <c r="M215" s="8" t="s">
        <v>13</v>
      </c>
      <c r="N215" s="8" t="s">
        <v>14</v>
      </c>
      <c r="O215" s="8" t="s">
        <v>15</v>
      </c>
      <c r="P215" s="8" t="s">
        <v>16</v>
      </c>
      <c r="Q215" s="8" t="s">
        <v>17</v>
      </c>
      <c r="R215" s="8" t="s">
        <v>18</v>
      </c>
      <c r="T215" s="4" t="str">
        <f t="shared" si="6"/>
        <v>202512</v>
      </c>
      <c r="U215" s="4" t="e">
        <f t="shared" si="7"/>
        <v>#DIV/0!</v>
      </c>
      <c r="V215" s="8" t="s">
        <v>19</v>
      </c>
      <c r="X215" s="8" t="s">
        <v>20</v>
      </c>
      <c r="Y215" s="8" t="s">
        <v>21</v>
      </c>
      <c r="Z215" s="8" t="s">
        <v>22</v>
      </c>
      <c r="AA215" s="8" t="s">
        <v>23</v>
      </c>
      <c r="AD215" s="8" t="s">
        <v>24</v>
      </c>
      <c r="AE215" s="8" t="s">
        <v>25</v>
      </c>
    </row>
    <row r="216" spans="2:31" x14ac:dyDescent="0.3">
      <c r="B216" s="92" t="s">
        <v>45</v>
      </c>
      <c r="C216" s="87"/>
      <c r="D216" s="87"/>
      <c r="E216" s="87"/>
      <c r="F216" s="11" t="s">
        <v>2</v>
      </c>
      <c r="G216" s="12">
        <v>39</v>
      </c>
      <c r="H216" s="12">
        <v>39</v>
      </c>
      <c r="I216" s="12">
        <v>39</v>
      </c>
      <c r="J216" s="12">
        <v>39</v>
      </c>
      <c r="K216" s="12">
        <v>38</v>
      </c>
      <c r="L216" s="12">
        <v>38</v>
      </c>
      <c r="M216" s="12">
        <v>38</v>
      </c>
      <c r="N216" s="12">
        <v>38</v>
      </c>
      <c r="O216" s="12">
        <v>38</v>
      </c>
      <c r="P216" s="12">
        <v>38</v>
      </c>
      <c r="Q216" s="12">
        <v>38</v>
      </c>
      <c r="R216" s="12">
        <v>38</v>
      </c>
      <c r="T216" s="4">
        <f t="shared" si="6"/>
        <v>38</v>
      </c>
      <c r="U216" s="4">
        <f t="shared" si="7"/>
        <v>38.333333333333336</v>
      </c>
      <c r="V216" s="12">
        <v>38</v>
      </c>
      <c r="X216" s="12">
        <v>39</v>
      </c>
      <c r="Y216" s="12">
        <v>38</v>
      </c>
      <c r="Z216" s="12">
        <v>38</v>
      </c>
      <c r="AA216" s="12">
        <v>38</v>
      </c>
      <c r="AD216" s="12">
        <v>38</v>
      </c>
      <c r="AE216" s="12">
        <v>38</v>
      </c>
    </row>
    <row r="217" spans="2:31" x14ac:dyDescent="0.3">
      <c r="B217" s="93"/>
      <c r="C217" s="89"/>
      <c r="D217" s="89"/>
      <c r="E217" s="89"/>
      <c r="F217" s="11" t="s">
        <v>3</v>
      </c>
      <c r="G217" s="12">
        <v>40</v>
      </c>
      <c r="H217" s="12">
        <v>40</v>
      </c>
      <c r="I217" s="12">
        <v>40</v>
      </c>
      <c r="J217" s="12">
        <v>40</v>
      </c>
      <c r="K217" s="12">
        <v>40</v>
      </c>
      <c r="L217" s="12">
        <v>40</v>
      </c>
      <c r="M217" s="12">
        <v>40</v>
      </c>
      <c r="N217" s="12">
        <v>40</v>
      </c>
      <c r="O217" s="12">
        <v>40</v>
      </c>
      <c r="P217" s="12">
        <v>40</v>
      </c>
      <c r="Q217" s="12">
        <v>40</v>
      </c>
      <c r="R217" s="12">
        <v>40</v>
      </c>
      <c r="T217" s="4">
        <f t="shared" si="6"/>
        <v>40</v>
      </c>
      <c r="U217" s="4">
        <f t="shared" si="7"/>
        <v>40</v>
      </c>
      <c r="V217" s="12">
        <v>40</v>
      </c>
      <c r="X217" s="12">
        <v>40</v>
      </c>
      <c r="Y217" s="12">
        <v>40</v>
      </c>
      <c r="Z217" s="12">
        <v>40</v>
      </c>
      <c r="AA217" s="12">
        <v>40</v>
      </c>
      <c r="AD217" s="12">
        <v>40</v>
      </c>
      <c r="AE217" s="12">
        <v>40</v>
      </c>
    </row>
    <row r="218" spans="2:31" x14ac:dyDescent="0.3">
      <c r="B218" s="92" t="s">
        <v>50</v>
      </c>
      <c r="C218" s="87"/>
      <c r="D218" s="87"/>
      <c r="E218" s="87"/>
      <c r="F218" s="11" t="s">
        <v>2</v>
      </c>
      <c r="G218" s="12">
        <v>72.430000000000007</v>
      </c>
      <c r="H218" s="12">
        <v>76.790000000000006</v>
      </c>
      <c r="I218" s="12">
        <v>76.790000000000006</v>
      </c>
      <c r="J218" s="12">
        <v>76.94</v>
      </c>
      <c r="K218" s="12">
        <v>75.83</v>
      </c>
      <c r="L218" s="12">
        <v>76</v>
      </c>
      <c r="M218" s="12">
        <v>76</v>
      </c>
      <c r="N218" s="12">
        <v>76</v>
      </c>
      <c r="O218" s="12">
        <v>76</v>
      </c>
      <c r="P218" s="12">
        <v>76</v>
      </c>
      <c r="Q218" s="12">
        <v>73</v>
      </c>
      <c r="R218" s="12">
        <v>72.63</v>
      </c>
      <c r="T218" s="4">
        <f t="shared" si="6"/>
        <v>72.63</v>
      </c>
      <c r="U218" s="4">
        <f t="shared" si="7"/>
        <v>75.367499999999993</v>
      </c>
      <c r="V218" s="12">
        <v>75</v>
      </c>
      <c r="X218" s="12">
        <v>75</v>
      </c>
      <c r="Y218" s="12">
        <v>76</v>
      </c>
      <c r="Z218" s="12">
        <v>76</v>
      </c>
      <c r="AA218" s="12">
        <v>74</v>
      </c>
      <c r="AD218" s="12">
        <v>73</v>
      </c>
      <c r="AE218" s="12">
        <v>75</v>
      </c>
    </row>
    <row r="219" spans="2:31" x14ac:dyDescent="0.3">
      <c r="B219" s="93"/>
      <c r="C219" s="89"/>
      <c r="D219" s="89"/>
      <c r="E219" s="89"/>
      <c r="F219" s="11" t="s">
        <v>3</v>
      </c>
      <c r="G219" s="12">
        <v>68</v>
      </c>
      <c r="H219" s="12">
        <v>68</v>
      </c>
      <c r="I219" s="12">
        <v>68</v>
      </c>
      <c r="J219" s="12">
        <v>68</v>
      </c>
      <c r="K219" s="12">
        <v>68</v>
      </c>
      <c r="L219" s="12">
        <v>68</v>
      </c>
      <c r="M219" s="12">
        <v>68</v>
      </c>
      <c r="N219" s="12">
        <v>68</v>
      </c>
      <c r="O219" s="12">
        <v>68</v>
      </c>
      <c r="P219" s="12">
        <v>68</v>
      </c>
      <c r="Q219" s="12">
        <v>68</v>
      </c>
      <c r="R219" s="12">
        <v>68</v>
      </c>
      <c r="T219" s="4">
        <f t="shared" si="6"/>
        <v>68</v>
      </c>
      <c r="U219" s="4">
        <f t="shared" si="7"/>
        <v>68</v>
      </c>
      <c r="V219" s="12">
        <v>68</v>
      </c>
      <c r="X219" s="12">
        <v>68</v>
      </c>
      <c r="Y219" s="12">
        <v>68</v>
      </c>
      <c r="Z219" s="12">
        <v>68</v>
      </c>
      <c r="AA219" s="12">
        <v>68</v>
      </c>
      <c r="AD219" s="12">
        <v>68</v>
      </c>
      <c r="AE219" s="12">
        <v>68</v>
      </c>
    </row>
    <row r="220" spans="2:31" x14ac:dyDescent="0.3">
      <c r="B220" s="92" t="s">
        <v>62</v>
      </c>
      <c r="C220" s="87"/>
      <c r="D220" s="87"/>
      <c r="E220" s="87"/>
      <c r="F220" s="11" t="s">
        <v>2</v>
      </c>
      <c r="G220" s="12">
        <v>1</v>
      </c>
      <c r="H220" s="12">
        <v>1</v>
      </c>
      <c r="I220" s="12">
        <v>1</v>
      </c>
      <c r="J220" s="12">
        <v>1</v>
      </c>
      <c r="K220" s="12">
        <v>1</v>
      </c>
      <c r="L220" s="12">
        <v>1</v>
      </c>
      <c r="M220" s="12">
        <v>1</v>
      </c>
      <c r="N220" s="12">
        <v>1</v>
      </c>
      <c r="O220" s="12">
        <v>1</v>
      </c>
      <c r="P220" s="12">
        <v>1</v>
      </c>
      <c r="Q220" s="12">
        <v>1</v>
      </c>
      <c r="R220" s="12">
        <v>1</v>
      </c>
      <c r="T220" s="4">
        <f t="shared" si="6"/>
        <v>1</v>
      </c>
      <c r="U220" s="4">
        <f t="shared" si="7"/>
        <v>1</v>
      </c>
      <c r="V220" s="12">
        <v>1</v>
      </c>
      <c r="X220" s="12">
        <v>1</v>
      </c>
      <c r="Y220" s="12">
        <v>1</v>
      </c>
      <c r="Z220" s="12">
        <v>1</v>
      </c>
      <c r="AA220" s="12">
        <v>1</v>
      </c>
      <c r="AD220" s="12">
        <v>1</v>
      </c>
      <c r="AE220" s="12">
        <v>1</v>
      </c>
    </row>
    <row r="221" spans="2:31" x14ac:dyDescent="0.3">
      <c r="B221" s="93"/>
      <c r="C221" s="89"/>
      <c r="D221" s="89"/>
      <c r="E221" s="89"/>
      <c r="F221" s="11" t="s">
        <v>3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1</v>
      </c>
      <c r="Q221" s="12">
        <v>1</v>
      </c>
      <c r="R221" s="12">
        <v>1</v>
      </c>
      <c r="T221" s="4">
        <f t="shared" si="6"/>
        <v>1</v>
      </c>
      <c r="U221" s="4">
        <f t="shared" si="7"/>
        <v>1</v>
      </c>
      <c r="V221" s="12">
        <v>1</v>
      </c>
      <c r="X221" s="12">
        <v>1</v>
      </c>
      <c r="Y221" s="12">
        <v>1</v>
      </c>
      <c r="Z221" s="12">
        <v>1</v>
      </c>
      <c r="AA221" s="12">
        <v>1</v>
      </c>
      <c r="AD221" s="12">
        <v>1</v>
      </c>
      <c r="AE221" s="12">
        <v>1</v>
      </c>
    </row>
    <row r="222" spans="2:31" ht="10.5" customHeight="1" x14ac:dyDescent="0.3">
      <c r="T222" s="4">
        <f t="shared" si="6"/>
        <v>0</v>
      </c>
      <c r="U222" s="4" t="e">
        <f t="shared" si="7"/>
        <v>#DIV/0!</v>
      </c>
    </row>
    <row r="223" spans="2:31" x14ac:dyDescent="0.3">
      <c r="B223" s="96" t="s">
        <v>94</v>
      </c>
      <c r="C223" s="89"/>
      <c r="D223" s="89"/>
      <c r="E223" s="89"/>
      <c r="F223" s="7" t="s">
        <v>6</v>
      </c>
      <c r="T223" s="4">
        <f t="shared" si="6"/>
        <v>0</v>
      </c>
      <c r="U223" s="4" t="e">
        <f t="shared" si="7"/>
        <v>#DIV/0!</v>
      </c>
    </row>
    <row r="224" spans="2:31" ht="13.2" customHeight="1" x14ac:dyDescent="0.3">
      <c r="T224" s="4">
        <f t="shared" si="6"/>
        <v>0</v>
      </c>
      <c r="U224" s="4" t="e">
        <f t="shared" si="7"/>
        <v>#DIV/0!</v>
      </c>
    </row>
    <row r="225" spans="2:31" ht="18" customHeight="1" x14ac:dyDescent="0.3">
      <c r="B225" s="90" t="s">
        <v>95</v>
      </c>
      <c r="C225" s="89"/>
      <c r="D225" s="89"/>
      <c r="E225" s="89"/>
      <c r="T225" s="4">
        <f t="shared" si="6"/>
        <v>0</v>
      </c>
      <c r="U225" s="4" t="e">
        <f t="shared" si="7"/>
        <v>#DIV/0!</v>
      </c>
    </row>
    <row r="226" spans="2:31" ht="12.75" customHeight="1" x14ac:dyDescent="0.3">
      <c r="T226" s="4">
        <f t="shared" si="6"/>
        <v>0</v>
      </c>
      <c r="U226" s="4" t="e">
        <f t="shared" si="7"/>
        <v>#DIV/0!</v>
      </c>
    </row>
    <row r="227" spans="2:31" x14ac:dyDescent="0.3">
      <c r="B227" s="96" t="s">
        <v>93</v>
      </c>
      <c r="C227" s="89"/>
      <c r="D227" s="89"/>
      <c r="E227" s="89"/>
      <c r="F227" s="7" t="s">
        <v>6</v>
      </c>
      <c r="G227" s="8" t="s">
        <v>7</v>
      </c>
      <c r="H227" s="8" t="s">
        <v>8</v>
      </c>
      <c r="I227" s="8" t="s">
        <v>9</v>
      </c>
      <c r="J227" s="8" t="s">
        <v>10</v>
      </c>
      <c r="K227" s="8" t="s">
        <v>11</v>
      </c>
      <c r="L227" s="8" t="s">
        <v>12</v>
      </c>
      <c r="M227" s="8" t="s">
        <v>13</v>
      </c>
      <c r="N227" s="8" t="s">
        <v>14</v>
      </c>
      <c r="O227" s="8" t="s">
        <v>15</v>
      </c>
      <c r="P227" s="8" t="s">
        <v>16</v>
      </c>
      <c r="Q227" s="8" t="s">
        <v>17</v>
      </c>
      <c r="R227" s="8" t="s">
        <v>18</v>
      </c>
      <c r="T227" s="4" t="str">
        <f t="shared" si="6"/>
        <v>202512</v>
      </c>
      <c r="U227" s="4" t="e">
        <f t="shared" si="7"/>
        <v>#DIV/0!</v>
      </c>
      <c r="V227" s="8" t="s">
        <v>19</v>
      </c>
      <c r="X227" s="8" t="s">
        <v>20</v>
      </c>
      <c r="Y227" s="8" t="s">
        <v>21</v>
      </c>
      <c r="Z227" s="8" t="s">
        <v>22</v>
      </c>
      <c r="AA227" s="8" t="s">
        <v>23</v>
      </c>
      <c r="AD227" s="8" t="s">
        <v>24</v>
      </c>
      <c r="AE227" s="8" t="s">
        <v>25</v>
      </c>
    </row>
    <row r="228" spans="2:31" x14ac:dyDescent="0.3">
      <c r="B228" s="92" t="s">
        <v>38</v>
      </c>
      <c r="C228" s="87"/>
      <c r="D228" s="87"/>
      <c r="E228" s="87"/>
      <c r="F228" s="11" t="s">
        <v>2</v>
      </c>
      <c r="G228" s="12">
        <v>459</v>
      </c>
      <c r="H228" s="12">
        <v>343</v>
      </c>
      <c r="I228" s="12">
        <v>240.31</v>
      </c>
      <c r="J228" s="12">
        <v>171</v>
      </c>
      <c r="K228" s="12">
        <v>244</v>
      </c>
      <c r="L228" s="12">
        <v>238.5</v>
      </c>
      <c r="M228" s="12">
        <v>233</v>
      </c>
      <c r="N228" s="12">
        <v>195.3</v>
      </c>
      <c r="O228" s="12">
        <v>197.61</v>
      </c>
      <c r="P228" s="12">
        <v>251.42</v>
      </c>
      <c r="Q228" s="12">
        <v>236.42</v>
      </c>
      <c r="R228" s="12">
        <v>283.97000000000003</v>
      </c>
      <c r="T228" s="4">
        <f t="shared" si="6"/>
        <v>283.97000000000003</v>
      </c>
      <c r="U228" s="4">
        <f t="shared" si="7"/>
        <v>257.79416666666674</v>
      </c>
      <c r="V228" s="12">
        <v>258</v>
      </c>
      <c r="X228" s="12">
        <v>347</v>
      </c>
      <c r="Y228" s="12">
        <v>218</v>
      </c>
      <c r="Z228" s="12">
        <v>209</v>
      </c>
      <c r="AA228" s="12">
        <v>257</v>
      </c>
      <c r="AD228" s="12">
        <v>284</v>
      </c>
      <c r="AE228" s="12">
        <v>258</v>
      </c>
    </row>
    <row r="229" spans="2:31" x14ac:dyDescent="0.3">
      <c r="B229" s="93"/>
      <c r="C229" s="89"/>
      <c r="D229" s="89"/>
      <c r="E229" s="89"/>
      <c r="F229" s="11" t="s">
        <v>3</v>
      </c>
      <c r="G229" s="12">
        <v>98.55</v>
      </c>
      <c r="H229" s="12">
        <v>137.80000000000001</v>
      </c>
      <c r="I229" s="12">
        <v>110.9</v>
      </c>
      <c r="J229" s="12">
        <v>112.9</v>
      </c>
      <c r="K229" s="12">
        <v>109.9</v>
      </c>
      <c r="L229" s="12">
        <v>100.4</v>
      </c>
      <c r="M229" s="12">
        <v>101.4</v>
      </c>
      <c r="N229" s="12">
        <v>105.4</v>
      </c>
      <c r="O229" s="12">
        <v>107.4</v>
      </c>
      <c r="P229" s="12">
        <v>108.4</v>
      </c>
      <c r="Q229" s="12">
        <v>107.4</v>
      </c>
      <c r="R229" s="12">
        <v>103.9</v>
      </c>
      <c r="T229" s="4">
        <f t="shared" si="6"/>
        <v>103.9</v>
      </c>
      <c r="U229" s="4">
        <f t="shared" si="7"/>
        <v>108.69583333333334</v>
      </c>
      <c r="V229" s="12">
        <v>109</v>
      </c>
      <c r="X229" s="12">
        <v>116</v>
      </c>
      <c r="Y229" s="12">
        <v>108</v>
      </c>
      <c r="Z229" s="12">
        <v>105</v>
      </c>
      <c r="AA229" s="12">
        <v>107</v>
      </c>
      <c r="AD229" s="12">
        <v>104</v>
      </c>
      <c r="AE229" s="12">
        <v>109</v>
      </c>
    </row>
    <row r="230" spans="2:31" ht="13.8" customHeight="1" x14ac:dyDescent="0.3">
      <c r="T230" s="4">
        <f t="shared" si="6"/>
        <v>0</v>
      </c>
      <c r="U230" s="4" t="e">
        <f t="shared" si="7"/>
        <v>#DIV/0!</v>
      </c>
    </row>
    <row r="231" spans="2:31" x14ac:dyDescent="0.3">
      <c r="B231" s="96" t="s">
        <v>94</v>
      </c>
      <c r="C231" s="89"/>
      <c r="D231" s="89"/>
      <c r="E231" s="89"/>
      <c r="F231" s="7" t="s">
        <v>6</v>
      </c>
      <c r="G231" s="8" t="s">
        <v>7</v>
      </c>
      <c r="H231" s="8" t="s">
        <v>8</v>
      </c>
      <c r="I231" s="8" t="s">
        <v>9</v>
      </c>
      <c r="J231" s="8" t="s">
        <v>10</v>
      </c>
      <c r="K231" s="8" t="s">
        <v>11</v>
      </c>
      <c r="L231" s="8" t="s">
        <v>12</v>
      </c>
      <c r="M231" s="8" t="s">
        <v>13</v>
      </c>
      <c r="N231" s="8" t="s">
        <v>14</v>
      </c>
      <c r="O231" s="8" t="s">
        <v>15</v>
      </c>
      <c r="P231" s="8" t="s">
        <v>16</v>
      </c>
      <c r="Q231" s="8" t="s">
        <v>17</v>
      </c>
      <c r="R231" s="8" t="s">
        <v>18</v>
      </c>
      <c r="T231" s="4" t="str">
        <f t="shared" si="6"/>
        <v>202512</v>
      </c>
      <c r="U231" s="4" t="e">
        <f t="shared" si="7"/>
        <v>#DIV/0!</v>
      </c>
      <c r="V231" s="8" t="s">
        <v>19</v>
      </c>
      <c r="X231" s="8" t="s">
        <v>20</v>
      </c>
      <c r="Y231" s="8" t="s">
        <v>21</v>
      </c>
      <c r="Z231" s="8" t="s">
        <v>22</v>
      </c>
      <c r="AA231" s="8" t="s">
        <v>23</v>
      </c>
      <c r="AD231" s="8" t="s">
        <v>24</v>
      </c>
      <c r="AE231" s="8" t="s">
        <v>25</v>
      </c>
    </row>
    <row r="232" spans="2:31" x14ac:dyDescent="0.3">
      <c r="B232" s="92" t="s">
        <v>38</v>
      </c>
      <c r="C232" s="89"/>
      <c r="D232" s="89"/>
      <c r="E232" s="89"/>
      <c r="F232" s="11" t="s">
        <v>2</v>
      </c>
      <c r="G232" s="12">
        <v>64</v>
      </c>
      <c r="H232" s="12">
        <v>66</v>
      </c>
      <c r="I232" s="12">
        <v>15</v>
      </c>
      <c r="J232" s="12">
        <v>14</v>
      </c>
      <c r="K232" s="12">
        <v>7.5</v>
      </c>
      <c r="L232" s="12">
        <v>0.5</v>
      </c>
      <c r="M232" s="12">
        <v>19</v>
      </c>
      <c r="N232" s="12">
        <v>29</v>
      </c>
      <c r="O232" s="12">
        <v>37.67</v>
      </c>
      <c r="P232" s="12">
        <v>38.4</v>
      </c>
      <c r="Q232" s="12">
        <v>6.1</v>
      </c>
      <c r="R232" s="12">
        <v>25.35</v>
      </c>
      <c r="T232" s="4">
        <f t="shared" si="6"/>
        <v>25.35</v>
      </c>
      <c r="U232" s="4">
        <f t="shared" si="7"/>
        <v>26.876666666666669</v>
      </c>
      <c r="V232" s="12">
        <v>27</v>
      </c>
      <c r="X232" s="12">
        <v>48</v>
      </c>
      <c r="Y232" s="12">
        <v>7</v>
      </c>
      <c r="Z232" s="12">
        <v>29</v>
      </c>
      <c r="AA232" s="12">
        <v>23</v>
      </c>
      <c r="AD232" s="12">
        <v>25</v>
      </c>
      <c r="AE232" s="12">
        <v>27</v>
      </c>
    </row>
    <row r="233" spans="2:31" ht="12.45" customHeight="1" x14ac:dyDescent="0.3">
      <c r="T233" s="4">
        <f t="shared" si="6"/>
        <v>0</v>
      </c>
      <c r="U233" s="4" t="e">
        <f t="shared" si="7"/>
        <v>#DIV/0!</v>
      </c>
    </row>
    <row r="234" spans="2:31" x14ac:dyDescent="0.3">
      <c r="B234" s="98" t="s">
        <v>5</v>
      </c>
      <c r="C234" s="89"/>
      <c r="D234" s="89"/>
      <c r="E234" s="89"/>
      <c r="F234" s="7" t="s">
        <v>6</v>
      </c>
      <c r="G234" s="8" t="s">
        <v>7</v>
      </c>
      <c r="H234" s="8" t="s">
        <v>8</v>
      </c>
      <c r="I234" s="8" t="s">
        <v>9</v>
      </c>
      <c r="J234" s="8" t="s">
        <v>10</v>
      </c>
      <c r="K234" s="8" t="s">
        <v>11</v>
      </c>
      <c r="L234" s="8" t="s">
        <v>12</v>
      </c>
      <c r="M234" s="8" t="s">
        <v>13</v>
      </c>
      <c r="N234" s="8" t="s">
        <v>14</v>
      </c>
      <c r="O234" s="8" t="s">
        <v>15</v>
      </c>
      <c r="P234" s="8" t="s">
        <v>16</v>
      </c>
      <c r="Q234" s="8" t="s">
        <v>17</v>
      </c>
      <c r="R234" s="8" t="s">
        <v>18</v>
      </c>
      <c r="T234" s="4" t="str">
        <f t="shared" si="6"/>
        <v>202512</v>
      </c>
      <c r="U234" s="4" t="e">
        <f t="shared" si="7"/>
        <v>#DIV/0!</v>
      </c>
      <c r="V234" s="8" t="s">
        <v>19</v>
      </c>
      <c r="X234" s="8" t="s">
        <v>20</v>
      </c>
      <c r="Y234" s="8" t="s">
        <v>21</v>
      </c>
      <c r="Z234" s="8" t="s">
        <v>22</v>
      </c>
      <c r="AA234" s="8" t="s">
        <v>23</v>
      </c>
      <c r="AD234" s="8" t="s">
        <v>24</v>
      </c>
      <c r="AE234" s="8" t="s">
        <v>25</v>
      </c>
    </row>
    <row r="235" spans="2:31" x14ac:dyDescent="0.3">
      <c r="B235" s="97" t="s">
        <v>96</v>
      </c>
      <c r="C235" s="87"/>
      <c r="D235" s="87"/>
      <c r="E235" s="87"/>
      <c r="F235" s="11" t="s">
        <v>2</v>
      </c>
      <c r="G235" s="12">
        <v>817</v>
      </c>
      <c r="H235" s="12">
        <v>828</v>
      </c>
      <c r="I235" s="12">
        <v>827</v>
      </c>
      <c r="J235" s="12">
        <v>826</v>
      </c>
      <c r="K235" s="12">
        <v>830</v>
      </c>
      <c r="L235" s="12">
        <v>833</v>
      </c>
      <c r="M235" s="12">
        <v>836</v>
      </c>
      <c r="N235" s="12">
        <v>833</v>
      </c>
      <c r="O235" s="12">
        <v>836</v>
      </c>
      <c r="P235" s="12">
        <v>841</v>
      </c>
      <c r="Q235" s="12">
        <v>845</v>
      </c>
      <c r="R235" s="12">
        <v>851</v>
      </c>
      <c r="T235" s="4">
        <f t="shared" si="6"/>
        <v>851</v>
      </c>
      <c r="U235" s="4">
        <f t="shared" si="7"/>
        <v>833.58333333333337</v>
      </c>
      <c r="V235" s="12">
        <v>834</v>
      </c>
      <c r="X235" s="12">
        <v>824</v>
      </c>
      <c r="Y235" s="12">
        <v>830</v>
      </c>
      <c r="Z235" s="12">
        <v>835</v>
      </c>
      <c r="AA235" s="12">
        <v>846</v>
      </c>
      <c r="AD235" s="12">
        <v>851</v>
      </c>
      <c r="AE235" s="12">
        <v>834</v>
      </c>
    </row>
    <row r="236" spans="2:31" x14ac:dyDescent="0.3">
      <c r="B236" s="89"/>
      <c r="C236" s="89"/>
      <c r="D236" s="89"/>
      <c r="E236" s="89"/>
      <c r="F236" s="11" t="s">
        <v>3</v>
      </c>
      <c r="G236" s="12">
        <v>936</v>
      </c>
      <c r="H236" s="12">
        <v>938</v>
      </c>
      <c r="I236" s="12">
        <v>948</v>
      </c>
      <c r="J236" s="12">
        <v>952</v>
      </c>
      <c r="K236" s="12">
        <v>954</v>
      </c>
      <c r="L236" s="12">
        <v>955</v>
      </c>
      <c r="M236" s="12">
        <v>956</v>
      </c>
      <c r="N236" s="12">
        <v>960</v>
      </c>
      <c r="O236" s="12">
        <v>960</v>
      </c>
      <c r="P236" s="12">
        <v>961</v>
      </c>
      <c r="Q236" s="12">
        <v>962</v>
      </c>
      <c r="R236" s="12">
        <v>962</v>
      </c>
      <c r="T236" s="4">
        <f t="shared" si="6"/>
        <v>962</v>
      </c>
      <c r="U236" s="4">
        <f t="shared" si="7"/>
        <v>953.66666666666663</v>
      </c>
      <c r="V236" s="12">
        <v>953</v>
      </c>
      <c r="X236" s="12">
        <v>941</v>
      </c>
      <c r="Y236" s="12">
        <v>954</v>
      </c>
      <c r="Z236" s="12">
        <v>959</v>
      </c>
      <c r="AA236" s="12">
        <v>962</v>
      </c>
      <c r="AD236" s="12">
        <v>962</v>
      </c>
      <c r="AE236" s="12">
        <v>953</v>
      </c>
    </row>
    <row r="237" spans="2:31" x14ac:dyDescent="0.3">
      <c r="B237" s="97" t="s">
        <v>97</v>
      </c>
      <c r="C237" s="87"/>
      <c r="D237" s="87"/>
      <c r="E237" s="87"/>
      <c r="F237" s="11" t="s">
        <v>2</v>
      </c>
      <c r="G237" s="12">
        <v>185</v>
      </c>
      <c r="H237" s="12">
        <v>189</v>
      </c>
      <c r="I237" s="12">
        <v>188</v>
      </c>
      <c r="J237" s="12">
        <v>187</v>
      </c>
      <c r="K237" s="12">
        <v>191</v>
      </c>
      <c r="L237" s="12">
        <v>189</v>
      </c>
      <c r="M237" s="12">
        <v>192</v>
      </c>
      <c r="N237" s="12">
        <v>192</v>
      </c>
      <c r="O237" s="12">
        <v>191</v>
      </c>
      <c r="P237" s="12">
        <v>190</v>
      </c>
      <c r="Q237" s="12">
        <v>191</v>
      </c>
      <c r="R237" s="12">
        <v>190</v>
      </c>
      <c r="T237" s="4">
        <f t="shared" si="6"/>
        <v>190</v>
      </c>
      <c r="U237" s="4">
        <f t="shared" si="7"/>
        <v>189.58333333333334</v>
      </c>
      <c r="V237" s="12">
        <v>190</v>
      </c>
      <c r="X237" s="12">
        <v>188</v>
      </c>
      <c r="Y237" s="12">
        <v>188</v>
      </c>
      <c r="Z237" s="12">
        <v>192</v>
      </c>
      <c r="AA237" s="12">
        <v>191</v>
      </c>
      <c r="AD237" s="12">
        <v>190</v>
      </c>
      <c r="AE237" s="12">
        <v>190</v>
      </c>
    </row>
    <row r="238" spans="2:31" x14ac:dyDescent="0.3">
      <c r="B238" s="89"/>
      <c r="C238" s="89"/>
      <c r="D238" s="89"/>
      <c r="E238" s="89"/>
      <c r="F238" s="11" t="s">
        <v>3</v>
      </c>
      <c r="G238" s="12">
        <v>210</v>
      </c>
      <c r="H238" s="12">
        <v>210</v>
      </c>
      <c r="I238" s="12">
        <v>211</v>
      </c>
      <c r="J238" s="12">
        <v>211</v>
      </c>
      <c r="K238" s="12">
        <v>211</v>
      </c>
      <c r="L238" s="12">
        <v>211</v>
      </c>
      <c r="M238" s="12">
        <v>212</v>
      </c>
      <c r="N238" s="12">
        <v>212</v>
      </c>
      <c r="O238" s="12">
        <v>212</v>
      </c>
      <c r="P238" s="12">
        <v>212</v>
      </c>
      <c r="Q238" s="12">
        <v>212</v>
      </c>
      <c r="R238" s="12">
        <v>212</v>
      </c>
      <c r="T238" s="4">
        <f t="shared" si="6"/>
        <v>212</v>
      </c>
      <c r="U238" s="4">
        <f t="shared" si="7"/>
        <v>211.33333333333334</v>
      </c>
      <c r="V238" s="12">
        <v>211</v>
      </c>
      <c r="X238" s="12">
        <v>210</v>
      </c>
      <c r="Y238" s="12">
        <v>211</v>
      </c>
      <c r="Z238" s="12">
        <v>212</v>
      </c>
      <c r="AA238" s="12">
        <v>212</v>
      </c>
      <c r="AD238" s="12">
        <v>212</v>
      </c>
      <c r="AE238" s="12">
        <v>211</v>
      </c>
    </row>
    <row r="239" spans="2:31" x14ac:dyDescent="0.3">
      <c r="B239" s="97" t="s">
        <v>98</v>
      </c>
      <c r="C239" s="87"/>
      <c r="D239" s="87"/>
      <c r="E239" s="87"/>
      <c r="F239" s="11" t="s">
        <v>2</v>
      </c>
      <c r="G239" s="12">
        <v>4</v>
      </c>
      <c r="H239" s="12">
        <v>4</v>
      </c>
      <c r="I239" s="12">
        <v>4</v>
      </c>
      <c r="J239" s="12">
        <v>4</v>
      </c>
      <c r="K239" s="12">
        <v>4</v>
      </c>
      <c r="L239" s="12">
        <v>4</v>
      </c>
      <c r="M239" s="12">
        <v>4</v>
      </c>
      <c r="N239" s="12">
        <v>4</v>
      </c>
      <c r="O239" s="12">
        <v>4</v>
      </c>
      <c r="P239" s="12">
        <v>4</v>
      </c>
      <c r="Q239" s="12">
        <v>4</v>
      </c>
      <c r="R239" s="12">
        <v>4</v>
      </c>
      <c r="T239" s="4">
        <f t="shared" si="6"/>
        <v>4</v>
      </c>
      <c r="U239" s="4">
        <f t="shared" si="7"/>
        <v>4</v>
      </c>
      <c r="V239" s="12">
        <v>4</v>
      </c>
      <c r="X239" s="12">
        <v>4</v>
      </c>
      <c r="Y239" s="12">
        <v>4</v>
      </c>
      <c r="Z239" s="12">
        <v>4</v>
      </c>
      <c r="AA239" s="12">
        <v>4</v>
      </c>
      <c r="AD239" s="12">
        <v>4</v>
      </c>
      <c r="AE239" s="12">
        <v>4</v>
      </c>
    </row>
    <row r="240" spans="2:31" x14ac:dyDescent="0.3">
      <c r="B240" s="89"/>
      <c r="C240" s="89"/>
      <c r="D240" s="89"/>
      <c r="E240" s="89"/>
      <c r="F240" s="11" t="s">
        <v>3</v>
      </c>
      <c r="G240" s="12">
        <v>4</v>
      </c>
      <c r="H240" s="12">
        <v>4</v>
      </c>
      <c r="I240" s="12">
        <v>4</v>
      </c>
      <c r="J240" s="12">
        <v>4</v>
      </c>
      <c r="K240" s="12">
        <v>4</v>
      </c>
      <c r="L240" s="12">
        <v>4</v>
      </c>
      <c r="M240" s="12">
        <v>4</v>
      </c>
      <c r="N240" s="12">
        <v>4</v>
      </c>
      <c r="O240" s="12">
        <v>4</v>
      </c>
      <c r="P240" s="12">
        <v>4</v>
      </c>
      <c r="Q240" s="12">
        <v>4</v>
      </c>
      <c r="R240" s="12">
        <v>4</v>
      </c>
      <c r="T240" s="4">
        <f t="shared" si="6"/>
        <v>4</v>
      </c>
      <c r="U240" s="4">
        <f t="shared" si="7"/>
        <v>4</v>
      </c>
      <c r="V240" s="12">
        <v>4</v>
      </c>
      <c r="X240" s="12">
        <v>4</v>
      </c>
      <c r="Y240" s="12">
        <v>4</v>
      </c>
      <c r="Z240" s="12">
        <v>4</v>
      </c>
      <c r="AA240" s="12">
        <v>4</v>
      </c>
      <c r="AD240" s="12">
        <v>4</v>
      </c>
      <c r="AE240" s="12">
        <v>4</v>
      </c>
    </row>
    <row r="241" spans="2:31" x14ac:dyDescent="0.3">
      <c r="B241" s="97" t="s">
        <v>99</v>
      </c>
      <c r="C241" s="87"/>
      <c r="D241" s="87"/>
      <c r="E241" s="87"/>
      <c r="F241" s="11" t="s">
        <v>2</v>
      </c>
      <c r="G241" s="12">
        <v>628</v>
      </c>
      <c r="H241" s="12">
        <v>635</v>
      </c>
      <c r="I241" s="12">
        <v>635</v>
      </c>
      <c r="J241" s="12">
        <v>635</v>
      </c>
      <c r="K241" s="12">
        <v>635</v>
      </c>
      <c r="L241" s="12">
        <v>640</v>
      </c>
      <c r="M241" s="12">
        <v>640</v>
      </c>
      <c r="N241" s="12">
        <v>637</v>
      </c>
      <c r="O241" s="12">
        <v>641</v>
      </c>
      <c r="P241" s="12">
        <v>647</v>
      </c>
      <c r="Q241" s="12">
        <v>650</v>
      </c>
      <c r="R241" s="12">
        <v>657</v>
      </c>
      <c r="T241" s="4">
        <f t="shared" si="6"/>
        <v>657</v>
      </c>
      <c r="U241" s="4">
        <f t="shared" si="7"/>
        <v>640</v>
      </c>
      <c r="V241" s="12">
        <v>640</v>
      </c>
      <c r="X241" s="12">
        <v>633</v>
      </c>
      <c r="Y241" s="12">
        <v>636</v>
      </c>
      <c r="Z241" s="12">
        <v>640</v>
      </c>
      <c r="AA241" s="12">
        <v>652</v>
      </c>
      <c r="AD241" s="12">
        <v>657</v>
      </c>
      <c r="AE241" s="12">
        <v>640</v>
      </c>
    </row>
    <row r="242" spans="2:31" x14ac:dyDescent="0.3">
      <c r="B242" s="89"/>
      <c r="C242" s="89"/>
      <c r="D242" s="89"/>
      <c r="E242" s="89"/>
      <c r="F242" s="11" t="s">
        <v>3</v>
      </c>
      <c r="G242" s="12">
        <v>722</v>
      </c>
      <c r="H242" s="12">
        <v>724</v>
      </c>
      <c r="I242" s="12">
        <v>733</v>
      </c>
      <c r="J242" s="12">
        <v>737</v>
      </c>
      <c r="K242" s="12">
        <v>739</v>
      </c>
      <c r="L242" s="12">
        <v>740</v>
      </c>
      <c r="M242" s="12">
        <v>740</v>
      </c>
      <c r="N242" s="12">
        <v>744</v>
      </c>
      <c r="O242" s="12">
        <v>744</v>
      </c>
      <c r="P242" s="12">
        <v>745</v>
      </c>
      <c r="Q242" s="12">
        <v>746</v>
      </c>
      <c r="R242" s="12">
        <v>746</v>
      </c>
      <c r="T242" s="4">
        <f t="shared" si="6"/>
        <v>746</v>
      </c>
      <c r="U242" s="4">
        <f t="shared" si="7"/>
        <v>738.33333333333337</v>
      </c>
      <c r="V242" s="12">
        <v>738</v>
      </c>
      <c r="X242" s="12">
        <v>726</v>
      </c>
      <c r="Y242" s="12">
        <v>739</v>
      </c>
      <c r="Z242" s="12">
        <v>743</v>
      </c>
      <c r="AA242" s="12">
        <v>746</v>
      </c>
      <c r="AD242" s="12">
        <v>746</v>
      </c>
      <c r="AE242" s="12">
        <v>738</v>
      </c>
    </row>
    <row r="243" spans="2:31" ht="11.55" customHeight="1" x14ac:dyDescent="0.3">
      <c r="T243" s="4">
        <f t="shared" si="6"/>
        <v>0</v>
      </c>
      <c r="U243" s="4" t="e">
        <f t="shared" si="7"/>
        <v>#DIV/0!</v>
      </c>
    </row>
    <row r="244" spans="2:31" x14ac:dyDescent="0.3">
      <c r="B244" s="88" t="s">
        <v>100</v>
      </c>
      <c r="C244" s="89"/>
      <c r="D244" s="89"/>
      <c r="E244" s="89"/>
      <c r="F244" s="2" t="s">
        <v>2</v>
      </c>
      <c r="G244" s="3">
        <v>33</v>
      </c>
      <c r="H244" s="3">
        <v>35</v>
      </c>
      <c r="I244" s="3">
        <v>34</v>
      </c>
      <c r="J244" s="3">
        <v>34</v>
      </c>
      <c r="K244" s="3">
        <v>26</v>
      </c>
      <c r="L244" s="3">
        <v>25</v>
      </c>
      <c r="M244" s="3">
        <v>25</v>
      </c>
      <c r="N244" s="3">
        <v>25</v>
      </c>
      <c r="O244" s="3">
        <v>25</v>
      </c>
      <c r="P244" s="3">
        <v>25</v>
      </c>
      <c r="Q244" s="3">
        <v>25</v>
      </c>
      <c r="R244" s="3">
        <v>80</v>
      </c>
      <c r="T244" s="4">
        <f t="shared" si="6"/>
        <v>80</v>
      </c>
      <c r="U244" s="4">
        <f t="shared" si="7"/>
        <v>32.666666666666664</v>
      </c>
      <c r="V244" s="3">
        <v>33</v>
      </c>
      <c r="X244" s="3">
        <v>34</v>
      </c>
      <c r="Y244" s="3">
        <v>28</v>
      </c>
      <c r="Z244" s="3">
        <v>25</v>
      </c>
      <c r="AA244" s="3">
        <v>43</v>
      </c>
      <c r="AD244" s="3">
        <v>80</v>
      </c>
      <c r="AE244" s="3">
        <v>33</v>
      </c>
    </row>
    <row r="245" spans="2:31" x14ac:dyDescent="0.3">
      <c r="F245" s="2" t="s">
        <v>3</v>
      </c>
      <c r="G245" s="3">
        <v>87</v>
      </c>
      <c r="H245" s="3">
        <v>87</v>
      </c>
      <c r="I245" s="3">
        <v>87</v>
      </c>
      <c r="J245" s="3">
        <v>79</v>
      </c>
      <c r="K245" s="3">
        <v>79</v>
      </c>
      <c r="L245" s="3">
        <v>79</v>
      </c>
      <c r="M245" s="3">
        <v>79</v>
      </c>
      <c r="N245" s="3">
        <v>79</v>
      </c>
      <c r="O245" s="3">
        <v>79</v>
      </c>
      <c r="P245" s="3">
        <v>79</v>
      </c>
      <c r="Q245" s="3">
        <v>79</v>
      </c>
      <c r="R245" s="3">
        <v>79</v>
      </c>
      <c r="T245" s="4">
        <f t="shared" si="6"/>
        <v>79</v>
      </c>
      <c r="U245" s="4">
        <f t="shared" si="7"/>
        <v>81</v>
      </c>
      <c r="V245" s="3">
        <v>81</v>
      </c>
      <c r="X245" s="3">
        <v>87</v>
      </c>
      <c r="Y245" s="3">
        <v>79</v>
      </c>
      <c r="Z245" s="3">
        <v>79</v>
      </c>
      <c r="AA245" s="3">
        <v>79</v>
      </c>
      <c r="AD245" s="3">
        <v>79</v>
      </c>
      <c r="AE245" s="3">
        <v>81</v>
      </c>
    </row>
    <row r="246" spans="2:31" ht="17.100000000000001" customHeight="1" x14ac:dyDescent="0.3">
      <c r="T246" s="4">
        <f t="shared" si="6"/>
        <v>0</v>
      </c>
      <c r="U246" s="4" t="e">
        <f t="shared" si="7"/>
        <v>#DIV/0!</v>
      </c>
    </row>
    <row r="247" spans="2:31" x14ac:dyDescent="0.3">
      <c r="T247" s="4">
        <f t="shared" si="6"/>
        <v>0</v>
      </c>
      <c r="U247" s="4" t="e">
        <f t="shared" si="7"/>
        <v>#DIV/0!</v>
      </c>
    </row>
    <row r="248" spans="2:31" x14ac:dyDescent="0.3">
      <c r="T248" s="4">
        <f t="shared" si="6"/>
        <v>0</v>
      </c>
      <c r="U248" s="4" t="e">
        <f t="shared" si="7"/>
        <v>#DIV/0!</v>
      </c>
    </row>
    <row r="249" spans="2:31" x14ac:dyDescent="0.3">
      <c r="T249" s="4">
        <f t="shared" si="6"/>
        <v>0</v>
      </c>
      <c r="U249" s="4" t="e">
        <f t="shared" si="7"/>
        <v>#DIV/0!</v>
      </c>
    </row>
    <row r="250" spans="2:31" x14ac:dyDescent="0.3">
      <c r="T250" s="4">
        <f t="shared" si="6"/>
        <v>0</v>
      </c>
      <c r="U250" s="4" t="e">
        <f t="shared" si="7"/>
        <v>#DIV/0!</v>
      </c>
    </row>
    <row r="251" spans="2:31" x14ac:dyDescent="0.3">
      <c r="T251" s="4">
        <f t="shared" si="6"/>
        <v>0</v>
      </c>
      <c r="U251" s="4" t="e">
        <f t="shared" si="7"/>
        <v>#DIV/0!</v>
      </c>
    </row>
    <row r="252" spans="2:31" x14ac:dyDescent="0.3">
      <c r="T252" s="4">
        <f t="shared" si="6"/>
        <v>0</v>
      </c>
      <c r="U252" s="4" t="e">
        <f t="shared" si="7"/>
        <v>#DIV/0!</v>
      </c>
    </row>
    <row r="253" spans="2:31" x14ac:dyDescent="0.3">
      <c r="T253" s="4">
        <f t="shared" si="6"/>
        <v>0</v>
      </c>
      <c r="U253" s="4" t="e">
        <f t="shared" si="7"/>
        <v>#DIV/0!</v>
      </c>
    </row>
    <row r="254" spans="2:31" x14ac:dyDescent="0.3">
      <c r="T254" s="4">
        <f t="shared" si="6"/>
        <v>0</v>
      </c>
      <c r="U254" s="4" t="e">
        <f t="shared" si="7"/>
        <v>#DIV/0!</v>
      </c>
    </row>
    <row r="255" spans="2:31" x14ac:dyDescent="0.3">
      <c r="T255" s="4">
        <f t="shared" si="6"/>
        <v>0</v>
      </c>
      <c r="U255" s="4" t="e">
        <f t="shared" si="7"/>
        <v>#DIV/0!</v>
      </c>
    </row>
    <row r="256" spans="2:31" x14ac:dyDescent="0.3">
      <c r="T256" s="4">
        <f t="shared" si="6"/>
        <v>0</v>
      </c>
      <c r="U256" s="4" t="e">
        <f t="shared" si="7"/>
        <v>#DIV/0!</v>
      </c>
    </row>
    <row r="257" spans="20:21" x14ac:dyDescent="0.3">
      <c r="T257" s="4">
        <f t="shared" si="6"/>
        <v>0</v>
      </c>
      <c r="U257" s="4" t="e">
        <f t="shared" si="7"/>
        <v>#DIV/0!</v>
      </c>
    </row>
    <row r="258" spans="20:21" x14ac:dyDescent="0.3">
      <c r="T258" s="4">
        <f t="shared" si="6"/>
        <v>0</v>
      </c>
      <c r="U258" s="4" t="e">
        <f t="shared" si="7"/>
        <v>#DIV/0!</v>
      </c>
    </row>
    <row r="259" spans="20:21" x14ac:dyDescent="0.3">
      <c r="T259" s="4">
        <f t="shared" si="6"/>
        <v>0</v>
      </c>
      <c r="U259" s="4" t="e">
        <f t="shared" si="7"/>
        <v>#DIV/0!</v>
      </c>
    </row>
    <row r="260" spans="20:21" x14ac:dyDescent="0.3">
      <c r="T260" s="4">
        <f t="shared" ref="T260:T323" si="8">+R260</f>
        <v>0</v>
      </c>
      <c r="U260" s="4" t="e">
        <f t="shared" ref="U260:U323" si="9">+AVERAGE(G260:R260)</f>
        <v>#DIV/0!</v>
      </c>
    </row>
    <row r="261" spans="20:21" x14ac:dyDescent="0.3">
      <c r="T261" s="4">
        <f t="shared" si="8"/>
        <v>0</v>
      </c>
      <c r="U261" s="4" t="e">
        <f t="shared" si="9"/>
        <v>#DIV/0!</v>
      </c>
    </row>
    <row r="262" spans="20:21" x14ac:dyDescent="0.3">
      <c r="T262" s="4">
        <f t="shared" si="8"/>
        <v>0</v>
      </c>
      <c r="U262" s="4" t="e">
        <f t="shared" si="9"/>
        <v>#DIV/0!</v>
      </c>
    </row>
    <row r="263" spans="20:21" x14ac:dyDescent="0.3">
      <c r="T263" s="4">
        <f t="shared" si="8"/>
        <v>0</v>
      </c>
      <c r="U263" s="4" t="e">
        <f t="shared" si="9"/>
        <v>#DIV/0!</v>
      </c>
    </row>
    <row r="264" spans="20:21" x14ac:dyDescent="0.3">
      <c r="T264" s="4">
        <f t="shared" si="8"/>
        <v>0</v>
      </c>
      <c r="U264" s="4" t="e">
        <f t="shared" si="9"/>
        <v>#DIV/0!</v>
      </c>
    </row>
    <row r="265" spans="20:21" x14ac:dyDescent="0.3">
      <c r="T265" s="4">
        <f t="shared" si="8"/>
        <v>0</v>
      </c>
      <c r="U265" s="4" t="e">
        <f t="shared" si="9"/>
        <v>#DIV/0!</v>
      </c>
    </row>
    <row r="266" spans="20:21" x14ac:dyDescent="0.3">
      <c r="T266" s="4">
        <f t="shared" si="8"/>
        <v>0</v>
      </c>
      <c r="U266" s="4" t="e">
        <f t="shared" si="9"/>
        <v>#DIV/0!</v>
      </c>
    </row>
    <row r="267" spans="20:21" x14ac:dyDescent="0.3">
      <c r="T267" s="4">
        <f t="shared" si="8"/>
        <v>0</v>
      </c>
      <c r="U267" s="4" t="e">
        <f t="shared" si="9"/>
        <v>#DIV/0!</v>
      </c>
    </row>
    <row r="268" spans="20:21" x14ac:dyDescent="0.3">
      <c r="T268" s="4">
        <f t="shared" si="8"/>
        <v>0</v>
      </c>
      <c r="U268" s="4" t="e">
        <f t="shared" si="9"/>
        <v>#DIV/0!</v>
      </c>
    </row>
    <row r="269" spans="20:21" x14ac:dyDescent="0.3">
      <c r="T269" s="4">
        <f t="shared" si="8"/>
        <v>0</v>
      </c>
      <c r="U269" s="4" t="e">
        <f t="shared" si="9"/>
        <v>#DIV/0!</v>
      </c>
    </row>
    <row r="270" spans="20:21" x14ac:dyDescent="0.3">
      <c r="T270" s="4">
        <f t="shared" si="8"/>
        <v>0</v>
      </c>
      <c r="U270" s="4" t="e">
        <f t="shared" si="9"/>
        <v>#DIV/0!</v>
      </c>
    </row>
    <row r="271" spans="20:21" x14ac:dyDescent="0.3">
      <c r="T271" s="4">
        <f t="shared" si="8"/>
        <v>0</v>
      </c>
      <c r="U271" s="4" t="e">
        <f t="shared" si="9"/>
        <v>#DIV/0!</v>
      </c>
    </row>
    <row r="272" spans="20:21" x14ac:dyDescent="0.3">
      <c r="T272" s="4">
        <f t="shared" si="8"/>
        <v>0</v>
      </c>
      <c r="U272" s="4" t="e">
        <f t="shared" si="9"/>
        <v>#DIV/0!</v>
      </c>
    </row>
    <row r="273" spans="20:21" x14ac:dyDescent="0.3">
      <c r="T273" s="4">
        <f t="shared" si="8"/>
        <v>0</v>
      </c>
      <c r="U273" s="4" t="e">
        <f t="shared" si="9"/>
        <v>#DIV/0!</v>
      </c>
    </row>
    <row r="274" spans="20:21" x14ac:dyDescent="0.3">
      <c r="T274" s="4">
        <f t="shared" si="8"/>
        <v>0</v>
      </c>
      <c r="U274" s="4" t="e">
        <f t="shared" si="9"/>
        <v>#DIV/0!</v>
      </c>
    </row>
    <row r="275" spans="20:21" x14ac:dyDescent="0.3">
      <c r="T275" s="4">
        <f t="shared" si="8"/>
        <v>0</v>
      </c>
      <c r="U275" s="4" t="e">
        <f t="shared" si="9"/>
        <v>#DIV/0!</v>
      </c>
    </row>
    <row r="276" spans="20:21" x14ac:dyDescent="0.3">
      <c r="T276" s="4">
        <f t="shared" si="8"/>
        <v>0</v>
      </c>
      <c r="U276" s="4" t="e">
        <f t="shared" si="9"/>
        <v>#DIV/0!</v>
      </c>
    </row>
    <row r="277" spans="20:21" x14ac:dyDescent="0.3">
      <c r="T277" s="4">
        <f t="shared" si="8"/>
        <v>0</v>
      </c>
      <c r="U277" s="4" t="e">
        <f t="shared" si="9"/>
        <v>#DIV/0!</v>
      </c>
    </row>
    <row r="278" spans="20:21" x14ac:dyDescent="0.3">
      <c r="T278" s="4">
        <f t="shared" si="8"/>
        <v>0</v>
      </c>
      <c r="U278" s="4" t="e">
        <f t="shared" si="9"/>
        <v>#DIV/0!</v>
      </c>
    </row>
    <row r="279" spans="20:21" x14ac:dyDescent="0.3">
      <c r="T279" s="4">
        <f t="shared" si="8"/>
        <v>0</v>
      </c>
      <c r="U279" s="4" t="e">
        <f t="shared" si="9"/>
        <v>#DIV/0!</v>
      </c>
    </row>
    <row r="280" spans="20:21" x14ac:dyDescent="0.3">
      <c r="T280" s="4">
        <f t="shared" si="8"/>
        <v>0</v>
      </c>
      <c r="U280" s="4" t="e">
        <f t="shared" si="9"/>
        <v>#DIV/0!</v>
      </c>
    </row>
    <row r="281" spans="20:21" x14ac:dyDescent="0.3">
      <c r="T281" s="4">
        <f t="shared" si="8"/>
        <v>0</v>
      </c>
      <c r="U281" s="4" t="e">
        <f t="shared" si="9"/>
        <v>#DIV/0!</v>
      </c>
    </row>
    <row r="282" spans="20:21" x14ac:dyDescent="0.3">
      <c r="T282" s="4">
        <f t="shared" si="8"/>
        <v>0</v>
      </c>
      <c r="U282" s="4" t="e">
        <f t="shared" si="9"/>
        <v>#DIV/0!</v>
      </c>
    </row>
    <row r="283" spans="20:21" x14ac:dyDescent="0.3">
      <c r="T283" s="4">
        <f t="shared" si="8"/>
        <v>0</v>
      </c>
      <c r="U283" s="4" t="e">
        <f t="shared" si="9"/>
        <v>#DIV/0!</v>
      </c>
    </row>
    <row r="284" spans="20:21" x14ac:dyDescent="0.3">
      <c r="T284" s="4">
        <f t="shared" si="8"/>
        <v>0</v>
      </c>
      <c r="U284" s="4" t="e">
        <f t="shared" si="9"/>
        <v>#DIV/0!</v>
      </c>
    </row>
    <row r="285" spans="20:21" x14ac:dyDescent="0.3">
      <c r="T285" s="4">
        <f t="shared" si="8"/>
        <v>0</v>
      </c>
      <c r="U285" s="4" t="e">
        <f t="shared" si="9"/>
        <v>#DIV/0!</v>
      </c>
    </row>
    <row r="286" spans="20:21" x14ac:dyDescent="0.3">
      <c r="T286" s="4">
        <f t="shared" si="8"/>
        <v>0</v>
      </c>
      <c r="U286" s="4" t="e">
        <f t="shared" si="9"/>
        <v>#DIV/0!</v>
      </c>
    </row>
    <row r="287" spans="20:21" x14ac:dyDescent="0.3">
      <c r="T287" s="4">
        <f t="shared" si="8"/>
        <v>0</v>
      </c>
      <c r="U287" s="4" t="e">
        <f t="shared" si="9"/>
        <v>#DIV/0!</v>
      </c>
    </row>
    <row r="288" spans="20:21" x14ac:dyDescent="0.3">
      <c r="T288" s="4">
        <f t="shared" si="8"/>
        <v>0</v>
      </c>
      <c r="U288" s="4" t="e">
        <f t="shared" si="9"/>
        <v>#DIV/0!</v>
      </c>
    </row>
    <row r="289" spans="20:21" x14ac:dyDescent="0.3">
      <c r="T289" s="4">
        <f t="shared" si="8"/>
        <v>0</v>
      </c>
      <c r="U289" s="4" t="e">
        <f t="shared" si="9"/>
        <v>#DIV/0!</v>
      </c>
    </row>
    <row r="290" spans="20:21" x14ac:dyDescent="0.3">
      <c r="T290" s="4">
        <f t="shared" si="8"/>
        <v>0</v>
      </c>
      <c r="U290" s="4" t="e">
        <f t="shared" si="9"/>
        <v>#DIV/0!</v>
      </c>
    </row>
    <row r="291" spans="20:21" x14ac:dyDescent="0.3">
      <c r="T291" s="4">
        <f t="shared" si="8"/>
        <v>0</v>
      </c>
      <c r="U291" s="4" t="e">
        <f t="shared" si="9"/>
        <v>#DIV/0!</v>
      </c>
    </row>
    <row r="292" spans="20:21" x14ac:dyDescent="0.3">
      <c r="T292" s="4">
        <f t="shared" si="8"/>
        <v>0</v>
      </c>
      <c r="U292" s="4" t="e">
        <f t="shared" si="9"/>
        <v>#DIV/0!</v>
      </c>
    </row>
    <row r="293" spans="20:21" x14ac:dyDescent="0.3">
      <c r="T293" s="4">
        <f t="shared" si="8"/>
        <v>0</v>
      </c>
      <c r="U293" s="4" t="e">
        <f t="shared" si="9"/>
        <v>#DIV/0!</v>
      </c>
    </row>
    <row r="294" spans="20:21" x14ac:dyDescent="0.3">
      <c r="T294" s="4">
        <f t="shared" si="8"/>
        <v>0</v>
      </c>
      <c r="U294" s="4" t="e">
        <f t="shared" si="9"/>
        <v>#DIV/0!</v>
      </c>
    </row>
    <row r="295" spans="20:21" x14ac:dyDescent="0.3">
      <c r="T295" s="4">
        <f t="shared" si="8"/>
        <v>0</v>
      </c>
      <c r="U295" s="4" t="e">
        <f t="shared" si="9"/>
        <v>#DIV/0!</v>
      </c>
    </row>
    <row r="296" spans="20:21" x14ac:dyDescent="0.3">
      <c r="T296" s="4">
        <f t="shared" si="8"/>
        <v>0</v>
      </c>
      <c r="U296" s="4" t="e">
        <f t="shared" si="9"/>
        <v>#DIV/0!</v>
      </c>
    </row>
    <row r="297" spans="20:21" x14ac:dyDescent="0.3">
      <c r="T297" s="4">
        <f t="shared" si="8"/>
        <v>0</v>
      </c>
      <c r="U297" s="4" t="e">
        <f t="shared" si="9"/>
        <v>#DIV/0!</v>
      </c>
    </row>
    <row r="298" spans="20:21" x14ac:dyDescent="0.3">
      <c r="T298" s="4">
        <f t="shared" si="8"/>
        <v>0</v>
      </c>
      <c r="U298" s="4" t="e">
        <f t="shared" si="9"/>
        <v>#DIV/0!</v>
      </c>
    </row>
    <row r="299" spans="20:21" x14ac:dyDescent="0.3">
      <c r="T299" s="4">
        <f t="shared" si="8"/>
        <v>0</v>
      </c>
      <c r="U299" s="4" t="e">
        <f t="shared" si="9"/>
        <v>#DIV/0!</v>
      </c>
    </row>
    <row r="300" spans="20:21" x14ac:dyDescent="0.3">
      <c r="T300" s="4">
        <f t="shared" si="8"/>
        <v>0</v>
      </c>
      <c r="U300" s="4" t="e">
        <f t="shared" si="9"/>
        <v>#DIV/0!</v>
      </c>
    </row>
    <row r="301" spans="20:21" x14ac:dyDescent="0.3">
      <c r="T301" s="4">
        <f t="shared" si="8"/>
        <v>0</v>
      </c>
      <c r="U301" s="4" t="e">
        <f t="shared" si="9"/>
        <v>#DIV/0!</v>
      </c>
    </row>
    <row r="302" spans="20:21" x14ac:dyDescent="0.3">
      <c r="T302" s="4">
        <f t="shared" si="8"/>
        <v>0</v>
      </c>
      <c r="U302" s="4" t="e">
        <f t="shared" si="9"/>
        <v>#DIV/0!</v>
      </c>
    </row>
    <row r="303" spans="20:21" x14ac:dyDescent="0.3">
      <c r="T303" s="4">
        <f t="shared" si="8"/>
        <v>0</v>
      </c>
      <c r="U303" s="4" t="e">
        <f t="shared" si="9"/>
        <v>#DIV/0!</v>
      </c>
    </row>
    <row r="304" spans="20:21" x14ac:dyDescent="0.3">
      <c r="T304" s="4">
        <f t="shared" si="8"/>
        <v>0</v>
      </c>
      <c r="U304" s="4" t="e">
        <f t="shared" si="9"/>
        <v>#DIV/0!</v>
      </c>
    </row>
    <row r="305" spans="20:21" x14ac:dyDescent="0.3">
      <c r="T305" s="4">
        <f t="shared" si="8"/>
        <v>0</v>
      </c>
      <c r="U305" s="4" t="e">
        <f t="shared" si="9"/>
        <v>#DIV/0!</v>
      </c>
    </row>
    <row r="306" spans="20:21" x14ac:dyDescent="0.3">
      <c r="T306" s="4">
        <f t="shared" si="8"/>
        <v>0</v>
      </c>
      <c r="U306" s="4" t="e">
        <f t="shared" si="9"/>
        <v>#DIV/0!</v>
      </c>
    </row>
    <row r="307" spans="20:21" x14ac:dyDescent="0.3">
      <c r="T307" s="4">
        <f t="shared" si="8"/>
        <v>0</v>
      </c>
      <c r="U307" s="4" t="e">
        <f t="shared" si="9"/>
        <v>#DIV/0!</v>
      </c>
    </row>
    <row r="308" spans="20:21" x14ac:dyDescent="0.3">
      <c r="T308" s="4">
        <f t="shared" si="8"/>
        <v>0</v>
      </c>
      <c r="U308" s="4" t="e">
        <f t="shared" si="9"/>
        <v>#DIV/0!</v>
      </c>
    </row>
    <row r="309" spans="20:21" x14ac:dyDescent="0.3">
      <c r="T309" s="4">
        <f t="shared" si="8"/>
        <v>0</v>
      </c>
      <c r="U309" s="4" t="e">
        <f t="shared" si="9"/>
        <v>#DIV/0!</v>
      </c>
    </row>
    <row r="310" spans="20:21" x14ac:dyDescent="0.3">
      <c r="T310" s="4">
        <f t="shared" si="8"/>
        <v>0</v>
      </c>
      <c r="U310" s="4" t="e">
        <f t="shared" si="9"/>
        <v>#DIV/0!</v>
      </c>
    </row>
    <row r="311" spans="20:21" x14ac:dyDescent="0.3">
      <c r="T311" s="4">
        <f t="shared" si="8"/>
        <v>0</v>
      </c>
      <c r="U311" s="4" t="e">
        <f t="shared" si="9"/>
        <v>#DIV/0!</v>
      </c>
    </row>
    <row r="312" spans="20:21" x14ac:dyDescent="0.3">
      <c r="T312" s="4">
        <f t="shared" si="8"/>
        <v>0</v>
      </c>
      <c r="U312" s="4" t="e">
        <f t="shared" si="9"/>
        <v>#DIV/0!</v>
      </c>
    </row>
    <row r="313" spans="20:21" x14ac:dyDescent="0.3">
      <c r="T313" s="4">
        <f t="shared" si="8"/>
        <v>0</v>
      </c>
      <c r="U313" s="4" t="e">
        <f t="shared" si="9"/>
        <v>#DIV/0!</v>
      </c>
    </row>
    <row r="314" spans="20:21" x14ac:dyDescent="0.3">
      <c r="T314" s="4">
        <f t="shared" si="8"/>
        <v>0</v>
      </c>
      <c r="U314" s="4" t="e">
        <f t="shared" si="9"/>
        <v>#DIV/0!</v>
      </c>
    </row>
    <row r="315" spans="20:21" x14ac:dyDescent="0.3">
      <c r="T315" s="4">
        <f t="shared" si="8"/>
        <v>0</v>
      </c>
      <c r="U315" s="4" t="e">
        <f t="shared" si="9"/>
        <v>#DIV/0!</v>
      </c>
    </row>
    <row r="316" spans="20:21" x14ac:dyDescent="0.3">
      <c r="T316" s="4">
        <f t="shared" si="8"/>
        <v>0</v>
      </c>
      <c r="U316" s="4" t="e">
        <f t="shared" si="9"/>
        <v>#DIV/0!</v>
      </c>
    </row>
    <row r="317" spans="20:21" x14ac:dyDescent="0.3">
      <c r="T317" s="4">
        <f t="shared" si="8"/>
        <v>0</v>
      </c>
      <c r="U317" s="4" t="e">
        <f t="shared" si="9"/>
        <v>#DIV/0!</v>
      </c>
    </row>
    <row r="318" spans="20:21" x14ac:dyDescent="0.3">
      <c r="T318" s="4">
        <f t="shared" si="8"/>
        <v>0</v>
      </c>
      <c r="U318" s="4" t="e">
        <f t="shared" si="9"/>
        <v>#DIV/0!</v>
      </c>
    </row>
    <row r="319" spans="20:21" x14ac:dyDescent="0.3">
      <c r="T319" s="4">
        <f t="shared" si="8"/>
        <v>0</v>
      </c>
      <c r="U319" s="4" t="e">
        <f t="shared" si="9"/>
        <v>#DIV/0!</v>
      </c>
    </row>
    <row r="320" spans="20:21" x14ac:dyDescent="0.3">
      <c r="T320" s="4">
        <f t="shared" si="8"/>
        <v>0</v>
      </c>
      <c r="U320" s="4" t="e">
        <f t="shared" si="9"/>
        <v>#DIV/0!</v>
      </c>
    </row>
    <row r="321" spans="20:21" x14ac:dyDescent="0.3">
      <c r="T321" s="4">
        <f t="shared" si="8"/>
        <v>0</v>
      </c>
      <c r="U321" s="4" t="e">
        <f t="shared" si="9"/>
        <v>#DIV/0!</v>
      </c>
    </row>
    <row r="322" spans="20:21" x14ac:dyDescent="0.3">
      <c r="T322" s="4">
        <f t="shared" si="8"/>
        <v>0</v>
      </c>
      <c r="U322" s="4" t="e">
        <f t="shared" si="9"/>
        <v>#DIV/0!</v>
      </c>
    </row>
    <row r="323" spans="20:21" x14ac:dyDescent="0.3">
      <c r="T323" s="4">
        <f t="shared" si="8"/>
        <v>0</v>
      </c>
      <c r="U323" s="4" t="e">
        <f t="shared" si="9"/>
        <v>#DIV/0!</v>
      </c>
    </row>
    <row r="324" spans="20:21" x14ac:dyDescent="0.3">
      <c r="T324" s="4">
        <f t="shared" ref="T324:T382" si="10">+R324</f>
        <v>0</v>
      </c>
      <c r="U324" s="4" t="e">
        <f t="shared" ref="U324:U382" si="11">+AVERAGE(G324:R324)</f>
        <v>#DIV/0!</v>
      </c>
    </row>
    <row r="325" spans="20:21" x14ac:dyDescent="0.3">
      <c r="T325" s="4">
        <f t="shared" si="10"/>
        <v>0</v>
      </c>
      <c r="U325" s="4" t="e">
        <f t="shared" si="11"/>
        <v>#DIV/0!</v>
      </c>
    </row>
    <row r="326" spans="20:21" x14ac:dyDescent="0.3">
      <c r="T326" s="4">
        <f t="shared" si="10"/>
        <v>0</v>
      </c>
      <c r="U326" s="4" t="e">
        <f t="shared" si="11"/>
        <v>#DIV/0!</v>
      </c>
    </row>
    <row r="327" spans="20:21" x14ac:dyDescent="0.3">
      <c r="T327" s="4">
        <f t="shared" si="10"/>
        <v>0</v>
      </c>
      <c r="U327" s="4" t="e">
        <f t="shared" si="11"/>
        <v>#DIV/0!</v>
      </c>
    </row>
    <row r="328" spans="20:21" x14ac:dyDescent="0.3">
      <c r="T328" s="4">
        <f t="shared" si="10"/>
        <v>0</v>
      </c>
      <c r="U328" s="4" t="e">
        <f t="shared" si="11"/>
        <v>#DIV/0!</v>
      </c>
    </row>
    <row r="329" spans="20:21" x14ac:dyDescent="0.3">
      <c r="T329" s="4">
        <f t="shared" si="10"/>
        <v>0</v>
      </c>
      <c r="U329" s="4" t="e">
        <f t="shared" si="11"/>
        <v>#DIV/0!</v>
      </c>
    </row>
    <row r="330" spans="20:21" x14ac:dyDescent="0.3">
      <c r="T330" s="4">
        <f t="shared" si="10"/>
        <v>0</v>
      </c>
      <c r="U330" s="4" t="e">
        <f t="shared" si="11"/>
        <v>#DIV/0!</v>
      </c>
    </row>
    <row r="331" spans="20:21" x14ac:dyDescent="0.3">
      <c r="T331" s="4">
        <f t="shared" si="10"/>
        <v>0</v>
      </c>
      <c r="U331" s="4" t="e">
        <f t="shared" si="11"/>
        <v>#DIV/0!</v>
      </c>
    </row>
    <row r="332" spans="20:21" x14ac:dyDescent="0.3">
      <c r="T332" s="4">
        <f t="shared" si="10"/>
        <v>0</v>
      </c>
      <c r="U332" s="4" t="e">
        <f t="shared" si="11"/>
        <v>#DIV/0!</v>
      </c>
    </row>
    <row r="333" spans="20:21" x14ac:dyDescent="0.3">
      <c r="T333" s="4">
        <f t="shared" si="10"/>
        <v>0</v>
      </c>
      <c r="U333" s="4" t="e">
        <f t="shared" si="11"/>
        <v>#DIV/0!</v>
      </c>
    </row>
    <row r="334" spans="20:21" x14ac:dyDescent="0.3">
      <c r="T334" s="4">
        <f t="shared" si="10"/>
        <v>0</v>
      </c>
      <c r="U334" s="4" t="e">
        <f t="shared" si="11"/>
        <v>#DIV/0!</v>
      </c>
    </row>
    <row r="335" spans="20:21" x14ac:dyDescent="0.3">
      <c r="T335" s="4">
        <f t="shared" si="10"/>
        <v>0</v>
      </c>
      <c r="U335" s="4" t="e">
        <f t="shared" si="11"/>
        <v>#DIV/0!</v>
      </c>
    </row>
    <row r="336" spans="20:21" x14ac:dyDescent="0.3">
      <c r="T336" s="4">
        <f t="shared" si="10"/>
        <v>0</v>
      </c>
      <c r="U336" s="4" t="e">
        <f t="shared" si="11"/>
        <v>#DIV/0!</v>
      </c>
    </row>
    <row r="337" spans="20:21" x14ac:dyDescent="0.3">
      <c r="T337" s="4">
        <f t="shared" si="10"/>
        <v>0</v>
      </c>
      <c r="U337" s="4" t="e">
        <f t="shared" si="11"/>
        <v>#DIV/0!</v>
      </c>
    </row>
    <row r="338" spans="20:21" x14ac:dyDescent="0.3">
      <c r="T338" s="4">
        <f t="shared" si="10"/>
        <v>0</v>
      </c>
      <c r="U338" s="4" t="e">
        <f t="shared" si="11"/>
        <v>#DIV/0!</v>
      </c>
    </row>
    <row r="339" spans="20:21" x14ac:dyDescent="0.3">
      <c r="T339" s="4">
        <f t="shared" si="10"/>
        <v>0</v>
      </c>
      <c r="U339" s="4" t="e">
        <f t="shared" si="11"/>
        <v>#DIV/0!</v>
      </c>
    </row>
    <row r="340" spans="20:21" x14ac:dyDescent="0.3">
      <c r="T340" s="4">
        <f t="shared" si="10"/>
        <v>0</v>
      </c>
      <c r="U340" s="4" t="e">
        <f t="shared" si="11"/>
        <v>#DIV/0!</v>
      </c>
    </row>
    <row r="341" spans="20:21" x14ac:dyDescent="0.3">
      <c r="T341" s="4">
        <f t="shared" si="10"/>
        <v>0</v>
      </c>
      <c r="U341" s="4" t="e">
        <f t="shared" si="11"/>
        <v>#DIV/0!</v>
      </c>
    </row>
    <row r="342" spans="20:21" x14ac:dyDescent="0.3">
      <c r="T342" s="4">
        <f t="shared" si="10"/>
        <v>0</v>
      </c>
      <c r="U342" s="4" t="e">
        <f t="shared" si="11"/>
        <v>#DIV/0!</v>
      </c>
    </row>
    <row r="343" spans="20:21" x14ac:dyDescent="0.3">
      <c r="T343" s="4">
        <f t="shared" si="10"/>
        <v>0</v>
      </c>
      <c r="U343" s="4" t="e">
        <f t="shared" si="11"/>
        <v>#DIV/0!</v>
      </c>
    </row>
    <row r="344" spans="20:21" x14ac:dyDescent="0.3">
      <c r="T344" s="4">
        <f t="shared" si="10"/>
        <v>0</v>
      </c>
      <c r="U344" s="4" t="e">
        <f t="shared" si="11"/>
        <v>#DIV/0!</v>
      </c>
    </row>
    <row r="345" spans="20:21" x14ac:dyDescent="0.3">
      <c r="T345" s="4">
        <f t="shared" si="10"/>
        <v>0</v>
      </c>
      <c r="U345" s="4" t="e">
        <f t="shared" si="11"/>
        <v>#DIV/0!</v>
      </c>
    </row>
    <row r="346" spans="20:21" x14ac:dyDescent="0.3">
      <c r="T346" s="4">
        <f t="shared" si="10"/>
        <v>0</v>
      </c>
      <c r="U346" s="4" t="e">
        <f t="shared" si="11"/>
        <v>#DIV/0!</v>
      </c>
    </row>
    <row r="347" spans="20:21" x14ac:dyDescent="0.3">
      <c r="T347" s="4">
        <f t="shared" si="10"/>
        <v>0</v>
      </c>
      <c r="U347" s="4" t="e">
        <f t="shared" si="11"/>
        <v>#DIV/0!</v>
      </c>
    </row>
    <row r="348" spans="20:21" x14ac:dyDescent="0.3">
      <c r="T348" s="4">
        <f t="shared" si="10"/>
        <v>0</v>
      </c>
      <c r="U348" s="4" t="e">
        <f t="shared" si="11"/>
        <v>#DIV/0!</v>
      </c>
    </row>
    <row r="349" spans="20:21" x14ac:dyDescent="0.3">
      <c r="T349" s="4">
        <f t="shared" si="10"/>
        <v>0</v>
      </c>
      <c r="U349" s="4" t="e">
        <f t="shared" si="11"/>
        <v>#DIV/0!</v>
      </c>
    </row>
    <row r="350" spans="20:21" x14ac:dyDescent="0.3">
      <c r="T350" s="4">
        <f t="shared" si="10"/>
        <v>0</v>
      </c>
      <c r="U350" s="4" t="e">
        <f t="shared" si="11"/>
        <v>#DIV/0!</v>
      </c>
    </row>
    <row r="351" spans="20:21" x14ac:dyDescent="0.3">
      <c r="T351" s="4">
        <f t="shared" si="10"/>
        <v>0</v>
      </c>
      <c r="U351" s="4" t="e">
        <f t="shared" si="11"/>
        <v>#DIV/0!</v>
      </c>
    </row>
    <row r="352" spans="20:21" x14ac:dyDescent="0.3">
      <c r="T352" s="4">
        <f t="shared" si="10"/>
        <v>0</v>
      </c>
      <c r="U352" s="4" t="e">
        <f t="shared" si="11"/>
        <v>#DIV/0!</v>
      </c>
    </row>
    <row r="353" spans="20:21" x14ac:dyDescent="0.3">
      <c r="T353" s="4">
        <f t="shared" si="10"/>
        <v>0</v>
      </c>
      <c r="U353" s="4" t="e">
        <f t="shared" si="11"/>
        <v>#DIV/0!</v>
      </c>
    </row>
    <row r="354" spans="20:21" x14ac:dyDescent="0.3">
      <c r="T354" s="4">
        <f t="shared" si="10"/>
        <v>0</v>
      </c>
      <c r="U354" s="4" t="e">
        <f t="shared" si="11"/>
        <v>#DIV/0!</v>
      </c>
    </row>
    <row r="355" spans="20:21" x14ac:dyDescent="0.3">
      <c r="T355" s="4">
        <f t="shared" si="10"/>
        <v>0</v>
      </c>
      <c r="U355" s="4" t="e">
        <f t="shared" si="11"/>
        <v>#DIV/0!</v>
      </c>
    </row>
    <row r="356" spans="20:21" x14ac:dyDescent="0.3">
      <c r="T356" s="4">
        <f t="shared" si="10"/>
        <v>0</v>
      </c>
      <c r="U356" s="4" t="e">
        <f t="shared" si="11"/>
        <v>#DIV/0!</v>
      </c>
    </row>
    <row r="357" spans="20:21" x14ac:dyDescent="0.3">
      <c r="T357" s="4">
        <f t="shared" si="10"/>
        <v>0</v>
      </c>
      <c r="U357" s="4" t="e">
        <f t="shared" si="11"/>
        <v>#DIV/0!</v>
      </c>
    </row>
    <row r="358" spans="20:21" x14ac:dyDescent="0.3">
      <c r="T358" s="4">
        <f t="shared" si="10"/>
        <v>0</v>
      </c>
      <c r="U358" s="4" t="e">
        <f t="shared" si="11"/>
        <v>#DIV/0!</v>
      </c>
    </row>
    <row r="359" spans="20:21" x14ac:dyDescent="0.3">
      <c r="T359" s="4">
        <f t="shared" si="10"/>
        <v>0</v>
      </c>
      <c r="U359" s="4" t="e">
        <f t="shared" si="11"/>
        <v>#DIV/0!</v>
      </c>
    </row>
    <row r="360" spans="20:21" x14ac:dyDescent="0.3">
      <c r="T360" s="4">
        <f t="shared" si="10"/>
        <v>0</v>
      </c>
      <c r="U360" s="4" t="e">
        <f t="shared" si="11"/>
        <v>#DIV/0!</v>
      </c>
    </row>
    <row r="361" spans="20:21" x14ac:dyDescent="0.3">
      <c r="T361" s="4">
        <f t="shared" si="10"/>
        <v>0</v>
      </c>
      <c r="U361" s="4" t="e">
        <f t="shared" si="11"/>
        <v>#DIV/0!</v>
      </c>
    </row>
    <row r="362" spans="20:21" x14ac:dyDescent="0.3">
      <c r="T362" s="4">
        <f t="shared" si="10"/>
        <v>0</v>
      </c>
      <c r="U362" s="4" t="e">
        <f t="shared" si="11"/>
        <v>#DIV/0!</v>
      </c>
    </row>
    <row r="363" spans="20:21" x14ac:dyDescent="0.3">
      <c r="T363" s="4">
        <f t="shared" si="10"/>
        <v>0</v>
      </c>
      <c r="U363" s="4" t="e">
        <f t="shared" si="11"/>
        <v>#DIV/0!</v>
      </c>
    </row>
    <row r="364" spans="20:21" x14ac:dyDescent="0.3">
      <c r="T364" s="4">
        <f t="shared" si="10"/>
        <v>0</v>
      </c>
      <c r="U364" s="4" t="e">
        <f t="shared" si="11"/>
        <v>#DIV/0!</v>
      </c>
    </row>
    <row r="365" spans="20:21" x14ac:dyDescent="0.3">
      <c r="T365" s="4">
        <f t="shared" si="10"/>
        <v>0</v>
      </c>
      <c r="U365" s="4" t="e">
        <f t="shared" si="11"/>
        <v>#DIV/0!</v>
      </c>
    </row>
    <row r="366" spans="20:21" x14ac:dyDescent="0.3">
      <c r="T366" s="4">
        <f t="shared" si="10"/>
        <v>0</v>
      </c>
      <c r="U366" s="4" t="e">
        <f t="shared" si="11"/>
        <v>#DIV/0!</v>
      </c>
    </row>
    <row r="367" spans="20:21" x14ac:dyDescent="0.3">
      <c r="T367" s="4">
        <f t="shared" si="10"/>
        <v>0</v>
      </c>
      <c r="U367" s="4" t="e">
        <f t="shared" si="11"/>
        <v>#DIV/0!</v>
      </c>
    </row>
    <row r="368" spans="20:21" x14ac:dyDescent="0.3">
      <c r="T368" s="4">
        <f t="shared" si="10"/>
        <v>0</v>
      </c>
      <c r="U368" s="4" t="e">
        <f t="shared" si="11"/>
        <v>#DIV/0!</v>
      </c>
    </row>
    <row r="369" spans="20:21" x14ac:dyDescent="0.3">
      <c r="T369" s="4">
        <f t="shared" si="10"/>
        <v>0</v>
      </c>
      <c r="U369" s="4" t="e">
        <f t="shared" si="11"/>
        <v>#DIV/0!</v>
      </c>
    </row>
    <row r="370" spans="20:21" x14ac:dyDescent="0.3">
      <c r="T370" s="4">
        <f t="shared" si="10"/>
        <v>0</v>
      </c>
      <c r="U370" s="4" t="e">
        <f t="shared" si="11"/>
        <v>#DIV/0!</v>
      </c>
    </row>
    <row r="371" spans="20:21" x14ac:dyDescent="0.3">
      <c r="T371" s="4">
        <f t="shared" si="10"/>
        <v>0</v>
      </c>
      <c r="U371" s="4" t="e">
        <f t="shared" si="11"/>
        <v>#DIV/0!</v>
      </c>
    </row>
    <row r="372" spans="20:21" x14ac:dyDescent="0.3">
      <c r="T372" s="4">
        <f t="shared" si="10"/>
        <v>0</v>
      </c>
      <c r="U372" s="4" t="e">
        <f t="shared" si="11"/>
        <v>#DIV/0!</v>
      </c>
    </row>
    <row r="373" spans="20:21" x14ac:dyDescent="0.3">
      <c r="T373" s="4">
        <f t="shared" si="10"/>
        <v>0</v>
      </c>
      <c r="U373" s="4" t="e">
        <f t="shared" si="11"/>
        <v>#DIV/0!</v>
      </c>
    </row>
    <row r="374" spans="20:21" x14ac:dyDescent="0.3">
      <c r="T374" s="4">
        <f t="shared" si="10"/>
        <v>0</v>
      </c>
      <c r="U374" s="4" t="e">
        <f t="shared" si="11"/>
        <v>#DIV/0!</v>
      </c>
    </row>
    <row r="375" spans="20:21" x14ac:dyDescent="0.3">
      <c r="T375" s="4">
        <f t="shared" si="10"/>
        <v>0</v>
      </c>
      <c r="U375" s="4" t="e">
        <f t="shared" si="11"/>
        <v>#DIV/0!</v>
      </c>
    </row>
    <row r="376" spans="20:21" x14ac:dyDescent="0.3">
      <c r="T376" s="4">
        <f t="shared" si="10"/>
        <v>0</v>
      </c>
      <c r="U376" s="4" t="e">
        <f t="shared" si="11"/>
        <v>#DIV/0!</v>
      </c>
    </row>
    <row r="377" spans="20:21" x14ac:dyDescent="0.3">
      <c r="T377" s="4">
        <f t="shared" si="10"/>
        <v>0</v>
      </c>
      <c r="U377" s="4" t="e">
        <f t="shared" si="11"/>
        <v>#DIV/0!</v>
      </c>
    </row>
    <row r="378" spans="20:21" x14ac:dyDescent="0.3">
      <c r="T378" s="4">
        <f t="shared" si="10"/>
        <v>0</v>
      </c>
      <c r="U378" s="4" t="e">
        <f t="shared" si="11"/>
        <v>#DIV/0!</v>
      </c>
    </row>
    <row r="379" spans="20:21" x14ac:dyDescent="0.3">
      <c r="T379" s="4">
        <f t="shared" si="10"/>
        <v>0</v>
      </c>
      <c r="U379" s="4" t="e">
        <f t="shared" si="11"/>
        <v>#DIV/0!</v>
      </c>
    </row>
    <row r="380" spans="20:21" x14ac:dyDescent="0.3">
      <c r="T380" s="4">
        <f t="shared" si="10"/>
        <v>0</v>
      </c>
      <c r="U380" s="4" t="e">
        <f t="shared" si="11"/>
        <v>#DIV/0!</v>
      </c>
    </row>
    <row r="381" spans="20:21" x14ac:dyDescent="0.3">
      <c r="T381" s="4">
        <f t="shared" si="10"/>
        <v>0</v>
      </c>
      <c r="U381" s="4" t="e">
        <f t="shared" si="11"/>
        <v>#DIV/0!</v>
      </c>
    </row>
    <row r="382" spans="20:21" x14ac:dyDescent="0.3">
      <c r="T382" s="4">
        <f t="shared" si="10"/>
        <v>0</v>
      </c>
      <c r="U382" s="4" t="e">
        <f t="shared" si="11"/>
        <v>#DIV/0!</v>
      </c>
    </row>
  </sheetData>
  <mergeCells count="160">
    <mergeCell ref="B241:E242"/>
    <mergeCell ref="B244:E244"/>
    <mergeCell ref="B231:E231"/>
    <mergeCell ref="B232:E232"/>
    <mergeCell ref="B234:E234"/>
    <mergeCell ref="B235:E236"/>
    <mergeCell ref="B237:E238"/>
    <mergeCell ref="B239:E240"/>
    <mergeCell ref="B218:E219"/>
    <mergeCell ref="B220:E221"/>
    <mergeCell ref="B223:E223"/>
    <mergeCell ref="B225:E225"/>
    <mergeCell ref="B227:E227"/>
    <mergeCell ref="B228:E229"/>
    <mergeCell ref="B204:E204"/>
    <mergeCell ref="B207:E207"/>
    <mergeCell ref="B210:E210"/>
    <mergeCell ref="B213:E213"/>
    <mergeCell ref="B215:E215"/>
    <mergeCell ref="B216:E217"/>
    <mergeCell ref="B188:C201"/>
    <mergeCell ref="D188:E188"/>
    <mergeCell ref="D189:E190"/>
    <mergeCell ref="D191:E192"/>
    <mergeCell ref="D193:E194"/>
    <mergeCell ref="D195:E196"/>
    <mergeCell ref="D197:E197"/>
    <mergeCell ref="D198:E199"/>
    <mergeCell ref="D200:E201"/>
    <mergeCell ref="B179:E179"/>
    <mergeCell ref="B180:C187"/>
    <mergeCell ref="D180:E181"/>
    <mergeCell ref="D182:E183"/>
    <mergeCell ref="D184:E185"/>
    <mergeCell ref="D186:E187"/>
    <mergeCell ref="B169:C172"/>
    <mergeCell ref="D169:E170"/>
    <mergeCell ref="D171:E172"/>
    <mergeCell ref="B173:C174"/>
    <mergeCell ref="D173:E174"/>
    <mergeCell ref="B176:E176"/>
    <mergeCell ref="B157:E158"/>
    <mergeCell ref="B159:E160"/>
    <mergeCell ref="B161:E161"/>
    <mergeCell ref="B162:E163"/>
    <mergeCell ref="B165:E165"/>
    <mergeCell ref="B168:E168"/>
    <mergeCell ref="B145:E145"/>
    <mergeCell ref="B148:E148"/>
    <mergeCell ref="B149:E150"/>
    <mergeCell ref="B151:E152"/>
    <mergeCell ref="B153:E154"/>
    <mergeCell ref="B155:E156"/>
    <mergeCell ref="B137:B138"/>
    <mergeCell ref="C137:D138"/>
    <mergeCell ref="E137:E138"/>
    <mergeCell ref="B139:B142"/>
    <mergeCell ref="C139:D140"/>
    <mergeCell ref="E139:E140"/>
    <mergeCell ref="C141:D142"/>
    <mergeCell ref="E141:E142"/>
    <mergeCell ref="E131:E132"/>
    <mergeCell ref="C133:D134"/>
    <mergeCell ref="E133:E134"/>
    <mergeCell ref="B135:B136"/>
    <mergeCell ref="C135:D136"/>
    <mergeCell ref="E135:E136"/>
    <mergeCell ref="B124:B127"/>
    <mergeCell ref="C124:D124"/>
    <mergeCell ref="C125:D126"/>
    <mergeCell ref="E125:E126"/>
    <mergeCell ref="C127:D127"/>
    <mergeCell ref="B128:B134"/>
    <mergeCell ref="C128:D128"/>
    <mergeCell ref="C129:D130"/>
    <mergeCell ref="E129:E130"/>
    <mergeCell ref="C131:D132"/>
    <mergeCell ref="B122:B123"/>
    <mergeCell ref="C122:D123"/>
    <mergeCell ref="E122:E123"/>
    <mergeCell ref="B106:E106"/>
    <mergeCell ref="B109:E109"/>
    <mergeCell ref="B112:E112"/>
    <mergeCell ref="C115:D115"/>
    <mergeCell ref="B116:B117"/>
    <mergeCell ref="C116:D117"/>
    <mergeCell ref="E116:E117"/>
    <mergeCell ref="B98:C103"/>
    <mergeCell ref="D98:E99"/>
    <mergeCell ref="D100:E101"/>
    <mergeCell ref="D102:E103"/>
    <mergeCell ref="B118:B121"/>
    <mergeCell ref="C118:D119"/>
    <mergeCell ref="E118:E119"/>
    <mergeCell ref="C120:D121"/>
    <mergeCell ref="E120:E121"/>
    <mergeCell ref="B73:C80"/>
    <mergeCell ref="D73:E74"/>
    <mergeCell ref="D75:E76"/>
    <mergeCell ref="D77:E78"/>
    <mergeCell ref="D79:E80"/>
    <mergeCell ref="B81:C97"/>
    <mergeCell ref="D81:E82"/>
    <mergeCell ref="D83:E84"/>
    <mergeCell ref="D85:E86"/>
    <mergeCell ref="D87:E87"/>
    <mergeCell ref="D88:E89"/>
    <mergeCell ref="D90:E91"/>
    <mergeCell ref="D92:E93"/>
    <mergeCell ref="D94:E95"/>
    <mergeCell ref="D96:E97"/>
    <mergeCell ref="B66:C71"/>
    <mergeCell ref="D66:E67"/>
    <mergeCell ref="D68:E69"/>
    <mergeCell ref="D70:E71"/>
    <mergeCell ref="B72:C72"/>
    <mergeCell ref="D72:E72"/>
    <mergeCell ref="B51:C65"/>
    <mergeCell ref="D51:E52"/>
    <mergeCell ref="D53:E54"/>
    <mergeCell ref="D55:E56"/>
    <mergeCell ref="D57:E58"/>
    <mergeCell ref="D59:E59"/>
    <mergeCell ref="D60:E61"/>
    <mergeCell ref="D62:E63"/>
    <mergeCell ref="D64:E65"/>
    <mergeCell ref="B41:C50"/>
    <mergeCell ref="D41:E42"/>
    <mergeCell ref="D43:E44"/>
    <mergeCell ref="D45:E46"/>
    <mergeCell ref="D47:E48"/>
    <mergeCell ref="D49:E50"/>
    <mergeCell ref="B29:C34"/>
    <mergeCell ref="D29:E30"/>
    <mergeCell ref="D31:E32"/>
    <mergeCell ref="D33:E34"/>
    <mergeCell ref="B35:C40"/>
    <mergeCell ref="D35:E36"/>
    <mergeCell ref="D37:E38"/>
    <mergeCell ref="D39:E40"/>
    <mergeCell ref="B1:G1"/>
    <mergeCell ref="B3:E3"/>
    <mergeCell ref="B6:C6"/>
    <mergeCell ref="D6:E6"/>
    <mergeCell ref="B7:C8"/>
    <mergeCell ref="D7:E8"/>
    <mergeCell ref="B19:C28"/>
    <mergeCell ref="D19:E20"/>
    <mergeCell ref="D21:E22"/>
    <mergeCell ref="D23:E24"/>
    <mergeCell ref="D25:E26"/>
    <mergeCell ref="D27:E28"/>
    <mergeCell ref="B9:C10"/>
    <mergeCell ref="D9:E10"/>
    <mergeCell ref="B11:C12"/>
    <mergeCell ref="D11:E12"/>
    <mergeCell ref="B13:C18"/>
    <mergeCell ref="D13:E14"/>
    <mergeCell ref="D15:E16"/>
    <mergeCell ref="D17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9F93-619E-4660-9303-2A76468B8DB3}">
  <dimension ref="B1:AD284"/>
  <sheetViews>
    <sheetView topLeftCell="A135" workbookViewId="0">
      <selection activeCell="C147" sqref="C147:D150"/>
    </sheetView>
  </sheetViews>
  <sheetFormatPr baseColWidth="10" defaultRowHeight="14.4" x14ac:dyDescent="0.3"/>
  <cols>
    <col min="1" max="1" width="3.77734375" style="14" customWidth="1"/>
    <col min="2" max="2" width="13.77734375" style="14" customWidth="1"/>
    <col min="3" max="3" width="4.77734375" style="14" customWidth="1"/>
    <col min="4" max="4" width="9" style="14" customWidth="1"/>
    <col min="5" max="5" width="12.21875" style="14" customWidth="1"/>
    <col min="6" max="18" width="13.77734375" style="14" customWidth="1"/>
    <col min="19" max="19" width="4.77734375" style="14" customWidth="1"/>
    <col min="20" max="22" width="9.44140625" style="14" customWidth="1"/>
    <col min="23" max="23" width="2.5546875" style="14" customWidth="1"/>
    <col min="24" max="27" width="9.44140625" style="14" customWidth="1"/>
    <col min="28" max="28" width="13.77734375" style="14" customWidth="1"/>
    <col min="29" max="30" width="9.44140625" style="14" customWidth="1"/>
    <col min="31" max="16384" width="11.5546875" style="14"/>
  </cols>
  <sheetData>
    <row r="1" spans="2:30" ht="36" customHeight="1" x14ac:dyDescent="0.3">
      <c r="B1" s="85" t="s">
        <v>0</v>
      </c>
      <c r="C1" s="72"/>
      <c r="D1" s="72"/>
      <c r="E1" s="72"/>
      <c r="F1" s="72"/>
      <c r="G1" s="72"/>
    </row>
    <row r="2" spans="2:30" ht="7.2" customHeight="1" x14ac:dyDescent="0.3"/>
    <row r="3" spans="2:30" x14ac:dyDescent="0.3">
      <c r="B3" s="83" t="s">
        <v>1</v>
      </c>
      <c r="C3" s="73"/>
      <c r="D3" s="73"/>
      <c r="E3" s="73"/>
      <c r="F3" s="16" t="s">
        <v>2</v>
      </c>
      <c r="G3" s="17">
        <v>398</v>
      </c>
      <c r="H3" s="17">
        <v>401</v>
      </c>
      <c r="I3" s="17">
        <v>404</v>
      </c>
      <c r="J3" s="17">
        <v>414</v>
      </c>
      <c r="K3" s="17">
        <v>416</v>
      </c>
      <c r="L3" s="17">
        <v>422</v>
      </c>
      <c r="M3" s="17">
        <v>429</v>
      </c>
      <c r="N3" s="17">
        <v>429</v>
      </c>
      <c r="O3" s="17">
        <v>426</v>
      </c>
      <c r="P3" s="17">
        <v>423</v>
      </c>
      <c r="Q3" s="17">
        <v>424</v>
      </c>
      <c r="R3" s="17">
        <v>426</v>
      </c>
      <c r="T3" s="17">
        <v>426</v>
      </c>
      <c r="U3" s="28">
        <f t="shared" ref="U3:U4" si="0">+AVERAGE(G3:R3)</f>
        <v>417.66666666666669</v>
      </c>
      <c r="V3" s="17">
        <v>448</v>
      </c>
      <c r="X3" s="17">
        <v>406</v>
      </c>
      <c r="Y3" s="17">
        <v>417</v>
      </c>
      <c r="Z3" s="17">
        <v>493</v>
      </c>
      <c r="AA3" s="17">
        <v>425</v>
      </c>
      <c r="AC3" s="17">
        <v>426</v>
      </c>
      <c r="AD3" s="17">
        <v>488</v>
      </c>
    </row>
    <row r="4" spans="2:30" x14ac:dyDescent="0.3">
      <c r="F4" s="16" t="s">
        <v>3</v>
      </c>
      <c r="G4" s="17">
        <v>428</v>
      </c>
      <c r="H4" s="17">
        <v>428</v>
      </c>
      <c r="I4" s="17">
        <v>429</v>
      </c>
      <c r="J4" s="17">
        <v>432</v>
      </c>
      <c r="K4" s="17">
        <v>432</v>
      </c>
      <c r="L4" s="17">
        <v>432</v>
      </c>
      <c r="M4" s="17">
        <v>432</v>
      </c>
      <c r="N4" s="17">
        <v>432</v>
      </c>
      <c r="O4" s="17">
        <v>431</v>
      </c>
      <c r="P4" s="17">
        <v>430</v>
      </c>
      <c r="Q4" s="17">
        <v>430</v>
      </c>
      <c r="R4" s="17">
        <v>430</v>
      </c>
      <c r="T4" s="17">
        <v>430</v>
      </c>
      <c r="U4" s="28">
        <f t="shared" si="0"/>
        <v>430.5</v>
      </c>
      <c r="V4" s="17">
        <v>431</v>
      </c>
      <c r="X4" s="17">
        <v>428</v>
      </c>
      <c r="Y4" s="17">
        <v>432</v>
      </c>
      <c r="Z4" s="17">
        <v>432</v>
      </c>
      <c r="AA4" s="17">
        <v>430</v>
      </c>
      <c r="AC4" s="17">
        <v>430</v>
      </c>
      <c r="AD4" s="17">
        <v>431</v>
      </c>
    </row>
    <row r="5" spans="2:30" ht="5.0999999999999996" customHeight="1" x14ac:dyDescent="0.3"/>
    <row r="6" spans="2:30" x14ac:dyDescent="0.3">
      <c r="B6" s="78" t="s">
        <v>4</v>
      </c>
      <c r="C6" s="73"/>
      <c r="D6" s="84" t="s">
        <v>5</v>
      </c>
      <c r="E6" s="73"/>
      <c r="F6" s="20" t="s">
        <v>6</v>
      </c>
      <c r="G6" s="21" t="s">
        <v>138</v>
      </c>
      <c r="H6" s="21" t="s">
        <v>139</v>
      </c>
      <c r="I6" s="21" t="s">
        <v>140</v>
      </c>
      <c r="J6" s="21" t="s">
        <v>141</v>
      </c>
      <c r="K6" s="21" t="s">
        <v>142</v>
      </c>
      <c r="L6" s="21" t="s">
        <v>143</v>
      </c>
      <c r="M6" s="21" t="s">
        <v>144</v>
      </c>
      <c r="N6" s="21" t="s">
        <v>145</v>
      </c>
      <c r="O6" s="21" t="s">
        <v>146</v>
      </c>
      <c r="P6" s="21" t="s">
        <v>147</v>
      </c>
      <c r="Q6" s="21" t="s">
        <v>148</v>
      </c>
      <c r="R6" s="21" t="s">
        <v>149</v>
      </c>
      <c r="T6" s="21" t="s">
        <v>24</v>
      </c>
      <c r="U6" s="21" t="s">
        <v>25</v>
      </c>
      <c r="V6" s="21" t="s">
        <v>19</v>
      </c>
      <c r="X6" s="21" t="s">
        <v>20</v>
      </c>
      <c r="Y6" s="21" t="s">
        <v>21</v>
      </c>
      <c r="Z6" s="21" t="s">
        <v>22</v>
      </c>
      <c r="AA6" s="21" t="s">
        <v>23</v>
      </c>
      <c r="AC6" s="21" t="s">
        <v>24</v>
      </c>
      <c r="AD6" s="21" t="s">
        <v>25</v>
      </c>
    </row>
    <row r="7" spans="2:30" x14ac:dyDescent="0.3">
      <c r="B7" s="75" t="s">
        <v>26</v>
      </c>
      <c r="C7" s="72"/>
      <c r="D7" s="75" t="s">
        <v>26</v>
      </c>
      <c r="E7" s="72"/>
      <c r="F7" s="22" t="s">
        <v>2</v>
      </c>
      <c r="G7" s="23">
        <v>11</v>
      </c>
      <c r="H7" s="23">
        <v>12</v>
      </c>
      <c r="I7" s="23">
        <v>14</v>
      </c>
      <c r="J7" s="23">
        <v>14</v>
      </c>
      <c r="K7" s="23">
        <v>14</v>
      </c>
      <c r="L7" s="23">
        <v>14</v>
      </c>
      <c r="M7" s="23">
        <v>14</v>
      </c>
      <c r="N7" s="23">
        <v>14</v>
      </c>
      <c r="O7" s="23">
        <v>14</v>
      </c>
      <c r="P7" s="23">
        <v>14</v>
      </c>
      <c r="Q7" s="23">
        <v>13</v>
      </c>
      <c r="R7" s="23">
        <v>13</v>
      </c>
      <c r="T7" s="23">
        <v>13</v>
      </c>
      <c r="U7" s="23">
        <v>13</v>
      </c>
      <c r="V7" s="23">
        <v>13</v>
      </c>
      <c r="X7" s="23">
        <v>12</v>
      </c>
      <c r="Y7" s="23">
        <v>14</v>
      </c>
      <c r="Z7" s="23">
        <v>14</v>
      </c>
      <c r="AA7" s="23">
        <v>13</v>
      </c>
      <c r="AC7" s="23">
        <v>13</v>
      </c>
      <c r="AD7" s="23">
        <v>13</v>
      </c>
    </row>
    <row r="8" spans="2:30" x14ac:dyDescent="0.3">
      <c r="B8" s="76"/>
      <c r="C8" s="73"/>
      <c r="D8" s="76"/>
      <c r="E8" s="73"/>
      <c r="F8" s="22" t="s">
        <v>3</v>
      </c>
      <c r="G8" s="23">
        <v>14</v>
      </c>
      <c r="H8" s="23">
        <v>14</v>
      </c>
      <c r="I8" s="23">
        <v>14</v>
      </c>
      <c r="J8" s="23">
        <v>14</v>
      </c>
      <c r="K8" s="23">
        <v>14</v>
      </c>
      <c r="L8" s="23">
        <v>14</v>
      </c>
      <c r="M8" s="23">
        <v>14</v>
      </c>
      <c r="N8" s="23">
        <v>14</v>
      </c>
      <c r="O8" s="23">
        <v>14</v>
      </c>
      <c r="P8" s="23">
        <v>14</v>
      </c>
      <c r="Q8" s="23">
        <v>14</v>
      </c>
      <c r="R8" s="23">
        <v>14</v>
      </c>
      <c r="T8" s="23">
        <v>14</v>
      </c>
      <c r="U8" s="23">
        <v>14</v>
      </c>
      <c r="V8" s="23">
        <v>14</v>
      </c>
      <c r="X8" s="23">
        <v>14</v>
      </c>
      <c r="Y8" s="23">
        <v>14</v>
      </c>
      <c r="Z8" s="23">
        <v>14</v>
      </c>
      <c r="AA8" s="23">
        <v>14</v>
      </c>
      <c r="AC8" s="23">
        <v>14</v>
      </c>
      <c r="AD8" s="23">
        <v>14</v>
      </c>
    </row>
    <row r="9" spans="2:30" x14ac:dyDescent="0.3">
      <c r="B9" s="75" t="s">
        <v>27</v>
      </c>
      <c r="C9" s="72"/>
      <c r="D9" s="75" t="s">
        <v>27</v>
      </c>
      <c r="E9" s="72"/>
      <c r="F9" s="22" t="s">
        <v>2</v>
      </c>
      <c r="G9" s="23">
        <v>3</v>
      </c>
      <c r="H9" s="23">
        <v>3</v>
      </c>
      <c r="I9" s="23">
        <v>3</v>
      </c>
      <c r="J9" s="23">
        <v>3</v>
      </c>
      <c r="K9" s="23">
        <v>3</v>
      </c>
      <c r="L9" s="23">
        <v>3</v>
      </c>
      <c r="M9" s="23">
        <v>3</v>
      </c>
      <c r="N9" s="23">
        <v>3</v>
      </c>
      <c r="O9" s="23">
        <v>3</v>
      </c>
      <c r="P9" s="23">
        <v>3</v>
      </c>
      <c r="Q9" s="23">
        <v>3</v>
      </c>
      <c r="R9" s="23">
        <v>3</v>
      </c>
      <c r="T9" s="23">
        <v>3</v>
      </c>
      <c r="U9" s="23">
        <v>3</v>
      </c>
      <c r="V9" s="23">
        <v>3</v>
      </c>
      <c r="X9" s="23">
        <v>3</v>
      </c>
      <c r="Y9" s="23">
        <v>3</v>
      </c>
      <c r="Z9" s="23">
        <v>3</v>
      </c>
      <c r="AA9" s="23">
        <v>3</v>
      </c>
      <c r="AC9" s="23">
        <v>3</v>
      </c>
      <c r="AD9" s="23">
        <v>3</v>
      </c>
    </row>
    <row r="10" spans="2:30" x14ac:dyDescent="0.3">
      <c r="B10" s="76"/>
      <c r="C10" s="73"/>
      <c r="D10" s="76"/>
      <c r="E10" s="73"/>
      <c r="F10" s="22" t="s">
        <v>3</v>
      </c>
      <c r="G10" s="23">
        <v>3</v>
      </c>
      <c r="H10" s="23">
        <v>3</v>
      </c>
      <c r="I10" s="23">
        <v>3</v>
      </c>
      <c r="J10" s="23">
        <v>3</v>
      </c>
      <c r="K10" s="23">
        <v>3</v>
      </c>
      <c r="L10" s="23">
        <v>3</v>
      </c>
      <c r="M10" s="23">
        <v>3</v>
      </c>
      <c r="N10" s="23">
        <v>3</v>
      </c>
      <c r="O10" s="23">
        <v>3</v>
      </c>
      <c r="P10" s="23">
        <v>3</v>
      </c>
      <c r="Q10" s="23">
        <v>3</v>
      </c>
      <c r="R10" s="23">
        <v>3</v>
      </c>
      <c r="T10" s="23">
        <v>3</v>
      </c>
      <c r="U10" s="23">
        <v>3</v>
      </c>
      <c r="V10" s="23">
        <v>3</v>
      </c>
      <c r="X10" s="23">
        <v>3</v>
      </c>
      <c r="Y10" s="23">
        <v>3</v>
      </c>
      <c r="Z10" s="23">
        <v>3</v>
      </c>
      <c r="AA10" s="23">
        <v>3</v>
      </c>
      <c r="AC10" s="23">
        <v>3</v>
      </c>
      <c r="AD10" s="23">
        <v>3</v>
      </c>
    </row>
    <row r="11" spans="2:30" x14ac:dyDescent="0.3">
      <c r="B11" s="75" t="s">
        <v>28</v>
      </c>
      <c r="C11" s="72"/>
      <c r="D11" s="75" t="s">
        <v>28</v>
      </c>
      <c r="E11" s="72"/>
      <c r="F11" s="22" t="s">
        <v>2</v>
      </c>
      <c r="G11" s="23">
        <v>2</v>
      </c>
      <c r="H11" s="23">
        <v>2</v>
      </c>
      <c r="I11" s="23">
        <v>2</v>
      </c>
      <c r="J11" s="23">
        <v>2</v>
      </c>
      <c r="K11" s="23">
        <v>2</v>
      </c>
      <c r="L11" s="23">
        <v>2</v>
      </c>
      <c r="M11" s="23">
        <v>2</v>
      </c>
      <c r="N11" s="23">
        <v>2</v>
      </c>
      <c r="O11" s="23">
        <v>2</v>
      </c>
      <c r="P11" s="23">
        <v>2</v>
      </c>
      <c r="Q11" s="23">
        <v>2</v>
      </c>
      <c r="R11" s="23">
        <v>2</v>
      </c>
      <c r="T11" s="23">
        <v>2</v>
      </c>
      <c r="U11" s="23">
        <v>2</v>
      </c>
      <c r="V11" s="23">
        <v>2</v>
      </c>
      <c r="X11" s="23">
        <v>2</v>
      </c>
      <c r="Y11" s="23">
        <v>2</v>
      </c>
      <c r="Z11" s="23">
        <v>2</v>
      </c>
      <c r="AA11" s="23">
        <v>2</v>
      </c>
      <c r="AC11" s="23">
        <v>2</v>
      </c>
      <c r="AD11" s="23">
        <v>2</v>
      </c>
    </row>
    <row r="12" spans="2:30" x14ac:dyDescent="0.3">
      <c r="B12" s="76"/>
      <c r="C12" s="73"/>
      <c r="D12" s="76"/>
      <c r="E12" s="73"/>
      <c r="F12" s="22" t="s">
        <v>3</v>
      </c>
      <c r="G12" s="23">
        <v>2</v>
      </c>
      <c r="H12" s="23">
        <v>2</v>
      </c>
      <c r="I12" s="23">
        <v>2</v>
      </c>
      <c r="J12" s="23">
        <v>2</v>
      </c>
      <c r="K12" s="23">
        <v>2</v>
      </c>
      <c r="L12" s="23">
        <v>2</v>
      </c>
      <c r="M12" s="23">
        <v>2</v>
      </c>
      <c r="N12" s="23">
        <v>2</v>
      </c>
      <c r="O12" s="23">
        <v>2</v>
      </c>
      <c r="P12" s="23">
        <v>2</v>
      </c>
      <c r="Q12" s="23">
        <v>2</v>
      </c>
      <c r="R12" s="23">
        <v>2</v>
      </c>
      <c r="T12" s="23">
        <v>2</v>
      </c>
      <c r="U12" s="23">
        <v>2</v>
      </c>
      <c r="V12" s="23">
        <v>2</v>
      </c>
      <c r="X12" s="23">
        <v>2</v>
      </c>
      <c r="Y12" s="23">
        <v>2</v>
      </c>
      <c r="Z12" s="23">
        <v>2</v>
      </c>
      <c r="AA12" s="23">
        <v>2</v>
      </c>
      <c r="AC12" s="23">
        <v>2</v>
      </c>
      <c r="AD12" s="23">
        <v>2</v>
      </c>
    </row>
    <row r="13" spans="2:30" x14ac:dyDescent="0.3">
      <c r="B13" s="75" t="s">
        <v>113</v>
      </c>
      <c r="C13" s="72"/>
      <c r="D13" s="75" t="s">
        <v>114</v>
      </c>
      <c r="E13" s="72"/>
      <c r="F13" s="22" t="s">
        <v>2</v>
      </c>
      <c r="G13" s="23">
        <v>5</v>
      </c>
      <c r="H13" s="23">
        <v>5</v>
      </c>
      <c r="I13" s="23">
        <v>5</v>
      </c>
      <c r="J13" s="23">
        <v>5</v>
      </c>
      <c r="K13" s="23">
        <v>5</v>
      </c>
      <c r="L13" s="23">
        <v>4</v>
      </c>
      <c r="M13" s="23">
        <v>4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T13" s="23">
        <v>0</v>
      </c>
      <c r="U13" s="23">
        <v>5</v>
      </c>
      <c r="V13" s="23">
        <v>3</v>
      </c>
      <c r="X13" s="23">
        <v>5</v>
      </c>
      <c r="Y13" s="23">
        <v>5</v>
      </c>
      <c r="Z13" s="23">
        <v>4</v>
      </c>
      <c r="AA13" s="23">
        <v>0</v>
      </c>
      <c r="AC13" s="23">
        <v>0</v>
      </c>
      <c r="AD13" s="23">
        <v>5</v>
      </c>
    </row>
    <row r="14" spans="2:30" x14ac:dyDescent="0.3">
      <c r="B14" s="81"/>
      <c r="C14" s="72"/>
      <c r="D14" s="76"/>
      <c r="E14" s="73"/>
      <c r="F14" s="22" t="s">
        <v>3</v>
      </c>
      <c r="G14" s="23">
        <v>14</v>
      </c>
      <c r="H14" s="23">
        <v>14</v>
      </c>
      <c r="I14" s="23">
        <v>14</v>
      </c>
      <c r="J14" s="23">
        <v>14</v>
      </c>
      <c r="K14" s="23">
        <v>14</v>
      </c>
      <c r="L14" s="23">
        <v>14</v>
      </c>
      <c r="M14" s="23">
        <v>14</v>
      </c>
      <c r="N14" s="23">
        <v>14</v>
      </c>
      <c r="O14" s="23">
        <v>14</v>
      </c>
      <c r="P14" s="23">
        <v>14</v>
      </c>
      <c r="Q14" s="23">
        <v>14</v>
      </c>
      <c r="R14" s="23">
        <v>14</v>
      </c>
      <c r="T14" s="23">
        <v>14</v>
      </c>
      <c r="U14" s="23">
        <v>14</v>
      </c>
      <c r="V14" s="23">
        <v>14</v>
      </c>
      <c r="X14" s="23">
        <v>14</v>
      </c>
      <c r="Y14" s="23">
        <v>14</v>
      </c>
      <c r="Z14" s="23">
        <v>14</v>
      </c>
      <c r="AA14" s="23">
        <v>14</v>
      </c>
      <c r="AC14" s="23">
        <v>14</v>
      </c>
      <c r="AD14" s="23">
        <v>14</v>
      </c>
    </row>
    <row r="15" spans="2:30" x14ac:dyDescent="0.3">
      <c r="B15" s="81"/>
      <c r="C15" s="72"/>
      <c r="D15" s="75" t="s">
        <v>35</v>
      </c>
      <c r="E15" s="72"/>
      <c r="F15" s="22" t="s">
        <v>2</v>
      </c>
      <c r="G15" s="23">
        <v>17</v>
      </c>
      <c r="H15" s="23">
        <v>17</v>
      </c>
      <c r="I15" s="23">
        <v>18</v>
      </c>
      <c r="J15" s="23">
        <v>18</v>
      </c>
      <c r="K15" s="23">
        <v>18</v>
      </c>
      <c r="L15" s="23">
        <v>18</v>
      </c>
      <c r="M15" s="23">
        <v>18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T15" s="23">
        <v>0</v>
      </c>
      <c r="U15" s="23">
        <v>18</v>
      </c>
      <c r="V15" s="23">
        <v>10</v>
      </c>
      <c r="X15" s="23">
        <v>17</v>
      </c>
      <c r="Y15" s="23">
        <v>18</v>
      </c>
      <c r="Z15" s="23">
        <v>18</v>
      </c>
      <c r="AA15" s="23">
        <v>0</v>
      </c>
      <c r="AC15" s="23">
        <v>0</v>
      </c>
      <c r="AD15" s="23">
        <v>18</v>
      </c>
    </row>
    <row r="16" spans="2:30" x14ac:dyDescent="0.3">
      <c r="B16" s="81"/>
      <c r="C16" s="72"/>
      <c r="D16" s="76"/>
      <c r="E16" s="73"/>
      <c r="F16" s="22" t="s">
        <v>3</v>
      </c>
      <c r="G16" s="23">
        <v>20</v>
      </c>
      <c r="H16" s="23">
        <v>20</v>
      </c>
      <c r="I16" s="23">
        <v>20</v>
      </c>
      <c r="J16" s="23">
        <v>20</v>
      </c>
      <c r="K16" s="23">
        <v>20</v>
      </c>
      <c r="L16" s="23">
        <v>20</v>
      </c>
      <c r="M16" s="23">
        <v>20</v>
      </c>
      <c r="N16" s="23">
        <v>20</v>
      </c>
      <c r="O16" s="23">
        <v>20</v>
      </c>
      <c r="P16" s="23">
        <v>20</v>
      </c>
      <c r="Q16" s="23">
        <v>20</v>
      </c>
      <c r="R16" s="23">
        <v>20</v>
      </c>
      <c r="T16" s="23">
        <v>20</v>
      </c>
      <c r="U16" s="23">
        <v>20</v>
      </c>
      <c r="V16" s="23">
        <v>20</v>
      </c>
      <c r="X16" s="23">
        <v>20</v>
      </c>
      <c r="Y16" s="23">
        <v>20</v>
      </c>
      <c r="Z16" s="23">
        <v>20</v>
      </c>
      <c r="AA16" s="23">
        <v>20</v>
      </c>
      <c r="AC16" s="23">
        <v>20</v>
      </c>
      <c r="AD16" s="23">
        <v>20</v>
      </c>
    </row>
    <row r="17" spans="2:30" x14ac:dyDescent="0.3">
      <c r="B17" s="81"/>
      <c r="C17" s="72"/>
      <c r="D17" s="75" t="s">
        <v>115</v>
      </c>
      <c r="E17" s="72"/>
      <c r="F17" s="22" t="s">
        <v>2</v>
      </c>
      <c r="G17" s="23">
        <v>12</v>
      </c>
      <c r="H17" s="23">
        <v>13</v>
      </c>
      <c r="I17" s="23">
        <v>12</v>
      </c>
      <c r="J17" s="23">
        <v>13</v>
      </c>
      <c r="K17" s="23">
        <v>13</v>
      </c>
      <c r="L17" s="23">
        <v>13</v>
      </c>
      <c r="M17" s="23">
        <v>13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T17" s="23">
        <v>0</v>
      </c>
      <c r="U17" s="23">
        <v>13</v>
      </c>
      <c r="V17" s="23">
        <v>7</v>
      </c>
      <c r="X17" s="23">
        <v>12</v>
      </c>
      <c r="Y17" s="23">
        <v>13</v>
      </c>
      <c r="Z17" s="23">
        <v>13</v>
      </c>
      <c r="AA17" s="23">
        <v>0</v>
      </c>
      <c r="AC17" s="23">
        <v>0</v>
      </c>
      <c r="AD17" s="23">
        <v>13</v>
      </c>
    </row>
    <row r="18" spans="2:30" x14ac:dyDescent="0.3">
      <c r="B18" s="81"/>
      <c r="C18" s="72"/>
      <c r="D18" s="76"/>
      <c r="E18" s="73"/>
      <c r="F18" s="22" t="s">
        <v>3</v>
      </c>
      <c r="G18" s="23">
        <v>8</v>
      </c>
      <c r="H18" s="23">
        <v>8</v>
      </c>
      <c r="I18" s="23">
        <v>8</v>
      </c>
      <c r="J18" s="23">
        <v>8</v>
      </c>
      <c r="K18" s="23">
        <v>8</v>
      </c>
      <c r="L18" s="23">
        <v>8</v>
      </c>
      <c r="M18" s="23">
        <v>8</v>
      </c>
      <c r="N18" s="23">
        <v>8</v>
      </c>
      <c r="O18" s="23">
        <v>8</v>
      </c>
      <c r="P18" s="23">
        <v>8</v>
      </c>
      <c r="Q18" s="23">
        <v>8</v>
      </c>
      <c r="R18" s="23">
        <v>8</v>
      </c>
      <c r="T18" s="23">
        <v>8</v>
      </c>
      <c r="U18" s="23">
        <v>8</v>
      </c>
      <c r="V18" s="23">
        <v>8</v>
      </c>
      <c r="X18" s="23">
        <v>8</v>
      </c>
      <c r="Y18" s="23">
        <v>8</v>
      </c>
      <c r="Z18" s="23">
        <v>8</v>
      </c>
      <c r="AA18" s="23">
        <v>8</v>
      </c>
      <c r="AC18" s="23">
        <v>8</v>
      </c>
      <c r="AD18" s="23">
        <v>8</v>
      </c>
    </row>
    <row r="19" spans="2:30" x14ac:dyDescent="0.3">
      <c r="B19" s="81"/>
      <c r="C19" s="72"/>
      <c r="D19" s="75" t="s">
        <v>36</v>
      </c>
      <c r="E19" s="72"/>
      <c r="F19" s="22" t="s">
        <v>2</v>
      </c>
      <c r="G19" s="23">
        <v>8</v>
      </c>
      <c r="H19" s="23">
        <v>8</v>
      </c>
      <c r="I19" s="23">
        <v>8</v>
      </c>
      <c r="J19" s="23">
        <v>8</v>
      </c>
      <c r="K19" s="23">
        <v>8</v>
      </c>
      <c r="L19" s="23">
        <v>8</v>
      </c>
      <c r="M19" s="23">
        <v>8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T19" s="23">
        <v>0</v>
      </c>
      <c r="U19" s="23">
        <v>8</v>
      </c>
      <c r="V19" s="23">
        <v>5</v>
      </c>
      <c r="X19" s="23">
        <v>8</v>
      </c>
      <c r="Y19" s="23">
        <v>8</v>
      </c>
      <c r="Z19" s="23">
        <v>8</v>
      </c>
      <c r="AA19" s="23">
        <v>0</v>
      </c>
      <c r="AC19" s="23">
        <v>0</v>
      </c>
      <c r="AD19" s="23">
        <v>8</v>
      </c>
    </row>
    <row r="20" spans="2:30" x14ac:dyDescent="0.3">
      <c r="B20" s="81"/>
      <c r="C20" s="72"/>
      <c r="D20" s="76"/>
      <c r="E20" s="73"/>
      <c r="F20" s="22" t="s">
        <v>3</v>
      </c>
      <c r="G20" s="23">
        <v>8</v>
      </c>
      <c r="H20" s="23">
        <v>8</v>
      </c>
      <c r="I20" s="23">
        <v>8</v>
      </c>
      <c r="J20" s="23">
        <v>8</v>
      </c>
      <c r="K20" s="23">
        <v>8</v>
      </c>
      <c r="L20" s="23">
        <v>8</v>
      </c>
      <c r="M20" s="23">
        <v>8</v>
      </c>
      <c r="N20" s="23">
        <v>8</v>
      </c>
      <c r="O20" s="23">
        <v>8</v>
      </c>
      <c r="P20" s="23">
        <v>8</v>
      </c>
      <c r="Q20" s="23">
        <v>8</v>
      </c>
      <c r="R20" s="23">
        <v>8</v>
      </c>
      <c r="T20" s="23">
        <v>8</v>
      </c>
      <c r="U20" s="23">
        <v>8</v>
      </c>
      <c r="V20" s="23">
        <v>8</v>
      </c>
      <c r="X20" s="23">
        <v>8</v>
      </c>
      <c r="Y20" s="23">
        <v>8</v>
      </c>
      <c r="Z20" s="23">
        <v>8</v>
      </c>
      <c r="AA20" s="23">
        <v>8</v>
      </c>
      <c r="AC20" s="23">
        <v>8</v>
      </c>
      <c r="AD20" s="23">
        <v>8</v>
      </c>
    </row>
    <row r="21" spans="2:30" x14ac:dyDescent="0.3">
      <c r="B21" s="81"/>
      <c r="C21" s="72"/>
      <c r="D21" s="75" t="s">
        <v>76</v>
      </c>
      <c r="E21" s="72"/>
      <c r="F21" s="22" t="s">
        <v>2</v>
      </c>
      <c r="G21" s="23">
        <v>7</v>
      </c>
      <c r="H21" s="23">
        <v>7</v>
      </c>
      <c r="I21" s="23">
        <v>7</v>
      </c>
      <c r="J21" s="23">
        <v>7</v>
      </c>
      <c r="K21" s="23">
        <v>7</v>
      </c>
      <c r="L21" s="23">
        <v>7</v>
      </c>
      <c r="M21" s="23">
        <v>7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T21" s="23">
        <v>0</v>
      </c>
      <c r="U21" s="23">
        <v>7</v>
      </c>
      <c r="V21" s="23">
        <v>4</v>
      </c>
      <c r="X21" s="23">
        <v>7</v>
      </c>
      <c r="Y21" s="23">
        <v>7</v>
      </c>
      <c r="Z21" s="23">
        <v>7</v>
      </c>
      <c r="AA21" s="23">
        <v>0</v>
      </c>
      <c r="AC21" s="23">
        <v>0</v>
      </c>
      <c r="AD21" s="23">
        <v>7</v>
      </c>
    </row>
    <row r="22" spans="2:30" x14ac:dyDescent="0.3">
      <c r="B22" s="81"/>
      <c r="C22" s="72"/>
      <c r="D22" s="76"/>
      <c r="E22" s="73"/>
      <c r="F22" s="22" t="s">
        <v>3</v>
      </c>
      <c r="G22" s="23">
        <v>7</v>
      </c>
      <c r="H22" s="23">
        <v>7</v>
      </c>
      <c r="I22" s="23">
        <v>7</v>
      </c>
      <c r="J22" s="23">
        <v>7</v>
      </c>
      <c r="K22" s="23">
        <v>7</v>
      </c>
      <c r="L22" s="23">
        <v>7</v>
      </c>
      <c r="M22" s="23">
        <v>7</v>
      </c>
      <c r="N22" s="23">
        <v>7</v>
      </c>
      <c r="O22" s="23">
        <v>7</v>
      </c>
      <c r="P22" s="23">
        <v>7</v>
      </c>
      <c r="Q22" s="23">
        <v>7</v>
      </c>
      <c r="R22" s="23">
        <v>7</v>
      </c>
      <c r="T22" s="23">
        <v>7</v>
      </c>
      <c r="U22" s="23">
        <v>7</v>
      </c>
      <c r="V22" s="23">
        <v>7</v>
      </c>
      <c r="X22" s="23">
        <v>7</v>
      </c>
      <c r="Y22" s="23">
        <v>7</v>
      </c>
      <c r="Z22" s="23">
        <v>7</v>
      </c>
      <c r="AA22" s="23">
        <v>7</v>
      </c>
      <c r="AC22" s="23">
        <v>7</v>
      </c>
      <c r="AD22" s="23">
        <v>7</v>
      </c>
    </row>
    <row r="23" spans="2:30" x14ac:dyDescent="0.3">
      <c r="B23" s="81"/>
      <c r="C23" s="72"/>
      <c r="D23" s="75" t="s">
        <v>116</v>
      </c>
      <c r="E23" s="72"/>
      <c r="F23" s="22" t="s">
        <v>2</v>
      </c>
      <c r="G23" s="23">
        <v>4</v>
      </c>
      <c r="H23" s="23">
        <v>4</v>
      </c>
      <c r="I23" s="23">
        <v>4</v>
      </c>
      <c r="J23" s="23">
        <v>4</v>
      </c>
      <c r="K23" s="23">
        <v>4</v>
      </c>
      <c r="L23" s="23">
        <v>4</v>
      </c>
      <c r="M23" s="23">
        <v>4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T23" s="23">
        <v>0</v>
      </c>
      <c r="U23" s="23">
        <v>4</v>
      </c>
      <c r="V23" s="23">
        <v>2</v>
      </c>
      <c r="X23" s="23">
        <v>4</v>
      </c>
      <c r="Y23" s="23">
        <v>4</v>
      </c>
      <c r="Z23" s="23">
        <v>4</v>
      </c>
      <c r="AA23" s="23">
        <v>0</v>
      </c>
      <c r="AC23" s="23">
        <v>0</v>
      </c>
      <c r="AD23" s="23">
        <v>4</v>
      </c>
    </row>
    <row r="24" spans="2:30" x14ac:dyDescent="0.3">
      <c r="B24" s="81"/>
      <c r="C24" s="72"/>
      <c r="D24" s="76"/>
      <c r="E24" s="73"/>
      <c r="F24" s="22" t="s">
        <v>3</v>
      </c>
      <c r="G24" s="23">
        <v>4</v>
      </c>
      <c r="H24" s="23">
        <v>4</v>
      </c>
      <c r="I24" s="23">
        <v>4</v>
      </c>
      <c r="J24" s="23">
        <v>4</v>
      </c>
      <c r="K24" s="23">
        <v>4</v>
      </c>
      <c r="L24" s="23">
        <v>4</v>
      </c>
      <c r="M24" s="23">
        <v>4</v>
      </c>
      <c r="N24" s="23">
        <v>4</v>
      </c>
      <c r="O24" s="23">
        <v>4</v>
      </c>
      <c r="P24" s="23">
        <v>4</v>
      </c>
      <c r="Q24" s="23">
        <v>4</v>
      </c>
      <c r="R24" s="23">
        <v>4</v>
      </c>
      <c r="T24" s="23">
        <v>4</v>
      </c>
      <c r="U24" s="23">
        <v>4</v>
      </c>
      <c r="V24" s="23">
        <v>4</v>
      </c>
      <c r="X24" s="23">
        <v>4</v>
      </c>
      <c r="Y24" s="23">
        <v>4</v>
      </c>
      <c r="Z24" s="23">
        <v>4</v>
      </c>
      <c r="AA24" s="23">
        <v>4</v>
      </c>
      <c r="AC24" s="23">
        <v>4</v>
      </c>
      <c r="AD24" s="23">
        <v>4</v>
      </c>
    </row>
    <row r="25" spans="2:30" x14ac:dyDescent="0.3">
      <c r="B25" s="81"/>
      <c r="C25" s="72"/>
      <c r="D25" s="75" t="s">
        <v>113</v>
      </c>
      <c r="E25" s="72"/>
      <c r="F25" s="22" t="s">
        <v>2</v>
      </c>
      <c r="G25" s="23">
        <v>7</v>
      </c>
      <c r="H25" s="23">
        <v>7</v>
      </c>
      <c r="I25" s="23">
        <v>7</v>
      </c>
      <c r="J25" s="23">
        <v>7</v>
      </c>
      <c r="K25" s="23">
        <v>7</v>
      </c>
      <c r="L25" s="23">
        <v>7</v>
      </c>
      <c r="M25" s="23">
        <v>7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T25" s="23">
        <v>0</v>
      </c>
      <c r="U25" s="23">
        <v>7</v>
      </c>
      <c r="V25" s="23">
        <v>4</v>
      </c>
      <c r="X25" s="23">
        <v>7</v>
      </c>
      <c r="Y25" s="23">
        <v>7</v>
      </c>
      <c r="Z25" s="23">
        <v>7</v>
      </c>
      <c r="AA25" s="23">
        <v>0</v>
      </c>
      <c r="AC25" s="23">
        <v>0</v>
      </c>
      <c r="AD25" s="23">
        <v>7</v>
      </c>
    </row>
    <row r="26" spans="2:30" x14ac:dyDescent="0.3">
      <c r="B26" s="76"/>
      <c r="C26" s="73"/>
      <c r="D26" s="76"/>
      <c r="E26" s="73"/>
      <c r="F26" s="22" t="s">
        <v>3</v>
      </c>
      <c r="G26" s="23">
        <v>6</v>
      </c>
      <c r="H26" s="23">
        <v>6</v>
      </c>
      <c r="I26" s="23">
        <v>6</v>
      </c>
      <c r="J26" s="23">
        <v>7</v>
      </c>
      <c r="K26" s="23">
        <v>7</v>
      </c>
      <c r="L26" s="23">
        <v>7</v>
      </c>
      <c r="M26" s="23">
        <v>7</v>
      </c>
      <c r="N26" s="23">
        <v>7</v>
      </c>
      <c r="O26" s="23">
        <v>7</v>
      </c>
      <c r="P26" s="23">
        <v>7</v>
      </c>
      <c r="Q26" s="23">
        <v>7</v>
      </c>
      <c r="R26" s="23">
        <v>7</v>
      </c>
      <c r="T26" s="23">
        <v>7</v>
      </c>
      <c r="U26" s="23">
        <v>7</v>
      </c>
      <c r="V26" s="23">
        <v>7</v>
      </c>
      <c r="X26" s="23">
        <v>6</v>
      </c>
      <c r="Y26" s="23">
        <v>7</v>
      </c>
      <c r="Z26" s="23">
        <v>7</v>
      </c>
      <c r="AA26" s="23">
        <v>7</v>
      </c>
      <c r="AC26" s="23">
        <v>7</v>
      </c>
      <c r="AD26" s="23">
        <v>7</v>
      </c>
    </row>
    <row r="27" spans="2:30" x14ac:dyDescent="0.3">
      <c r="B27" s="75" t="s">
        <v>117</v>
      </c>
      <c r="C27" s="72"/>
      <c r="D27" s="75" t="s">
        <v>118</v>
      </c>
      <c r="E27" s="72"/>
      <c r="F27" s="22" t="s">
        <v>2</v>
      </c>
      <c r="G27" s="23">
        <v>4</v>
      </c>
      <c r="H27" s="23">
        <v>4</v>
      </c>
      <c r="I27" s="23">
        <v>5</v>
      </c>
      <c r="J27" s="23">
        <v>5</v>
      </c>
      <c r="K27" s="23">
        <v>5</v>
      </c>
      <c r="L27" s="23">
        <v>5</v>
      </c>
      <c r="M27" s="23">
        <v>5</v>
      </c>
      <c r="N27" s="23">
        <v>5</v>
      </c>
      <c r="O27" s="23">
        <v>5</v>
      </c>
      <c r="P27" s="23">
        <v>5</v>
      </c>
      <c r="Q27" s="23">
        <v>5</v>
      </c>
      <c r="R27" s="23">
        <v>5</v>
      </c>
      <c r="T27" s="23">
        <v>5</v>
      </c>
      <c r="U27" s="23">
        <v>5</v>
      </c>
      <c r="V27" s="23">
        <v>5</v>
      </c>
      <c r="X27" s="23">
        <v>4</v>
      </c>
      <c r="Y27" s="23">
        <v>5</v>
      </c>
      <c r="Z27" s="23">
        <v>5</v>
      </c>
      <c r="AA27" s="23">
        <v>5</v>
      </c>
      <c r="AC27" s="23">
        <v>5</v>
      </c>
      <c r="AD27" s="23">
        <v>5</v>
      </c>
    </row>
    <row r="28" spans="2:30" x14ac:dyDescent="0.3">
      <c r="B28" s="81"/>
      <c r="C28" s="72"/>
      <c r="D28" s="76"/>
      <c r="E28" s="73"/>
      <c r="F28" s="22" t="s">
        <v>3</v>
      </c>
      <c r="G28" s="23">
        <v>5</v>
      </c>
      <c r="H28" s="23">
        <v>5</v>
      </c>
      <c r="I28" s="23">
        <v>5</v>
      </c>
      <c r="J28" s="23">
        <v>6</v>
      </c>
      <c r="K28" s="23">
        <v>6</v>
      </c>
      <c r="L28" s="23">
        <v>6</v>
      </c>
      <c r="M28" s="23">
        <v>6</v>
      </c>
      <c r="N28" s="23">
        <v>6</v>
      </c>
      <c r="O28" s="23">
        <v>6</v>
      </c>
      <c r="P28" s="23">
        <v>6</v>
      </c>
      <c r="Q28" s="23">
        <v>6</v>
      </c>
      <c r="R28" s="23">
        <v>6</v>
      </c>
      <c r="T28" s="23">
        <v>6</v>
      </c>
      <c r="U28" s="23">
        <v>6</v>
      </c>
      <c r="V28" s="23">
        <v>6</v>
      </c>
      <c r="X28" s="23">
        <v>5</v>
      </c>
      <c r="Y28" s="23">
        <v>6</v>
      </c>
      <c r="Z28" s="23">
        <v>6</v>
      </c>
      <c r="AA28" s="23">
        <v>6</v>
      </c>
      <c r="AC28" s="23">
        <v>6</v>
      </c>
      <c r="AD28" s="23">
        <v>6</v>
      </c>
    </row>
    <row r="29" spans="2:30" x14ac:dyDescent="0.3">
      <c r="B29" s="81"/>
      <c r="C29" s="72"/>
      <c r="D29" s="75" t="s">
        <v>31</v>
      </c>
      <c r="E29" s="72"/>
      <c r="F29" s="22" t="s">
        <v>2</v>
      </c>
      <c r="G29" s="23">
        <v>4</v>
      </c>
      <c r="H29" s="23">
        <v>4</v>
      </c>
      <c r="I29" s="23">
        <v>4</v>
      </c>
      <c r="J29" s="23">
        <v>4</v>
      </c>
      <c r="K29" s="23">
        <v>5</v>
      </c>
      <c r="L29" s="23">
        <v>5</v>
      </c>
      <c r="M29" s="23">
        <v>5</v>
      </c>
      <c r="N29" s="23">
        <v>5</v>
      </c>
      <c r="O29" s="23">
        <v>5</v>
      </c>
      <c r="P29" s="23">
        <v>5</v>
      </c>
      <c r="Q29" s="23">
        <v>5</v>
      </c>
      <c r="R29" s="23">
        <v>5</v>
      </c>
      <c r="T29" s="23">
        <v>5</v>
      </c>
      <c r="U29" s="23">
        <v>5</v>
      </c>
      <c r="V29" s="23">
        <v>5</v>
      </c>
      <c r="X29" s="23">
        <v>4</v>
      </c>
      <c r="Y29" s="23">
        <v>5</v>
      </c>
      <c r="Z29" s="23">
        <v>5</v>
      </c>
      <c r="AA29" s="23">
        <v>5</v>
      </c>
      <c r="AC29" s="23">
        <v>5</v>
      </c>
      <c r="AD29" s="23">
        <v>5</v>
      </c>
    </row>
    <row r="30" spans="2:30" x14ac:dyDescent="0.3">
      <c r="B30" s="81"/>
      <c r="C30" s="72"/>
      <c r="D30" s="76"/>
      <c r="E30" s="73"/>
      <c r="F30" s="22" t="s">
        <v>3</v>
      </c>
      <c r="G30" s="23">
        <v>4</v>
      </c>
      <c r="H30" s="23">
        <v>4</v>
      </c>
      <c r="I30" s="23">
        <v>4</v>
      </c>
      <c r="J30" s="23">
        <v>4</v>
      </c>
      <c r="K30" s="23">
        <v>4</v>
      </c>
      <c r="L30" s="23">
        <v>4</v>
      </c>
      <c r="M30" s="23">
        <v>4</v>
      </c>
      <c r="N30" s="23">
        <v>4</v>
      </c>
      <c r="O30" s="23">
        <v>4</v>
      </c>
      <c r="P30" s="23">
        <v>4</v>
      </c>
      <c r="Q30" s="23">
        <v>4</v>
      </c>
      <c r="R30" s="23">
        <v>4</v>
      </c>
      <c r="T30" s="23">
        <v>4</v>
      </c>
      <c r="U30" s="23">
        <v>4</v>
      </c>
      <c r="V30" s="23">
        <v>4</v>
      </c>
      <c r="X30" s="23">
        <v>4</v>
      </c>
      <c r="Y30" s="23">
        <v>4</v>
      </c>
      <c r="Z30" s="23">
        <v>4</v>
      </c>
      <c r="AA30" s="23">
        <v>4</v>
      </c>
      <c r="AC30" s="23">
        <v>4</v>
      </c>
      <c r="AD30" s="23">
        <v>4</v>
      </c>
    </row>
    <row r="31" spans="2:30" x14ac:dyDescent="0.3">
      <c r="B31" s="81"/>
      <c r="C31" s="72"/>
      <c r="D31" s="75" t="s">
        <v>117</v>
      </c>
      <c r="E31" s="72"/>
      <c r="F31" s="22" t="s">
        <v>2</v>
      </c>
      <c r="G31" s="23">
        <v>10</v>
      </c>
      <c r="H31" s="23">
        <v>10</v>
      </c>
      <c r="I31" s="23">
        <v>10</v>
      </c>
      <c r="J31" s="23">
        <v>10</v>
      </c>
      <c r="K31" s="23">
        <v>9</v>
      </c>
      <c r="L31" s="23">
        <v>9</v>
      </c>
      <c r="M31" s="23">
        <v>9</v>
      </c>
      <c r="N31" s="23">
        <v>9</v>
      </c>
      <c r="O31" s="23">
        <v>9</v>
      </c>
      <c r="P31" s="23">
        <v>9</v>
      </c>
      <c r="Q31" s="23">
        <v>9</v>
      </c>
      <c r="R31" s="23">
        <v>9</v>
      </c>
      <c r="T31" s="23">
        <v>9</v>
      </c>
      <c r="U31" s="23">
        <v>9</v>
      </c>
      <c r="V31" s="23">
        <v>9</v>
      </c>
      <c r="X31" s="23">
        <v>10</v>
      </c>
      <c r="Y31" s="23">
        <v>9</v>
      </c>
      <c r="Z31" s="23">
        <v>9</v>
      </c>
      <c r="AA31" s="23">
        <v>9</v>
      </c>
      <c r="AC31" s="23">
        <v>9</v>
      </c>
      <c r="AD31" s="23">
        <v>9</v>
      </c>
    </row>
    <row r="32" spans="2:30" x14ac:dyDescent="0.3">
      <c r="B32" s="76"/>
      <c r="C32" s="73"/>
      <c r="D32" s="76"/>
      <c r="E32" s="73"/>
      <c r="F32" s="22" t="s">
        <v>3</v>
      </c>
      <c r="G32" s="23">
        <v>10</v>
      </c>
      <c r="H32" s="23">
        <v>10</v>
      </c>
      <c r="I32" s="23">
        <v>10</v>
      </c>
      <c r="J32" s="23">
        <v>10</v>
      </c>
      <c r="K32" s="23">
        <v>10</v>
      </c>
      <c r="L32" s="23">
        <v>10</v>
      </c>
      <c r="M32" s="23">
        <v>10</v>
      </c>
      <c r="N32" s="23">
        <v>10</v>
      </c>
      <c r="O32" s="23">
        <v>10</v>
      </c>
      <c r="P32" s="23">
        <v>10</v>
      </c>
      <c r="Q32" s="23">
        <v>10</v>
      </c>
      <c r="R32" s="23">
        <v>10</v>
      </c>
      <c r="T32" s="23">
        <v>10</v>
      </c>
      <c r="U32" s="23">
        <v>10</v>
      </c>
      <c r="V32" s="23">
        <v>10</v>
      </c>
      <c r="X32" s="23">
        <v>10</v>
      </c>
      <c r="Y32" s="23">
        <v>10</v>
      </c>
      <c r="Z32" s="23">
        <v>10</v>
      </c>
      <c r="AA32" s="23">
        <v>10</v>
      </c>
      <c r="AC32" s="23">
        <v>10</v>
      </c>
      <c r="AD32" s="23">
        <v>10</v>
      </c>
    </row>
    <row r="33" spans="2:30" x14ac:dyDescent="0.3">
      <c r="B33" s="75" t="s">
        <v>32</v>
      </c>
      <c r="C33" s="72"/>
      <c r="D33" s="75" t="s">
        <v>114</v>
      </c>
      <c r="E33" s="72"/>
      <c r="F33" s="22" t="s">
        <v>2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4</v>
      </c>
      <c r="O33" s="23">
        <v>4</v>
      </c>
      <c r="P33" s="23">
        <v>4</v>
      </c>
      <c r="Q33" s="23">
        <v>4</v>
      </c>
      <c r="R33" s="23">
        <v>4</v>
      </c>
      <c r="T33" s="23">
        <v>4</v>
      </c>
      <c r="U33" s="23">
        <v>4</v>
      </c>
      <c r="V33" s="23">
        <v>3</v>
      </c>
      <c r="X33" s="23">
        <v>0</v>
      </c>
      <c r="Y33" s="23">
        <v>0</v>
      </c>
      <c r="Z33" s="23">
        <v>4</v>
      </c>
      <c r="AA33" s="23">
        <v>4</v>
      </c>
      <c r="AC33" s="23">
        <v>4</v>
      </c>
      <c r="AD33" s="23">
        <v>4</v>
      </c>
    </row>
    <row r="34" spans="2:30" x14ac:dyDescent="0.3">
      <c r="B34" s="81"/>
      <c r="C34" s="72"/>
      <c r="D34" s="76"/>
      <c r="E34" s="73"/>
      <c r="F34" s="22" t="s">
        <v>3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T34" s="23">
        <v>0</v>
      </c>
      <c r="U34" s="23">
        <v>0</v>
      </c>
      <c r="V34" s="23">
        <v>0</v>
      </c>
      <c r="X34" s="23">
        <v>0</v>
      </c>
      <c r="Y34" s="23">
        <v>0</v>
      </c>
      <c r="Z34" s="23">
        <v>0</v>
      </c>
      <c r="AA34" s="23">
        <v>0</v>
      </c>
      <c r="AC34" s="23">
        <v>0</v>
      </c>
      <c r="AD34" s="23">
        <v>0</v>
      </c>
    </row>
    <row r="35" spans="2:30" x14ac:dyDescent="0.3">
      <c r="B35" s="81"/>
      <c r="C35" s="72"/>
      <c r="D35" s="75" t="s">
        <v>35</v>
      </c>
      <c r="E35" s="72"/>
      <c r="F35" s="22" t="s">
        <v>2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19</v>
      </c>
      <c r="O35" s="23">
        <v>19</v>
      </c>
      <c r="P35" s="23">
        <v>19</v>
      </c>
      <c r="Q35" s="23">
        <v>20</v>
      </c>
      <c r="R35" s="23">
        <v>20</v>
      </c>
      <c r="T35" s="23">
        <v>20</v>
      </c>
      <c r="U35" s="23">
        <v>19</v>
      </c>
      <c r="V35" s="23">
        <v>16</v>
      </c>
      <c r="X35" s="23">
        <v>0</v>
      </c>
      <c r="Y35" s="23">
        <v>0</v>
      </c>
      <c r="Z35" s="23">
        <v>19</v>
      </c>
      <c r="AA35" s="23">
        <v>20</v>
      </c>
      <c r="AC35" s="23">
        <v>20</v>
      </c>
      <c r="AD35" s="23">
        <v>19</v>
      </c>
    </row>
    <row r="36" spans="2:30" x14ac:dyDescent="0.3">
      <c r="B36" s="81"/>
      <c r="C36" s="72"/>
      <c r="D36" s="76"/>
      <c r="E36" s="73"/>
      <c r="F36" s="22" t="s">
        <v>3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T36" s="23">
        <v>0</v>
      </c>
      <c r="U36" s="23">
        <v>0</v>
      </c>
      <c r="V36" s="23">
        <v>0</v>
      </c>
      <c r="X36" s="23">
        <v>0</v>
      </c>
      <c r="Y36" s="23">
        <v>0</v>
      </c>
      <c r="Z36" s="23">
        <v>0</v>
      </c>
      <c r="AA36" s="23">
        <v>0</v>
      </c>
      <c r="AC36" s="23">
        <v>0</v>
      </c>
      <c r="AD36" s="23">
        <v>0</v>
      </c>
    </row>
    <row r="37" spans="2:30" x14ac:dyDescent="0.3">
      <c r="B37" s="81"/>
      <c r="C37" s="72"/>
      <c r="D37" s="75" t="s">
        <v>115</v>
      </c>
      <c r="E37" s="72"/>
      <c r="F37" s="22" t="s">
        <v>2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14</v>
      </c>
      <c r="O37" s="23">
        <v>14</v>
      </c>
      <c r="P37" s="23">
        <v>13</v>
      </c>
      <c r="Q37" s="23">
        <v>13</v>
      </c>
      <c r="R37" s="23">
        <v>13</v>
      </c>
      <c r="T37" s="23">
        <v>13</v>
      </c>
      <c r="U37" s="23">
        <v>13</v>
      </c>
      <c r="V37" s="23">
        <v>11</v>
      </c>
      <c r="X37" s="23">
        <v>0</v>
      </c>
      <c r="Y37" s="23">
        <v>0</v>
      </c>
      <c r="Z37" s="23">
        <v>14</v>
      </c>
      <c r="AA37" s="23">
        <v>13</v>
      </c>
      <c r="AC37" s="23">
        <v>13</v>
      </c>
      <c r="AD37" s="23">
        <v>13</v>
      </c>
    </row>
    <row r="38" spans="2:30" x14ac:dyDescent="0.3">
      <c r="B38" s="81"/>
      <c r="C38" s="72"/>
      <c r="D38" s="76"/>
      <c r="E38" s="73"/>
      <c r="F38" s="22" t="s">
        <v>3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T38" s="23">
        <v>0</v>
      </c>
      <c r="U38" s="23">
        <v>0</v>
      </c>
      <c r="V38" s="23">
        <v>0</v>
      </c>
      <c r="X38" s="23">
        <v>0</v>
      </c>
      <c r="Y38" s="23">
        <v>0</v>
      </c>
      <c r="Z38" s="23">
        <v>0</v>
      </c>
      <c r="AA38" s="23">
        <v>0</v>
      </c>
      <c r="AC38" s="23">
        <v>0</v>
      </c>
      <c r="AD38" s="23">
        <v>0</v>
      </c>
    </row>
    <row r="39" spans="2:30" x14ac:dyDescent="0.3">
      <c r="B39" s="81"/>
      <c r="C39" s="72"/>
      <c r="D39" s="75" t="s">
        <v>36</v>
      </c>
      <c r="E39" s="72"/>
      <c r="F39" s="22" t="s">
        <v>2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8</v>
      </c>
      <c r="O39" s="23">
        <v>8</v>
      </c>
      <c r="P39" s="23">
        <v>8</v>
      </c>
      <c r="Q39" s="23">
        <v>8</v>
      </c>
      <c r="R39" s="23">
        <v>8</v>
      </c>
      <c r="T39" s="23">
        <v>8</v>
      </c>
      <c r="U39" s="23">
        <v>8</v>
      </c>
      <c r="V39" s="23">
        <v>7</v>
      </c>
      <c r="X39" s="23">
        <v>0</v>
      </c>
      <c r="Y39" s="23">
        <v>0</v>
      </c>
      <c r="Z39" s="23">
        <v>8</v>
      </c>
      <c r="AA39" s="23">
        <v>8</v>
      </c>
      <c r="AC39" s="23">
        <v>8</v>
      </c>
      <c r="AD39" s="23">
        <v>8</v>
      </c>
    </row>
    <row r="40" spans="2:30" x14ac:dyDescent="0.3">
      <c r="B40" s="81"/>
      <c r="C40" s="72"/>
      <c r="D40" s="76"/>
      <c r="E40" s="73"/>
      <c r="F40" s="22" t="s">
        <v>3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T40" s="23">
        <v>0</v>
      </c>
      <c r="U40" s="23">
        <v>0</v>
      </c>
      <c r="V40" s="23">
        <v>0</v>
      </c>
      <c r="X40" s="23">
        <v>0</v>
      </c>
      <c r="Y40" s="23">
        <v>0</v>
      </c>
      <c r="Z40" s="23">
        <v>0</v>
      </c>
      <c r="AA40" s="23">
        <v>0</v>
      </c>
      <c r="AC40" s="23">
        <v>0</v>
      </c>
      <c r="AD40" s="23">
        <v>0</v>
      </c>
    </row>
    <row r="41" spans="2:30" x14ac:dyDescent="0.3">
      <c r="B41" s="81"/>
      <c r="C41" s="72"/>
      <c r="D41" s="75" t="s">
        <v>37</v>
      </c>
      <c r="E41" s="72"/>
      <c r="F41" s="22" t="s">
        <v>2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2</v>
      </c>
      <c r="O41" s="23">
        <v>2</v>
      </c>
      <c r="P41" s="23">
        <v>2</v>
      </c>
      <c r="Q41" s="23">
        <v>3</v>
      </c>
      <c r="R41" s="23">
        <v>3</v>
      </c>
      <c r="T41" s="23">
        <v>3</v>
      </c>
      <c r="U41" s="23">
        <v>2</v>
      </c>
      <c r="V41" s="23">
        <v>2</v>
      </c>
      <c r="X41" s="23">
        <v>0</v>
      </c>
      <c r="Y41" s="23">
        <v>0</v>
      </c>
      <c r="Z41" s="23">
        <v>2</v>
      </c>
      <c r="AA41" s="23">
        <v>3</v>
      </c>
      <c r="AC41" s="23">
        <v>3</v>
      </c>
      <c r="AD41" s="23">
        <v>2</v>
      </c>
    </row>
    <row r="42" spans="2:30" x14ac:dyDescent="0.3">
      <c r="B42" s="76"/>
      <c r="C42" s="73"/>
      <c r="D42" s="76"/>
      <c r="E42" s="73"/>
      <c r="F42" s="22" t="s">
        <v>3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T42" s="23">
        <v>0</v>
      </c>
      <c r="U42" s="23">
        <v>0</v>
      </c>
      <c r="V42" s="23">
        <v>0</v>
      </c>
      <c r="X42" s="23">
        <v>0</v>
      </c>
      <c r="Y42" s="23">
        <v>0</v>
      </c>
      <c r="Z42" s="23">
        <v>0</v>
      </c>
      <c r="AA42" s="23">
        <v>0</v>
      </c>
      <c r="AC42" s="23">
        <v>0</v>
      </c>
      <c r="AD42" s="23">
        <v>0</v>
      </c>
    </row>
    <row r="43" spans="2:30" x14ac:dyDescent="0.3">
      <c r="B43" s="75" t="s">
        <v>38</v>
      </c>
      <c r="C43" s="72"/>
      <c r="D43" s="75" t="s">
        <v>39</v>
      </c>
      <c r="E43" s="72"/>
      <c r="F43" s="22" t="s">
        <v>2</v>
      </c>
      <c r="G43" s="23">
        <v>6</v>
      </c>
      <c r="H43" s="23">
        <v>6</v>
      </c>
      <c r="I43" s="23">
        <v>6</v>
      </c>
      <c r="J43" s="23">
        <v>7</v>
      </c>
      <c r="K43" s="23">
        <v>8</v>
      </c>
      <c r="L43" s="23">
        <v>7</v>
      </c>
      <c r="M43" s="23">
        <v>7</v>
      </c>
      <c r="N43" s="23">
        <v>7</v>
      </c>
      <c r="O43" s="23">
        <v>6</v>
      </c>
      <c r="P43" s="23">
        <v>7</v>
      </c>
      <c r="Q43" s="23">
        <v>12</v>
      </c>
      <c r="R43" s="23">
        <v>12</v>
      </c>
      <c r="T43" s="23">
        <v>12</v>
      </c>
      <c r="U43" s="23">
        <v>8</v>
      </c>
      <c r="V43" s="23">
        <v>8</v>
      </c>
      <c r="X43" s="23">
        <v>6</v>
      </c>
      <c r="Y43" s="23">
        <v>7</v>
      </c>
      <c r="Z43" s="23">
        <v>7</v>
      </c>
      <c r="AA43" s="23">
        <v>10</v>
      </c>
      <c r="AC43" s="23">
        <v>12</v>
      </c>
      <c r="AD43" s="23">
        <v>8</v>
      </c>
    </row>
    <row r="44" spans="2:30" x14ac:dyDescent="0.3">
      <c r="B44" s="81"/>
      <c r="C44" s="72"/>
      <c r="D44" s="76"/>
      <c r="E44" s="73"/>
      <c r="F44" s="22" t="s">
        <v>3</v>
      </c>
      <c r="G44" s="23">
        <v>7</v>
      </c>
      <c r="H44" s="23">
        <v>7</v>
      </c>
      <c r="I44" s="23">
        <v>7</v>
      </c>
      <c r="J44" s="23">
        <v>7</v>
      </c>
      <c r="K44" s="23">
        <v>7</v>
      </c>
      <c r="L44" s="23">
        <v>7</v>
      </c>
      <c r="M44" s="23">
        <v>7</v>
      </c>
      <c r="N44" s="23">
        <v>7</v>
      </c>
      <c r="O44" s="23">
        <v>7</v>
      </c>
      <c r="P44" s="23">
        <v>7</v>
      </c>
      <c r="Q44" s="23">
        <v>7</v>
      </c>
      <c r="R44" s="23">
        <v>7</v>
      </c>
      <c r="T44" s="23">
        <v>7</v>
      </c>
      <c r="U44" s="23">
        <v>7</v>
      </c>
      <c r="V44" s="23">
        <v>7</v>
      </c>
      <c r="X44" s="23">
        <v>7</v>
      </c>
      <c r="Y44" s="23">
        <v>7</v>
      </c>
      <c r="Z44" s="23">
        <v>7</v>
      </c>
      <c r="AA44" s="23">
        <v>7</v>
      </c>
      <c r="AC44" s="23">
        <v>7</v>
      </c>
      <c r="AD44" s="23">
        <v>7</v>
      </c>
    </row>
    <row r="45" spans="2:30" x14ac:dyDescent="0.3">
      <c r="B45" s="81"/>
      <c r="C45" s="72"/>
      <c r="D45" s="75" t="s">
        <v>40</v>
      </c>
      <c r="E45" s="72"/>
      <c r="F45" s="22" t="s">
        <v>2</v>
      </c>
      <c r="G45" s="23">
        <v>4</v>
      </c>
      <c r="H45" s="23">
        <v>4</v>
      </c>
      <c r="I45" s="23">
        <v>4</v>
      </c>
      <c r="J45" s="23">
        <v>4</v>
      </c>
      <c r="K45" s="23">
        <v>3</v>
      </c>
      <c r="L45" s="23">
        <v>3</v>
      </c>
      <c r="M45" s="23">
        <v>3</v>
      </c>
      <c r="N45" s="23">
        <v>3</v>
      </c>
      <c r="O45" s="23">
        <v>3</v>
      </c>
      <c r="P45" s="23">
        <v>3</v>
      </c>
      <c r="Q45" s="23">
        <v>3</v>
      </c>
      <c r="R45" s="23">
        <v>3</v>
      </c>
      <c r="T45" s="23">
        <v>3</v>
      </c>
      <c r="U45" s="23">
        <v>3</v>
      </c>
      <c r="V45" s="23">
        <v>3</v>
      </c>
      <c r="X45" s="23">
        <v>4</v>
      </c>
      <c r="Y45" s="23">
        <v>3</v>
      </c>
      <c r="Z45" s="23">
        <v>3</v>
      </c>
      <c r="AA45" s="23">
        <v>3</v>
      </c>
      <c r="AC45" s="23">
        <v>3</v>
      </c>
      <c r="AD45" s="23">
        <v>3</v>
      </c>
    </row>
    <row r="46" spans="2:30" x14ac:dyDescent="0.3">
      <c r="B46" s="81"/>
      <c r="C46" s="72"/>
      <c r="D46" s="76"/>
      <c r="E46" s="73"/>
      <c r="F46" s="22" t="s">
        <v>3</v>
      </c>
      <c r="G46" s="23">
        <v>5</v>
      </c>
      <c r="H46" s="23">
        <v>5</v>
      </c>
      <c r="I46" s="23">
        <v>5</v>
      </c>
      <c r="J46" s="23">
        <v>5</v>
      </c>
      <c r="K46" s="23">
        <v>5</v>
      </c>
      <c r="L46" s="23">
        <v>5</v>
      </c>
      <c r="M46" s="23">
        <v>5</v>
      </c>
      <c r="N46" s="23">
        <v>5</v>
      </c>
      <c r="O46" s="23">
        <v>5</v>
      </c>
      <c r="P46" s="23">
        <v>5</v>
      </c>
      <c r="Q46" s="23">
        <v>5</v>
      </c>
      <c r="R46" s="23">
        <v>5</v>
      </c>
      <c r="T46" s="23">
        <v>5</v>
      </c>
      <c r="U46" s="23">
        <v>5</v>
      </c>
      <c r="V46" s="23">
        <v>5</v>
      </c>
      <c r="X46" s="23">
        <v>5</v>
      </c>
      <c r="Y46" s="23">
        <v>5</v>
      </c>
      <c r="Z46" s="23">
        <v>5</v>
      </c>
      <c r="AA46" s="23">
        <v>5</v>
      </c>
      <c r="AC46" s="23">
        <v>5</v>
      </c>
      <c r="AD46" s="23">
        <v>5</v>
      </c>
    </row>
    <row r="47" spans="2:30" x14ac:dyDescent="0.3">
      <c r="B47" s="81"/>
      <c r="C47" s="72"/>
      <c r="D47" s="75" t="s">
        <v>150</v>
      </c>
      <c r="E47" s="72"/>
      <c r="F47" s="22" t="s">
        <v>2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T47" s="23">
        <v>0</v>
      </c>
      <c r="U47" s="23">
        <v>0</v>
      </c>
      <c r="V47" s="23">
        <v>0</v>
      </c>
      <c r="X47" s="23">
        <v>0</v>
      </c>
      <c r="Y47" s="23">
        <v>0</v>
      </c>
      <c r="Z47" s="23">
        <v>0</v>
      </c>
      <c r="AA47" s="23">
        <v>0</v>
      </c>
      <c r="AC47" s="23">
        <v>0</v>
      </c>
      <c r="AD47" s="23">
        <v>0</v>
      </c>
    </row>
    <row r="48" spans="2:30" x14ac:dyDescent="0.3">
      <c r="B48" s="81"/>
      <c r="C48" s="72"/>
      <c r="D48" s="76"/>
      <c r="E48" s="73"/>
      <c r="F48" s="22" t="s">
        <v>3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T48" s="23">
        <v>0</v>
      </c>
      <c r="U48" s="23">
        <v>0</v>
      </c>
      <c r="V48" s="23">
        <v>0</v>
      </c>
      <c r="X48" s="23">
        <v>0</v>
      </c>
      <c r="Y48" s="23">
        <v>0</v>
      </c>
      <c r="Z48" s="23">
        <v>0</v>
      </c>
      <c r="AA48" s="23">
        <v>0</v>
      </c>
      <c r="AC48" s="23">
        <v>0</v>
      </c>
      <c r="AD48" s="23">
        <v>0</v>
      </c>
    </row>
    <row r="49" spans="2:30" x14ac:dyDescent="0.3">
      <c r="B49" s="81"/>
      <c r="C49" s="72"/>
      <c r="D49" s="75" t="s">
        <v>41</v>
      </c>
      <c r="E49" s="72"/>
      <c r="F49" s="22" t="s">
        <v>2</v>
      </c>
      <c r="G49" s="23">
        <v>2</v>
      </c>
      <c r="H49" s="23">
        <v>4</v>
      </c>
      <c r="I49" s="23">
        <v>4</v>
      </c>
      <c r="J49" s="23">
        <v>4</v>
      </c>
      <c r="K49" s="23">
        <v>4</v>
      </c>
      <c r="L49" s="23">
        <v>3</v>
      </c>
      <c r="M49" s="23">
        <v>3</v>
      </c>
      <c r="N49" s="23">
        <v>3</v>
      </c>
      <c r="O49" s="23">
        <v>3</v>
      </c>
      <c r="P49" s="23">
        <v>3</v>
      </c>
      <c r="Q49" s="23">
        <v>8</v>
      </c>
      <c r="R49" s="23">
        <v>8</v>
      </c>
      <c r="T49" s="23">
        <v>8</v>
      </c>
      <c r="U49" s="23">
        <v>4</v>
      </c>
      <c r="V49" s="23">
        <v>4</v>
      </c>
      <c r="X49" s="23">
        <v>3</v>
      </c>
      <c r="Y49" s="23">
        <v>4</v>
      </c>
      <c r="Z49" s="23">
        <v>3</v>
      </c>
      <c r="AA49" s="23">
        <v>6</v>
      </c>
      <c r="AC49" s="23">
        <v>8</v>
      </c>
      <c r="AD49" s="23">
        <v>4</v>
      </c>
    </row>
    <row r="50" spans="2:30" x14ac:dyDescent="0.3">
      <c r="B50" s="76"/>
      <c r="C50" s="73"/>
      <c r="D50" s="76"/>
      <c r="E50" s="73"/>
      <c r="F50" s="22" t="s">
        <v>3</v>
      </c>
      <c r="G50" s="23">
        <v>2</v>
      </c>
      <c r="H50" s="23">
        <v>2</v>
      </c>
      <c r="I50" s="23">
        <v>2</v>
      </c>
      <c r="J50" s="23">
        <v>2</v>
      </c>
      <c r="K50" s="23">
        <v>2</v>
      </c>
      <c r="L50" s="23">
        <v>2</v>
      </c>
      <c r="M50" s="23">
        <v>2</v>
      </c>
      <c r="N50" s="23">
        <v>2</v>
      </c>
      <c r="O50" s="23">
        <v>2</v>
      </c>
      <c r="P50" s="23">
        <v>2</v>
      </c>
      <c r="Q50" s="23">
        <v>2</v>
      </c>
      <c r="R50" s="23">
        <v>2</v>
      </c>
      <c r="T50" s="23">
        <v>2</v>
      </c>
      <c r="U50" s="23">
        <v>2</v>
      </c>
      <c r="V50" s="23">
        <v>2</v>
      </c>
      <c r="X50" s="23">
        <v>2</v>
      </c>
      <c r="Y50" s="23">
        <v>2</v>
      </c>
      <c r="Z50" s="23">
        <v>2</v>
      </c>
      <c r="AA50" s="23">
        <v>2</v>
      </c>
      <c r="AC50" s="23">
        <v>2</v>
      </c>
      <c r="AD50" s="23">
        <v>2</v>
      </c>
    </row>
    <row r="51" spans="2:30" x14ac:dyDescent="0.3">
      <c r="B51" s="75" t="s">
        <v>42</v>
      </c>
      <c r="C51" s="72"/>
      <c r="D51" s="75" t="s">
        <v>120</v>
      </c>
      <c r="E51" s="72"/>
      <c r="F51" s="22" t="s">
        <v>2</v>
      </c>
      <c r="G51" s="23">
        <v>2</v>
      </c>
      <c r="H51" s="23">
        <v>2</v>
      </c>
      <c r="I51" s="23">
        <v>2</v>
      </c>
      <c r="J51" s="23">
        <v>2</v>
      </c>
      <c r="K51" s="23">
        <v>2</v>
      </c>
      <c r="L51" s="23">
        <v>2</v>
      </c>
      <c r="M51" s="23">
        <v>2</v>
      </c>
      <c r="N51" s="23">
        <v>2</v>
      </c>
      <c r="O51" s="23">
        <v>2</v>
      </c>
      <c r="P51" s="23">
        <v>2</v>
      </c>
      <c r="Q51" s="23">
        <v>2</v>
      </c>
      <c r="R51" s="23">
        <v>2</v>
      </c>
      <c r="T51" s="23">
        <v>2</v>
      </c>
      <c r="U51" s="23">
        <v>2</v>
      </c>
      <c r="V51" s="23">
        <v>2</v>
      </c>
      <c r="X51" s="23">
        <v>2</v>
      </c>
      <c r="Y51" s="23">
        <v>2</v>
      </c>
      <c r="Z51" s="23">
        <v>2</v>
      </c>
      <c r="AA51" s="23">
        <v>2</v>
      </c>
      <c r="AC51" s="23">
        <v>2</v>
      </c>
      <c r="AD51" s="23">
        <v>2</v>
      </c>
    </row>
    <row r="52" spans="2:30" x14ac:dyDescent="0.3">
      <c r="B52" s="81"/>
      <c r="C52" s="72"/>
      <c r="D52" s="76"/>
      <c r="E52" s="73"/>
      <c r="F52" s="22" t="s">
        <v>3</v>
      </c>
      <c r="G52" s="23">
        <v>2</v>
      </c>
      <c r="H52" s="23">
        <v>2</v>
      </c>
      <c r="I52" s="23">
        <v>2</v>
      </c>
      <c r="J52" s="23">
        <v>3</v>
      </c>
      <c r="K52" s="23">
        <v>3</v>
      </c>
      <c r="L52" s="23">
        <v>3</v>
      </c>
      <c r="M52" s="23">
        <v>3</v>
      </c>
      <c r="N52" s="23">
        <v>3</v>
      </c>
      <c r="O52" s="23">
        <v>3</v>
      </c>
      <c r="P52" s="23">
        <v>3</v>
      </c>
      <c r="Q52" s="23">
        <v>3</v>
      </c>
      <c r="R52" s="23">
        <v>3</v>
      </c>
      <c r="T52" s="23">
        <v>3</v>
      </c>
      <c r="U52" s="23">
        <v>3</v>
      </c>
      <c r="V52" s="23">
        <v>3</v>
      </c>
      <c r="X52" s="23">
        <v>2</v>
      </c>
      <c r="Y52" s="23">
        <v>3</v>
      </c>
      <c r="Z52" s="23">
        <v>3</v>
      </c>
      <c r="AA52" s="23">
        <v>3</v>
      </c>
      <c r="AC52" s="23">
        <v>3</v>
      </c>
      <c r="AD52" s="23">
        <v>3</v>
      </c>
    </row>
    <row r="53" spans="2:30" x14ac:dyDescent="0.3">
      <c r="B53" s="81"/>
      <c r="C53" s="72"/>
      <c r="D53" s="75" t="s">
        <v>44</v>
      </c>
      <c r="E53" s="72"/>
      <c r="F53" s="22" t="s">
        <v>2</v>
      </c>
      <c r="G53" s="23">
        <v>9</v>
      </c>
      <c r="H53" s="23">
        <v>9</v>
      </c>
      <c r="I53" s="23">
        <v>9</v>
      </c>
      <c r="J53" s="23">
        <v>9</v>
      </c>
      <c r="K53" s="23">
        <v>9</v>
      </c>
      <c r="L53" s="23">
        <v>9</v>
      </c>
      <c r="M53" s="23">
        <v>9</v>
      </c>
      <c r="N53" s="23">
        <v>9</v>
      </c>
      <c r="O53" s="23">
        <v>9</v>
      </c>
      <c r="P53" s="23">
        <v>9</v>
      </c>
      <c r="Q53" s="23">
        <v>9</v>
      </c>
      <c r="R53" s="23">
        <v>9</v>
      </c>
      <c r="T53" s="23">
        <v>9</v>
      </c>
      <c r="U53" s="23">
        <v>9</v>
      </c>
      <c r="V53" s="23">
        <v>9</v>
      </c>
      <c r="X53" s="23">
        <v>9</v>
      </c>
      <c r="Y53" s="23">
        <v>9</v>
      </c>
      <c r="Z53" s="23">
        <v>9</v>
      </c>
      <c r="AA53" s="23">
        <v>9</v>
      </c>
      <c r="AC53" s="23">
        <v>9</v>
      </c>
      <c r="AD53" s="23">
        <v>9</v>
      </c>
    </row>
    <row r="54" spans="2:30" x14ac:dyDescent="0.3">
      <c r="B54" s="81"/>
      <c r="C54" s="72"/>
      <c r="D54" s="76"/>
      <c r="E54" s="73"/>
      <c r="F54" s="22" t="s">
        <v>3</v>
      </c>
      <c r="G54" s="23">
        <v>9</v>
      </c>
      <c r="H54" s="23">
        <v>9</v>
      </c>
      <c r="I54" s="23">
        <v>9</v>
      </c>
      <c r="J54" s="23">
        <v>9</v>
      </c>
      <c r="K54" s="23">
        <v>9</v>
      </c>
      <c r="L54" s="23">
        <v>9</v>
      </c>
      <c r="M54" s="23">
        <v>9</v>
      </c>
      <c r="N54" s="23">
        <v>9</v>
      </c>
      <c r="O54" s="23">
        <v>9</v>
      </c>
      <c r="P54" s="23">
        <v>9</v>
      </c>
      <c r="Q54" s="23">
        <v>9</v>
      </c>
      <c r="R54" s="23">
        <v>9</v>
      </c>
      <c r="T54" s="23">
        <v>9</v>
      </c>
      <c r="U54" s="23">
        <v>9</v>
      </c>
      <c r="V54" s="23">
        <v>9</v>
      </c>
      <c r="X54" s="23">
        <v>9</v>
      </c>
      <c r="Y54" s="23">
        <v>9</v>
      </c>
      <c r="Z54" s="23">
        <v>9</v>
      </c>
      <c r="AA54" s="23">
        <v>9</v>
      </c>
      <c r="AC54" s="23">
        <v>9</v>
      </c>
      <c r="AD54" s="23">
        <v>9</v>
      </c>
    </row>
    <row r="55" spans="2:30" x14ac:dyDescent="0.3">
      <c r="B55" s="81"/>
      <c r="C55" s="72"/>
      <c r="D55" s="75" t="s">
        <v>42</v>
      </c>
      <c r="E55" s="72"/>
      <c r="F55" s="22" t="s">
        <v>2</v>
      </c>
      <c r="G55" s="23">
        <v>4</v>
      </c>
      <c r="H55" s="23">
        <v>4</v>
      </c>
      <c r="I55" s="23">
        <v>3</v>
      </c>
      <c r="J55" s="23">
        <v>3</v>
      </c>
      <c r="K55" s="23">
        <v>4</v>
      </c>
      <c r="L55" s="23">
        <v>8</v>
      </c>
      <c r="M55" s="23">
        <v>9</v>
      </c>
      <c r="N55" s="23">
        <v>10</v>
      </c>
      <c r="O55" s="23">
        <v>10</v>
      </c>
      <c r="P55" s="23">
        <v>10</v>
      </c>
      <c r="Q55" s="23">
        <v>11</v>
      </c>
      <c r="R55" s="23">
        <v>11</v>
      </c>
      <c r="T55" s="23">
        <v>11</v>
      </c>
      <c r="U55" s="23">
        <v>7</v>
      </c>
      <c r="V55" s="23">
        <v>7</v>
      </c>
      <c r="X55" s="23">
        <v>4</v>
      </c>
      <c r="Y55" s="23">
        <v>5</v>
      </c>
      <c r="Z55" s="23">
        <v>10</v>
      </c>
      <c r="AA55" s="23">
        <v>11</v>
      </c>
      <c r="AC55" s="23">
        <v>11</v>
      </c>
      <c r="AD55" s="23">
        <v>7</v>
      </c>
    </row>
    <row r="56" spans="2:30" x14ac:dyDescent="0.3">
      <c r="B56" s="76"/>
      <c r="C56" s="73"/>
      <c r="D56" s="76"/>
      <c r="E56" s="73"/>
      <c r="F56" s="22" t="s">
        <v>3</v>
      </c>
      <c r="G56" s="23">
        <v>5</v>
      </c>
      <c r="H56" s="23">
        <v>5</v>
      </c>
      <c r="I56" s="23">
        <v>5</v>
      </c>
      <c r="J56" s="23">
        <v>5</v>
      </c>
      <c r="K56" s="23">
        <v>5</v>
      </c>
      <c r="L56" s="23">
        <v>5</v>
      </c>
      <c r="M56" s="23">
        <v>5</v>
      </c>
      <c r="N56" s="23">
        <v>5</v>
      </c>
      <c r="O56" s="23">
        <v>5</v>
      </c>
      <c r="P56" s="23">
        <v>5</v>
      </c>
      <c r="Q56" s="23">
        <v>5</v>
      </c>
      <c r="R56" s="23">
        <v>5</v>
      </c>
      <c r="T56" s="23">
        <v>5</v>
      </c>
      <c r="U56" s="23">
        <v>5</v>
      </c>
      <c r="V56" s="23">
        <v>5</v>
      </c>
      <c r="X56" s="23">
        <v>5</v>
      </c>
      <c r="Y56" s="23">
        <v>5</v>
      </c>
      <c r="Z56" s="23">
        <v>5</v>
      </c>
      <c r="AA56" s="23">
        <v>5</v>
      </c>
      <c r="AC56" s="23">
        <v>5</v>
      </c>
      <c r="AD56" s="23">
        <v>5</v>
      </c>
    </row>
    <row r="57" spans="2:30" x14ac:dyDescent="0.3">
      <c r="B57" s="75" t="s">
        <v>121</v>
      </c>
      <c r="C57" s="72"/>
      <c r="D57" s="75" t="s">
        <v>122</v>
      </c>
      <c r="E57" s="72"/>
      <c r="F57" s="22" t="s">
        <v>2</v>
      </c>
      <c r="G57" s="23">
        <v>7</v>
      </c>
      <c r="H57" s="23">
        <v>7</v>
      </c>
      <c r="I57" s="23">
        <v>7</v>
      </c>
      <c r="J57" s="23">
        <v>8</v>
      </c>
      <c r="K57" s="23">
        <v>8</v>
      </c>
      <c r="L57" s="23">
        <v>8</v>
      </c>
      <c r="M57" s="23">
        <v>8</v>
      </c>
      <c r="N57" s="23">
        <v>8</v>
      </c>
      <c r="O57" s="23">
        <v>8</v>
      </c>
      <c r="P57" s="23">
        <v>8</v>
      </c>
      <c r="Q57" s="23">
        <v>8</v>
      </c>
      <c r="R57" s="23">
        <v>8</v>
      </c>
      <c r="T57" s="23">
        <v>8</v>
      </c>
      <c r="U57" s="23">
        <v>8</v>
      </c>
      <c r="V57" s="23">
        <v>8</v>
      </c>
      <c r="X57" s="23">
        <v>7</v>
      </c>
      <c r="Y57" s="23">
        <v>8</v>
      </c>
      <c r="Z57" s="23">
        <v>8</v>
      </c>
      <c r="AA57" s="23">
        <v>8</v>
      </c>
      <c r="AC57" s="23">
        <v>8</v>
      </c>
      <c r="AD57" s="23">
        <v>8</v>
      </c>
    </row>
    <row r="58" spans="2:30" x14ac:dyDescent="0.3">
      <c r="B58" s="81"/>
      <c r="C58" s="72"/>
      <c r="D58" s="76"/>
      <c r="E58" s="73"/>
      <c r="F58" s="22" t="s">
        <v>3</v>
      </c>
      <c r="G58" s="23">
        <v>8</v>
      </c>
      <c r="H58" s="23">
        <v>8</v>
      </c>
      <c r="I58" s="23">
        <v>8</v>
      </c>
      <c r="J58" s="23">
        <v>8</v>
      </c>
      <c r="K58" s="23">
        <v>8</v>
      </c>
      <c r="L58" s="23">
        <v>8</v>
      </c>
      <c r="M58" s="23">
        <v>8</v>
      </c>
      <c r="N58" s="23">
        <v>8</v>
      </c>
      <c r="O58" s="23">
        <v>8</v>
      </c>
      <c r="P58" s="23">
        <v>8</v>
      </c>
      <c r="Q58" s="23">
        <v>8</v>
      </c>
      <c r="R58" s="23">
        <v>8</v>
      </c>
      <c r="T58" s="23">
        <v>8</v>
      </c>
      <c r="U58" s="23">
        <v>8</v>
      </c>
      <c r="V58" s="23">
        <v>8</v>
      </c>
      <c r="X58" s="23">
        <v>8</v>
      </c>
      <c r="Y58" s="23">
        <v>8</v>
      </c>
      <c r="Z58" s="23">
        <v>8</v>
      </c>
      <c r="AA58" s="23">
        <v>8</v>
      </c>
      <c r="AC58" s="23">
        <v>8</v>
      </c>
      <c r="AD58" s="23">
        <v>8</v>
      </c>
    </row>
    <row r="59" spans="2:30" x14ac:dyDescent="0.3">
      <c r="B59" s="81"/>
      <c r="C59" s="72"/>
      <c r="D59" s="75" t="s">
        <v>124</v>
      </c>
      <c r="E59" s="72"/>
      <c r="F59" s="22" t="s">
        <v>2</v>
      </c>
      <c r="G59" s="23">
        <v>7</v>
      </c>
      <c r="H59" s="23">
        <v>6</v>
      </c>
      <c r="I59" s="23">
        <v>6</v>
      </c>
      <c r="J59" s="23">
        <v>6</v>
      </c>
      <c r="K59" s="23">
        <v>5</v>
      </c>
      <c r="L59" s="23">
        <v>6</v>
      </c>
      <c r="M59" s="23">
        <v>6</v>
      </c>
      <c r="N59" s="23">
        <v>6</v>
      </c>
      <c r="O59" s="23">
        <v>6</v>
      </c>
      <c r="P59" s="23">
        <v>6</v>
      </c>
      <c r="Q59" s="23">
        <v>6</v>
      </c>
      <c r="R59" s="23">
        <v>6</v>
      </c>
      <c r="T59" s="23">
        <v>6</v>
      </c>
      <c r="U59" s="23">
        <v>6</v>
      </c>
      <c r="V59" s="23">
        <v>6</v>
      </c>
      <c r="X59" s="23">
        <v>6</v>
      </c>
      <c r="Y59" s="23">
        <v>6</v>
      </c>
      <c r="Z59" s="23">
        <v>6</v>
      </c>
      <c r="AA59" s="23">
        <v>6</v>
      </c>
      <c r="AC59" s="23">
        <v>6</v>
      </c>
      <c r="AD59" s="23">
        <v>6</v>
      </c>
    </row>
    <row r="60" spans="2:30" x14ac:dyDescent="0.3">
      <c r="B60" s="81"/>
      <c r="C60" s="72"/>
      <c r="D60" s="76"/>
      <c r="E60" s="73"/>
      <c r="F60" s="22" t="s">
        <v>3</v>
      </c>
      <c r="G60" s="23">
        <v>6</v>
      </c>
      <c r="H60" s="23">
        <v>6</v>
      </c>
      <c r="I60" s="23">
        <v>6</v>
      </c>
      <c r="J60" s="23">
        <v>6</v>
      </c>
      <c r="K60" s="23">
        <v>6</v>
      </c>
      <c r="L60" s="23">
        <v>6</v>
      </c>
      <c r="M60" s="23">
        <v>6</v>
      </c>
      <c r="N60" s="23">
        <v>6</v>
      </c>
      <c r="O60" s="23">
        <v>6</v>
      </c>
      <c r="P60" s="23">
        <v>6</v>
      </c>
      <c r="Q60" s="23">
        <v>6</v>
      </c>
      <c r="R60" s="23">
        <v>6</v>
      </c>
      <c r="T60" s="23">
        <v>6</v>
      </c>
      <c r="U60" s="23">
        <v>6</v>
      </c>
      <c r="V60" s="23">
        <v>6</v>
      </c>
      <c r="X60" s="23">
        <v>6</v>
      </c>
      <c r="Y60" s="23">
        <v>6</v>
      </c>
      <c r="Z60" s="23">
        <v>6</v>
      </c>
      <c r="AA60" s="23">
        <v>6</v>
      </c>
      <c r="AC60" s="23">
        <v>6</v>
      </c>
      <c r="AD60" s="23">
        <v>6</v>
      </c>
    </row>
    <row r="61" spans="2:30" x14ac:dyDescent="0.3">
      <c r="B61" s="81"/>
      <c r="C61" s="72"/>
      <c r="D61" s="75" t="s">
        <v>151</v>
      </c>
      <c r="E61" s="72"/>
      <c r="F61" s="22" t="s">
        <v>2</v>
      </c>
      <c r="G61" s="23">
        <v>4</v>
      </c>
      <c r="H61" s="23">
        <v>5</v>
      </c>
      <c r="I61" s="23">
        <v>5</v>
      </c>
      <c r="J61" s="23">
        <v>5</v>
      </c>
      <c r="K61" s="23">
        <v>5</v>
      </c>
      <c r="L61" s="23">
        <v>5</v>
      </c>
      <c r="M61" s="23">
        <v>5</v>
      </c>
      <c r="N61" s="23">
        <v>5</v>
      </c>
      <c r="O61" s="23">
        <v>5</v>
      </c>
      <c r="P61" s="23">
        <v>5</v>
      </c>
      <c r="Q61" s="23">
        <v>5</v>
      </c>
      <c r="R61" s="23">
        <v>5</v>
      </c>
      <c r="T61" s="23">
        <v>5</v>
      </c>
      <c r="U61" s="23">
        <v>5</v>
      </c>
      <c r="V61" s="23">
        <v>5</v>
      </c>
      <c r="X61" s="23">
        <v>5</v>
      </c>
      <c r="Y61" s="23">
        <v>5</v>
      </c>
      <c r="Z61" s="23">
        <v>5</v>
      </c>
      <c r="AA61" s="23">
        <v>5</v>
      </c>
      <c r="AC61" s="23">
        <v>5</v>
      </c>
      <c r="AD61" s="23">
        <v>5</v>
      </c>
    </row>
    <row r="62" spans="2:30" x14ac:dyDescent="0.3">
      <c r="B62" s="81"/>
      <c r="C62" s="72"/>
      <c r="D62" s="76"/>
      <c r="E62" s="73"/>
      <c r="F62" s="22" t="s">
        <v>3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T62" s="23">
        <v>0</v>
      </c>
      <c r="U62" s="23">
        <v>0</v>
      </c>
      <c r="V62" s="23">
        <v>0</v>
      </c>
      <c r="X62" s="23">
        <v>0</v>
      </c>
      <c r="Y62" s="23">
        <v>0</v>
      </c>
      <c r="Z62" s="23">
        <v>0</v>
      </c>
      <c r="AA62" s="23">
        <v>0</v>
      </c>
      <c r="AC62" s="23">
        <v>0</v>
      </c>
      <c r="AD62" s="23">
        <v>0</v>
      </c>
    </row>
    <row r="63" spans="2:30" x14ac:dyDescent="0.3">
      <c r="B63" s="81"/>
      <c r="C63" s="72"/>
      <c r="D63" s="75" t="s">
        <v>49</v>
      </c>
      <c r="E63" s="72"/>
      <c r="F63" s="22" t="s">
        <v>2</v>
      </c>
      <c r="G63" s="23">
        <v>52</v>
      </c>
      <c r="H63" s="23">
        <v>52</v>
      </c>
      <c r="I63" s="23">
        <v>51</v>
      </c>
      <c r="J63" s="23">
        <v>54</v>
      </c>
      <c r="K63" s="23">
        <v>55</v>
      </c>
      <c r="L63" s="23">
        <v>55</v>
      </c>
      <c r="M63" s="23">
        <v>55</v>
      </c>
      <c r="N63" s="23">
        <v>55</v>
      </c>
      <c r="O63" s="23">
        <v>55</v>
      </c>
      <c r="P63" s="23">
        <v>55</v>
      </c>
      <c r="Q63" s="23">
        <v>55</v>
      </c>
      <c r="R63" s="23">
        <v>56</v>
      </c>
      <c r="T63" s="23">
        <v>56</v>
      </c>
      <c r="U63" s="23">
        <v>54</v>
      </c>
      <c r="V63" s="23">
        <v>54</v>
      </c>
      <c r="X63" s="23">
        <v>52</v>
      </c>
      <c r="Y63" s="23">
        <v>55</v>
      </c>
      <c r="Z63" s="23">
        <v>55</v>
      </c>
      <c r="AA63" s="23">
        <v>55</v>
      </c>
      <c r="AC63" s="23">
        <v>56</v>
      </c>
      <c r="AD63" s="23">
        <v>54</v>
      </c>
    </row>
    <row r="64" spans="2:30" x14ac:dyDescent="0.3">
      <c r="B64" s="81"/>
      <c r="C64" s="72"/>
      <c r="D64" s="76"/>
      <c r="E64" s="73"/>
      <c r="F64" s="22" t="s">
        <v>3</v>
      </c>
      <c r="G64" s="23">
        <v>56</v>
      </c>
      <c r="H64" s="23">
        <v>56</v>
      </c>
      <c r="I64" s="23">
        <v>56</v>
      </c>
      <c r="J64" s="23">
        <v>56</v>
      </c>
      <c r="K64" s="23">
        <v>56</v>
      </c>
      <c r="L64" s="23">
        <v>56</v>
      </c>
      <c r="M64" s="23">
        <v>56</v>
      </c>
      <c r="N64" s="23">
        <v>56</v>
      </c>
      <c r="O64" s="23">
        <v>55</v>
      </c>
      <c r="P64" s="23">
        <v>54</v>
      </c>
      <c r="Q64" s="23">
        <v>54</v>
      </c>
      <c r="R64" s="23">
        <v>54</v>
      </c>
      <c r="T64" s="23">
        <v>54</v>
      </c>
      <c r="U64" s="23">
        <v>55</v>
      </c>
      <c r="V64" s="23">
        <v>55</v>
      </c>
      <c r="X64" s="23">
        <v>56</v>
      </c>
      <c r="Y64" s="23">
        <v>56</v>
      </c>
      <c r="Z64" s="23">
        <v>56</v>
      </c>
      <c r="AA64" s="23">
        <v>54</v>
      </c>
      <c r="AC64" s="23">
        <v>54</v>
      </c>
      <c r="AD64" s="23">
        <v>55</v>
      </c>
    </row>
    <row r="65" spans="2:30" x14ac:dyDescent="0.3">
      <c r="B65" s="81"/>
      <c r="C65" s="72"/>
      <c r="D65" s="75" t="s">
        <v>121</v>
      </c>
      <c r="E65" s="72"/>
      <c r="F65" s="22" t="s">
        <v>2</v>
      </c>
      <c r="G65" s="23">
        <v>5</v>
      </c>
      <c r="H65" s="23">
        <v>5</v>
      </c>
      <c r="I65" s="23">
        <v>6</v>
      </c>
      <c r="J65" s="23">
        <v>6</v>
      </c>
      <c r="K65" s="23">
        <v>6</v>
      </c>
      <c r="L65" s="23">
        <v>6</v>
      </c>
      <c r="M65" s="23">
        <v>6</v>
      </c>
      <c r="N65" s="23">
        <v>7</v>
      </c>
      <c r="O65" s="23">
        <v>6</v>
      </c>
      <c r="P65" s="23">
        <v>6</v>
      </c>
      <c r="Q65" s="23">
        <v>6</v>
      </c>
      <c r="R65" s="23">
        <v>5</v>
      </c>
      <c r="T65" s="23">
        <v>5</v>
      </c>
      <c r="U65" s="23">
        <v>6</v>
      </c>
      <c r="V65" s="23">
        <v>6</v>
      </c>
      <c r="X65" s="23">
        <v>5</v>
      </c>
      <c r="Y65" s="23">
        <v>6</v>
      </c>
      <c r="Z65" s="23">
        <v>6</v>
      </c>
      <c r="AA65" s="23">
        <v>6</v>
      </c>
      <c r="AC65" s="23">
        <v>5</v>
      </c>
      <c r="AD65" s="23">
        <v>6</v>
      </c>
    </row>
    <row r="66" spans="2:30" x14ac:dyDescent="0.3">
      <c r="B66" s="76"/>
      <c r="C66" s="73"/>
      <c r="D66" s="76"/>
      <c r="E66" s="73"/>
      <c r="F66" s="22" t="s">
        <v>3</v>
      </c>
      <c r="G66" s="23">
        <v>9</v>
      </c>
      <c r="H66" s="23">
        <v>9</v>
      </c>
      <c r="I66" s="23">
        <v>9</v>
      </c>
      <c r="J66" s="23">
        <v>9</v>
      </c>
      <c r="K66" s="23">
        <v>9</v>
      </c>
      <c r="L66" s="23">
        <v>9</v>
      </c>
      <c r="M66" s="23">
        <v>9</v>
      </c>
      <c r="N66" s="23">
        <v>9</v>
      </c>
      <c r="O66" s="23">
        <v>9</v>
      </c>
      <c r="P66" s="23">
        <v>9</v>
      </c>
      <c r="Q66" s="23">
        <v>9</v>
      </c>
      <c r="R66" s="23">
        <v>9</v>
      </c>
      <c r="T66" s="23">
        <v>9</v>
      </c>
      <c r="U66" s="23">
        <v>9</v>
      </c>
      <c r="V66" s="23">
        <v>9</v>
      </c>
      <c r="X66" s="23">
        <v>9</v>
      </c>
      <c r="Y66" s="23">
        <v>9</v>
      </c>
      <c r="Z66" s="23">
        <v>9</v>
      </c>
      <c r="AA66" s="23">
        <v>9</v>
      </c>
      <c r="AC66" s="23">
        <v>9</v>
      </c>
      <c r="AD66" s="23">
        <v>9</v>
      </c>
    </row>
    <row r="67" spans="2:30" x14ac:dyDescent="0.3">
      <c r="B67" s="75" t="s">
        <v>50</v>
      </c>
      <c r="C67" s="72"/>
      <c r="D67" s="75" t="s">
        <v>51</v>
      </c>
      <c r="E67" s="72"/>
      <c r="F67" s="22" t="s">
        <v>2</v>
      </c>
      <c r="G67" s="23">
        <v>37</v>
      </c>
      <c r="H67" s="23">
        <v>36</v>
      </c>
      <c r="I67" s="23">
        <v>35</v>
      </c>
      <c r="J67" s="23">
        <v>34</v>
      </c>
      <c r="K67" s="23">
        <v>34</v>
      </c>
      <c r="L67" s="23">
        <v>35</v>
      </c>
      <c r="M67" s="23">
        <v>37</v>
      </c>
      <c r="N67" s="23">
        <v>37</v>
      </c>
      <c r="O67" s="23">
        <v>37</v>
      </c>
      <c r="P67" s="23">
        <v>37</v>
      </c>
      <c r="Q67" s="23">
        <v>33</v>
      </c>
      <c r="R67" s="23">
        <v>32</v>
      </c>
      <c r="T67" s="23">
        <v>32</v>
      </c>
      <c r="U67" s="23">
        <v>35</v>
      </c>
      <c r="V67" s="23">
        <v>35</v>
      </c>
      <c r="X67" s="23">
        <v>36</v>
      </c>
      <c r="Y67" s="23">
        <v>34</v>
      </c>
      <c r="Z67" s="23">
        <v>37</v>
      </c>
      <c r="AA67" s="23">
        <v>34</v>
      </c>
      <c r="AC67" s="23">
        <v>32</v>
      </c>
      <c r="AD67" s="23">
        <v>35</v>
      </c>
    </row>
    <row r="68" spans="2:30" x14ac:dyDescent="0.3">
      <c r="B68" s="81"/>
      <c r="C68" s="72"/>
      <c r="D68" s="76"/>
      <c r="E68" s="73"/>
      <c r="F68" s="22" t="s">
        <v>3</v>
      </c>
      <c r="G68" s="23">
        <v>38</v>
      </c>
      <c r="H68" s="23">
        <v>38</v>
      </c>
      <c r="I68" s="23">
        <v>38</v>
      </c>
      <c r="J68" s="23">
        <v>38</v>
      </c>
      <c r="K68" s="23">
        <v>38</v>
      </c>
      <c r="L68" s="23">
        <v>38</v>
      </c>
      <c r="M68" s="23">
        <v>38</v>
      </c>
      <c r="N68" s="23">
        <v>38</v>
      </c>
      <c r="O68" s="23">
        <v>38</v>
      </c>
      <c r="P68" s="23">
        <v>38</v>
      </c>
      <c r="Q68" s="23">
        <v>38</v>
      </c>
      <c r="R68" s="23">
        <v>38</v>
      </c>
      <c r="T68" s="23">
        <v>38</v>
      </c>
      <c r="U68" s="23">
        <v>38</v>
      </c>
      <c r="V68" s="23">
        <v>38</v>
      </c>
      <c r="X68" s="23">
        <v>38</v>
      </c>
      <c r="Y68" s="23">
        <v>38</v>
      </c>
      <c r="Z68" s="23">
        <v>38</v>
      </c>
      <c r="AA68" s="23">
        <v>38</v>
      </c>
      <c r="AC68" s="23">
        <v>38</v>
      </c>
      <c r="AD68" s="23">
        <v>38</v>
      </c>
    </row>
    <row r="69" spans="2:30" x14ac:dyDescent="0.3">
      <c r="B69" s="81"/>
      <c r="C69" s="72"/>
      <c r="D69" s="75" t="s">
        <v>52</v>
      </c>
      <c r="E69" s="72"/>
      <c r="F69" s="22" t="s">
        <v>2</v>
      </c>
      <c r="G69" s="23">
        <v>36</v>
      </c>
      <c r="H69" s="23">
        <v>36</v>
      </c>
      <c r="I69" s="23">
        <v>35</v>
      </c>
      <c r="J69" s="23">
        <v>36</v>
      </c>
      <c r="K69" s="23">
        <v>36</v>
      </c>
      <c r="L69" s="23">
        <v>35</v>
      </c>
      <c r="M69" s="23">
        <v>35</v>
      </c>
      <c r="N69" s="23">
        <v>35</v>
      </c>
      <c r="O69" s="23">
        <v>33</v>
      </c>
      <c r="P69" s="23">
        <v>33</v>
      </c>
      <c r="Q69" s="23">
        <v>33</v>
      </c>
      <c r="R69" s="23">
        <v>33</v>
      </c>
      <c r="T69" s="23">
        <v>33</v>
      </c>
      <c r="U69" s="23">
        <v>35</v>
      </c>
      <c r="V69" s="23">
        <v>35</v>
      </c>
      <c r="X69" s="23">
        <v>36</v>
      </c>
      <c r="Y69" s="23">
        <v>36</v>
      </c>
      <c r="Z69" s="23">
        <v>34</v>
      </c>
      <c r="AA69" s="23">
        <v>33</v>
      </c>
      <c r="AC69" s="23">
        <v>33</v>
      </c>
      <c r="AD69" s="23">
        <v>35</v>
      </c>
    </row>
    <row r="70" spans="2:30" x14ac:dyDescent="0.3">
      <c r="B70" s="81"/>
      <c r="C70" s="72"/>
      <c r="D70" s="76"/>
      <c r="E70" s="73"/>
      <c r="F70" s="22" t="s">
        <v>3</v>
      </c>
      <c r="G70" s="23">
        <v>36</v>
      </c>
      <c r="H70" s="23">
        <v>36</v>
      </c>
      <c r="I70" s="23">
        <v>36</v>
      </c>
      <c r="J70" s="23">
        <v>36</v>
      </c>
      <c r="K70" s="23">
        <v>36</v>
      </c>
      <c r="L70" s="23">
        <v>36</v>
      </c>
      <c r="M70" s="23">
        <v>36</v>
      </c>
      <c r="N70" s="23">
        <v>36</v>
      </c>
      <c r="O70" s="23">
        <v>36</v>
      </c>
      <c r="P70" s="23">
        <v>36</v>
      </c>
      <c r="Q70" s="23">
        <v>36</v>
      </c>
      <c r="R70" s="23">
        <v>36</v>
      </c>
      <c r="T70" s="23">
        <v>36</v>
      </c>
      <c r="U70" s="23">
        <v>36</v>
      </c>
      <c r="V70" s="23">
        <v>36</v>
      </c>
      <c r="X70" s="23">
        <v>36</v>
      </c>
      <c r="Y70" s="23">
        <v>36</v>
      </c>
      <c r="Z70" s="23">
        <v>36</v>
      </c>
      <c r="AA70" s="23">
        <v>36</v>
      </c>
      <c r="AC70" s="23">
        <v>36</v>
      </c>
      <c r="AD70" s="23">
        <v>36</v>
      </c>
    </row>
    <row r="71" spans="2:30" x14ac:dyDescent="0.3">
      <c r="B71" s="81"/>
      <c r="C71" s="72"/>
      <c r="D71" s="75" t="s">
        <v>152</v>
      </c>
      <c r="E71" s="72"/>
      <c r="F71" s="22" t="s">
        <v>2</v>
      </c>
      <c r="G71" s="23">
        <v>2</v>
      </c>
      <c r="H71" s="23">
        <v>2</v>
      </c>
      <c r="I71" s="23">
        <v>2</v>
      </c>
      <c r="J71" s="23">
        <v>2</v>
      </c>
      <c r="K71" s="23">
        <v>2</v>
      </c>
      <c r="L71" s="23">
        <v>3</v>
      </c>
      <c r="M71" s="23">
        <v>3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T71" s="23">
        <v>0</v>
      </c>
      <c r="U71" s="23">
        <v>2</v>
      </c>
      <c r="V71" s="23">
        <v>1</v>
      </c>
      <c r="X71" s="23">
        <v>2</v>
      </c>
      <c r="Y71" s="23">
        <v>2</v>
      </c>
      <c r="Z71" s="23">
        <v>3</v>
      </c>
      <c r="AA71" s="23">
        <v>0</v>
      </c>
      <c r="AC71" s="23">
        <v>0</v>
      </c>
      <c r="AD71" s="23">
        <v>2</v>
      </c>
    </row>
    <row r="72" spans="2:30" x14ac:dyDescent="0.3">
      <c r="B72" s="81"/>
      <c r="C72" s="72"/>
      <c r="D72" s="76"/>
      <c r="E72" s="73"/>
      <c r="F72" s="22" t="s">
        <v>3</v>
      </c>
      <c r="G72" s="23">
        <v>2</v>
      </c>
      <c r="H72" s="23">
        <v>2</v>
      </c>
      <c r="I72" s="23">
        <v>2</v>
      </c>
      <c r="J72" s="23">
        <v>2</v>
      </c>
      <c r="K72" s="23">
        <v>2</v>
      </c>
      <c r="L72" s="23">
        <v>2</v>
      </c>
      <c r="M72" s="23">
        <v>2</v>
      </c>
      <c r="N72" s="23">
        <v>2</v>
      </c>
      <c r="O72" s="23">
        <v>2</v>
      </c>
      <c r="P72" s="23">
        <v>2</v>
      </c>
      <c r="Q72" s="23">
        <v>2</v>
      </c>
      <c r="R72" s="23">
        <v>2</v>
      </c>
      <c r="T72" s="23">
        <v>2</v>
      </c>
      <c r="U72" s="23">
        <v>2</v>
      </c>
      <c r="V72" s="23">
        <v>2</v>
      </c>
      <c r="X72" s="23">
        <v>2</v>
      </c>
      <c r="Y72" s="23">
        <v>2</v>
      </c>
      <c r="Z72" s="23">
        <v>2</v>
      </c>
      <c r="AA72" s="23">
        <v>2</v>
      </c>
      <c r="AC72" s="23">
        <v>2</v>
      </c>
      <c r="AD72" s="23">
        <v>2</v>
      </c>
    </row>
    <row r="73" spans="2:30" x14ac:dyDescent="0.3">
      <c r="B73" s="81"/>
      <c r="C73" s="72"/>
      <c r="D73" s="75" t="s">
        <v>153</v>
      </c>
      <c r="E73" s="73"/>
      <c r="F73" s="22" t="s">
        <v>2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3</v>
      </c>
      <c r="O73" s="23">
        <v>3</v>
      </c>
      <c r="P73" s="23">
        <v>3</v>
      </c>
      <c r="Q73" s="23">
        <v>3</v>
      </c>
      <c r="R73" s="23">
        <v>3</v>
      </c>
      <c r="T73" s="23">
        <v>3</v>
      </c>
      <c r="U73" s="23">
        <v>3</v>
      </c>
      <c r="V73" s="23">
        <v>3</v>
      </c>
      <c r="X73" s="23">
        <v>0</v>
      </c>
      <c r="Y73" s="23">
        <v>0</v>
      </c>
      <c r="Z73" s="23">
        <v>3</v>
      </c>
      <c r="AA73" s="23">
        <v>3</v>
      </c>
      <c r="AC73" s="23">
        <v>3</v>
      </c>
      <c r="AD73" s="23">
        <v>3</v>
      </c>
    </row>
    <row r="74" spans="2:30" x14ac:dyDescent="0.3">
      <c r="B74" s="81"/>
      <c r="C74" s="72"/>
      <c r="D74" s="75" t="s">
        <v>126</v>
      </c>
      <c r="E74" s="72"/>
      <c r="F74" s="22" t="s">
        <v>2</v>
      </c>
      <c r="G74" s="23">
        <v>26</v>
      </c>
      <c r="H74" s="23">
        <v>26</v>
      </c>
      <c r="I74" s="23">
        <v>27</v>
      </c>
      <c r="J74" s="23">
        <v>27</v>
      </c>
      <c r="K74" s="23">
        <v>27</v>
      </c>
      <c r="L74" s="23">
        <v>28</v>
      </c>
      <c r="M74" s="23">
        <v>28</v>
      </c>
      <c r="N74" s="23">
        <v>26</v>
      </c>
      <c r="O74" s="23">
        <v>28</v>
      </c>
      <c r="P74" s="23">
        <v>28</v>
      </c>
      <c r="Q74" s="23">
        <v>28</v>
      </c>
      <c r="R74" s="23">
        <v>28</v>
      </c>
      <c r="T74" s="23">
        <v>28</v>
      </c>
      <c r="U74" s="23">
        <v>27</v>
      </c>
      <c r="V74" s="23">
        <v>27</v>
      </c>
      <c r="X74" s="23">
        <v>26</v>
      </c>
      <c r="Y74" s="23">
        <v>27</v>
      </c>
      <c r="Z74" s="23">
        <v>27</v>
      </c>
      <c r="AA74" s="23">
        <v>28</v>
      </c>
      <c r="AC74" s="23">
        <v>28</v>
      </c>
      <c r="AD74" s="23">
        <v>27</v>
      </c>
    </row>
    <row r="75" spans="2:30" x14ac:dyDescent="0.3">
      <c r="B75" s="81"/>
      <c r="C75" s="72"/>
      <c r="D75" s="76"/>
      <c r="E75" s="73"/>
      <c r="F75" s="22" t="s">
        <v>3</v>
      </c>
      <c r="G75" s="23">
        <v>28</v>
      </c>
      <c r="H75" s="23">
        <v>28</v>
      </c>
      <c r="I75" s="23">
        <v>28</v>
      </c>
      <c r="J75" s="23">
        <v>28</v>
      </c>
      <c r="K75" s="23">
        <v>28</v>
      </c>
      <c r="L75" s="23">
        <v>28</v>
      </c>
      <c r="M75" s="23">
        <v>28</v>
      </c>
      <c r="N75" s="23">
        <v>28</v>
      </c>
      <c r="O75" s="23">
        <v>28</v>
      </c>
      <c r="P75" s="23">
        <v>28</v>
      </c>
      <c r="Q75" s="23">
        <v>28</v>
      </c>
      <c r="R75" s="23">
        <v>28</v>
      </c>
      <c r="T75" s="23">
        <v>28</v>
      </c>
      <c r="U75" s="23">
        <v>28</v>
      </c>
      <c r="V75" s="23">
        <v>28</v>
      </c>
      <c r="X75" s="23">
        <v>28</v>
      </c>
      <c r="Y75" s="23">
        <v>28</v>
      </c>
      <c r="Z75" s="23">
        <v>28</v>
      </c>
      <c r="AA75" s="23">
        <v>28</v>
      </c>
      <c r="AC75" s="23">
        <v>28</v>
      </c>
      <c r="AD75" s="23">
        <v>28</v>
      </c>
    </row>
    <row r="76" spans="2:30" x14ac:dyDescent="0.3">
      <c r="B76" s="81"/>
      <c r="C76" s="72"/>
      <c r="D76" s="75" t="s">
        <v>55</v>
      </c>
      <c r="E76" s="73"/>
      <c r="F76" s="22" t="s">
        <v>2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3</v>
      </c>
      <c r="O76" s="23">
        <v>3</v>
      </c>
      <c r="P76" s="23">
        <v>3</v>
      </c>
      <c r="Q76" s="23">
        <v>2</v>
      </c>
      <c r="R76" s="23">
        <v>0</v>
      </c>
      <c r="T76" s="23">
        <v>0</v>
      </c>
      <c r="U76" s="23">
        <v>3</v>
      </c>
      <c r="V76" s="23">
        <v>3</v>
      </c>
      <c r="X76" s="23">
        <v>0</v>
      </c>
      <c r="Y76" s="23">
        <v>0</v>
      </c>
      <c r="Z76" s="23">
        <v>3</v>
      </c>
      <c r="AA76" s="23">
        <v>3</v>
      </c>
      <c r="AC76" s="23">
        <v>0</v>
      </c>
      <c r="AD76" s="23">
        <v>3</v>
      </c>
    </row>
    <row r="77" spans="2:30" x14ac:dyDescent="0.3">
      <c r="B77" s="81"/>
      <c r="C77" s="72"/>
      <c r="D77" s="75" t="s">
        <v>56</v>
      </c>
      <c r="E77" s="72"/>
      <c r="F77" s="22" t="s">
        <v>2</v>
      </c>
      <c r="G77" s="23">
        <v>10</v>
      </c>
      <c r="H77" s="23">
        <v>9</v>
      </c>
      <c r="I77" s="23">
        <v>9</v>
      </c>
      <c r="J77" s="23">
        <v>9</v>
      </c>
      <c r="K77" s="23">
        <v>9</v>
      </c>
      <c r="L77" s="23">
        <v>10</v>
      </c>
      <c r="M77" s="23">
        <v>10</v>
      </c>
      <c r="N77" s="23">
        <v>9</v>
      </c>
      <c r="O77" s="23">
        <v>9</v>
      </c>
      <c r="P77" s="23">
        <v>9</v>
      </c>
      <c r="Q77" s="23">
        <v>7</v>
      </c>
      <c r="R77" s="23">
        <v>9</v>
      </c>
      <c r="T77" s="23">
        <v>9</v>
      </c>
      <c r="U77" s="23">
        <v>9</v>
      </c>
      <c r="V77" s="23">
        <v>9</v>
      </c>
      <c r="X77" s="23">
        <v>9</v>
      </c>
      <c r="Y77" s="23">
        <v>9</v>
      </c>
      <c r="Z77" s="23">
        <v>9</v>
      </c>
      <c r="AA77" s="23">
        <v>8</v>
      </c>
      <c r="AC77" s="23">
        <v>9</v>
      </c>
      <c r="AD77" s="23">
        <v>9</v>
      </c>
    </row>
    <row r="78" spans="2:30" x14ac:dyDescent="0.3">
      <c r="B78" s="81"/>
      <c r="C78" s="72"/>
      <c r="D78" s="76"/>
      <c r="E78" s="73"/>
      <c r="F78" s="22" t="s">
        <v>3</v>
      </c>
      <c r="G78" s="23">
        <v>10</v>
      </c>
      <c r="H78" s="23">
        <v>10</v>
      </c>
      <c r="I78" s="23">
        <v>10</v>
      </c>
      <c r="J78" s="23">
        <v>10</v>
      </c>
      <c r="K78" s="23">
        <v>10</v>
      </c>
      <c r="L78" s="23">
        <v>10</v>
      </c>
      <c r="M78" s="23">
        <v>10</v>
      </c>
      <c r="N78" s="23">
        <v>10</v>
      </c>
      <c r="O78" s="23">
        <v>10</v>
      </c>
      <c r="P78" s="23">
        <v>10</v>
      </c>
      <c r="Q78" s="23">
        <v>10</v>
      </c>
      <c r="R78" s="23">
        <v>10</v>
      </c>
      <c r="T78" s="23">
        <v>10</v>
      </c>
      <c r="U78" s="23">
        <v>10</v>
      </c>
      <c r="V78" s="23">
        <v>10</v>
      </c>
      <c r="X78" s="23">
        <v>10</v>
      </c>
      <c r="Y78" s="23">
        <v>10</v>
      </c>
      <c r="Z78" s="23">
        <v>10</v>
      </c>
      <c r="AA78" s="23">
        <v>10</v>
      </c>
      <c r="AC78" s="23">
        <v>10</v>
      </c>
      <c r="AD78" s="23">
        <v>10</v>
      </c>
    </row>
    <row r="79" spans="2:30" x14ac:dyDescent="0.3">
      <c r="B79" s="81"/>
      <c r="C79" s="72"/>
      <c r="D79" s="75" t="s">
        <v>57</v>
      </c>
      <c r="E79" s="72"/>
      <c r="F79" s="22" t="s">
        <v>2</v>
      </c>
      <c r="G79" s="23">
        <v>8</v>
      </c>
      <c r="H79" s="23">
        <v>8</v>
      </c>
      <c r="I79" s="23">
        <v>9</v>
      </c>
      <c r="J79" s="23">
        <v>8</v>
      </c>
      <c r="K79" s="23">
        <v>9</v>
      </c>
      <c r="L79" s="23">
        <v>9</v>
      </c>
      <c r="M79" s="23">
        <v>9</v>
      </c>
      <c r="N79" s="23">
        <v>9</v>
      </c>
      <c r="O79" s="23">
        <v>9</v>
      </c>
      <c r="P79" s="23">
        <v>8</v>
      </c>
      <c r="Q79" s="23">
        <v>8</v>
      </c>
      <c r="R79" s="23">
        <v>8</v>
      </c>
      <c r="T79" s="23">
        <v>8</v>
      </c>
      <c r="U79" s="23">
        <v>9</v>
      </c>
      <c r="V79" s="23">
        <v>9</v>
      </c>
      <c r="X79" s="23">
        <v>8</v>
      </c>
      <c r="Y79" s="23">
        <v>9</v>
      </c>
      <c r="Z79" s="23">
        <v>9</v>
      </c>
      <c r="AA79" s="23">
        <v>8</v>
      </c>
      <c r="AC79" s="23">
        <v>8</v>
      </c>
      <c r="AD79" s="23">
        <v>9</v>
      </c>
    </row>
    <row r="80" spans="2:30" x14ac:dyDescent="0.3">
      <c r="B80" s="81"/>
      <c r="C80" s="72"/>
      <c r="D80" s="76"/>
      <c r="E80" s="73"/>
      <c r="F80" s="22" t="s">
        <v>3</v>
      </c>
      <c r="G80" s="23">
        <v>9</v>
      </c>
      <c r="H80" s="23">
        <v>9</v>
      </c>
      <c r="I80" s="23">
        <v>9</v>
      </c>
      <c r="J80" s="23">
        <v>9</v>
      </c>
      <c r="K80" s="23">
        <v>9</v>
      </c>
      <c r="L80" s="23">
        <v>9</v>
      </c>
      <c r="M80" s="23">
        <v>9</v>
      </c>
      <c r="N80" s="23">
        <v>9</v>
      </c>
      <c r="O80" s="23">
        <v>9</v>
      </c>
      <c r="P80" s="23">
        <v>9</v>
      </c>
      <c r="Q80" s="23">
        <v>9</v>
      </c>
      <c r="R80" s="23">
        <v>9</v>
      </c>
      <c r="T80" s="23">
        <v>9</v>
      </c>
      <c r="U80" s="23">
        <v>9</v>
      </c>
      <c r="V80" s="23">
        <v>9</v>
      </c>
      <c r="X80" s="23">
        <v>9</v>
      </c>
      <c r="Y80" s="23">
        <v>9</v>
      </c>
      <c r="Z80" s="23">
        <v>9</v>
      </c>
      <c r="AA80" s="23">
        <v>9</v>
      </c>
      <c r="AC80" s="23">
        <v>9</v>
      </c>
      <c r="AD80" s="23">
        <v>9</v>
      </c>
    </row>
    <row r="81" spans="2:30" x14ac:dyDescent="0.3">
      <c r="B81" s="81"/>
      <c r="C81" s="72"/>
      <c r="D81" s="75" t="s">
        <v>50</v>
      </c>
      <c r="E81" s="72"/>
      <c r="F81" s="22" t="s">
        <v>2</v>
      </c>
      <c r="G81" s="23">
        <v>3</v>
      </c>
      <c r="H81" s="23">
        <v>3</v>
      </c>
      <c r="I81" s="23">
        <v>4</v>
      </c>
      <c r="J81" s="23">
        <v>5</v>
      </c>
      <c r="K81" s="23">
        <v>5</v>
      </c>
      <c r="L81" s="23">
        <v>5</v>
      </c>
      <c r="M81" s="23">
        <v>5</v>
      </c>
      <c r="N81" s="23">
        <v>2</v>
      </c>
      <c r="O81" s="23">
        <v>2</v>
      </c>
      <c r="P81" s="23">
        <v>2</v>
      </c>
      <c r="Q81" s="23">
        <v>2</v>
      </c>
      <c r="R81" s="23">
        <v>2</v>
      </c>
      <c r="T81" s="23">
        <v>2</v>
      </c>
      <c r="U81" s="23">
        <v>3</v>
      </c>
      <c r="V81" s="23">
        <v>3</v>
      </c>
      <c r="X81" s="23">
        <v>3</v>
      </c>
      <c r="Y81" s="23">
        <v>5</v>
      </c>
      <c r="Z81" s="23">
        <v>3</v>
      </c>
      <c r="AA81" s="23">
        <v>2</v>
      </c>
      <c r="AC81" s="23">
        <v>2</v>
      </c>
      <c r="AD81" s="23">
        <v>3</v>
      </c>
    </row>
    <row r="82" spans="2:30" x14ac:dyDescent="0.3">
      <c r="B82" s="76"/>
      <c r="C82" s="73"/>
      <c r="D82" s="76"/>
      <c r="E82" s="73"/>
      <c r="F82" s="22" t="s">
        <v>3</v>
      </c>
      <c r="G82" s="23">
        <v>3</v>
      </c>
      <c r="H82" s="23">
        <v>3</v>
      </c>
      <c r="I82" s="23">
        <v>3</v>
      </c>
      <c r="J82" s="23">
        <v>3</v>
      </c>
      <c r="K82" s="23">
        <v>3</v>
      </c>
      <c r="L82" s="23">
        <v>3</v>
      </c>
      <c r="M82" s="23">
        <v>3</v>
      </c>
      <c r="N82" s="23">
        <v>3</v>
      </c>
      <c r="O82" s="23">
        <v>3</v>
      </c>
      <c r="P82" s="23">
        <v>3</v>
      </c>
      <c r="Q82" s="23">
        <v>3</v>
      </c>
      <c r="R82" s="23">
        <v>3</v>
      </c>
      <c r="T82" s="23">
        <v>3</v>
      </c>
      <c r="U82" s="23">
        <v>3</v>
      </c>
      <c r="V82" s="23">
        <v>3</v>
      </c>
      <c r="X82" s="23">
        <v>3</v>
      </c>
      <c r="Y82" s="23">
        <v>3</v>
      </c>
      <c r="Z82" s="23">
        <v>3</v>
      </c>
      <c r="AA82" s="23">
        <v>3</v>
      </c>
      <c r="AC82" s="23">
        <v>3</v>
      </c>
      <c r="AD82" s="23">
        <v>3</v>
      </c>
    </row>
    <row r="83" spans="2:30" x14ac:dyDescent="0.3">
      <c r="B83" s="75" t="s">
        <v>58</v>
      </c>
      <c r="C83" s="72"/>
      <c r="D83" s="75" t="s">
        <v>59</v>
      </c>
      <c r="E83" s="72"/>
      <c r="F83" s="22" t="s">
        <v>2</v>
      </c>
      <c r="G83" s="23">
        <v>8</v>
      </c>
      <c r="H83" s="23">
        <v>7</v>
      </c>
      <c r="I83" s="23">
        <v>8</v>
      </c>
      <c r="J83" s="23">
        <v>8</v>
      </c>
      <c r="K83" s="23">
        <v>8</v>
      </c>
      <c r="L83" s="23">
        <v>8</v>
      </c>
      <c r="M83" s="23">
        <v>9</v>
      </c>
      <c r="N83" s="23">
        <v>8</v>
      </c>
      <c r="O83" s="23">
        <v>8</v>
      </c>
      <c r="P83" s="23">
        <v>8</v>
      </c>
      <c r="Q83" s="23">
        <v>8</v>
      </c>
      <c r="R83" s="23">
        <v>8</v>
      </c>
      <c r="T83" s="23">
        <v>8</v>
      </c>
      <c r="U83" s="23">
        <v>8</v>
      </c>
      <c r="V83" s="23">
        <v>8</v>
      </c>
      <c r="X83" s="23">
        <v>8</v>
      </c>
      <c r="Y83" s="23">
        <v>8</v>
      </c>
      <c r="Z83" s="23">
        <v>8</v>
      </c>
      <c r="AA83" s="23">
        <v>8</v>
      </c>
      <c r="AC83" s="23">
        <v>8</v>
      </c>
      <c r="AD83" s="23">
        <v>8</v>
      </c>
    </row>
    <row r="84" spans="2:30" x14ac:dyDescent="0.3">
      <c r="B84" s="81"/>
      <c r="C84" s="72"/>
      <c r="D84" s="76"/>
      <c r="E84" s="73"/>
      <c r="F84" s="22" t="s">
        <v>3</v>
      </c>
      <c r="G84" s="23">
        <v>9</v>
      </c>
      <c r="H84" s="23">
        <v>9</v>
      </c>
      <c r="I84" s="23">
        <v>9</v>
      </c>
      <c r="J84" s="23">
        <v>9</v>
      </c>
      <c r="K84" s="23">
        <v>9</v>
      </c>
      <c r="L84" s="23">
        <v>9</v>
      </c>
      <c r="M84" s="23">
        <v>9</v>
      </c>
      <c r="N84" s="23">
        <v>9</v>
      </c>
      <c r="O84" s="23">
        <v>9</v>
      </c>
      <c r="P84" s="23">
        <v>9</v>
      </c>
      <c r="Q84" s="23">
        <v>9</v>
      </c>
      <c r="R84" s="23">
        <v>9</v>
      </c>
      <c r="T84" s="23">
        <v>9</v>
      </c>
      <c r="U84" s="23">
        <v>9</v>
      </c>
      <c r="V84" s="23">
        <v>9</v>
      </c>
      <c r="X84" s="23">
        <v>9</v>
      </c>
      <c r="Y84" s="23">
        <v>9</v>
      </c>
      <c r="Z84" s="23">
        <v>9</v>
      </c>
      <c r="AA84" s="23">
        <v>9</v>
      </c>
      <c r="AC84" s="23">
        <v>9</v>
      </c>
      <c r="AD84" s="23">
        <v>9</v>
      </c>
    </row>
    <row r="85" spans="2:30" x14ac:dyDescent="0.3">
      <c r="B85" s="81"/>
      <c r="C85" s="72"/>
      <c r="D85" s="75" t="s">
        <v>60</v>
      </c>
      <c r="E85" s="72"/>
      <c r="F85" s="22" t="s">
        <v>2</v>
      </c>
      <c r="G85" s="23">
        <v>9</v>
      </c>
      <c r="H85" s="23">
        <v>9</v>
      </c>
      <c r="I85" s="23">
        <v>9</v>
      </c>
      <c r="J85" s="23">
        <v>9</v>
      </c>
      <c r="K85" s="23">
        <v>9</v>
      </c>
      <c r="L85" s="23">
        <v>9</v>
      </c>
      <c r="M85" s="23">
        <v>9</v>
      </c>
      <c r="N85" s="23">
        <v>9</v>
      </c>
      <c r="O85" s="23">
        <v>9</v>
      </c>
      <c r="P85" s="23">
        <v>9</v>
      </c>
      <c r="Q85" s="23">
        <v>9</v>
      </c>
      <c r="R85" s="23">
        <v>9</v>
      </c>
      <c r="T85" s="23">
        <v>9</v>
      </c>
      <c r="U85" s="23">
        <v>9</v>
      </c>
      <c r="V85" s="23">
        <v>9</v>
      </c>
      <c r="X85" s="23">
        <v>9</v>
      </c>
      <c r="Y85" s="23">
        <v>9</v>
      </c>
      <c r="Z85" s="23">
        <v>9</v>
      </c>
      <c r="AA85" s="23">
        <v>9</v>
      </c>
      <c r="AC85" s="23">
        <v>9</v>
      </c>
      <c r="AD85" s="23">
        <v>9</v>
      </c>
    </row>
    <row r="86" spans="2:30" x14ac:dyDescent="0.3">
      <c r="B86" s="81"/>
      <c r="C86" s="72"/>
      <c r="D86" s="76"/>
      <c r="E86" s="73"/>
      <c r="F86" s="22" t="s">
        <v>3</v>
      </c>
      <c r="G86" s="23">
        <v>9</v>
      </c>
      <c r="H86" s="23">
        <v>9</v>
      </c>
      <c r="I86" s="23">
        <v>9</v>
      </c>
      <c r="J86" s="23">
        <v>9</v>
      </c>
      <c r="K86" s="23">
        <v>9</v>
      </c>
      <c r="L86" s="23">
        <v>9</v>
      </c>
      <c r="M86" s="23">
        <v>9</v>
      </c>
      <c r="N86" s="23">
        <v>9</v>
      </c>
      <c r="O86" s="23">
        <v>9</v>
      </c>
      <c r="P86" s="23">
        <v>9</v>
      </c>
      <c r="Q86" s="23">
        <v>9</v>
      </c>
      <c r="R86" s="23">
        <v>9</v>
      </c>
      <c r="T86" s="23">
        <v>9</v>
      </c>
      <c r="U86" s="23">
        <v>9</v>
      </c>
      <c r="V86" s="23">
        <v>9</v>
      </c>
      <c r="X86" s="23">
        <v>9</v>
      </c>
      <c r="Y86" s="23">
        <v>9</v>
      </c>
      <c r="Z86" s="23">
        <v>9</v>
      </c>
      <c r="AA86" s="23">
        <v>9</v>
      </c>
      <c r="AC86" s="23">
        <v>9</v>
      </c>
      <c r="AD86" s="23">
        <v>9</v>
      </c>
    </row>
    <row r="87" spans="2:30" x14ac:dyDescent="0.3">
      <c r="B87" s="81"/>
      <c r="C87" s="72"/>
      <c r="D87" s="75" t="s">
        <v>58</v>
      </c>
      <c r="E87" s="72"/>
      <c r="F87" s="22" t="s">
        <v>2</v>
      </c>
      <c r="G87" s="23">
        <v>2</v>
      </c>
      <c r="H87" s="23">
        <v>2</v>
      </c>
      <c r="I87" s="23">
        <v>2</v>
      </c>
      <c r="J87" s="23">
        <v>2</v>
      </c>
      <c r="K87" s="23">
        <v>2</v>
      </c>
      <c r="L87" s="23">
        <v>2</v>
      </c>
      <c r="M87" s="23">
        <v>2</v>
      </c>
      <c r="N87" s="23">
        <v>2</v>
      </c>
      <c r="O87" s="23">
        <v>2</v>
      </c>
      <c r="P87" s="23">
        <v>2</v>
      </c>
      <c r="Q87" s="23">
        <v>2</v>
      </c>
      <c r="R87" s="23">
        <v>2</v>
      </c>
      <c r="T87" s="23">
        <v>2</v>
      </c>
      <c r="U87" s="23">
        <v>2</v>
      </c>
      <c r="V87" s="23">
        <v>2</v>
      </c>
      <c r="X87" s="23">
        <v>2</v>
      </c>
      <c r="Y87" s="23">
        <v>2</v>
      </c>
      <c r="Z87" s="23">
        <v>2</v>
      </c>
      <c r="AA87" s="23">
        <v>2</v>
      </c>
      <c r="AC87" s="23">
        <v>2</v>
      </c>
      <c r="AD87" s="23">
        <v>2</v>
      </c>
    </row>
    <row r="88" spans="2:30" x14ac:dyDescent="0.3">
      <c r="B88" s="76"/>
      <c r="C88" s="73"/>
      <c r="D88" s="76"/>
      <c r="E88" s="73"/>
      <c r="F88" s="22" t="s">
        <v>3</v>
      </c>
      <c r="G88" s="23">
        <v>2</v>
      </c>
      <c r="H88" s="23">
        <v>2</v>
      </c>
      <c r="I88" s="23">
        <v>2</v>
      </c>
      <c r="J88" s="23">
        <v>2</v>
      </c>
      <c r="K88" s="23">
        <v>2</v>
      </c>
      <c r="L88" s="23">
        <v>2</v>
      </c>
      <c r="M88" s="23">
        <v>2</v>
      </c>
      <c r="N88" s="23">
        <v>2</v>
      </c>
      <c r="O88" s="23">
        <v>2</v>
      </c>
      <c r="P88" s="23">
        <v>2</v>
      </c>
      <c r="Q88" s="23">
        <v>2</v>
      </c>
      <c r="R88" s="23">
        <v>2</v>
      </c>
      <c r="T88" s="23">
        <v>2</v>
      </c>
      <c r="U88" s="23">
        <v>2</v>
      </c>
      <c r="V88" s="23">
        <v>2</v>
      </c>
      <c r="X88" s="23">
        <v>2</v>
      </c>
      <c r="Y88" s="23">
        <v>2</v>
      </c>
      <c r="Z88" s="23">
        <v>2</v>
      </c>
      <c r="AA88" s="23">
        <v>2</v>
      </c>
      <c r="AC88" s="23">
        <v>2</v>
      </c>
      <c r="AD88" s="23">
        <v>2</v>
      </c>
    </row>
    <row r="89" spans="2:30" x14ac:dyDescent="0.3">
      <c r="B89" s="75" t="s">
        <v>61</v>
      </c>
      <c r="C89" s="72"/>
      <c r="D89" s="75" t="s">
        <v>61</v>
      </c>
      <c r="E89" s="72"/>
      <c r="F89" s="22" t="s">
        <v>2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3</v>
      </c>
      <c r="O89" s="23">
        <v>3</v>
      </c>
      <c r="P89" s="23">
        <v>3</v>
      </c>
      <c r="Q89" s="23">
        <v>3</v>
      </c>
      <c r="R89" s="23">
        <v>3</v>
      </c>
      <c r="T89" s="23">
        <v>3</v>
      </c>
      <c r="U89" s="23">
        <v>3</v>
      </c>
      <c r="V89" s="23">
        <v>3</v>
      </c>
      <c r="X89" s="23">
        <v>0</v>
      </c>
      <c r="Y89" s="23">
        <v>0</v>
      </c>
      <c r="Z89" s="23">
        <v>3</v>
      </c>
      <c r="AA89" s="23">
        <v>3</v>
      </c>
      <c r="AC89" s="23">
        <v>3</v>
      </c>
      <c r="AD89" s="23">
        <v>3</v>
      </c>
    </row>
    <row r="90" spans="2:30" x14ac:dyDescent="0.3">
      <c r="B90" s="76"/>
      <c r="C90" s="73"/>
      <c r="D90" s="76"/>
      <c r="E90" s="73"/>
      <c r="F90" s="22" t="s">
        <v>3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T90" s="23">
        <v>0</v>
      </c>
      <c r="U90" s="23">
        <v>0</v>
      </c>
      <c r="V90" s="23">
        <v>0</v>
      </c>
      <c r="X90" s="23">
        <v>0</v>
      </c>
      <c r="Y90" s="23">
        <v>0</v>
      </c>
      <c r="Z90" s="23">
        <v>0</v>
      </c>
      <c r="AA90" s="23">
        <v>0</v>
      </c>
      <c r="AC90" s="23">
        <v>0</v>
      </c>
      <c r="AD90" s="23">
        <v>0</v>
      </c>
    </row>
    <row r="91" spans="2:30" x14ac:dyDescent="0.3">
      <c r="B91" s="75" t="s">
        <v>154</v>
      </c>
      <c r="C91" s="72"/>
      <c r="D91" s="75" t="s">
        <v>63</v>
      </c>
      <c r="E91" s="72"/>
      <c r="F91" s="22" t="s">
        <v>2</v>
      </c>
      <c r="G91" s="23">
        <v>16</v>
      </c>
      <c r="H91" s="23">
        <v>17</v>
      </c>
      <c r="I91" s="23">
        <v>17</v>
      </c>
      <c r="J91" s="23">
        <v>17</v>
      </c>
      <c r="K91" s="23">
        <v>17</v>
      </c>
      <c r="L91" s="23">
        <v>17</v>
      </c>
      <c r="M91" s="23">
        <v>17</v>
      </c>
      <c r="N91" s="23">
        <v>17</v>
      </c>
      <c r="O91" s="23">
        <v>17</v>
      </c>
      <c r="P91" s="23">
        <v>17</v>
      </c>
      <c r="Q91" s="23">
        <v>17</v>
      </c>
      <c r="R91" s="23">
        <v>16</v>
      </c>
      <c r="T91" s="23">
        <v>16</v>
      </c>
      <c r="U91" s="23">
        <v>17</v>
      </c>
      <c r="V91" s="23">
        <v>17</v>
      </c>
      <c r="X91" s="23">
        <v>17</v>
      </c>
      <c r="Y91" s="23">
        <v>17</v>
      </c>
      <c r="Z91" s="23">
        <v>17</v>
      </c>
      <c r="AA91" s="23">
        <v>17</v>
      </c>
      <c r="AC91" s="23">
        <v>16</v>
      </c>
      <c r="AD91" s="23">
        <v>17</v>
      </c>
    </row>
    <row r="92" spans="2:30" x14ac:dyDescent="0.3">
      <c r="B92" s="81"/>
      <c r="C92" s="72"/>
      <c r="D92" s="76"/>
      <c r="E92" s="73"/>
      <c r="F92" s="22" t="s">
        <v>3</v>
      </c>
      <c r="G92" s="23">
        <v>16</v>
      </c>
      <c r="H92" s="23">
        <v>16</v>
      </c>
      <c r="I92" s="23">
        <v>16</v>
      </c>
      <c r="J92" s="23">
        <v>16</v>
      </c>
      <c r="K92" s="23">
        <v>16</v>
      </c>
      <c r="L92" s="23">
        <v>16</v>
      </c>
      <c r="M92" s="23">
        <v>16</v>
      </c>
      <c r="N92" s="23">
        <v>16</v>
      </c>
      <c r="O92" s="23">
        <v>16</v>
      </c>
      <c r="P92" s="23">
        <v>16</v>
      </c>
      <c r="Q92" s="23">
        <v>16</v>
      </c>
      <c r="R92" s="23">
        <v>16</v>
      </c>
      <c r="T92" s="23">
        <v>16</v>
      </c>
      <c r="U92" s="23">
        <v>16</v>
      </c>
      <c r="V92" s="23">
        <v>16</v>
      </c>
      <c r="X92" s="23">
        <v>16</v>
      </c>
      <c r="Y92" s="23">
        <v>16</v>
      </c>
      <c r="Z92" s="23">
        <v>16</v>
      </c>
      <c r="AA92" s="23">
        <v>16</v>
      </c>
      <c r="AC92" s="23">
        <v>16</v>
      </c>
      <c r="AD92" s="23">
        <v>16</v>
      </c>
    </row>
    <row r="93" spans="2:30" x14ac:dyDescent="0.3">
      <c r="B93" s="81"/>
      <c r="C93" s="72"/>
      <c r="D93" s="75" t="s">
        <v>64</v>
      </c>
      <c r="E93" s="72"/>
      <c r="F93" s="22" t="s">
        <v>2</v>
      </c>
      <c r="G93" s="23">
        <v>14</v>
      </c>
      <c r="H93" s="23">
        <v>14</v>
      </c>
      <c r="I93" s="23">
        <v>13</v>
      </c>
      <c r="J93" s="23">
        <v>13</v>
      </c>
      <c r="K93" s="23">
        <v>13</v>
      </c>
      <c r="L93" s="23">
        <v>12</v>
      </c>
      <c r="M93" s="23">
        <v>13</v>
      </c>
      <c r="N93" s="23">
        <v>14</v>
      </c>
      <c r="O93" s="23">
        <v>13</v>
      </c>
      <c r="P93" s="23">
        <v>13</v>
      </c>
      <c r="Q93" s="23">
        <v>13</v>
      </c>
      <c r="R93" s="23">
        <v>14</v>
      </c>
      <c r="T93" s="23">
        <v>14</v>
      </c>
      <c r="U93" s="23">
        <v>13</v>
      </c>
      <c r="V93" s="23">
        <v>13</v>
      </c>
      <c r="X93" s="23">
        <v>14</v>
      </c>
      <c r="Y93" s="23">
        <v>13</v>
      </c>
      <c r="Z93" s="23">
        <v>13</v>
      </c>
      <c r="AA93" s="23">
        <v>13</v>
      </c>
      <c r="AC93" s="23">
        <v>14</v>
      </c>
      <c r="AD93" s="23">
        <v>13</v>
      </c>
    </row>
    <row r="94" spans="2:30" x14ac:dyDescent="0.3">
      <c r="B94" s="81"/>
      <c r="C94" s="72"/>
      <c r="D94" s="76"/>
      <c r="E94" s="73"/>
      <c r="F94" s="22" t="s">
        <v>3</v>
      </c>
      <c r="G94" s="23">
        <v>15</v>
      </c>
      <c r="H94" s="23">
        <v>15</v>
      </c>
      <c r="I94" s="23">
        <v>15</v>
      </c>
      <c r="J94" s="23">
        <v>15</v>
      </c>
      <c r="K94" s="23">
        <v>15</v>
      </c>
      <c r="L94" s="23">
        <v>15</v>
      </c>
      <c r="M94" s="23">
        <v>15</v>
      </c>
      <c r="N94" s="23">
        <v>15</v>
      </c>
      <c r="O94" s="23">
        <v>15</v>
      </c>
      <c r="P94" s="23">
        <v>15</v>
      </c>
      <c r="Q94" s="23">
        <v>15</v>
      </c>
      <c r="R94" s="23">
        <v>15</v>
      </c>
      <c r="T94" s="23">
        <v>15</v>
      </c>
      <c r="U94" s="23">
        <v>15</v>
      </c>
      <c r="V94" s="23">
        <v>15</v>
      </c>
      <c r="X94" s="23">
        <v>15</v>
      </c>
      <c r="Y94" s="23">
        <v>15</v>
      </c>
      <c r="Z94" s="23">
        <v>15</v>
      </c>
      <c r="AA94" s="23">
        <v>15</v>
      </c>
      <c r="AC94" s="23">
        <v>15</v>
      </c>
      <c r="AD94" s="23">
        <v>15</v>
      </c>
    </row>
    <row r="95" spans="2:30" x14ac:dyDescent="0.3">
      <c r="B95" s="81"/>
      <c r="C95" s="72"/>
      <c r="D95" s="75" t="s">
        <v>65</v>
      </c>
      <c r="E95" s="72"/>
      <c r="F95" s="22" t="s">
        <v>2</v>
      </c>
      <c r="G95" s="23">
        <v>2</v>
      </c>
      <c r="H95" s="23">
        <v>2</v>
      </c>
      <c r="I95" s="23">
        <v>2</v>
      </c>
      <c r="J95" s="23">
        <v>2</v>
      </c>
      <c r="K95" s="23">
        <v>2</v>
      </c>
      <c r="L95" s="23">
        <v>2</v>
      </c>
      <c r="M95" s="23">
        <v>2</v>
      </c>
      <c r="N95" s="23">
        <v>2</v>
      </c>
      <c r="O95" s="23">
        <v>2</v>
      </c>
      <c r="P95" s="23">
        <v>2</v>
      </c>
      <c r="Q95" s="23">
        <v>2</v>
      </c>
      <c r="R95" s="23">
        <v>1</v>
      </c>
      <c r="T95" s="23">
        <v>1</v>
      </c>
      <c r="U95" s="23">
        <v>2</v>
      </c>
      <c r="V95" s="23">
        <v>2</v>
      </c>
      <c r="X95" s="23">
        <v>2</v>
      </c>
      <c r="Y95" s="23">
        <v>2</v>
      </c>
      <c r="Z95" s="23">
        <v>2</v>
      </c>
      <c r="AA95" s="23">
        <v>2</v>
      </c>
      <c r="AC95" s="23">
        <v>1</v>
      </c>
      <c r="AD95" s="23">
        <v>2</v>
      </c>
    </row>
    <row r="96" spans="2:30" x14ac:dyDescent="0.3">
      <c r="B96" s="81"/>
      <c r="C96" s="72"/>
      <c r="D96" s="76"/>
      <c r="E96" s="73"/>
      <c r="F96" s="22" t="s">
        <v>3</v>
      </c>
      <c r="G96" s="23">
        <v>2</v>
      </c>
      <c r="H96" s="23">
        <v>2</v>
      </c>
      <c r="I96" s="23">
        <v>2</v>
      </c>
      <c r="J96" s="23">
        <v>2</v>
      </c>
      <c r="K96" s="23">
        <v>2</v>
      </c>
      <c r="L96" s="23">
        <v>2</v>
      </c>
      <c r="M96" s="23">
        <v>2</v>
      </c>
      <c r="N96" s="23">
        <v>2</v>
      </c>
      <c r="O96" s="23">
        <v>2</v>
      </c>
      <c r="P96" s="23">
        <v>2</v>
      </c>
      <c r="Q96" s="23">
        <v>2</v>
      </c>
      <c r="R96" s="23">
        <v>2</v>
      </c>
      <c r="T96" s="23">
        <v>2</v>
      </c>
      <c r="U96" s="23">
        <v>2</v>
      </c>
      <c r="V96" s="23">
        <v>2</v>
      </c>
      <c r="X96" s="23">
        <v>2</v>
      </c>
      <c r="Y96" s="23">
        <v>2</v>
      </c>
      <c r="Z96" s="23">
        <v>2</v>
      </c>
      <c r="AA96" s="23">
        <v>2</v>
      </c>
      <c r="AC96" s="23">
        <v>2</v>
      </c>
      <c r="AD96" s="23">
        <v>2</v>
      </c>
    </row>
    <row r="97" spans="2:30" x14ac:dyDescent="0.3">
      <c r="B97" s="81"/>
      <c r="C97" s="72"/>
      <c r="D97" s="75" t="s">
        <v>154</v>
      </c>
      <c r="E97" s="72"/>
      <c r="F97" s="22" t="s">
        <v>2</v>
      </c>
      <c r="G97" s="23">
        <v>5</v>
      </c>
      <c r="H97" s="23">
        <v>5</v>
      </c>
      <c r="I97" s="23">
        <v>5</v>
      </c>
      <c r="J97" s="23">
        <v>6</v>
      </c>
      <c r="K97" s="23">
        <v>6</v>
      </c>
      <c r="L97" s="23">
        <v>6</v>
      </c>
      <c r="M97" s="23">
        <v>6</v>
      </c>
      <c r="N97" s="23">
        <v>6</v>
      </c>
      <c r="O97" s="23">
        <v>6</v>
      </c>
      <c r="P97" s="23">
        <v>6</v>
      </c>
      <c r="Q97" s="23">
        <v>5</v>
      </c>
      <c r="R97" s="23">
        <v>5</v>
      </c>
      <c r="T97" s="23">
        <v>5</v>
      </c>
      <c r="U97" s="23">
        <v>6</v>
      </c>
      <c r="V97" s="23">
        <v>6</v>
      </c>
      <c r="X97" s="23">
        <v>5</v>
      </c>
      <c r="Y97" s="23">
        <v>6</v>
      </c>
      <c r="Z97" s="23">
        <v>6</v>
      </c>
      <c r="AA97" s="23">
        <v>5</v>
      </c>
      <c r="AC97" s="23">
        <v>5</v>
      </c>
      <c r="AD97" s="23">
        <v>6</v>
      </c>
    </row>
    <row r="98" spans="2:30" x14ac:dyDescent="0.3">
      <c r="B98" s="76"/>
      <c r="C98" s="73"/>
      <c r="D98" s="76"/>
      <c r="E98" s="73"/>
      <c r="F98" s="22" t="s">
        <v>3</v>
      </c>
      <c r="G98" s="23">
        <v>6</v>
      </c>
      <c r="H98" s="23">
        <v>6</v>
      </c>
      <c r="I98" s="23">
        <v>6</v>
      </c>
      <c r="J98" s="23">
        <v>6</v>
      </c>
      <c r="K98" s="23">
        <v>6</v>
      </c>
      <c r="L98" s="23">
        <v>6</v>
      </c>
      <c r="M98" s="23">
        <v>6</v>
      </c>
      <c r="N98" s="23">
        <v>6</v>
      </c>
      <c r="O98" s="23">
        <v>6</v>
      </c>
      <c r="P98" s="23">
        <v>6</v>
      </c>
      <c r="Q98" s="23">
        <v>6</v>
      </c>
      <c r="R98" s="23">
        <v>6</v>
      </c>
      <c r="T98" s="23">
        <v>6</v>
      </c>
      <c r="U98" s="23">
        <v>6</v>
      </c>
      <c r="V98" s="23">
        <v>6</v>
      </c>
      <c r="X98" s="23">
        <v>6</v>
      </c>
      <c r="Y98" s="23">
        <v>6</v>
      </c>
      <c r="Z98" s="23">
        <v>6</v>
      </c>
      <c r="AA98" s="23">
        <v>6</v>
      </c>
      <c r="AC98" s="23">
        <v>6</v>
      </c>
      <c r="AD98" s="23">
        <v>6</v>
      </c>
    </row>
    <row r="99" spans="2:30" x14ac:dyDescent="0.3">
      <c r="B99" s="75" t="s">
        <v>155</v>
      </c>
      <c r="C99" s="72"/>
      <c r="D99" s="75" t="s">
        <v>67</v>
      </c>
      <c r="E99" s="72"/>
      <c r="F99" s="22" t="s">
        <v>2</v>
      </c>
      <c r="G99" s="23">
        <v>5</v>
      </c>
      <c r="H99" s="23">
        <v>5</v>
      </c>
      <c r="I99" s="23">
        <v>2</v>
      </c>
      <c r="J99" s="23">
        <v>4</v>
      </c>
      <c r="K99" s="23">
        <v>5</v>
      </c>
      <c r="L99" s="23">
        <v>5</v>
      </c>
      <c r="M99" s="23">
        <v>5</v>
      </c>
      <c r="N99" s="23">
        <v>5</v>
      </c>
      <c r="O99" s="23">
        <v>5</v>
      </c>
      <c r="P99" s="23">
        <v>5</v>
      </c>
      <c r="Q99" s="23">
        <v>5</v>
      </c>
      <c r="R99" s="23">
        <v>5</v>
      </c>
      <c r="T99" s="23">
        <v>5</v>
      </c>
      <c r="U99" s="23">
        <v>5</v>
      </c>
      <c r="V99" s="23">
        <v>5</v>
      </c>
      <c r="X99" s="23">
        <v>4</v>
      </c>
      <c r="Y99" s="23">
        <v>5</v>
      </c>
      <c r="Z99" s="23">
        <v>5</v>
      </c>
      <c r="AA99" s="23">
        <v>5</v>
      </c>
      <c r="AC99" s="23">
        <v>5</v>
      </c>
      <c r="AD99" s="23">
        <v>5</v>
      </c>
    </row>
    <row r="100" spans="2:30" x14ac:dyDescent="0.3">
      <c r="B100" s="81"/>
      <c r="C100" s="72"/>
      <c r="D100" s="76"/>
      <c r="E100" s="73"/>
      <c r="F100" s="22" t="s">
        <v>3</v>
      </c>
      <c r="G100" s="23">
        <v>6</v>
      </c>
      <c r="H100" s="23">
        <v>6</v>
      </c>
      <c r="I100" s="23">
        <v>7</v>
      </c>
      <c r="J100" s="23">
        <v>7</v>
      </c>
      <c r="K100" s="23">
        <v>7</v>
      </c>
      <c r="L100" s="23">
        <v>7</v>
      </c>
      <c r="M100" s="23">
        <v>7</v>
      </c>
      <c r="N100" s="23">
        <v>7</v>
      </c>
      <c r="O100" s="23">
        <v>7</v>
      </c>
      <c r="P100" s="23">
        <v>7</v>
      </c>
      <c r="Q100" s="23">
        <v>7</v>
      </c>
      <c r="R100" s="23">
        <v>7</v>
      </c>
      <c r="T100" s="23">
        <v>7</v>
      </c>
      <c r="U100" s="23">
        <v>7</v>
      </c>
      <c r="V100" s="23">
        <v>7</v>
      </c>
      <c r="X100" s="23">
        <v>6</v>
      </c>
      <c r="Y100" s="23">
        <v>7</v>
      </c>
      <c r="Z100" s="23">
        <v>7</v>
      </c>
      <c r="AA100" s="23">
        <v>7</v>
      </c>
      <c r="AC100" s="23">
        <v>7</v>
      </c>
      <c r="AD100" s="23">
        <v>7</v>
      </c>
    </row>
    <row r="101" spans="2:30" x14ac:dyDescent="0.3">
      <c r="B101" s="81"/>
      <c r="C101" s="72"/>
      <c r="D101" s="75" t="s">
        <v>68</v>
      </c>
      <c r="E101" s="72"/>
      <c r="F101" s="22" t="s">
        <v>2</v>
      </c>
      <c r="G101" s="23">
        <v>0</v>
      </c>
      <c r="H101" s="23">
        <v>0</v>
      </c>
      <c r="I101" s="23">
        <v>2</v>
      </c>
      <c r="J101" s="23">
        <v>2</v>
      </c>
      <c r="K101" s="23">
        <v>2</v>
      </c>
      <c r="L101" s="23">
        <v>3</v>
      </c>
      <c r="M101" s="23">
        <v>3</v>
      </c>
      <c r="N101" s="23">
        <v>3</v>
      </c>
      <c r="O101" s="23">
        <v>3</v>
      </c>
      <c r="P101" s="23">
        <v>3</v>
      </c>
      <c r="Q101" s="23">
        <v>3</v>
      </c>
      <c r="R101" s="23">
        <v>3</v>
      </c>
      <c r="T101" s="23">
        <v>3</v>
      </c>
      <c r="U101" s="23">
        <v>3</v>
      </c>
      <c r="V101" s="23">
        <v>2</v>
      </c>
      <c r="X101" s="23">
        <v>2</v>
      </c>
      <c r="Y101" s="23">
        <v>2</v>
      </c>
      <c r="Z101" s="23">
        <v>3</v>
      </c>
      <c r="AA101" s="23">
        <v>3</v>
      </c>
      <c r="AC101" s="23">
        <v>3</v>
      </c>
      <c r="AD101" s="23">
        <v>3</v>
      </c>
    </row>
    <row r="102" spans="2:30" x14ac:dyDescent="0.3">
      <c r="B102" s="81"/>
      <c r="C102" s="72"/>
      <c r="D102" s="76"/>
      <c r="E102" s="73"/>
      <c r="F102" s="22" t="s">
        <v>3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T102" s="23">
        <v>0</v>
      </c>
      <c r="U102" s="23">
        <v>0</v>
      </c>
      <c r="V102" s="23">
        <v>0</v>
      </c>
      <c r="X102" s="23">
        <v>0</v>
      </c>
      <c r="Y102" s="23">
        <v>0</v>
      </c>
      <c r="Z102" s="23">
        <v>0</v>
      </c>
      <c r="AA102" s="23">
        <v>0</v>
      </c>
      <c r="AC102" s="23">
        <v>0</v>
      </c>
      <c r="AD102" s="23">
        <v>0</v>
      </c>
    </row>
    <row r="103" spans="2:30" x14ac:dyDescent="0.3">
      <c r="B103" s="81"/>
      <c r="C103" s="72"/>
      <c r="D103" s="75" t="s">
        <v>69</v>
      </c>
      <c r="E103" s="72"/>
      <c r="F103" s="22" t="s">
        <v>2</v>
      </c>
      <c r="G103" s="23">
        <v>0</v>
      </c>
      <c r="H103" s="23">
        <v>0</v>
      </c>
      <c r="I103" s="23">
        <v>5</v>
      </c>
      <c r="J103" s="23">
        <v>5</v>
      </c>
      <c r="K103" s="23">
        <v>5</v>
      </c>
      <c r="L103" s="23">
        <v>5</v>
      </c>
      <c r="M103" s="23">
        <v>5</v>
      </c>
      <c r="N103" s="23">
        <v>5</v>
      </c>
      <c r="O103" s="23">
        <v>5</v>
      </c>
      <c r="P103" s="23">
        <v>5</v>
      </c>
      <c r="Q103" s="23">
        <v>4</v>
      </c>
      <c r="R103" s="23">
        <v>4</v>
      </c>
      <c r="T103" s="23">
        <v>4</v>
      </c>
      <c r="U103" s="23">
        <v>5</v>
      </c>
      <c r="V103" s="23">
        <v>4</v>
      </c>
      <c r="X103" s="23">
        <v>5</v>
      </c>
      <c r="Y103" s="23">
        <v>5</v>
      </c>
      <c r="Z103" s="23">
        <v>5</v>
      </c>
      <c r="AA103" s="23">
        <v>4</v>
      </c>
      <c r="AC103" s="23">
        <v>4</v>
      </c>
      <c r="AD103" s="23">
        <v>5</v>
      </c>
    </row>
    <row r="104" spans="2:30" x14ac:dyDescent="0.3">
      <c r="B104" s="81"/>
      <c r="C104" s="72"/>
      <c r="D104" s="76"/>
      <c r="E104" s="73"/>
      <c r="F104" s="22" t="s">
        <v>3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T104" s="23">
        <v>0</v>
      </c>
      <c r="U104" s="23">
        <v>0</v>
      </c>
      <c r="V104" s="23">
        <v>0</v>
      </c>
      <c r="X104" s="23">
        <v>0</v>
      </c>
      <c r="Y104" s="23">
        <v>0</v>
      </c>
      <c r="Z104" s="23">
        <v>0</v>
      </c>
      <c r="AA104" s="23">
        <v>0</v>
      </c>
      <c r="AC104" s="23">
        <v>0</v>
      </c>
      <c r="AD104" s="23">
        <v>0</v>
      </c>
    </row>
    <row r="105" spans="2:30" x14ac:dyDescent="0.3">
      <c r="B105" s="81"/>
      <c r="C105" s="72"/>
      <c r="D105" s="75" t="s">
        <v>156</v>
      </c>
      <c r="E105" s="72"/>
      <c r="F105" s="22" t="s">
        <v>2</v>
      </c>
      <c r="G105" s="23">
        <v>4</v>
      </c>
      <c r="H105" s="23">
        <v>4</v>
      </c>
      <c r="I105" s="23">
        <v>4</v>
      </c>
      <c r="J105" s="23">
        <v>5</v>
      </c>
      <c r="K105" s="23">
        <v>5</v>
      </c>
      <c r="L105" s="23">
        <v>5</v>
      </c>
      <c r="M105" s="23">
        <v>5</v>
      </c>
      <c r="N105" s="23">
        <v>5</v>
      </c>
      <c r="O105" s="23">
        <v>5</v>
      </c>
      <c r="P105" s="23">
        <v>5</v>
      </c>
      <c r="Q105" s="23">
        <v>4</v>
      </c>
      <c r="R105" s="23">
        <v>4</v>
      </c>
      <c r="T105" s="23">
        <v>4</v>
      </c>
      <c r="U105" s="23">
        <v>5</v>
      </c>
      <c r="V105" s="23">
        <v>5</v>
      </c>
      <c r="X105" s="23">
        <v>4</v>
      </c>
      <c r="Y105" s="23">
        <v>5</v>
      </c>
      <c r="Z105" s="23">
        <v>5</v>
      </c>
      <c r="AA105" s="23">
        <v>4</v>
      </c>
      <c r="AC105" s="23">
        <v>4</v>
      </c>
      <c r="AD105" s="23">
        <v>5</v>
      </c>
    </row>
    <row r="106" spans="2:30" x14ac:dyDescent="0.3">
      <c r="B106" s="81"/>
      <c r="C106" s="72"/>
      <c r="D106" s="76"/>
      <c r="E106" s="73"/>
      <c r="F106" s="22" t="s">
        <v>3</v>
      </c>
      <c r="G106" s="23">
        <v>5</v>
      </c>
      <c r="H106" s="23">
        <v>5</v>
      </c>
      <c r="I106" s="23">
        <v>5</v>
      </c>
      <c r="J106" s="23">
        <v>5</v>
      </c>
      <c r="K106" s="23">
        <v>5</v>
      </c>
      <c r="L106" s="23">
        <v>5</v>
      </c>
      <c r="M106" s="23">
        <v>5</v>
      </c>
      <c r="N106" s="23">
        <v>5</v>
      </c>
      <c r="O106" s="23">
        <v>5</v>
      </c>
      <c r="P106" s="23">
        <v>5</v>
      </c>
      <c r="Q106" s="23">
        <v>5</v>
      </c>
      <c r="R106" s="23">
        <v>5</v>
      </c>
      <c r="T106" s="23">
        <v>5</v>
      </c>
      <c r="U106" s="23">
        <v>5</v>
      </c>
      <c r="V106" s="23">
        <v>5</v>
      </c>
      <c r="X106" s="23">
        <v>5</v>
      </c>
      <c r="Y106" s="23">
        <v>5</v>
      </c>
      <c r="Z106" s="23">
        <v>5</v>
      </c>
      <c r="AA106" s="23">
        <v>5</v>
      </c>
      <c r="AC106" s="23">
        <v>5</v>
      </c>
      <c r="AD106" s="23">
        <v>5</v>
      </c>
    </row>
    <row r="107" spans="2:30" x14ac:dyDescent="0.3">
      <c r="B107" s="81"/>
      <c r="C107" s="72"/>
      <c r="D107" s="75" t="s">
        <v>72</v>
      </c>
      <c r="E107" s="72"/>
      <c r="F107" s="22" t="s">
        <v>2</v>
      </c>
      <c r="G107" s="23">
        <v>0</v>
      </c>
      <c r="H107" s="23">
        <v>1</v>
      </c>
      <c r="I107" s="23">
        <v>2</v>
      </c>
      <c r="J107" s="23">
        <v>2</v>
      </c>
      <c r="K107" s="23">
        <v>2</v>
      </c>
      <c r="L107" s="23">
        <v>2</v>
      </c>
      <c r="M107" s="23">
        <v>3</v>
      </c>
      <c r="N107" s="23">
        <v>3</v>
      </c>
      <c r="O107" s="23">
        <v>3</v>
      </c>
      <c r="P107" s="23">
        <v>2</v>
      </c>
      <c r="Q107" s="23">
        <v>1</v>
      </c>
      <c r="R107" s="23">
        <v>2</v>
      </c>
      <c r="T107" s="23">
        <v>2</v>
      </c>
      <c r="U107" s="23">
        <v>2</v>
      </c>
      <c r="V107" s="23">
        <v>2</v>
      </c>
      <c r="X107" s="23">
        <v>2</v>
      </c>
      <c r="Y107" s="23">
        <v>2</v>
      </c>
      <c r="Z107" s="23">
        <v>3</v>
      </c>
      <c r="AA107" s="23">
        <v>2</v>
      </c>
      <c r="AC107" s="23">
        <v>2</v>
      </c>
      <c r="AD107" s="23">
        <v>2</v>
      </c>
    </row>
    <row r="108" spans="2:30" x14ac:dyDescent="0.3">
      <c r="B108" s="81"/>
      <c r="C108" s="72"/>
      <c r="D108" s="76"/>
      <c r="E108" s="73"/>
      <c r="F108" s="22" t="s">
        <v>3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T108" s="23">
        <v>0</v>
      </c>
      <c r="U108" s="23">
        <v>0</v>
      </c>
      <c r="V108" s="23">
        <v>0</v>
      </c>
      <c r="X108" s="23">
        <v>0</v>
      </c>
      <c r="Y108" s="23">
        <v>0</v>
      </c>
      <c r="Z108" s="23">
        <v>0</v>
      </c>
      <c r="AA108" s="23">
        <v>0</v>
      </c>
      <c r="AC108" s="23">
        <v>0</v>
      </c>
      <c r="AD108" s="23">
        <v>0</v>
      </c>
    </row>
    <row r="109" spans="2:30" x14ac:dyDescent="0.3">
      <c r="B109" s="81"/>
      <c r="C109" s="72"/>
      <c r="D109" s="75" t="s">
        <v>157</v>
      </c>
      <c r="E109" s="72"/>
      <c r="F109" s="22" t="s">
        <v>2</v>
      </c>
      <c r="G109" s="23">
        <v>3</v>
      </c>
      <c r="H109" s="23">
        <v>3</v>
      </c>
      <c r="I109" s="23">
        <v>3</v>
      </c>
      <c r="J109" s="23">
        <v>3</v>
      </c>
      <c r="K109" s="23">
        <v>3</v>
      </c>
      <c r="L109" s="23">
        <v>3</v>
      </c>
      <c r="M109" s="23">
        <v>3</v>
      </c>
      <c r="N109" s="23">
        <v>3</v>
      </c>
      <c r="O109" s="23">
        <v>3</v>
      </c>
      <c r="P109" s="23">
        <v>3</v>
      </c>
      <c r="Q109" s="23">
        <v>3</v>
      </c>
      <c r="R109" s="23">
        <v>3</v>
      </c>
      <c r="T109" s="23">
        <v>3</v>
      </c>
      <c r="U109" s="23">
        <v>3</v>
      </c>
      <c r="V109" s="23">
        <v>3</v>
      </c>
      <c r="X109" s="23">
        <v>3</v>
      </c>
      <c r="Y109" s="23">
        <v>3</v>
      </c>
      <c r="Z109" s="23">
        <v>3</v>
      </c>
      <c r="AA109" s="23">
        <v>3</v>
      </c>
      <c r="AC109" s="23">
        <v>3</v>
      </c>
      <c r="AD109" s="23">
        <v>3</v>
      </c>
    </row>
    <row r="110" spans="2:30" x14ac:dyDescent="0.3">
      <c r="B110" s="81"/>
      <c r="C110" s="72"/>
      <c r="D110" s="76"/>
      <c r="E110" s="73"/>
      <c r="F110" s="22" t="s">
        <v>3</v>
      </c>
      <c r="G110" s="23">
        <v>3</v>
      </c>
      <c r="H110" s="23">
        <v>3</v>
      </c>
      <c r="I110" s="23">
        <v>3</v>
      </c>
      <c r="J110" s="23">
        <v>3</v>
      </c>
      <c r="K110" s="23">
        <v>3</v>
      </c>
      <c r="L110" s="23">
        <v>3</v>
      </c>
      <c r="M110" s="23">
        <v>3</v>
      </c>
      <c r="N110" s="23">
        <v>3</v>
      </c>
      <c r="O110" s="23">
        <v>3</v>
      </c>
      <c r="P110" s="23">
        <v>3</v>
      </c>
      <c r="Q110" s="23">
        <v>3</v>
      </c>
      <c r="R110" s="23">
        <v>3</v>
      </c>
      <c r="T110" s="23">
        <v>3</v>
      </c>
      <c r="U110" s="23">
        <v>3</v>
      </c>
      <c r="V110" s="23">
        <v>3</v>
      </c>
      <c r="X110" s="23">
        <v>3</v>
      </c>
      <c r="Y110" s="23">
        <v>3</v>
      </c>
      <c r="Z110" s="23">
        <v>3</v>
      </c>
      <c r="AA110" s="23">
        <v>3</v>
      </c>
      <c r="AC110" s="23">
        <v>3</v>
      </c>
      <c r="AD110" s="23">
        <v>3</v>
      </c>
    </row>
    <row r="111" spans="2:30" x14ac:dyDescent="0.3">
      <c r="B111" s="81"/>
      <c r="C111" s="72"/>
      <c r="D111" s="75" t="s">
        <v>74</v>
      </c>
      <c r="E111" s="72"/>
      <c r="F111" s="22" t="s">
        <v>2</v>
      </c>
      <c r="G111" s="23">
        <v>3</v>
      </c>
      <c r="H111" s="23">
        <v>3</v>
      </c>
      <c r="I111" s="23">
        <v>2</v>
      </c>
      <c r="J111" s="23">
        <v>2</v>
      </c>
      <c r="K111" s="23">
        <v>1</v>
      </c>
      <c r="L111" s="23">
        <v>1</v>
      </c>
      <c r="M111" s="23">
        <v>3</v>
      </c>
      <c r="N111" s="23">
        <v>3</v>
      </c>
      <c r="O111" s="23">
        <v>3</v>
      </c>
      <c r="P111" s="23">
        <v>3</v>
      </c>
      <c r="Q111" s="23">
        <v>3</v>
      </c>
      <c r="R111" s="23">
        <v>4</v>
      </c>
      <c r="T111" s="23">
        <v>4</v>
      </c>
      <c r="U111" s="23">
        <v>3</v>
      </c>
      <c r="V111" s="23">
        <v>3</v>
      </c>
      <c r="X111" s="23">
        <v>3</v>
      </c>
      <c r="Y111" s="23">
        <v>1</v>
      </c>
      <c r="Z111" s="23">
        <v>3</v>
      </c>
      <c r="AA111" s="23">
        <v>3</v>
      </c>
      <c r="AC111" s="23">
        <v>4</v>
      </c>
      <c r="AD111" s="23">
        <v>3</v>
      </c>
    </row>
    <row r="112" spans="2:30" x14ac:dyDescent="0.3">
      <c r="B112" s="81"/>
      <c r="C112" s="72"/>
      <c r="D112" s="76"/>
      <c r="E112" s="73"/>
      <c r="F112" s="22" t="s">
        <v>3</v>
      </c>
      <c r="G112" s="23">
        <v>3</v>
      </c>
      <c r="H112" s="23">
        <v>3</v>
      </c>
      <c r="I112" s="23">
        <v>3</v>
      </c>
      <c r="J112" s="23">
        <v>3</v>
      </c>
      <c r="K112" s="23">
        <v>3</v>
      </c>
      <c r="L112" s="23">
        <v>3</v>
      </c>
      <c r="M112" s="23">
        <v>3</v>
      </c>
      <c r="N112" s="23">
        <v>3</v>
      </c>
      <c r="O112" s="23">
        <v>3</v>
      </c>
      <c r="P112" s="23">
        <v>3</v>
      </c>
      <c r="Q112" s="23">
        <v>3</v>
      </c>
      <c r="R112" s="23">
        <v>3</v>
      </c>
      <c r="T112" s="23">
        <v>3</v>
      </c>
      <c r="U112" s="23">
        <v>3</v>
      </c>
      <c r="V112" s="23">
        <v>3</v>
      </c>
      <c r="X112" s="23">
        <v>3</v>
      </c>
      <c r="Y112" s="23">
        <v>3</v>
      </c>
      <c r="Z112" s="23">
        <v>3</v>
      </c>
      <c r="AA112" s="23">
        <v>3</v>
      </c>
      <c r="AC112" s="23">
        <v>3</v>
      </c>
      <c r="AD112" s="23">
        <v>3</v>
      </c>
    </row>
    <row r="113" spans="2:30" x14ac:dyDescent="0.3">
      <c r="B113" s="81"/>
      <c r="C113" s="72"/>
      <c r="D113" s="75" t="s">
        <v>155</v>
      </c>
      <c r="E113" s="72"/>
      <c r="F113" s="22" t="s">
        <v>2</v>
      </c>
      <c r="G113" s="23">
        <v>9</v>
      </c>
      <c r="H113" s="23">
        <v>9</v>
      </c>
      <c r="I113" s="23">
        <v>5</v>
      </c>
      <c r="J113" s="23">
        <v>5</v>
      </c>
      <c r="K113" s="23">
        <v>5</v>
      </c>
      <c r="L113" s="23">
        <v>6</v>
      </c>
      <c r="M113" s="23">
        <v>5</v>
      </c>
      <c r="N113" s="23">
        <v>2</v>
      </c>
      <c r="O113" s="23">
        <v>2</v>
      </c>
      <c r="P113" s="23">
        <v>2</v>
      </c>
      <c r="Q113" s="23">
        <v>1</v>
      </c>
      <c r="R113" s="23">
        <v>2</v>
      </c>
      <c r="T113" s="23">
        <v>2</v>
      </c>
      <c r="U113" s="23">
        <v>4</v>
      </c>
      <c r="V113" s="23">
        <v>4</v>
      </c>
      <c r="X113" s="23">
        <v>8</v>
      </c>
      <c r="Y113" s="23">
        <v>5</v>
      </c>
      <c r="Z113" s="23">
        <v>3</v>
      </c>
      <c r="AA113" s="23">
        <v>2</v>
      </c>
      <c r="AC113" s="23">
        <v>2</v>
      </c>
      <c r="AD113" s="23">
        <v>4</v>
      </c>
    </row>
    <row r="114" spans="2:30" x14ac:dyDescent="0.3">
      <c r="B114" s="76"/>
      <c r="C114" s="73"/>
      <c r="D114" s="76"/>
      <c r="E114" s="73"/>
      <c r="F114" s="22" t="s">
        <v>3</v>
      </c>
      <c r="G114" s="23">
        <v>12</v>
      </c>
      <c r="H114" s="23">
        <v>12</v>
      </c>
      <c r="I114" s="23">
        <v>12</v>
      </c>
      <c r="J114" s="23">
        <v>12</v>
      </c>
      <c r="K114" s="23">
        <v>12</v>
      </c>
      <c r="L114" s="23">
        <v>12</v>
      </c>
      <c r="M114" s="23">
        <v>12</v>
      </c>
      <c r="N114" s="23">
        <v>12</v>
      </c>
      <c r="O114" s="23">
        <v>12</v>
      </c>
      <c r="P114" s="23">
        <v>12</v>
      </c>
      <c r="Q114" s="23">
        <v>12</v>
      </c>
      <c r="R114" s="23">
        <v>12</v>
      </c>
      <c r="T114" s="23">
        <v>12</v>
      </c>
      <c r="U114" s="23">
        <v>12</v>
      </c>
      <c r="V114" s="23">
        <v>12</v>
      </c>
      <c r="X114" s="23">
        <v>12</v>
      </c>
      <c r="Y114" s="23">
        <v>12</v>
      </c>
      <c r="Z114" s="23">
        <v>12</v>
      </c>
      <c r="AA114" s="23">
        <v>12</v>
      </c>
      <c r="AC114" s="23">
        <v>12</v>
      </c>
      <c r="AD114" s="23">
        <v>12</v>
      </c>
    </row>
    <row r="115" spans="2:30" x14ac:dyDescent="0.3">
      <c r="B115" s="75" t="s">
        <v>75</v>
      </c>
      <c r="C115" s="72"/>
      <c r="D115" s="75" t="s">
        <v>76</v>
      </c>
      <c r="E115" s="72"/>
      <c r="F115" s="22" t="s">
        <v>2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6</v>
      </c>
      <c r="O115" s="23">
        <v>6</v>
      </c>
      <c r="P115" s="23">
        <v>5</v>
      </c>
      <c r="Q115" s="23">
        <v>6</v>
      </c>
      <c r="R115" s="23">
        <v>6</v>
      </c>
      <c r="T115" s="23">
        <v>6</v>
      </c>
      <c r="U115" s="23">
        <v>6</v>
      </c>
      <c r="V115" s="23">
        <v>5</v>
      </c>
      <c r="X115" s="23">
        <v>0</v>
      </c>
      <c r="Y115" s="23">
        <v>0</v>
      </c>
      <c r="Z115" s="23">
        <v>6</v>
      </c>
      <c r="AA115" s="23">
        <v>6</v>
      </c>
      <c r="AC115" s="23">
        <v>6</v>
      </c>
      <c r="AD115" s="23">
        <v>6</v>
      </c>
    </row>
    <row r="116" spans="2:30" x14ac:dyDescent="0.3">
      <c r="B116" s="81"/>
      <c r="C116" s="72"/>
      <c r="D116" s="76"/>
      <c r="E116" s="73"/>
      <c r="F116" s="22" t="s">
        <v>3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T116" s="23">
        <v>0</v>
      </c>
      <c r="U116" s="23">
        <v>0</v>
      </c>
      <c r="V116" s="23">
        <v>0</v>
      </c>
      <c r="X116" s="23">
        <v>0</v>
      </c>
      <c r="Y116" s="23">
        <v>0</v>
      </c>
      <c r="Z116" s="23">
        <v>0</v>
      </c>
      <c r="AA116" s="23">
        <v>0</v>
      </c>
      <c r="AC116" s="23">
        <v>0</v>
      </c>
      <c r="AD116" s="23">
        <v>0</v>
      </c>
    </row>
    <row r="117" spans="2:30" x14ac:dyDescent="0.3">
      <c r="B117" s="81"/>
      <c r="C117" s="72"/>
      <c r="D117" s="75" t="s">
        <v>77</v>
      </c>
      <c r="E117" s="72"/>
      <c r="F117" s="22" t="s">
        <v>2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4</v>
      </c>
      <c r="O117" s="23">
        <v>4</v>
      </c>
      <c r="P117" s="23">
        <v>4</v>
      </c>
      <c r="Q117" s="23">
        <v>4</v>
      </c>
      <c r="R117" s="23">
        <v>4</v>
      </c>
      <c r="T117" s="23">
        <v>4</v>
      </c>
      <c r="U117" s="23">
        <v>4</v>
      </c>
      <c r="V117" s="23">
        <v>3</v>
      </c>
      <c r="X117" s="23">
        <v>0</v>
      </c>
      <c r="Y117" s="23">
        <v>0</v>
      </c>
      <c r="Z117" s="23">
        <v>4</v>
      </c>
      <c r="AA117" s="23">
        <v>4</v>
      </c>
      <c r="AC117" s="23">
        <v>4</v>
      </c>
      <c r="AD117" s="23">
        <v>4</v>
      </c>
    </row>
    <row r="118" spans="2:30" x14ac:dyDescent="0.3">
      <c r="B118" s="81"/>
      <c r="C118" s="72"/>
      <c r="D118" s="76"/>
      <c r="E118" s="73"/>
      <c r="F118" s="22" t="s">
        <v>3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T118" s="23">
        <v>0</v>
      </c>
      <c r="U118" s="23">
        <v>0</v>
      </c>
      <c r="V118" s="23">
        <v>0</v>
      </c>
      <c r="X118" s="23">
        <v>0</v>
      </c>
      <c r="Y118" s="23">
        <v>0</v>
      </c>
      <c r="Z118" s="23">
        <v>0</v>
      </c>
      <c r="AA118" s="23">
        <v>0</v>
      </c>
      <c r="AC118" s="23">
        <v>0</v>
      </c>
      <c r="AD118" s="23">
        <v>0</v>
      </c>
    </row>
    <row r="119" spans="2:30" x14ac:dyDescent="0.3">
      <c r="B119" s="81"/>
      <c r="C119" s="72"/>
      <c r="D119" s="75" t="s">
        <v>75</v>
      </c>
      <c r="E119" s="72"/>
      <c r="F119" s="22" t="s">
        <v>2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5</v>
      </c>
      <c r="O119" s="23">
        <v>5</v>
      </c>
      <c r="P119" s="23">
        <v>5</v>
      </c>
      <c r="Q119" s="23">
        <v>5</v>
      </c>
      <c r="R119" s="23">
        <v>6</v>
      </c>
      <c r="T119" s="23">
        <v>6</v>
      </c>
      <c r="U119" s="23">
        <v>5</v>
      </c>
      <c r="V119" s="23">
        <v>4</v>
      </c>
      <c r="X119" s="23">
        <v>0</v>
      </c>
      <c r="Y119" s="23">
        <v>0</v>
      </c>
      <c r="Z119" s="23">
        <v>5</v>
      </c>
      <c r="AA119" s="23">
        <v>5</v>
      </c>
      <c r="AC119" s="23">
        <v>6</v>
      </c>
      <c r="AD119" s="23">
        <v>5</v>
      </c>
    </row>
    <row r="120" spans="2:30" x14ac:dyDescent="0.3">
      <c r="B120" s="76"/>
      <c r="C120" s="73"/>
      <c r="D120" s="76"/>
      <c r="E120" s="73"/>
      <c r="F120" s="22" t="s">
        <v>3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T120" s="23">
        <v>0</v>
      </c>
      <c r="U120" s="23">
        <v>0</v>
      </c>
      <c r="V120" s="23">
        <v>0</v>
      </c>
      <c r="X120" s="23">
        <v>0</v>
      </c>
      <c r="Y120" s="23">
        <v>0</v>
      </c>
      <c r="Z120" s="23">
        <v>0</v>
      </c>
      <c r="AA120" s="23">
        <v>0</v>
      </c>
      <c r="AC120" s="23">
        <v>0</v>
      </c>
      <c r="AD120" s="23">
        <v>0</v>
      </c>
    </row>
    <row r="121" spans="2:30" ht="11.25" customHeight="1" x14ac:dyDescent="0.3"/>
    <row r="122" spans="2:30" x14ac:dyDescent="0.3">
      <c r="B122" s="83" t="s">
        <v>134</v>
      </c>
      <c r="C122" s="73"/>
      <c r="D122" s="73"/>
      <c r="E122" s="73"/>
      <c r="F122" s="16" t="s">
        <v>2</v>
      </c>
      <c r="G122" s="17">
        <v>141</v>
      </c>
      <c r="H122" s="17">
        <v>119</v>
      </c>
      <c r="I122" s="17">
        <v>110</v>
      </c>
      <c r="J122" s="17">
        <v>110</v>
      </c>
      <c r="K122" s="17">
        <v>125</v>
      </c>
      <c r="L122" s="17">
        <v>135</v>
      </c>
      <c r="M122" s="17">
        <v>137</v>
      </c>
      <c r="N122" s="17">
        <v>121</v>
      </c>
      <c r="O122" s="17">
        <v>110</v>
      </c>
      <c r="P122" s="17">
        <v>103</v>
      </c>
      <c r="Q122" s="17">
        <v>116</v>
      </c>
      <c r="R122" s="17">
        <v>110</v>
      </c>
      <c r="T122" s="17">
        <v>110</v>
      </c>
      <c r="U122" s="17">
        <v>120</v>
      </c>
      <c r="V122" s="17">
        <v>120</v>
      </c>
      <c r="X122" s="17">
        <v>123</v>
      </c>
      <c r="Y122" s="17">
        <v>123</v>
      </c>
      <c r="Z122" s="17">
        <v>123</v>
      </c>
      <c r="AA122" s="17">
        <v>110</v>
      </c>
      <c r="AC122" s="17">
        <v>110</v>
      </c>
      <c r="AD122" s="17">
        <v>120</v>
      </c>
    </row>
    <row r="123" spans="2:30" x14ac:dyDescent="0.3">
      <c r="F123" s="16" t="s">
        <v>3</v>
      </c>
      <c r="G123" s="17">
        <v>119</v>
      </c>
      <c r="H123" s="17">
        <v>116</v>
      </c>
      <c r="I123" s="17">
        <v>117</v>
      </c>
      <c r="J123" s="17">
        <v>117</v>
      </c>
      <c r="K123" s="17">
        <v>117</v>
      </c>
      <c r="L123" s="17">
        <v>117</v>
      </c>
      <c r="M123" s="17">
        <v>116</v>
      </c>
      <c r="N123" s="17">
        <v>116</v>
      </c>
      <c r="O123" s="17">
        <v>115</v>
      </c>
      <c r="P123" s="17">
        <v>115</v>
      </c>
      <c r="Q123" s="17">
        <v>115</v>
      </c>
      <c r="R123" s="17">
        <v>115</v>
      </c>
      <c r="T123" s="17">
        <v>115</v>
      </c>
      <c r="U123" s="17">
        <v>116</v>
      </c>
      <c r="V123" s="17">
        <v>116</v>
      </c>
      <c r="X123" s="17">
        <v>117</v>
      </c>
      <c r="Y123" s="17">
        <v>117</v>
      </c>
      <c r="Z123" s="17">
        <v>116</v>
      </c>
      <c r="AA123" s="17">
        <v>115</v>
      </c>
      <c r="AC123" s="17">
        <v>115</v>
      </c>
      <c r="AD123" s="17">
        <v>116</v>
      </c>
    </row>
    <row r="124" spans="2:30" ht="2.1" customHeight="1" x14ac:dyDescent="0.3"/>
    <row r="125" spans="2:30" x14ac:dyDescent="0.3">
      <c r="B125" s="78" t="s">
        <v>79</v>
      </c>
      <c r="C125" s="73"/>
      <c r="D125" s="73"/>
      <c r="E125" s="73"/>
      <c r="F125" s="16" t="s">
        <v>2</v>
      </c>
      <c r="G125" s="17">
        <v>111.44</v>
      </c>
      <c r="H125" s="17">
        <v>108.99</v>
      </c>
      <c r="I125" s="17">
        <v>103.4</v>
      </c>
      <c r="J125" s="17">
        <v>109.1</v>
      </c>
      <c r="K125" s="17">
        <v>116</v>
      </c>
      <c r="L125" s="17">
        <v>121</v>
      </c>
      <c r="M125" s="17">
        <v>113</v>
      </c>
      <c r="N125" s="17">
        <v>101</v>
      </c>
      <c r="O125" s="17">
        <v>101</v>
      </c>
      <c r="P125" s="17">
        <v>101</v>
      </c>
      <c r="Q125" s="17">
        <v>100</v>
      </c>
      <c r="R125" s="17">
        <v>101</v>
      </c>
      <c r="T125" s="17">
        <v>101</v>
      </c>
      <c r="U125" s="17">
        <v>107</v>
      </c>
      <c r="V125" s="17">
        <v>107</v>
      </c>
      <c r="X125" s="17">
        <v>108</v>
      </c>
      <c r="Y125" s="17">
        <v>115</v>
      </c>
      <c r="Z125" s="17">
        <v>105</v>
      </c>
      <c r="AA125" s="17">
        <v>101</v>
      </c>
      <c r="AC125" s="17">
        <v>101</v>
      </c>
      <c r="AD125" s="17">
        <v>107</v>
      </c>
    </row>
    <row r="126" spans="2:30" x14ac:dyDescent="0.3">
      <c r="F126" s="16" t="s">
        <v>3</v>
      </c>
      <c r="G126" s="17">
        <v>106</v>
      </c>
      <c r="H126" s="17">
        <v>103</v>
      </c>
      <c r="I126" s="17">
        <v>103</v>
      </c>
      <c r="J126" s="17">
        <v>103</v>
      </c>
      <c r="K126" s="17">
        <v>103</v>
      </c>
      <c r="L126" s="17">
        <v>103</v>
      </c>
      <c r="M126" s="17">
        <v>103</v>
      </c>
      <c r="N126" s="17">
        <v>103</v>
      </c>
      <c r="O126" s="17">
        <v>103</v>
      </c>
      <c r="P126" s="17">
        <v>103</v>
      </c>
      <c r="Q126" s="17">
        <v>103</v>
      </c>
      <c r="R126" s="17">
        <v>103</v>
      </c>
      <c r="T126" s="17">
        <v>103</v>
      </c>
      <c r="U126" s="17">
        <v>103</v>
      </c>
      <c r="V126" s="17">
        <v>103</v>
      </c>
      <c r="X126" s="17">
        <v>104</v>
      </c>
      <c r="Y126" s="17">
        <v>103</v>
      </c>
      <c r="Z126" s="17">
        <v>103</v>
      </c>
      <c r="AA126" s="17">
        <v>103</v>
      </c>
      <c r="AC126" s="17">
        <v>103</v>
      </c>
      <c r="AD126" s="17">
        <v>103</v>
      </c>
    </row>
    <row r="127" spans="2:30" ht="1.05" customHeight="1" x14ac:dyDescent="0.3"/>
    <row r="128" spans="2:30" x14ac:dyDescent="0.3">
      <c r="B128" s="78" t="s">
        <v>80</v>
      </c>
      <c r="C128" s="73"/>
      <c r="D128" s="73"/>
      <c r="E128" s="73"/>
      <c r="F128" s="16" t="s">
        <v>2</v>
      </c>
      <c r="G128" s="17">
        <v>29.32</v>
      </c>
      <c r="H128" s="17">
        <v>9.6999999999999993</v>
      </c>
      <c r="I128" s="17">
        <v>6.8</v>
      </c>
      <c r="J128" s="17">
        <v>0.9</v>
      </c>
      <c r="K128" s="17">
        <v>9</v>
      </c>
      <c r="L128" s="17">
        <v>14</v>
      </c>
      <c r="M128" s="17">
        <v>24</v>
      </c>
      <c r="N128" s="17">
        <v>20</v>
      </c>
      <c r="O128" s="17">
        <v>9</v>
      </c>
      <c r="P128" s="17">
        <v>2</v>
      </c>
      <c r="Q128" s="17">
        <v>16</v>
      </c>
      <c r="R128" s="17">
        <v>9</v>
      </c>
      <c r="T128" s="17">
        <v>9</v>
      </c>
      <c r="U128" s="17">
        <v>13</v>
      </c>
      <c r="V128" s="17">
        <v>13</v>
      </c>
      <c r="X128" s="17">
        <v>15</v>
      </c>
      <c r="Y128" s="17">
        <v>8</v>
      </c>
      <c r="Z128" s="17">
        <v>18</v>
      </c>
      <c r="AA128" s="17">
        <v>9</v>
      </c>
      <c r="AC128" s="17">
        <v>9</v>
      </c>
      <c r="AD128" s="17">
        <v>13</v>
      </c>
    </row>
    <row r="129" spans="2:30" x14ac:dyDescent="0.3">
      <c r="F129" s="16" t="s">
        <v>3</v>
      </c>
      <c r="G129" s="17">
        <v>13</v>
      </c>
      <c r="H129" s="17">
        <v>13</v>
      </c>
      <c r="I129" s="17">
        <v>14</v>
      </c>
      <c r="J129" s="17">
        <v>14</v>
      </c>
      <c r="K129" s="17">
        <v>14</v>
      </c>
      <c r="L129" s="17">
        <v>14</v>
      </c>
      <c r="M129" s="17">
        <v>13</v>
      </c>
      <c r="N129" s="17">
        <v>13</v>
      </c>
      <c r="O129" s="17">
        <v>12</v>
      </c>
      <c r="P129" s="17">
        <v>12</v>
      </c>
      <c r="Q129" s="17">
        <v>12</v>
      </c>
      <c r="R129" s="17">
        <v>12</v>
      </c>
      <c r="T129" s="17">
        <v>12</v>
      </c>
      <c r="U129" s="17">
        <v>13</v>
      </c>
      <c r="V129" s="17">
        <v>13</v>
      </c>
      <c r="X129" s="17">
        <v>13</v>
      </c>
      <c r="Y129" s="17">
        <v>14</v>
      </c>
      <c r="Z129" s="17">
        <v>13</v>
      </c>
      <c r="AA129" s="17">
        <v>12</v>
      </c>
      <c r="AC129" s="17">
        <v>12</v>
      </c>
      <c r="AD129" s="17">
        <v>13</v>
      </c>
    </row>
    <row r="130" spans="2:30" ht="10.35" customHeight="1" x14ac:dyDescent="0.3"/>
    <row r="131" spans="2:30" x14ac:dyDescent="0.3">
      <c r="B131" s="18" t="s">
        <v>81</v>
      </c>
      <c r="C131" s="84" t="s">
        <v>5</v>
      </c>
      <c r="D131" s="73"/>
      <c r="E131" s="19" t="s">
        <v>5</v>
      </c>
      <c r="F131" s="20" t="s">
        <v>6</v>
      </c>
      <c r="G131" s="21" t="s">
        <v>138</v>
      </c>
      <c r="H131" s="21" t="s">
        <v>139</v>
      </c>
      <c r="I131" s="21" t="s">
        <v>140</v>
      </c>
      <c r="J131" s="21" t="s">
        <v>141</v>
      </c>
      <c r="K131" s="21" t="s">
        <v>142</v>
      </c>
      <c r="L131" s="21" t="s">
        <v>143</v>
      </c>
      <c r="M131" s="21" t="s">
        <v>144</v>
      </c>
      <c r="N131" s="21" t="s">
        <v>145</v>
      </c>
      <c r="O131" s="21" t="s">
        <v>146</v>
      </c>
      <c r="P131" s="21" t="s">
        <v>147</v>
      </c>
      <c r="Q131" s="21" t="s">
        <v>148</v>
      </c>
      <c r="R131" s="21" t="s">
        <v>149</v>
      </c>
      <c r="T131" s="21" t="s">
        <v>24</v>
      </c>
      <c r="U131" s="21" t="s">
        <v>25</v>
      </c>
      <c r="V131" s="21" t="s">
        <v>19</v>
      </c>
      <c r="X131" s="21" t="s">
        <v>20</v>
      </c>
      <c r="Y131" s="21" t="s">
        <v>21</v>
      </c>
      <c r="Z131" s="21" t="s">
        <v>22</v>
      </c>
      <c r="AA131" s="21" t="s">
        <v>23</v>
      </c>
      <c r="AC131" s="21" t="s">
        <v>24</v>
      </c>
      <c r="AD131" s="21" t="s">
        <v>25</v>
      </c>
    </row>
    <row r="132" spans="2:30" x14ac:dyDescent="0.3">
      <c r="B132" s="75" t="s">
        <v>26</v>
      </c>
      <c r="C132" s="75" t="s">
        <v>26</v>
      </c>
      <c r="D132" s="72"/>
      <c r="E132" s="75" t="s">
        <v>82</v>
      </c>
      <c r="F132" s="22" t="s">
        <v>2</v>
      </c>
      <c r="G132" s="23">
        <v>1</v>
      </c>
      <c r="H132" s="23">
        <v>1</v>
      </c>
      <c r="I132" s="23">
        <v>1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T132" s="23">
        <v>0</v>
      </c>
      <c r="U132" s="23">
        <v>0</v>
      </c>
      <c r="V132" s="23">
        <v>0</v>
      </c>
      <c r="X132" s="23">
        <v>1</v>
      </c>
      <c r="Y132" s="23">
        <v>0</v>
      </c>
      <c r="Z132" s="23">
        <v>0</v>
      </c>
      <c r="AA132" s="23">
        <v>0</v>
      </c>
      <c r="AC132" s="23">
        <v>0</v>
      </c>
      <c r="AD132" s="23">
        <v>0</v>
      </c>
    </row>
    <row r="133" spans="2:30" x14ac:dyDescent="0.3">
      <c r="B133" s="76"/>
      <c r="C133" s="76"/>
      <c r="D133" s="73"/>
      <c r="E133" s="76"/>
      <c r="F133" s="22" t="s">
        <v>3</v>
      </c>
      <c r="G133" s="23">
        <v>1</v>
      </c>
      <c r="H133" s="23">
        <v>1</v>
      </c>
      <c r="I133" s="23">
        <v>2</v>
      </c>
      <c r="J133" s="23">
        <v>2</v>
      </c>
      <c r="K133" s="23">
        <v>2</v>
      </c>
      <c r="L133" s="23">
        <v>2</v>
      </c>
      <c r="M133" s="23">
        <v>1</v>
      </c>
      <c r="N133" s="23">
        <v>1</v>
      </c>
      <c r="O133" s="23">
        <v>0</v>
      </c>
      <c r="P133" s="23">
        <v>0</v>
      </c>
      <c r="Q133" s="23">
        <v>0</v>
      </c>
      <c r="R133" s="23">
        <v>0</v>
      </c>
      <c r="T133" s="23">
        <v>0</v>
      </c>
      <c r="U133" s="23">
        <v>1</v>
      </c>
      <c r="V133" s="23">
        <v>1</v>
      </c>
      <c r="X133" s="23">
        <v>1</v>
      </c>
      <c r="Y133" s="23">
        <v>2</v>
      </c>
      <c r="Z133" s="23">
        <v>1</v>
      </c>
      <c r="AA133" s="23">
        <v>0</v>
      </c>
      <c r="AC133" s="23">
        <v>0</v>
      </c>
      <c r="AD133" s="23">
        <v>1</v>
      </c>
    </row>
    <row r="134" spans="2:30" x14ac:dyDescent="0.3">
      <c r="B134" s="75" t="s">
        <v>113</v>
      </c>
      <c r="C134" s="75" t="s">
        <v>114</v>
      </c>
      <c r="D134" s="72"/>
      <c r="E134" s="75" t="s">
        <v>83</v>
      </c>
      <c r="F134" s="22" t="s">
        <v>2</v>
      </c>
      <c r="G134" s="23">
        <v>1</v>
      </c>
      <c r="H134" s="23">
        <v>1</v>
      </c>
      <c r="I134" s="23">
        <v>1</v>
      </c>
      <c r="J134" s="23">
        <v>1</v>
      </c>
      <c r="K134" s="23">
        <v>1</v>
      </c>
      <c r="L134" s="23">
        <v>1</v>
      </c>
      <c r="M134" s="23">
        <v>1</v>
      </c>
      <c r="N134" s="23">
        <v>1</v>
      </c>
      <c r="O134" s="23">
        <v>1</v>
      </c>
      <c r="P134" s="23">
        <v>1</v>
      </c>
      <c r="Q134" s="23">
        <v>1</v>
      </c>
      <c r="R134" s="23">
        <v>1</v>
      </c>
      <c r="T134" s="23">
        <v>1</v>
      </c>
      <c r="U134" s="23">
        <v>1</v>
      </c>
      <c r="V134" s="23">
        <v>1</v>
      </c>
      <c r="X134" s="23">
        <v>1</v>
      </c>
      <c r="Y134" s="23">
        <v>1</v>
      </c>
      <c r="Z134" s="23">
        <v>1</v>
      </c>
      <c r="AA134" s="23">
        <v>1</v>
      </c>
      <c r="AC134" s="23">
        <v>1</v>
      </c>
      <c r="AD134" s="23">
        <v>1</v>
      </c>
    </row>
    <row r="135" spans="2:30" x14ac:dyDescent="0.3">
      <c r="B135" s="81"/>
      <c r="C135" s="76"/>
      <c r="D135" s="73"/>
      <c r="E135" s="76"/>
      <c r="F135" s="22" t="s">
        <v>3</v>
      </c>
      <c r="G135" s="23">
        <v>1</v>
      </c>
      <c r="H135" s="23">
        <v>1</v>
      </c>
      <c r="I135" s="23">
        <v>1</v>
      </c>
      <c r="J135" s="23">
        <v>1</v>
      </c>
      <c r="K135" s="23">
        <v>1</v>
      </c>
      <c r="L135" s="23">
        <v>1</v>
      </c>
      <c r="M135" s="23">
        <v>1</v>
      </c>
      <c r="N135" s="23">
        <v>1</v>
      </c>
      <c r="O135" s="23">
        <v>1</v>
      </c>
      <c r="P135" s="23">
        <v>1</v>
      </c>
      <c r="Q135" s="23">
        <v>1</v>
      </c>
      <c r="R135" s="23">
        <v>1</v>
      </c>
      <c r="T135" s="23">
        <v>1</v>
      </c>
      <c r="U135" s="23">
        <v>1</v>
      </c>
      <c r="V135" s="23">
        <v>1</v>
      </c>
      <c r="X135" s="23">
        <v>1</v>
      </c>
      <c r="Y135" s="23">
        <v>1</v>
      </c>
      <c r="Z135" s="23">
        <v>1</v>
      </c>
      <c r="AA135" s="23">
        <v>1</v>
      </c>
      <c r="AC135" s="23">
        <v>1</v>
      </c>
      <c r="AD135" s="23">
        <v>1</v>
      </c>
    </row>
    <row r="136" spans="2:30" x14ac:dyDescent="0.3">
      <c r="B136" s="81"/>
      <c r="C136" s="75" t="s">
        <v>35</v>
      </c>
      <c r="D136" s="72"/>
      <c r="E136" s="75" t="s">
        <v>83</v>
      </c>
      <c r="F136" s="22" t="s">
        <v>2</v>
      </c>
      <c r="G136" s="23">
        <v>1</v>
      </c>
      <c r="H136" s="23">
        <v>1</v>
      </c>
      <c r="I136" s="23">
        <v>1</v>
      </c>
      <c r="J136" s="23">
        <v>1</v>
      </c>
      <c r="K136" s="23">
        <v>1</v>
      </c>
      <c r="L136" s="23">
        <v>1</v>
      </c>
      <c r="M136" s="23">
        <v>1</v>
      </c>
      <c r="N136" s="23">
        <v>1</v>
      </c>
      <c r="O136" s="23">
        <v>1</v>
      </c>
      <c r="P136" s="23">
        <v>1</v>
      </c>
      <c r="Q136" s="23">
        <v>1</v>
      </c>
      <c r="R136" s="23">
        <v>1</v>
      </c>
      <c r="T136" s="23">
        <v>1</v>
      </c>
      <c r="U136" s="23">
        <v>1</v>
      </c>
      <c r="V136" s="23">
        <v>1</v>
      </c>
      <c r="X136" s="23">
        <v>1</v>
      </c>
      <c r="Y136" s="23">
        <v>1</v>
      </c>
      <c r="Z136" s="23">
        <v>1</v>
      </c>
      <c r="AA136" s="23">
        <v>1</v>
      </c>
      <c r="AC136" s="23">
        <v>1</v>
      </c>
      <c r="AD136" s="23">
        <v>1</v>
      </c>
    </row>
    <row r="137" spans="2:30" x14ac:dyDescent="0.3">
      <c r="B137" s="81"/>
      <c r="C137" s="76"/>
      <c r="D137" s="73"/>
      <c r="E137" s="76"/>
      <c r="F137" s="22" t="s">
        <v>3</v>
      </c>
      <c r="G137" s="23">
        <v>1</v>
      </c>
      <c r="H137" s="23">
        <v>1</v>
      </c>
      <c r="I137" s="23">
        <v>1</v>
      </c>
      <c r="J137" s="23">
        <v>1</v>
      </c>
      <c r="K137" s="23">
        <v>1</v>
      </c>
      <c r="L137" s="23">
        <v>1</v>
      </c>
      <c r="M137" s="23">
        <v>1</v>
      </c>
      <c r="N137" s="23">
        <v>1</v>
      </c>
      <c r="O137" s="23">
        <v>1</v>
      </c>
      <c r="P137" s="23">
        <v>1</v>
      </c>
      <c r="Q137" s="23">
        <v>1</v>
      </c>
      <c r="R137" s="23">
        <v>1</v>
      </c>
      <c r="T137" s="23">
        <v>1</v>
      </c>
      <c r="U137" s="23">
        <v>1</v>
      </c>
      <c r="V137" s="23">
        <v>1</v>
      </c>
      <c r="X137" s="23">
        <v>1</v>
      </c>
      <c r="Y137" s="23">
        <v>1</v>
      </c>
      <c r="Z137" s="23">
        <v>1</v>
      </c>
      <c r="AA137" s="23">
        <v>1</v>
      </c>
      <c r="AC137" s="23">
        <v>1</v>
      </c>
      <c r="AD137" s="23">
        <v>1</v>
      </c>
    </row>
    <row r="138" spans="2:30" x14ac:dyDescent="0.3">
      <c r="B138" s="81"/>
      <c r="C138" s="75" t="s">
        <v>76</v>
      </c>
      <c r="D138" s="72"/>
      <c r="E138" s="75" t="s">
        <v>83</v>
      </c>
      <c r="F138" s="22" t="s">
        <v>2</v>
      </c>
      <c r="G138" s="23">
        <v>3</v>
      </c>
      <c r="H138" s="23">
        <v>4</v>
      </c>
      <c r="I138" s="23">
        <v>4</v>
      </c>
      <c r="J138" s="23">
        <v>5</v>
      </c>
      <c r="K138" s="23">
        <v>5</v>
      </c>
      <c r="L138" s="23">
        <v>4</v>
      </c>
      <c r="M138" s="23">
        <v>5</v>
      </c>
      <c r="N138" s="23">
        <v>5</v>
      </c>
      <c r="O138" s="23">
        <v>5</v>
      </c>
      <c r="P138" s="23">
        <v>5</v>
      </c>
      <c r="Q138" s="23">
        <v>5</v>
      </c>
      <c r="R138" s="23">
        <v>5</v>
      </c>
      <c r="T138" s="23">
        <v>5</v>
      </c>
      <c r="U138" s="23">
        <v>5</v>
      </c>
      <c r="V138" s="23">
        <v>5</v>
      </c>
      <c r="X138" s="23">
        <v>4</v>
      </c>
      <c r="Y138" s="23">
        <v>5</v>
      </c>
      <c r="Z138" s="23">
        <v>5</v>
      </c>
      <c r="AA138" s="23">
        <v>5</v>
      </c>
      <c r="AC138" s="23">
        <v>5</v>
      </c>
      <c r="AD138" s="23">
        <v>5</v>
      </c>
    </row>
    <row r="139" spans="2:30" x14ac:dyDescent="0.3">
      <c r="B139" s="81"/>
      <c r="C139" s="76"/>
      <c r="D139" s="73"/>
      <c r="E139" s="76"/>
      <c r="F139" s="22" t="s">
        <v>3</v>
      </c>
      <c r="G139" s="23">
        <v>3</v>
      </c>
      <c r="H139" s="23">
        <v>3</v>
      </c>
      <c r="I139" s="23">
        <v>3</v>
      </c>
      <c r="J139" s="23">
        <v>3</v>
      </c>
      <c r="K139" s="23">
        <v>3</v>
      </c>
      <c r="L139" s="23">
        <v>3</v>
      </c>
      <c r="M139" s="23">
        <v>3</v>
      </c>
      <c r="N139" s="23">
        <v>3</v>
      </c>
      <c r="O139" s="23">
        <v>3</v>
      </c>
      <c r="P139" s="23">
        <v>3</v>
      </c>
      <c r="Q139" s="23">
        <v>3</v>
      </c>
      <c r="R139" s="23">
        <v>3</v>
      </c>
      <c r="T139" s="23">
        <v>3</v>
      </c>
      <c r="U139" s="23">
        <v>3</v>
      </c>
      <c r="V139" s="23">
        <v>3</v>
      </c>
      <c r="X139" s="23">
        <v>3</v>
      </c>
      <c r="Y139" s="23">
        <v>3</v>
      </c>
      <c r="Z139" s="23">
        <v>3</v>
      </c>
      <c r="AA139" s="23">
        <v>3</v>
      </c>
      <c r="AC139" s="23">
        <v>3</v>
      </c>
      <c r="AD139" s="23">
        <v>3</v>
      </c>
    </row>
    <row r="140" spans="2:30" x14ac:dyDescent="0.3">
      <c r="B140" s="81"/>
      <c r="C140" s="75" t="s">
        <v>116</v>
      </c>
      <c r="D140" s="72"/>
      <c r="E140" s="75" t="s">
        <v>83</v>
      </c>
      <c r="F140" s="22" t="s">
        <v>2</v>
      </c>
      <c r="G140" s="23">
        <v>9</v>
      </c>
      <c r="H140" s="23">
        <v>7</v>
      </c>
      <c r="I140" s="23">
        <v>7</v>
      </c>
      <c r="J140" s="23">
        <v>7</v>
      </c>
      <c r="K140" s="23">
        <v>7</v>
      </c>
      <c r="L140" s="23">
        <v>7</v>
      </c>
      <c r="M140" s="23">
        <v>7</v>
      </c>
      <c r="N140" s="23">
        <v>7</v>
      </c>
      <c r="O140" s="23">
        <v>8</v>
      </c>
      <c r="P140" s="23">
        <v>8</v>
      </c>
      <c r="Q140" s="23">
        <v>8</v>
      </c>
      <c r="R140" s="23">
        <v>8</v>
      </c>
      <c r="T140" s="23">
        <v>8</v>
      </c>
      <c r="U140" s="23">
        <v>8</v>
      </c>
      <c r="V140" s="23">
        <v>8</v>
      </c>
      <c r="X140" s="23">
        <v>8</v>
      </c>
      <c r="Y140" s="23">
        <v>7</v>
      </c>
      <c r="Z140" s="23">
        <v>7</v>
      </c>
      <c r="AA140" s="23">
        <v>8</v>
      </c>
      <c r="AC140" s="23">
        <v>8</v>
      </c>
      <c r="AD140" s="23">
        <v>8</v>
      </c>
    </row>
    <row r="141" spans="2:30" x14ac:dyDescent="0.3">
      <c r="B141" s="76"/>
      <c r="C141" s="76"/>
      <c r="D141" s="73"/>
      <c r="E141" s="76"/>
      <c r="F141" s="22" t="s">
        <v>3</v>
      </c>
      <c r="G141" s="23">
        <v>9</v>
      </c>
      <c r="H141" s="23">
        <v>6</v>
      </c>
      <c r="I141" s="23">
        <v>6</v>
      </c>
      <c r="J141" s="23">
        <v>6</v>
      </c>
      <c r="K141" s="23">
        <v>6</v>
      </c>
      <c r="L141" s="23">
        <v>6</v>
      </c>
      <c r="M141" s="23">
        <v>6</v>
      </c>
      <c r="N141" s="23">
        <v>6</v>
      </c>
      <c r="O141" s="23">
        <v>6</v>
      </c>
      <c r="P141" s="23">
        <v>6</v>
      </c>
      <c r="Q141" s="23">
        <v>6</v>
      </c>
      <c r="R141" s="23">
        <v>6</v>
      </c>
      <c r="T141" s="23">
        <v>6</v>
      </c>
      <c r="U141" s="23">
        <v>6</v>
      </c>
      <c r="V141" s="23">
        <v>6</v>
      </c>
      <c r="X141" s="23">
        <v>7</v>
      </c>
      <c r="Y141" s="23">
        <v>6</v>
      </c>
      <c r="Z141" s="23">
        <v>6</v>
      </c>
      <c r="AA141" s="23">
        <v>6</v>
      </c>
      <c r="AC141" s="23">
        <v>6</v>
      </c>
      <c r="AD141" s="23">
        <v>6</v>
      </c>
    </row>
    <row r="142" spans="2:30" x14ac:dyDescent="0.3">
      <c r="B142" s="75" t="s">
        <v>38</v>
      </c>
      <c r="C142" s="75" t="s">
        <v>158</v>
      </c>
      <c r="D142" s="72"/>
      <c r="E142" s="22" t="s">
        <v>83</v>
      </c>
      <c r="F142" s="22" t="s">
        <v>2</v>
      </c>
      <c r="G142" s="23">
        <v>14.44</v>
      </c>
      <c r="H142" s="23">
        <v>12.99</v>
      </c>
      <c r="I142" s="23">
        <v>9.4</v>
      </c>
      <c r="J142" s="23">
        <v>11.1</v>
      </c>
      <c r="K142" s="23">
        <v>12</v>
      </c>
      <c r="L142" s="23">
        <v>19</v>
      </c>
      <c r="M142" s="23">
        <v>10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T142" s="23">
        <v>0</v>
      </c>
      <c r="U142" s="23">
        <v>7</v>
      </c>
      <c r="V142" s="23">
        <v>7</v>
      </c>
      <c r="X142" s="23">
        <v>12</v>
      </c>
      <c r="Y142" s="23">
        <v>14</v>
      </c>
      <c r="Z142" s="23">
        <v>3</v>
      </c>
      <c r="AA142" s="23">
        <v>0</v>
      </c>
      <c r="AC142" s="23">
        <v>0</v>
      </c>
      <c r="AD142" s="23">
        <v>7</v>
      </c>
    </row>
    <row r="143" spans="2:30" x14ac:dyDescent="0.3">
      <c r="B143" s="81"/>
      <c r="C143" s="81"/>
      <c r="D143" s="72"/>
      <c r="E143" s="75" t="s">
        <v>82</v>
      </c>
      <c r="F143" s="22" t="s">
        <v>2</v>
      </c>
      <c r="G143" s="23">
        <v>1.4</v>
      </c>
      <c r="H143" s="23">
        <v>1.35</v>
      </c>
      <c r="I143" s="23">
        <v>5.8</v>
      </c>
      <c r="J143" s="23">
        <v>0.9</v>
      </c>
      <c r="K143" s="23">
        <v>6</v>
      </c>
      <c r="L143" s="23">
        <v>5</v>
      </c>
      <c r="M143" s="23">
        <v>24</v>
      </c>
      <c r="N143" s="23">
        <v>20</v>
      </c>
      <c r="O143" s="23">
        <v>3</v>
      </c>
      <c r="P143" s="23">
        <v>2</v>
      </c>
      <c r="Q143" s="23">
        <v>6</v>
      </c>
      <c r="R143" s="23">
        <v>0</v>
      </c>
      <c r="T143" s="23">
        <v>0</v>
      </c>
      <c r="U143" s="23">
        <v>6</v>
      </c>
      <c r="V143" s="23">
        <v>6</v>
      </c>
      <c r="X143" s="23">
        <v>3</v>
      </c>
      <c r="Y143" s="23">
        <v>4</v>
      </c>
      <c r="Z143" s="23">
        <v>16</v>
      </c>
      <c r="AA143" s="23">
        <v>3</v>
      </c>
      <c r="AC143" s="23">
        <v>0</v>
      </c>
      <c r="AD143" s="23">
        <v>6</v>
      </c>
    </row>
    <row r="144" spans="2:30" x14ac:dyDescent="0.3">
      <c r="B144" s="81"/>
      <c r="C144" s="76"/>
      <c r="D144" s="73"/>
      <c r="E144" s="76"/>
      <c r="F144" s="22" t="s">
        <v>3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T144" s="23">
        <v>0</v>
      </c>
      <c r="U144" s="23">
        <v>0</v>
      </c>
      <c r="V144" s="23">
        <v>0</v>
      </c>
      <c r="X144" s="23">
        <v>0</v>
      </c>
      <c r="Y144" s="23">
        <v>0</v>
      </c>
      <c r="Z144" s="23">
        <v>0</v>
      </c>
      <c r="AA144" s="23">
        <v>0</v>
      </c>
      <c r="AC144" s="23">
        <v>0</v>
      </c>
      <c r="AD144" s="23">
        <v>0</v>
      </c>
    </row>
    <row r="145" spans="2:30" x14ac:dyDescent="0.3">
      <c r="B145" s="81"/>
      <c r="C145" s="75" t="s">
        <v>159</v>
      </c>
      <c r="D145" s="72"/>
      <c r="E145" s="75" t="s">
        <v>82</v>
      </c>
      <c r="F145" s="22" t="s">
        <v>2</v>
      </c>
      <c r="G145" s="23">
        <v>26.92</v>
      </c>
      <c r="H145" s="23">
        <v>7.35</v>
      </c>
      <c r="I145" s="23">
        <v>0</v>
      </c>
      <c r="J145" s="23">
        <v>0</v>
      </c>
      <c r="K145" s="23">
        <v>0</v>
      </c>
      <c r="L145" s="23">
        <v>9</v>
      </c>
      <c r="M145" s="23">
        <v>0</v>
      </c>
      <c r="N145" s="23">
        <v>0</v>
      </c>
      <c r="O145" s="23">
        <v>6</v>
      </c>
      <c r="P145" s="23">
        <v>0</v>
      </c>
      <c r="Q145" s="23">
        <v>10</v>
      </c>
      <c r="R145" s="23">
        <v>9</v>
      </c>
      <c r="T145" s="23">
        <v>9</v>
      </c>
      <c r="U145" s="23">
        <v>6</v>
      </c>
      <c r="V145" s="23">
        <v>6</v>
      </c>
      <c r="X145" s="23">
        <v>11</v>
      </c>
      <c r="Y145" s="23">
        <v>3</v>
      </c>
      <c r="Z145" s="23">
        <v>2</v>
      </c>
      <c r="AA145" s="23">
        <v>6</v>
      </c>
      <c r="AC145" s="23">
        <v>9</v>
      </c>
      <c r="AD145" s="23">
        <v>6</v>
      </c>
    </row>
    <row r="146" spans="2:30" x14ac:dyDescent="0.3">
      <c r="B146" s="81"/>
      <c r="C146" s="76"/>
      <c r="D146" s="73"/>
      <c r="E146" s="76"/>
      <c r="F146" s="22" t="s">
        <v>3</v>
      </c>
      <c r="G146" s="23">
        <v>12</v>
      </c>
      <c r="H146" s="23">
        <v>12</v>
      </c>
      <c r="I146" s="23">
        <v>12</v>
      </c>
      <c r="J146" s="23">
        <v>12</v>
      </c>
      <c r="K146" s="23">
        <v>12</v>
      </c>
      <c r="L146" s="23">
        <v>12</v>
      </c>
      <c r="M146" s="23">
        <v>12</v>
      </c>
      <c r="N146" s="23">
        <v>12</v>
      </c>
      <c r="O146" s="23">
        <v>12</v>
      </c>
      <c r="P146" s="23">
        <v>12</v>
      </c>
      <c r="Q146" s="23">
        <v>12</v>
      </c>
      <c r="R146" s="23">
        <v>12</v>
      </c>
      <c r="T146" s="23">
        <v>12</v>
      </c>
      <c r="U146" s="23">
        <v>12</v>
      </c>
      <c r="V146" s="23">
        <v>12</v>
      </c>
      <c r="X146" s="23">
        <v>12</v>
      </c>
      <c r="Y146" s="23">
        <v>12</v>
      </c>
      <c r="Z146" s="23">
        <v>12</v>
      </c>
      <c r="AA146" s="23">
        <v>12</v>
      </c>
      <c r="AC146" s="23">
        <v>12</v>
      </c>
      <c r="AD146" s="23">
        <v>12</v>
      </c>
    </row>
    <row r="147" spans="2:30" x14ac:dyDescent="0.3">
      <c r="B147" s="81"/>
      <c r="C147" s="75" t="s">
        <v>41</v>
      </c>
      <c r="D147" s="72"/>
      <c r="E147" s="75" t="s">
        <v>83</v>
      </c>
      <c r="F147" s="22" t="s">
        <v>2</v>
      </c>
      <c r="G147" s="23">
        <v>2</v>
      </c>
      <c r="H147" s="23">
        <v>2</v>
      </c>
      <c r="I147" s="23">
        <v>0</v>
      </c>
      <c r="J147" s="23">
        <v>2</v>
      </c>
      <c r="K147" s="23">
        <v>2</v>
      </c>
      <c r="L147" s="23">
        <v>2</v>
      </c>
      <c r="M147" s="23">
        <v>2</v>
      </c>
      <c r="N147" s="23">
        <v>2</v>
      </c>
      <c r="O147" s="23">
        <v>1</v>
      </c>
      <c r="P147" s="23">
        <v>1</v>
      </c>
      <c r="Q147" s="23">
        <v>0</v>
      </c>
      <c r="R147" s="23">
        <v>1</v>
      </c>
      <c r="T147" s="23">
        <v>1</v>
      </c>
      <c r="U147" s="23">
        <v>1</v>
      </c>
      <c r="V147" s="23">
        <v>1</v>
      </c>
      <c r="X147" s="23">
        <v>1</v>
      </c>
      <c r="Y147" s="23">
        <v>2</v>
      </c>
      <c r="Z147" s="23">
        <v>2</v>
      </c>
      <c r="AA147" s="23">
        <v>1</v>
      </c>
      <c r="AC147" s="23">
        <v>1</v>
      </c>
      <c r="AD147" s="23">
        <v>1</v>
      </c>
    </row>
    <row r="148" spans="2:30" x14ac:dyDescent="0.3">
      <c r="B148" s="81"/>
      <c r="C148" s="81"/>
      <c r="D148" s="72"/>
      <c r="E148" s="76"/>
      <c r="F148" s="22" t="s">
        <v>3</v>
      </c>
      <c r="G148" s="23">
        <v>2</v>
      </c>
      <c r="H148" s="23">
        <v>2</v>
      </c>
      <c r="I148" s="23">
        <v>2</v>
      </c>
      <c r="J148" s="23">
        <v>2</v>
      </c>
      <c r="K148" s="23">
        <v>2</v>
      </c>
      <c r="L148" s="23">
        <v>2</v>
      </c>
      <c r="M148" s="23">
        <v>2</v>
      </c>
      <c r="N148" s="23">
        <v>2</v>
      </c>
      <c r="O148" s="23">
        <v>2</v>
      </c>
      <c r="P148" s="23">
        <v>2</v>
      </c>
      <c r="Q148" s="23">
        <v>2</v>
      </c>
      <c r="R148" s="23">
        <v>2</v>
      </c>
      <c r="T148" s="23">
        <v>2</v>
      </c>
      <c r="U148" s="23">
        <v>2</v>
      </c>
      <c r="V148" s="23">
        <v>2</v>
      </c>
      <c r="X148" s="23">
        <v>2</v>
      </c>
      <c r="Y148" s="23">
        <v>2</v>
      </c>
      <c r="Z148" s="23">
        <v>2</v>
      </c>
      <c r="AA148" s="23">
        <v>2</v>
      </c>
      <c r="AC148" s="23">
        <v>2</v>
      </c>
      <c r="AD148" s="23">
        <v>2</v>
      </c>
    </row>
    <row r="149" spans="2:30" x14ac:dyDescent="0.3">
      <c r="B149" s="81"/>
      <c r="C149" s="81"/>
      <c r="D149" s="72"/>
      <c r="E149" s="75" t="s">
        <v>82</v>
      </c>
      <c r="F149" s="22" t="s">
        <v>2</v>
      </c>
      <c r="G149" s="23">
        <v>0</v>
      </c>
      <c r="H149" s="23">
        <v>0</v>
      </c>
      <c r="I149" s="23">
        <v>0</v>
      </c>
      <c r="J149" s="23">
        <v>0</v>
      </c>
      <c r="K149" s="23">
        <v>3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T149" s="23">
        <v>0</v>
      </c>
      <c r="U149" s="23">
        <v>0</v>
      </c>
      <c r="V149" s="23">
        <v>0</v>
      </c>
      <c r="X149" s="23">
        <v>0</v>
      </c>
      <c r="Y149" s="23">
        <v>1</v>
      </c>
      <c r="Z149" s="23">
        <v>0</v>
      </c>
      <c r="AA149" s="23">
        <v>0</v>
      </c>
      <c r="AC149" s="23">
        <v>0</v>
      </c>
      <c r="AD149" s="23">
        <v>0</v>
      </c>
    </row>
    <row r="150" spans="2:30" x14ac:dyDescent="0.3">
      <c r="B150" s="76"/>
      <c r="C150" s="76"/>
      <c r="D150" s="73"/>
      <c r="E150" s="76"/>
      <c r="F150" s="22" t="s">
        <v>3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T150" s="23">
        <v>0</v>
      </c>
      <c r="U150" s="23">
        <v>0</v>
      </c>
      <c r="V150" s="23">
        <v>0</v>
      </c>
      <c r="X150" s="23">
        <v>0</v>
      </c>
      <c r="Y150" s="23">
        <v>0</v>
      </c>
      <c r="Z150" s="23">
        <v>0</v>
      </c>
      <c r="AA150" s="23">
        <v>0</v>
      </c>
      <c r="AC150" s="23">
        <v>0</v>
      </c>
      <c r="AD150" s="23">
        <v>0</v>
      </c>
    </row>
    <row r="151" spans="2:30" x14ac:dyDescent="0.3">
      <c r="B151" s="75" t="s">
        <v>121</v>
      </c>
      <c r="C151" s="75" t="s">
        <v>49</v>
      </c>
      <c r="D151" s="72"/>
      <c r="E151" s="75" t="s">
        <v>83</v>
      </c>
      <c r="F151" s="22" t="s">
        <v>2</v>
      </c>
      <c r="G151" s="23">
        <v>24</v>
      </c>
      <c r="H151" s="23">
        <v>24</v>
      </c>
      <c r="I151" s="23">
        <v>24</v>
      </c>
      <c r="J151" s="23">
        <v>24</v>
      </c>
      <c r="K151" s="23">
        <v>24</v>
      </c>
      <c r="L151" s="23">
        <v>24</v>
      </c>
      <c r="M151" s="23">
        <v>24</v>
      </c>
      <c r="N151" s="23">
        <v>24</v>
      </c>
      <c r="O151" s="23">
        <v>24</v>
      </c>
      <c r="P151" s="23">
        <v>24</v>
      </c>
      <c r="Q151" s="23">
        <v>24</v>
      </c>
      <c r="R151" s="23">
        <v>24</v>
      </c>
      <c r="T151" s="23">
        <v>24</v>
      </c>
      <c r="U151" s="23">
        <v>24</v>
      </c>
      <c r="V151" s="23">
        <v>24</v>
      </c>
      <c r="X151" s="23">
        <v>24</v>
      </c>
      <c r="Y151" s="23">
        <v>24</v>
      </c>
      <c r="Z151" s="23">
        <v>24</v>
      </c>
      <c r="AA151" s="23">
        <v>24</v>
      </c>
      <c r="AC151" s="23">
        <v>24</v>
      </c>
      <c r="AD151" s="23">
        <v>24</v>
      </c>
    </row>
    <row r="152" spans="2:30" x14ac:dyDescent="0.3">
      <c r="B152" s="81"/>
      <c r="C152" s="76"/>
      <c r="D152" s="73"/>
      <c r="E152" s="76"/>
      <c r="F152" s="22" t="s">
        <v>3</v>
      </c>
      <c r="G152" s="23">
        <v>24</v>
      </c>
      <c r="H152" s="23">
        <v>24</v>
      </c>
      <c r="I152" s="23">
        <v>24</v>
      </c>
      <c r="J152" s="23">
        <v>24</v>
      </c>
      <c r="K152" s="23">
        <v>24</v>
      </c>
      <c r="L152" s="23">
        <v>24</v>
      </c>
      <c r="M152" s="23">
        <v>24</v>
      </c>
      <c r="N152" s="23">
        <v>24</v>
      </c>
      <c r="O152" s="23">
        <v>24</v>
      </c>
      <c r="P152" s="23">
        <v>24</v>
      </c>
      <c r="Q152" s="23">
        <v>24</v>
      </c>
      <c r="R152" s="23">
        <v>24</v>
      </c>
      <c r="T152" s="23">
        <v>24</v>
      </c>
      <c r="U152" s="23">
        <v>24</v>
      </c>
      <c r="V152" s="23">
        <v>24</v>
      </c>
      <c r="X152" s="23">
        <v>24</v>
      </c>
      <c r="Y152" s="23">
        <v>24</v>
      </c>
      <c r="Z152" s="23">
        <v>24</v>
      </c>
      <c r="AA152" s="23">
        <v>24</v>
      </c>
      <c r="AC152" s="23">
        <v>24</v>
      </c>
      <c r="AD152" s="23">
        <v>24</v>
      </c>
    </row>
    <row r="153" spans="2:30" x14ac:dyDescent="0.3">
      <c r="B153" s="81"/>
      <c r="C153" s="75" t="s">
        <v>121</v>
      </c>
      <c r="D153" s="72"/>
      <c r="E153" s="75" t="s">
        <v>83</v>
      </c>
      <c r="F153" s="22" t="s">
        <v>2</v>
      </c>
      <c r="G153" s="23">
        <v>2</v>
      </c>
      <c r="H153" s="23">
        <v>2</v>
      </c>
      <c r="I153" s="23">
        <v>2</v>
      </c>
      <c r="J153" s="23">
        <v>2</v>
      </c>
      <c r="K153" s="23">
        <v>2</v>
      </c>
      <c r="L153" s="23">
        <v>2</v>
      </c>
      <c r="M153" s="23">
        <v>2</v>
      </c>
      <c r="N153" s="23">
        <v>2</v>
      </c>
      <c r="O153" s="23">
        <v>2</v>
      </c>
      <c r="P153" s="23">
        <v>2</v>
      </c>
      <c r="Q153" s="23">
        <v>2</v>
      </c>
      <c r="R153" s="23">
        <v>2</v>
      </c>
      <c r="T153" s="23">
        <v>2</v>
      </c>
      <c r="U153" s="23">
        <v>2</v>
      </c>
      <c r="V153" s="23">
        <v>2</v>
      </c>
      <c r="X153" s="23">
        <v>2</v>
      </c>
      <c r="Y153" s="23">
        <v>2</v>
      </c>
      <c r="Z153" s="23">
        <v>2</v>
      </c>
      <c r="AA153" s="23">
        <v>2</v>
      </c>
      <c r="AC153" s="23">
        <v>2</v>
      </c>
      <c r="AD153" s="23">
        <v>2</v>
      </c>
    </row>
    <row r="154" spans="2:30" x14ac:dyDescent="0.3">
      <c r="B154" s="76"/>
      <c r="C154" s="76"/>
      <c r="D154" s="73"/>
      <c r="E154" s="76"/>
      <c r="F154" s="22" t="s">
        <v>3</v>
      </c>
      <c r="G154" s="23">
        <v>2</v>
      </c>
      <c r="H154" s="23">
        <v>2</v>
      </c>
      <c r="I154" s="23">
        <v>2</v>
      </c>
      <c r="J154" s="23">
        <v>2</v>
      </c>
      <c r="K154" s="23">
        <v>2</v>
      </c>
      <c r="L154" s="23">
        <v>2</v>
      </c>
      <c r="M154" s="23">
        <v>2</v>
      </c>
      <c r="N154" s="23">
        <v>2</v>
      </c>
      <c r="O154" s="23">
        <v>2</v>
      </c>
      <c r="P154" s="23">
        <v>2</v>
      </c>
      <c r="Q154" s="23">
        <v>2</v>
      </c>
      <c r="R154" s="23">
        <v>2</v>
      </c>
      <c r="T154" s="23">
        <v>2</v>
      </c>
      <c r="U154" s="23">
        <v>2</v>
      </c>
      <c r="V154" s="23">
        <v>2</v>
      </c>
      <c r="X154" s="23">
        <v>2</v>
      </c>
      <c r="Y154" s="23">
        <v>2</v>
      </c>
      <c r="Z154" s="23">
        <v>2</v>
      </c>
      <c r="AA154" s="23">
        <v>2</v>
      </c>
      <c r="AC154" s="23">
        <v>2</v>
      </c>
      <c r="AD154" s="23">
        <v>2</v>
      </c>
    </row>
    <row r="155" spans="2:30" x14ac:dyDescent="0.3">
      <c r="B155" s="75" t="s">
        <v>50</v>
      </c>
      <c r="C155" s="75" t="s">
        <v>51</v>
      </c>
      <c r="D155" s="72"/>
      <c r="E155" s="75" t="s">
        <v>83</v>
      </c>
      <c r="F155" s="22" t="s">
        <v>2</v>
      </c>
      <c r="G155" s="23">
        <v>13</v>
      </c>
      <c r="H155" s="23">
        <v>13</v>
      </c>
      <c r="I155" s="23">
        <v>13</v>
      </c>
      <c r="J155" s="23">
        <v>15</v>
      </c>
      <c r="K155" s="23">
        <v>17</v>
      </c>
      <c r="L155" s="23">
        <v>17</v>
      </c>
      <c r="M155" s="23">
        <v>17</v>
      </c>
      <c r="N155" s="23">
        <v>17</v>
      </c>
      <c r="O155" s="23">
        <v>17</v>
      </c>
      <c r="P155" s="23">
        <v>17</v>
      </c>
      <c r="Q155" s="23">
        <v>17</v>
      </c>
      <c r="R155" s="23">
        <v>17</v>
      </c>
      <c r="T155" s="23">
        <v>17</v>
      </c>
      <c r="U155" s="23">
        <v>16</v>
      </c>
      <c r="V155" s="23">
        <v>16</v>
      </c>
      <c r="X155" s="23">
        <v>13</v>
      </c>
      <c r="Y155" s="23">
        <v>16</v>
      </c>
      <c r="Z155" s="23">
        <v>17</v>
      </c>
      <c r="AA155" s="23">
        <v>17</v>
      </c>
      <c r="AC155" s="23">
        <v>17</v>
      </c>
      <c r="AD155" s="23">
        <v>16</v>
      </c>
    </row>
    <row r="156" spans="2:30" x14ac:dyDescent="0.3">
      <c r="B156" s="81"/>
      <c r="C156" s="76"/>
      <c r="D156" s="73"/>
      <c r="E156" s="76"/>
      <c r="F156" s="22" t="s">
        <v>3</v>
      </c>
      <c r="G156" s="23">
        <v>17</v>
      </c>
      <c r="H156" s="23">
        <v>17</v>
      </c>
      <c r="I156" s="23">
        <v>17</v>
      </c>
      <c r="J156" s="23">
        <v>17</v>
      </c>
      <c r="K156" s="23">
        <v>17</v>
      </c>
      <c r="L156" s="23">
        <v>17</v>
      </c>
      <c r="M156" s="23">
        <v>17</v>
      </c>
      <c r="N156" s="23">
        <v>17</v>
      </c>
      <c r="O156" s="23">
        <v>17</v>
      </c>
      <c r="P156" s="23">
        <v>17</v>
      </c>
      <c r="Q156" s="23">
        <v>17</v>
      </c>
      <c r="R156" s="23">
        <v>17</v>
      </c>
      <c r="T156" s="23">
        <v>17</v>
      </c>
      <c r="U156" s="23">
        <v>17</v>
      </c>
      <c r="V156" s="23">
        <v>17</v>
      </c>
      <c r="X156" s="23">
        <v>17</v>
      </c>
      <c r="Y156" s="23">
        <v>17</v>
      </c>
      <c r="Z156" s="23">
        <v>17</v>
      </c>
      <c r="AA156" s="23">
        <v>17</v>
      </c>
      <c r="AC156" s="23">
        <v>17</v>
      </c>
      <c r="AD156" s="23">
        <v>17</v>
      </c>
    </row>
    <row r="157" spans="2:30" x14ac:dyDescent="0.3">
      <c r="B157" s="81"/>
      <c r="C157" s="75" t="s">
        <v>52</v>
      </c>
      <c r="D157" s="72"/>
      <c r="E157" s="75" t="s">
        <v>83</v>
      </c>
      <c r="F157" s="22" t="s">
        <v>2</v>
      </c>
      <c r="G157" s="23">
        <v>0</v>
      </c>
      <c r="H157" s="23">
        <v>0</v>
      </c>
      <c r="I157" s="23">
        <v>0</v>
      </c>
      <c r="J157" s="23">
        <v>0</v>
      </c>
      <c r="K157" s="23">
        <v>1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T157" s="23">
        <v>0</v>
      </c>
      <c r="U157" s="23">
        <v>0</v>
      </c>
      <c r="V157" s="23">
        <v>0</v>
      </c>
      <c r="X157" s="23">
        <v>0</v>
      </c>
      <c r="Y157" s="23">
        <v>0</v>
      </c>
      <c r="Z157" s="23">
        <v>0</v>
      </c>
      <c r="AA157" s="23">
        <v>0</v>
      </c>
      <c r="AC157" s="23">
        <v>0</v>
      </c>
      <c r="AD157" s="23">
        <v>0</v>
      </c>
    </row>
    <row r="158" spans="2:30" x14ac:dyDescent="0.3">
      <c r="B158" s="81"/>
      <c r="C158" s="76"/>
      <c r="D158" s="73"/>
      <c r="E158" s="76"/>
      <c r="F158" s="22" t="s">
        <v>3</v>
      </c>
      <c r="G158" s="23">
        <v>1</v>
      </c>
      <c r="H158" s="23">
        <v>1</v>
      </c>
      <c r="I158" s="23">
        <v>1</v>
      </c>
      <c r="J158" s="23">
        <v>1</v>
      </c>
      <c r="K158" s="23">
        <v>1</v>
      </c>
      <c r="L158" s="23">
        <v>1</v>
      </c>
      <c r="M158" s="23">
        <v>1</v>
      </c>
      <c r="N158" s="23">
        <v>1</v>
      </c>
      <c r="O158" s="23">
        <v>1</v>
      </c>
      <c r="P158" s="23">
        <v>1</v>
      </c>
      <c r="Q158" s="23">
        <v>1</v>
      </c>
      <c r="R158" s="23">
        <v>1</v>
      </c>
      <c r="T158" s="23">
        <v>1</v>
      </c>
      <c r="U158" s="23">
        <v>1</v>
      </c>
      <c r="V158" s="23">
        <v>1</v>
      </c>
      <c r="X158" s="23">
        <v>1</v>
      </c>
      <c r="Y158" s="23">
        <v>1</v>
      </c>
      <c r="Z158" s="23">
        <v>1</v>
      </c>
      <c r="AA158" s="23">
        <v>1</v>
      </c>
      <c r="AC158" s="23">
        <v>1</v>
      </c>
      <c r="AD158" s="23">
        <v>1</v>
      </c>
    </row>
    <row r="159" spans="2:30" x14ac:dyDescent="0.3">
      <c r="B159" s="81"/>
      <c r="C159" s="75" t="s">
        <v>126</v>
      </c>
      <c r="D159" s="72"/>
      <c r="E159" s="75" t="s">
        <v>83</v>
      </c>
      <c r="F159" s="22" t="s">
        <v>2</v>
      </c>
      <c r="G159" s="23">
        <v>1</v>
      </c>
      <c r="H159" s="23">
        <v>1</v>
      </c>
      <c r="I159" s="23">
        <v>1</v>
      </c>
      <c r="J159" s="23">
        <v>1</v>
      </c>
      <c r="K159" s="23">
        <v>2</v>
      </c>
      <c r="L159" s="23">
        <v>2</v>
      </c>
      <c r="M159" s="23">
        <v>1</v>
      </c>
      <c r="N159" s="23">
        <v>1</v>
      </c>
      <c r="O159" s="23">
        <v>1</v>
      </c>
      <c r="P159" s="23">
        <v>1</v>
      </c>
      <c r="Q159" s="23">
        <v>1</v>
      </c>
      <c r="R159" s="23">
        <v>1</v>
      </c>
      <c r="T159" s="23">
        <v>1</v>
      </c>
      <c r="U159" s="23">
        <v>1</v>
      </c>
      <c r="V159" s="23">
        <v>1</v>
      </c>
      <c r="X159" s="23">
        <v>1</v>
      </c>
      <c r="Y159" s="23">
        <v>2</v>
      </c>
      <c r="Z159" s="23">
        <v>1</v>
      </c>
      <c r="AA159" s="23">
        <v>1</v>
      </c>
      <c r="AC159" s="23">
        <v>1</v>
      </c>
      <c r="AD159" s="23">
        <v>1</v>
      </c>
    </row>
    <row r="160" spans="2:30" x14ac:dyDescent="0.3">
      <c r="B160" s="81"/>
      <c r="C160" s="76"/>
      <c r="D160" s="73"/>
      <c r="E160" s="76"/>
      <c r="F160" s="22" t="s">
        <v>3</v>
      </c>
      <c r="G160" s="23">
        <v>3</v>
      </c>
      <c r="H160" s="23">
        <v>3</v>
      </c>
      <c r="I160" s="23">
        <v>3</v>
      </c>
      <c r="J160" s="23">
        <v>3</v>
      </c>
      <c r="K160" s="23">
        <v>3</v>
      </c>
      <c r="L160" s="23">
        <v>3</v>
      </c>
      <c r="M160" s="23">
        <v>3</v>
      </c>
      <c r="N160" s="23">
        <v>3</v>
      </c>
      <c r="O160" s="23">
        <v>3</v>
      </c>
      <c r="P160" s="23">
        <v>3</v>
      </c>
      <c r="Q160" s="23">
        <v>3</v>
      </c>
      <c r="R160" s="23">
        <v>3</v>
      </c>
      <c r="T160" s="23">
        <v>3</v>
      </c>
      <c r="U160" s="23">
        <v>3</v>
      </c>
      <c r="V160" s="23">
        <v>3</v>
      </c>
      <c r="X160" s="23">
        <v>3</v>
      </c>
      <c r="Y160" s="23">
        <v>3</v>
      </c>
      <c r="Z160" s="23">
        <v>3</v>
      </c>
      <c r="AA160" s="23">
        <v>3</v>
      </c>
      <c r="AC160" s="23">
        <v>3</v>
      </c>
      <c r="AD160" s="23">
        <v>3</v>
      </c>
    </row>
    <row r="161" spans="2:30" x14ac:dyDescent="0.3">
      <c r="B161" s="81"/>
      <c r="C161" s="75" t="s">
        <v>57</v>
      </c>
      <c r="D161" s="72"/>
      <c r="E161" s="75" t="s">
        <v>83</v>
      </c>
      <c r="F161" s="22" t="s">
        <v>2</v>
      </c>
      <c r="G161" s="23">
        <v>4</v>
      </c>
      <c r="H161" s="23">
        <v>4</v>
      </c>
      <c r="I161" s="23">
        <v>4</v>
      </c>
      <c r="J161" s="23">
        <v>3</v>
      </c>
      <c r="K161" s="23">
        <v>4</v>
      </c>
      <c r="L161" s="23">
        <v>3</v>
      </c>
      <c r="M161" s="23">
        <v>4</v>
      </c>
      <c r="N161" s="23">
        <v>4</v>
      </c>
      <c r="O161" s="23">
        <v>4</v>
      </c>
      <c r="P161" s="23">
        <v>4</v>
      </c>
      <c r="Q161" s="23">
        <v>4</v>
      </c>
      <c r="R161" s="23">
        <v>4</v>
      </c>
      <c r="T161" s="23">
        <v>4</v>
      </c>
      <c r="U161" s="23">
        <v>4</v>
      </c>
      <c r="V161" s="23">
        <v>4</v>
      </c>
      <c r="X161" s="23">
        <v>4</v>
      </c>
      <c r="Y161" s="23">
        <v>3</v>
      </c>
      <c r="Z161" s="23">
        <v>4</v>
      </c>
      <c r="AA161" s="23">
        <v>4</v>
      </c>
      <c r="AC161" s="23">
        <v>4</v>
      </c>
      <c r="AD161" s="23">
        <v>4</v>
      </c>
    </row>
    <row r="162" spans="2:30" x14ac:dyDescent="0.3">
      <c r="B162" s="81"/>
      <c r="C162" s="76"/>
      <c r="D162" s="73"/>
      <c r="E162" s="76"/>
      <c r="F162" s="22" t="s">
        <v>3</v>
      </c>
      <c r="G162" s="23">
        <v>4</v>
      </c>
      <c r="H162" s="23">
        <v>4</v>
      </c>
      <c r="I162" s="23">
        <v>4</v>
      </c>
      <c r="J162" s="23">
        <v>4</v>
      </c>
      <c r="K162" s="23">
        <v>4</v>
      </c>
      <c r="L162" s="23">
        <v>4</v>
      </c>
      <c r="M162" s="23">
        <v>4</v>
      </c>
      <c r="N162" s="23">
        <v>4</v>
      </c>
      <c r="O162" s="23">
        <v>4</v>
      </c>
      <c r="P162" s="23">
        <v>4</v>
      </c>
      <c r="Q162" s="23">
        <v>4</v>
      </c>
      <c r="R162" s="23">
        <v>4</v>
      </c>
      <c r="T162" s="23">
        <v>4</v>
      </c>
      <c r="U162" s="23">
        <v>4</v>
      </c>
      <c r="V162" s="23">
        <v>4</v>
      </c>
      <c r="X162" s="23">
        <v>4</v>
      </c>
      <c r="Y162" s="23">
        <v>4</v>
      </c>
      <c r="Z162" s="23">
        <v>4</v>
      </c>
      <c r="AA162" s="23">
        <v>4</v>
      </c>
      <c r="AC162" s="23">
        <v>4</v>
      </c>
      <c r="AD162" s="23">
        <v>4</v>
      </c>
    </row>
    <row r="163" spans="2:30" x14ac:dyDescent="0.3">
      <c r="B163" s="81"/>
      <c r="C163" s="75" t="s">
        <v>50</v>
      </c>
      <c r="D163" s="72"/>
      <c r="E163" s="75" t="s">
        <v>83</v>
      </c>
      <c r="F163" s="22" t="s">
        <v>2</v>
      </c>
      <c r="G163" s="23">
        <v>2</v>
      </c>
      <c r="H163" s="23">
        <v>2</v>
      </c>
      <c r="I163" s="23">
        <v>2</v>
      </c>
      <c r="J163" s="23">
        <v>1</v>
      </c>
      <c r="K163" s="23">
        <v>2</v>
      </c>
      <c r="L163" s="23">
        <v>2</v>
      </c>
      <c r="M163" s="23">
        <v>2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T163" s="23">
        <v>0</v>
      </c>
      <c r="U163" s="23">
        <v>1</v>
      </c>
      <c r="V163" s="23">
        <v>1</v>
      </c>
      <c r="X163" s="23">
        <v>2</v>
      </c>
      <c r="Y163" s="23">
        <v>2</v>
      </c>
      <c r="Z163" s="23">
        <v>1</v>
      </c>
      <c r="AA163" s="23">
        <v>0</v>
      </c>
      <c r="AC163" s="23">
        <v>0</v>
      </c>
      <c r="AD163" s="23">
        <v>1</v>
      </c>
    </row>
    <row r="164" spans="2:30" x14ac:dyDescent="0.3">
      <c r="B164" s="76"/>
      <c r="C164" s="76"/>
      <c r="D164" s="73"/>
      <c r="E164" s="76"/>
      <c r="F164" s="22" t="s">
        <v>3</v>
      </c>
      <c r="G164" s="23">
        <v>2</v>
      </c>
      <c r="H164" s="23">
        <v>2</v>
      </c>
      <c r="I164" s="23">
        <v>2</v>
      </c>
      <c r="J164" s="23">
        <v>2</v>
      </c>
      <c r="K164" s="23">
        <v>2</v>
      </c>
      <c r="L164" s="23">
        <v>2</v>
      </c>
      <c r="M164" s="23">
        <v>2</v>
      </c>
      <c r="N164" s="23">
        <v>2</v>
      </c>
      <c r="O164" s="23">
        <v>2</v>
      </c>
      <c r="P164" s="23">
        <v>2</v>
      </c>
      <c r="Q164" s="23">
        <v>2</v>
      </c>
      <c r="R164" s="23">
        <v>2</v>
      </c>
      <c r="T164" s="23">
        <v>2</v>
      </c>
      <c r="U164" s="23">
        <v>2</v>
      </c>
      <c r="V164" s="23">
        <v>2</v>
      </c>
      <c r="X164" s="23">
        <v>2</v>
      </c>
      <c r="Y164" s="23">
        <v>2</v>
      </c>
      <c r="Z164" s="23">
        <v>2</v>
      </c>
      <c r="AA164" s="23">
        <v>2</v>
      </c>
      <c r="AC164" s="23">
        <v>2</v>
      </c>
      <c r="AD164" s="23">
        <v>2</v>
      </c>
    </row>
    <row r="165" spans="2:30" x14ac:dyDescent="0.3">
      <c r="B165" s="75" t="s">
        <v>58</v>
      </c>
      <c r="C165" s="75" t="s">
        <v>60</v>
      </c>
      <c r="D165" s="72"/>
      <c r="E165" s="75" t="s">
        <v>83</v>
      </c>
      <c r="F165" s="22" t="s">
        <v>2</v>
      </c>
      <c r="G165" s="23">
        <v>3</v>
      </c>
      <c r="H165" s="23">
        <v>3</v>
      </c>
      <c r="I165" s="23">
        <v>3</v>
      </c>
      <c r="J165" s="23">
        <v>3</v>
      </c>
      <c r="K165" s="23">
        <v>3</v>
      </c>
      <c r="L165" s="23">
        <v>3</v>
      </c>
      <c r="M165" s="23">
        <v>3</v>
      </c>
      <c r="N165" s="23">
        <v>3</v>
      </c>
      <c r="O165" s="23">
        <v>3</v>
      </c>
      <c r="P165" s="23">
        <v>3</v>
      </c>
      <c r="Q165" s="23">
        <v>3</v>
      </c>
      <c r="R165" s="23">
        <v>3</v>
      </c>
      <c r="T165" s="23">
        <v>3</v>
      </c>
      <c r="U165" s="23">
        <v>3</v>
      </c>
      <c r="V165" s="23">
        <v>3</v>
      </c>
      <c r="X165" s="23">
        <v>3</v>
      </c>
      <c r="Y165" s="23">
        <v>3</v>
      </c>
      <c r="Z165" s="23">
        <v>3</v>
      </c>
      <c r="AA165" s="23">
        <v>3</v>
      </c>
      <c r="AC165" s="23">
        <v>3</v>
      </c>
      <c r="AD165" s="23">
        <v>3</v>
      </c>
    </row>
    <row r="166" spans="2:30" x14ac:dyDescent="0.3">
      <c r="B166" s="76"/>
      <c r="C166" s="76"/>
      <c r="D166" s="73"/>
      <c r="E166" s="76"/>
      <c r="F166" s="22" t="s">
        <v>3</v>
      </c>
      <c r="G166" s="23">
        <v>3</v>
      </c>
      <c r="H166" s="23">
        <v>3</v>
      </c>
      <c r="I166" s="23">
        <v>3</v>
      </c>
      <c r="J166" s="23">
        <v>3</v>
      </c>
      <c r="K166" s="23">
        <v>3</v>
      </c>
      <c r="L166" s="23">
        <v>3</v>
      </c>
      <c r="M166" s="23">
        <v>3</v>
      </c>
      <c r="N166" s="23">
        <v>3</v>
      </c>
      <c r="O166" s="23">
        <v>3</v>
      </c>
      <c r="P166" s="23">
        <v>3</v>
      </c>
      <c r="Q166" s="23">
        <v>3</v>
      </c>
      <c r="R166" s="23">
        <v>3</v>
      </c>
      <c r="T166" s="23">
        <v>3</v>
      </c>
      <c r="U166" s="23">
        <v>3</v>
      </c>
      <c r="V166" s="23">
        <v>3</v>
      </c>
      <c r="X166" s="23">
        <v>3</v>
      </c>
      <c r="Y166" s="23">
        <v>3</v>
      </c>
      <c r="Z166" s="23">
        <v>3</v>
      </c>
      <c r="AA166" s="23">
        <v>3</v>
      </c>
      <c r="AC166" s="23">
        <v>3</v>
      </c>
      <c r="AD166" s="23">
        <v>3</v>
      </c>
    </row>
    <row r="167" spans="2:30" x14ac:dyDescent="0.3">
      <c r="B167" s="75" t="s">
        <v>154</v>
      </c>
      <c r="C167" s="75" t="s">
        <v>63</v>
      </c>
      <c r="D167" s="72"/>
      <c r="E167" s="75" t="s">
        <v>83</v>
      </c>
      <c r="F167" s="22" t="s">
        <v>2</v>
      </c>
      <c r="G167" s="23">
        <v>32</v>
      </c>
      <c r="H167" s="23">
        <v>32</v>
      </c>
      <c r="I167" s="23">
        <v>32</v>
      </c>
      <c r="J167" s="23">
        <v>33</v>
      </c>
      <c r="K167" s="23">
        <v>33</v>
      </c>
      <c r="L167" s="23">
        <v>34</v>
      </c>
      <c r="M167" s="23">
        <v>34</v>
      </c>
      <c r="N167" s="23">
        <v>34</v>
      </c>
      <c r="O167" s="23">
        <v>34</v>
      </c>
      <c r="P167" s="23">
        <v>34</v>
      </c>
      <c r="Q167" s="23">
        <v>34</v>
      </c>
      <c r="R167" s="23">
        <v>34</v>
      </c>
      <c r="T167" s="23">
        <v>34</v>
      </c>
      <c r="U167" s="23">
        <v>33</v>
      </c>
      <c r="V167" s="23">
        <v>33</v>
      </c>
      <c r="X167" s="23">
        <v>32</v>
      </c>
      <c r="Y167" s="23">
        <v>33</v>
      </c>
      <c r="Z167" s="23">
        <v>34</v>
      </c>
      <c r="AA167" s="23">
        <v>34</v>
      </c>
      <c r="AC167" s="23">
        <v>34</v>
      </c>
      <c r="AD167" s="23">
        <v>33</v>
      </c>
    </row>
    <row r="168" spans="2:30" x14ac:dyDescent="0.3">
      <c r="B168" s="76"/>
      <c r="C168" s="76"/>
      <c r="D168" s="73"/>
      <c r="E168" s="76"/>
      <c r="F168" s="22" t="s">
        <v>3</v>
      </c>
      <c r="G168" s="23">
        <v>34</v>
      </c>
      <c r="H168" s="23">
        <v>34</v>
      </c>
      <c r="I168" s="23">
        <v>34</v>
      </c>
      <c r="J168" s="23">
        <v>34</v>
      </c>
      <c r="K168" s="23">
        <v>34</v>
      </c>
      <c r="L168" s="23">
        <v>34</v>
      </c>
      <c r="M168" s="23">
        <v>34</v>
      </c>
      <c r="N168" s="23">
        <v>34</v>
      </c>
      <c r="O168" s="23">
        <v>34</v>
      </c>
      <c r="P168" s="23">
        <v>34</v>
      </c>
      <c r="Q168" s="23">
        <v>34</v>
      </c>
      <c r="R168" s="23">
        <v>34</v>
      </c>
      <c r="T168" s="23">
        <v>34</v>
      </c>
      <c r="U168" s="23">
        <v>34</v>
      </c>
      <c r="V168" s="23">
        <v>34</v>
      </c>
      <c r="X168" s="23">
        <v>34</v>
      </c>
      <c r="Y168" s="23">
        <v>34</v>
      </c>
      <c r="Z168" s="23">
        <v>34</v>
      </c>
      <c r="AA168" s="23">
        <v>34</v>
      </c>
      <c r="AC168" s="23">
        <v>34</v>
      </c>
      <c r="AD168" s="23">
        <v>34</v>
      </c>
    </row>
    <row r="169" spans="2:30" ht="6.6" customHeight="1" x14ac:dyDescent="0.3"/>
    <row r="170" spans="2:30" x14ac:dyDescent="0.3">
      <c r="B170" s="78" t="s">
        <v>135</v>
      </c>
      <c r="C170" s="73"/>
      <c r="D170" s="73"/>
      <c r="E170" s="73"/>
      <c r="F170" s="16" t="s">
        <v>2</v>
      </c>
      <c r="G170" s="17">
        <v>265</v>
      </c>
      <c r="H170" s="17">
        <v>290</v>
      </c>
      <c r="I170" s="17">
        <v>309</v>
      </c>
      <c r="J170" s="17">
        <v>313</v>
      </c>
      <c r="K170" s="17">
        <v>326</v>
      </c>
      <c r="L170" s="17">
        <v>331</v>
      </c>
      <c r="M170" s="17">
        <v>344</v>
      </c>
      <c r="N170" s="17">
        <v>354</v>
      </c>
      <c r="O170" s="17">
        <v>362</v>
      </c>
      <c r="P170" s="17">
        <v>365</v>
      </c>
      <c r="Q170" s="17">
        <v>358</v>
      </c>
      <c r="R170" s="17">
        <v>362</v>
      </c>
      <c r="T170" s="17">
        <v>362</v>
      </c>
      <c r="U170" s="28">
        <f>+AVERAGE(G170:R170)</f>
        <v>331.58333333333331</v>
      </c>
      <c r="V170" s="17">
        <v>376</v>
      </c>
      <c r="X170" s="17">
        <v>290</v>
      </c>
      <c r="Y170" s="17">
        <v>323</v>
      </c>
      <c r="Z170" s="17">
        <v>367</v>
      </c>
      <c r="AA170" s="17">
        <v>363</v>
      </c>
      <c r="AC170" s="17">
        <v>362</v>
      </c>
      <c r="AD170" s="17">
        <v>347</v>
      </c>
    </row>
    <row r="171" spans="2:30" x14ac:dyDescent="0.3">
      <c r="F171" s="16" t="s">
        <v>3</v>
      </c>
      <c r="G171" s="17">
        <v>320</v>
      </c>
      <c r="H171" s="17">
        <v>331</v>
      </c>
      <c r="I171" s="17">
        <v>348</v>
      </c>
      <c r="J171" s="17">
        <v>344</v>
      </c>
      <c r="K171" s="17">
        <v>344</v>
      </c>
      <c r="L171" s="17">
        <v>344</v>
      </c>
      <c r="M171" s="17">
        <v>351</v>
      </c>
      <c r="N171" s="17">
        <v>351</v>
      </c>
      <c r="O171" s="17">
        <v>351</v>
      </c>
      <c r="P171" s="17">
        <v>351</v>
      </c>
      <c r="Q171" s="17">
        <v>351</v>
      </c>
      <c r="R171" s="17">
        <v>351</v>
      </c>
      <c r="T171" s="17">
        <v>351</v>
      </c>
      <c r="U171" s="28">
        <f>+AVERAGE(G171:R171)</f>
        <v>344.75</v>
      </c>
      <c r="V171" s="17">
        <v>346</v>
      </c>
      <c r="X171" s="17">
        <v>333</v>
      </c>
      <c r="Y171" s="17">
        <v>344</v>
      </c>
      <c r="Z171" s="17">
        <v>351</v>
      </c>
      <c r="AA171" s="17">
        <v>351</v>
      </c>
      <c r="AC171" s="17">
        <v>351</v>
      </c>
      <c r="AD171" s="17">
        <v>346</v>
      </c>
    </row>
    <row r="172" spans="2:30" ht="3" customHeight="1" x14ac:dyDescent="0.3"/>
    <row r="173" spans="2:30" x14ac:dyDescent="0.3">
      <c r="B173" s="78" t="s">
        <v>5</v>
      </c>
      <c r="C173" s="73"/>
      <c r="D173" s="73"/>
      <c r="E173" s="73"/>
      <c r="F173" s="20" t="s">
        <v>6</v>
      </c>
      <c r="G173" s="21" t="s">
        <v>138</v>
      </c>
      <c r="H173" s="21" t="s">
        <v>139</v>
      </c>
      <c r="I173" s="21" t="s">
        <v>140</v>
      </c>
      <c r="J173" s="21" t="s">
        <v>141</v>
      </c>
      <c r="K173" s="21" t="s">
        <v>142</v>
      </c>
      <c r="L173" s="21" t="s">
        <v>143</v>
      </c>
      <c r="M173" s="21" t="s">
        <v>144</v>
      </c>
      <c r="N173" s="21" t="s">
        <v>145</v>
      </c>
      <c r="O173" s="21" t="s">
        <v>146</v>
      </c>
      <c r="P173" s="21" t="s">
        <v>147</v>
      </c>
      <c r="Q173" s="21" t="s">
        <v>148</v>
      </c>
      <c r="R173" s="21" t="s">
        <v>149</v>
      </c>
      <c r="T173" s="21" t="s">
        <v>24</v>
      </c>
      <c r="U173" s="21" t="s">
        <v>25</v>
      </c>
      <c r="V173" s="21" t="s">
        <v>19</v>
      </c>
      <c r="X173" s="21" t="s">
        <v>20</v>
      </c>
      <c r="Y173" s="21" t="s">
        <v>21</v>
      </c>
      <c r="Z173" s="21" t="s">
        <v>22</v>
      </c>
      <c r="AA173" s="21" t="s">
        <v>23</v>
      </c>
      <c r="AC173" s="21" t="s">
        <v>24</v>
      </c>
      <c r="AD173" s="21" t="s">
        <v>25</v>
      </c>
    </row>
    <row r="174" spans="2:30" x14ac:dyDescent="0.3">
      <c r="B174" s="75" t="s">
        <v>113</v>
      </c>
      <c r="C174" s="72"/>
      <c r="D174" s="72"/>
      <c r="E174" s="72"/>
      <c r="F174" s="22" t="s">
        <v>2</v>
      </c>
      <c r="G174" s="23">
        <v>13</v>
      </c>
      <c r="H174" s="23">
        <v>14</v>
      </c>
      <c r="I174" s="23">
        <v>14</v>
      </c>
      <c r="J174" s="23">
        <v>12</v>
      </c>
      <c r="K174" s="23">
        <v>12</v>
      </c>
      <c r="L174" s="23">
        <v>13</v>
      </c>
      <c r="M174" s="23">
        <v>13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T174" s="23">
        <v>0</v>
      </c>
      <c r="U174" s="28">
        <f t="shared" ref="U174:U192" si="1">+AVERAGE(G174:R174)</f>
        <v>7.583333333333333</v>
      </c>
      <c r="V174" s="23">
        <v>13</v>
      </c>
      <c r="X174" s="23">
        <v>14</v>
      </c>
      <c r="Y174" s="23">
        <v>12</v>
      </c>
      <c r="Z174" s="23">
        <v>13</v>
      </c>
      <c r="AA174" s="23">
        <v>0</v>
      </c>
      <c r="AC174" s="23">
        <v>0</v>
      </c>
      <c r="AD174" s="23">
        <v>13</v>
      </c>
    </row>
    <row r="175" spans="2:30" x14ac:dyDescent="0.3">
      <c r="B175" s="76"/>
      <c r="C175" s="73"/>
      <c r="D175" s="73"/>
      <c r="E175" s="73"/>
      <c r="F175" s="22" t="s">
        <v>3</v>
      </c>
      <c r="G175" s="23">
        <v>14</v>
      </c>
      <c r="H175" s="23">
        <v>14</v>
      </c>
      <c r="I175" s="23">
        <v>14</v>
      </c>
      <c r="J175" s="23">
        <v>14</v>
      </c>
      <c r="K175" s="23">
        <v>14</v>
      </c>
      <c r="L175" s="23">
        <v>14</v>
      </c>
      <c r="M175" s="23">
        <v>14</v>
      </c>
      <c r="N175" s="23">
        <v>14</v>
      </c>
      <c r="O175" s="23">
        <v>14</v>
      </c>
      <c r="P175" s="23">
        <v>14</v>
      </c>
      <c r="Q175" s="23">
        <v>14</v>
      </c>
      <c r="R175" s="23">
        <v>14</v>
      </c>
      <c r="T175" s="23">
        <v>14</v>
      </c>
      <c r="U175" s="28">
        <f t="shared" si="1"/>
        <v>14</v>
      </c>
      <c r="V175" s="23">
        <v>14</v>
      </c>
      <c r="X175" s="23">
        <v>14</v>
      </c>
      <c r="Y175" s="23">
        <v>14</v>
      </c>
      <c r="Z175" s="23">
        <v>14</v>
      </c>
      <c r="AA175" s="23">
        <v>14</v>
      </c>
      <c r="AC175" s="23">
        <v>14</v>
      </c>
      <c r="AD175" s="23">
        <v>14</v>
      </c>
    </row>
    <row r="176" spans="2:30" x14ac:dyDescent="0.3">
      <c r="B176" s="75" t="s">
        <v>32</v>
      </c>
      <c r="C176" s="72"/>
      <c r="D176" s="72"/>
      <c r="E176" s="72"/>
      <c r="F176" s="22" t="s">
        <v>2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3</v>
      </c>
      <c r="O176" s="23">
        <v>3</v>
      </c>
      <c r="P176" s="23">
        <v>3</v>
      </c>
      <c r="Q176" s="23">
        <v>3</v>
      </c>
      <c r="R176" s="23">
        <v>3</v>
      </c>
      <c r="T176" s="23">
        <v>3</v>
      </c>
      <c r="U176" s="28">
        <f t="shared" si="1"/>
        <v>1.25</v>
      </c>
      <c r="V176" s="23">
        <v>3</v>
      </c>
      <c r="X176" s="23">
        <v>0</v>
      </c>
      <c r="Y176" s="23">
        <v>0</v>
      </c>
      <c r="Z176" s="23">
        <v>3</v>
      </c>
      <c r="AA176" s="23">
        <v>3</v>
      </c>
      <c r="AC176" s="23">
        <v>3</v>
      </c>
      <c r="AD176" s="23">
        <v>3</v>
      </c>
    </row>
    <row r="177" spans="2:30" x14ac:dyDescent="0.3">
      <c r="B177" s="76"/>
      <c r="C177" s="73"/>
      <c r="D177" s="73"/>
      <c r="E177" s="73"/>
      <c r="F177" s="22" t="s">
        <v>3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T177" s="23">
        <v>0</v>
      </c>
      <c r="U177" s="28">
        <f t="shared" si="1"/>
        <v>0</v>
      </c>
      <c r="V177" s="23">
        <v>0</v>
      </c>
      <c r="X177" s="23">
        <v>0</v>
      </c>
      <c r="Y177" s="23">
        <v>0</v>
      </c>
      <c r="Z177" s="23">
        <v>0</v>
      </c>
      <c r="AA177" s="23">
        <v>0</v>
      </c>
      <c r="AC177" s="23">
        <v>0</v>
      </c>
      <c r="AD177" s="23">
        <v>0</v>
      </c>
    </row>
    <row r="178" spans="2:30" x14ac:dyDescent="0.3">
      <c r="B178" s="75" t="s">
        <v>38</v>
      </c>
      <c r="C178" s="72"/>
      <c r="D178" s="72"/>
      <c r="E178" s="72"/>
      <c r="F178" s="22" t="s">
        <v>2</v>
      </c>
      <c r="G178" s="23">
        <v>206</v>
      </c>
      <c r="H178" s="23">
        <v>229</v>
      </c>
      <c r="I178" s="23">
        <v>248</v>
      </c>
      <c r="J178" s="23">
        <v>254</v>
      </c>
      <c r="K178" s="23">
        <v>266</v>
      </c>
      <c r="L178" s="23">
        <v>275</v>
      </c>
      <c r="M178" s="23">
        <v>288</v>
      </c>
      <c r="N178" s="23">
        <v>296</v>
      </c>
      <c r="O178" s="23">
        <v>303</v>
      </c>
      <c r="P178" s="23">
        <v>306</v>
      </c>
      <c r="Q178" s="23">
        <v>299</v>
      </c>
      <c r="R178" s="23">
        <v>303</v>
      </c>
      <c r="T178" s="23">
        <v>303</v>
      </c>
      <c r="U178" s="28">
        <f t="shared" si="1"/>
        <v>272.75</v>
      </c>
      <c r="V178" s="23">
        <v>302</v>
      </c>
      <c r="X178" s="23">
        <v>229</v>
      </c>
      <c r="Y178" s="23">
        <v>265</v>
      </c>
      <c r="Z178" s="23">
        <v>296</v>
      </c>
      <c r="AA178" s="23">
        <v>304</v>
      </c>
      <c r="AC178" s="23">
        <v>303</v>
      </c>
      <c r="AD178" s="23">
        <v>275</v>
      </c>
    </row>
    <row r="179" spans="2:30" x14ac:dyDescent="0.3">
      <c r="B179" s="76"/>
      <c r="C179" s="73"/>
      <c r="D179" s="73"/>
      <c r="E179" s="73"/>
      <c r="F179" s="22" t="s">
        <v>3</v>
      </c>
      <c r="G179" s="23">
        <v>249</v>
      </c>
      <c r="H179" s="23">
        <v>260</v>
      </c>
      <c r="I179" s="23">
        <v>277</v>
      </c>
      <c r="J179" s="23">
        <v>273</v>
      </c>
      <c r="K179" s="23">
        <v>273</v>
      </c>
      <c r="L179" s="23">
        <v>273</v>
      </c>
      <c r="M179" s="23">
        <v>280</v>
      </c>
      <c r="N179" s="23">
        <v>280</v>
      </c>
      <c r="O179" s="23">
        <v>280</v>
      </c>
      <c r="P179" s="23">
        <v>280</v>
      </c>
      <c r="Q179" s="23">
        <v>280</v>
      </c>
      <c r="R179" s="23">
        <v>280</v>
      </c>
      <c r="T179" s="23">
        <v>280</v>
      </c>
      <c r="U179" s="28">
        <f t="shared" si="1"/>
        <v>273.75</v>
      </c>
      <c r="V179" s="23">
        <v>275</v>
      </c>
      <c r="X179" s="23">
        <v>262</v>
      </c>
      <c r="Y179" s="23">
        <v>273</v>
      </c>
      <c r="Z179" s="23">
        <v>280</v>
      </c>
      <c r="AA179" s="23">
        <v>280</v>
      </c>
      <c r="AC179" s="23">
        <v>280</v>
      </c>
      <c r="AD179" s="23">
        <v>275</v>
      </c>
    </row>
    <row r="180" spans="2:30" x14ac:dyDescent="0.3">
      <c r="B180" s="75" t="s">
        <v>42</v>
      </c>
      <c r="C180" s="72"/>
      <c r="D180" s="72"/>
      <c r="E180" s="72"/>
      <c r="F180" s="22" t="s">
        <v>2</v>
      </c>
      <c r="G180" s="23">
        <v>41</v>
      </c>
      <c r="H180" s="23">
        <v>42</v>
      </c>
      <c r="I180" s="23">
        <v>42</v>
      </c>
      <c r="J180" s="23">
        <v>42</v>
      </c>
      <c r="K180" s="23">
        <v>42</v>
      </c>
      <c r="L180" s="23">
        <v>37</v>
      </c>
      <c r="M180" s="23">
        <v>37</v>
      </c>
      <c r="N180" s="23">
        <v>37</v>
      </c>
      <c r="O180" s="23">
        <v>38</v>
      </c>
      <c r="P180" s="23">
        <v>38</v>
      </c>
      <c r="Q180" s="23">
        <v>38</v>
      </c>
      <c r="R180" s="23">
        <v>38</v>
      </c>
      <c r="T180" s="23">
        <v>38</v>
      </c>
      <c r="U180" s="28">
        <f t="shared" si="1"/>
        <v>39.333333333333336</v>
      </c>
      <c r="V180" s="23">
        <v>41</v>
      </c>
      <c r="X180" s="23">
        <v>42</v>
      </c>
      <c r="Y180" s="23">
        <v>40</v>
      </c>
      <c r="Z180" s="23">
        <v>37</v>
      </c>
      <c r="AA180" s="23">
        <v>38</v>
      </c>
      <c r="AC180" s="23">
        <v>38</v>
      </c>
      <c r="AD180" s="23">
        <v>39</v>
      </c>
    </row>
    <row r="181" spans="2:30" x14ac:dyDescent="0.3">
      <c r="B181" s="76"/>
      <c r="C181" s="73"/>
      <c r="D181" s="73"/>
      <c r="E181" s="73"/>
      <c r="F181" s="22" t="s">
        <v>3</v>
      </c>
      <c r="G181" s="23">
        <v>51</v>
      </c>
      <c r="H181" s="23">
        <v>51</v>
      </c>
      <c r="I181" s="23">
        <v>51</v>
      </c>
      <c r="J181" s="23">
        <v>51</v>
      </c>
      <c r="K181" s="23">
        <v>51</v>
      </c>
      <c r="L181" s="23">
        <v>51</v>
      </c>
      <c r="M181" s="23">
        <v>51</v>
      </c>
      <c r="N181" s="23">
        <v>51</v>
      </c>
      <c r="O181" s="23">
        <v>51</v>
      </c>
      <c r="P181" s="23">
        <v>51</v>
      </c>
      <c r="Q181" s="23">
        <v>51</v>
      </c>
      <c r="R181" s="23">
        <v>51</v>
      </c>
      <c r="T181" s="23">
        <v>51</v>
      </c>
      <c r="U181" s="28">
        <f t="shared" si="1"/>
        <v>51</v>
      </c>
      <c r="V181" s="23">
        <v>51</v>
      </c>
      <c r="X181" s="23">
        <v>51</v>
      </c>
      <c r="Y181" s="23">
        <v>51</v>
      </c>
      <c r="Z181" s="23">
        <v>51</v>
      </c>
      <c r="AA181" s="23">
        <v>51</v>
      </c>
      <c r="AC181" s="23">
        <v>51</v>
      </c>
      <c r="AD181" s="23">
        <v>51</v>
      </c>
    </row>
    <row r="182" spans="2:30" x14ac:dyDescent="0.3">
      <c r="B182" s="75" t="s">
        <v>121</v>
      </c>
      <c r="C182" s="72"/>
      <c r="D182" s="72"/>
      <c r="E182" s="72"/>
      <c r="F182" s="22" t="s">
        <v>2</v>
      </c>
      <c r="G182" s="23">
        <v>1</v>
      </c>
      <c r="H182" s="23">
        <v>1</v>
      </c>
      <c r="I182" s="23">
        <v>1</v>
      </c>
      <c r="J182" s="23">
        <v>1</v>
      </c>
      <c r="K182" s="23">
        <v>1</v>
      </c>
      <c r="L182" s="23">
        <v>1</v>
      </c>
      <c r="M182" s="23">
        <v>1</v>
      </c>
      <c r="N182" s="23">
        <v>1</v>
      </c>
      <c r="O182" s="23">
        <v>1</v>
      </c>
      <c r="P182" s="23">
        <v>1</v>
      </c>
      <c r="Q182" s="23">
        <v>1</v>
      </c>
      <c r="R182" s="23">
        <v>1</v>
      </c>
      <c r="T182" s="23">
        <v>1</v>
      </c>
      <c r="U182" s="28">
        <f t="shared" si="1"/>
        <v>1</v>
      </c>
      <c r="V182" s="23">
        <v>1</v>
      </c>
      <c r="X182" s="23">
        <v>1</v>
      </c>
      <c r="Y182" s="23">
        <v>1</v>
      </c>
      <c r="Z182" s="23">
        <v>1</v>
      </c>
      <c r="AA182" s="23">
        <v>1</v>
      </c>
      <c r="AC182" s="23">
        <v>1</v>
      </c>
      <c r="AD182" s="23">
        <v>1</v>
      </c>
    </row>
    <row r="183" spans="2:30" x14ac:dyDescent="0.3">
      <c r="B183" s="76"/>
      <c r="C183" s="73"/>
      <c r="D183" s="73"/>
      <c r="E183" s="73"/>
      <c r="F183" s="22" t="s">
        <v>3</v>
      </c>
      <c r="G183" s="23">
        <v>1</v>
      </c>
      <c r="H183" s="23">
        <v>1</v>
      </c>
      <c r="I183" s="23">
        <v>1</v>
      </c>
      <c r="J183" s="23">
        <v>1</v>
      </c>
      <c r="K183" s="23">
        <v>1</v>
      </c>
      <c r="L183" s="23">
        <v>1</v>
      </c>
      <c r="M183" s="23">
        <v>1</v>
      </c>
      <c r="N183" s="23">
        <v>1</v>
      </c>
      <c r="O183" s="23">
        <v>1</v>
      </c>
      <c r="P183" s="23">
        <v>1</v>
      </c>
      <c r="Q183" s="23">
        <v>1</v>
      </c>
      <c r="R183" s="23">
        <v>1</v>
      </c>
      <c r="T183" s="23">
        <v>1</v>
      </c>
      <c r="U183" s="28">
        <f t="shared" si="1"/>
        <v>1</v>
      </c>
      <c r="V183" s="23">
        <v>1</v>
      </c>
      <c r="X183" s="23">
        <v>1</v>
      </c>
      <c r="Y183" s="23">
        <v>1</v>
      </c>
      <c r="Z183" s="23">
        <v>1</v>
      </c>
      <c r="AA183" s="23">
        <v>1</v>
      </c>
      <c r="AC183" s="23">
        <v>1</v>
      </c>
      <c r="AD183" s="23">
        <v>1</v>
      </c>
    </row>
    <row r="184" spans="2:30" x14ac:dyDescent="0.3">
      <c r="B184" s="75" t="s">
        <v>50</v>
      </c>
      <c r="C184" s="72"/>
      <c r="D184" s="72"/>
      <c r="E184" s="72"/>
      <c r="F184" s="22" t="s">
        <v>2</v>
      </c>
      <c r="G184" s="23">
        <v>0</v>
      </c>
      <c r="H184" s="23">
        <v>0</v>
      </c>
      <c r="I184" s="23">
        <v>0</v>
      </c>
      <c r="J184" s="23">
        <v>0</v>
      </c>
      <c r="K184" s="23">
        <v>1</v>
      </c>
      <c r="L184" s="23">
        <v>1</v>
      </c>
      <c r="M184" s="23">
        <v>1</v>
      </c>
      <c r="N184" s="23">
        <v>1</v>
      </c>
      <c r="O184" s="23">
        <v>1</v>
      </c>
      <c r="P184" s="23">
        <v>1</v>
      </c>
      <c r="Q184" s="23">
        <v>1</v>
      </c>
      <c r="R184" s="23">
        <v>1</v>
      </c>
      <c r="T184" s="23">
        <v>1</v>
      </c>
      <c r="U184" s="28">
        <f t="shared" si="1"/>
        <v>0.66666666666666663</v>
      </c>
      <c r="V184" s="23">
        <v>1</v>
      </c>
      <c r="X184" s="23">
        <v>0</v>
      </c>
      <c r="Y184" s="23">
        <v>1</v>
      </c>
      <c r="Z184" s="23">
        <v>1</v>
      </c>
      <c r="AA184" s="23">
        <v>1</v>
      </c>
      <c r="AC184" s="23">
        <v>1</v>
      </c>
      <c r="AD184" s="23">
        <v>1</v>
      </c>
    </row>
    <row r="185" spans="2:30" x14ac:dyDescent="0.3">
      <c r="B185" s="76"/>
      <c r="C185" s="73"/>
      <c r="D185" s="73"/>
      <c r="E185" s="73"/>
      <c r="F185" s="22" t="s">
        <v>3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T185" s="23">
        <v>0</v>
      </c>
      <c r="U185" s="28">
        <f t="shared" si="1"/>
        <v>0</v>
      </c>
      <c r="V185" s="23">
        <v>0</v>
      </c>
      <c r="X185" s="23">
        <v>0</v>
      </c>
      <c r="Y185" s="23">
        <v>0</v>
      </c>
      <c r="Z185" s="23">
        <v>0</v>
      </c>
      <c r="AA185" s="23">
        <v>0</v>
      </c>
      <c r="AC185" s="23">
        <v>0</v>
      </c>
      <c r="AD185" s="23">
        <v>0</v>
      </c>
    </row>
    <row r="186" spans="2:30" x14ac:dyDescent="0.3">
      <c r="B186" s="75" t="s">
        <v>58</v>
      </c>
      <c r="C186" s="72"/>
      <c r="D186" s="72"/>
      <c r="E186" s="72"/>
      <c r="F186" s="22" t="s">
        <v>2</v>
      </c>
      <c r="G186" s="23">
        <v>4</v>
      </c>
      <c r="H186" s="23">
        <v>4</v>
      </c>
      <c r="I186" s="23">
        <v>4</v>
      </c>
      <c r="J186" s="23">
        <v>4</v>
      </c>
      <c r="K186" s="23">
        <v>4</v>
      </c>
      <c r="L186" s="23">
        <v>4</v>
      </c>
      <c r="M186" s="23">
        <v>4</v>
      </c>
      <c r="N186" s="23">
        <v>6</v>
      </c>
      <c r="O186" s="23">
        <v>6</v>
      </c>
      <c r="P186" s="23">
        <v>6</v>
      </c>
      <c r="Q186" s="23">
        <v>6</v>
      </c>
      <c r="R186" s="23">
        <v>6</v>
      </c>
      <c r="T186" s="23">
        <v>6</v>
      </c>
      <c r="U186" s="28">
        <f t="shared" si="1"/>
        <v>4.833333333333333</v>
      </c>
      <c r="V186" s="23">
        <v>5</v>
      </c>
      <c r="X186" s="23">
        <v>4</v>
      </c>
      <c r="Y186" s="23">
        <v>4</v>
      </c>
      <c r="Z186" s="23">
        <v>6</v>
      </c>
      <c r="AA186" s="23">
        <v>6</v>
      </c>
      <c r="AC186" s="23">
        <v>6</v>
      </c>
      <c r="AD186" s="23">
        <v>5</v>
      </c>
    </row>
    <row r="187" spans="2:30" x14ac:dyDescent="0.3">
      <c r="B187" s="76"/>
      <c r="C187" s="73"/>
      <c r="D187" s="73"/>
      <c r="E187" s="73"/>
      <c r="F187" s="22" t="s">
        <v>3</v>
      </c>
      <c r="G187" s="23">
        <v>5</v>
      </c>
      <c r="H187" s="23">
        <v>5</v>
      </c>
      <c r="I187" s="23">
        <v>5</v>
      </c>
      <c r="J187" s="23">
        <v>5</v>
      </c>
      <c r="K187" s="23">
        <v>5</v>
      </c>
      <c r="L187" s="23">
        <v>5</v>
      </c>
      <c r="M187" s="23">
        <v>5</v>
      </c>
      <c r="N187" s="23">
        <v>5</v>
      </c>
      <c r="O187" s="23">
        <v>5</v>
      </c>
      <c r="P187" s="23">
        <v>5</v>
      </c>
      <c r="Q187" s="23">
        <v>5</v>
      </c>
      <c r="R187" s="23">
        <v>5</v>
      </c>
      <c r="T187" s="23">
        <v>5</v>
      </c>
      <c r="U187" s="28">
        <f t="shared" si="1"/>
        <v>5</v>
      </c>
      <c r="V187" s="23">
        <v>5</v>
      </c>
      <c r="X187" s="23">
        <v>5</v>
      </c>
      <c r="Y187" s="23">
        <v>5</v>
      </c>
      <c r="Z187" s="23">
        <v>5</v>
      </c>
      <c r="AA187" s="23">
        <v>5</v>
      </c>
      <c r="AC187" s="23">
        <v>5</v>
      </c>
      <c r="AD187" s="23">
        <v>5</v>
      </c>
    </row>
    <row r="188" spans="2:30" x14ac:dyDescent="0.3">
      <c r="B188" s="75" t="s">
        <v>75</v>
      </c>
      <c r="C188" s="72"/>
      <c r="D188" s="72"/>
      <c r="E188" s="72"/>
      <c r="F188" s="22" t="s">
        <v>2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10</v>
      </c>
      <c r="O188" s="23">
        <v>10</v>
      </c>
      <c r="P188" s="23">
        <v>10</v>
      </c>
      <c r="Q188" s="23">
        <v>10</v>
      </c>
      <c r="R188" s="23">
        <v>10</v>
      </c>
      <c r="T188" s="23">
        <v>10</v>
      </c>
      <c r="U188" s="28">
        <f t="shared" si="1"/>
        <v>4.166666666666667</v>
      </c>
      <c r="V188" s="23">
        <v>10</v>
      </c>
      <c r="X188" s="23">
        <v>0</v>
      </c>
      <c r="Y188" s="23">
        <v>0</v>
      </c>
      <c r="Z188" s="23">
        <v>10</v>
      </c>
      <c r="AA188" s="23">
        <v>10</v>
      </c>
      <c r="AC188" s="23">
        <v>10</v>
      </c>
      <c r="AD188" s="23">
        <v>10</v>
      </c>
    </row>
    <row r="189" spans="2:30" x14ac:dyDescent="0.3">
      <c r="B189" s="76"/>
      <c r="C189" s="73"/>
      <c r="D189" s="73"/>
      <c r="E189" s="73"/>
      <c r="F189" s="22" t="s">
        <v>3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T189" s="23">
        <v>0</v>
      </c>
      <c r="U189" s="28">
        <f t="shared" si="1"/>
        <v>0</v>
      </c>
      <c r="V189" s="23">
        <v>0</v>
      </c>
      <c r="X189" s="23">
        <v>0</v>
      </c>
      <c r="Y189" s="23">
        <v>0</v>
      </c>
      <c r="Z189" s="23">
        <v>0</v>
      </c>
      <c r="AA189" s="23">
        <v>0</v>
      </c>
      <c r="AC189" s="23">
        <v>0</v>
      </c>
      <c r="AD189" s="23">
        <v>0</v>
      </c>
    </row>
    <row r="190" spans="2:30" ht="6.3" customHeight="1" x14ac:dyDescent="0.3">
      <c r="U190" s="28" t="e">
        <f t="shared" si="1"/>
        <v>#DIV/0!</v>
      </c>
    </row>
    <row r="191" spans="2:30" x14ac:dyDescent="0.3">
      <c r="B191" s="78" t="s">
        <v>85</v>
      </c>
      <c r="C191" s="73"/>
      <c r="D191" s="73"/>
      <c r="E191" s="73"/>
      <c r="F191" s="16" t="s">
        <v>2</v>
      </c>
      <c r="G191" s="17">
        <v>1441.53</v>
      </c>
      <c r="H191" s="17">
        <v>1465.9</v>
      </c>
      <c r="I191" s="17">
        <v>1851.7</v>
      </c>
      <c r="J191" s="17">
        <v>2062.3000000000002</v>
      </c>
      <c r="K191" s="17">
        <v>2478</v>
      </c>
      <c r="L191" s="17">
        <v>2858</v>
      </c>
      <c r="M191" s="17">
        <v>3245</v>
      </c>
      <c r="N191" s="17">
        <v>3693</v>
      </c>
      <c r="O191" s="17">
        <v>4015</v>
      </c>
      <c r="P191" s="17">
        <v>4464</v>
      </c>
      <c r="Q191" s="17">
        <v>5169</v>
      </c>
      <c r="R191" s="17">
        <v>5073</v>
      </c>
      <c r="T191" s="17">
        <v>5073</v>
      </c>
      <c r="U191" s="28">
        <f t="shared" si="1"/>
        <v>3151.3691666666668</v>
      </c>
      <c r="V191" s="17">
        <v>3151</v>
      </c>
      <c r="X191" s="17">
        <v>1587</v>
      </c>
      <c r="Y191" s="17">
        <v>2466</v>
      </c>
      <c r="Z191" s="17">
        <v>3651</v>
      </c>
      <c r="AA191" s="17">
        <v>4902</v>
      </c>
      <c r="AC191" s="17">
        <v>5073</v>
      </c>
      <c r="AD191" s="17">
        <v>3151</v>
      </c>
    </row>
    <row r="192" spans="2:30" x14ac:dyDescent="0.3">
      <c r="F192" s="16" t="s">
        <v>3</v>
      </c>
      <c r="G192" s="17">
        <v>3685</v>
      </c>
      <c r="H192" s="17">
        <v>4910</v>
      </c>
      <c r="I192" s="17">
        <v>6006</v>
      </c>
      <c r="J192" s="17">
        <v>6527</v>
      </c>
      <c r="K192" s="17">
        <v>6777</v>
      </c>
      <c r="L192" s="17">
        <v>8119</v>
      </c>
      <c r="M192" s="17">
        <v>9251</v>
      </c>
      <c r="N192" s="17">
        <v>9867</v>
      </c>
      <c r="O192" s="17">
        <v>10494</v>
      </c>
      <c r="P192" s="17">
        <v>10922</v>
      </c>
      <c r="Q192" s="17">
        <v>11275</v>
      </c>
      <c r="R192" s="17">
        <v>11644</v>
      </c>
      <c r="T192" s="17">
        <v>11644</v>
      </c>
      <c r="U192" s="28">
        <f t="shared" si="1"/>
        <v>8289.75</v>
      </c>
      <c r="V192" s="17">
        <v>8289</v>
      </c>
      <c r="X192" s="17">
        <v>4867</v>
      </c>
      <c r="Y192" s="17">
        <v>7141</v>
      </c>
      <c r="Z192" s="17">
        <v>9871</v>
      </c>
      <c r="AA192" s="17">
        <v>11281</v>
      </c>
      <c r="AC192" s="17">
        <v>11644</v>
      </c>
      <c r="AD192" s="17">
        <v>8289</v>
      </c>
    </row>
    <row r="193" spans="2:30" ht="3" customHeight="1" x14ac:dyDescent="0.3"/>
    <row r="194" spans="2:30" x14ac:dyDescent="0.3">
      <c r="B194" s="78" t="s">
        <v>5</v>
      </c>
      <c r="C194" s="73"/>
      <c r="D194" s="73"/>
      <c r="E194" s="73"/>
      <c r="F194" s="20" t="s">
        <v>6</v>
      </c>
      <c r="G194" s="21" t="s">
        <v>138</v>
      </c>
      <c r="H194" s="21" t="s">
        <v>139</v>
      </c>
      <c r="I194" s="21" t="s">
        <v>140</v>
      </c>
      <c r="J194" s="21" t="s">
        <v>141</v>
      </c>
      <c r="K194" s="21" t="s">
        <v>142</v>
      </c>
      <c r="L194" s="21" t="s">
        <v>143</v>
      </c>
      <c r="M194" s="21" t="s">
        <v>144</v>
      </c>
      <c r="N194" s="21" t="s">
        <v>145</v>
      </c>
      <c r="O194" s="21" t="s">
        <v>146</v>
      </c>
      <c r="P194" s="21" t="s">
        <v>147</v>
      </c>
      <c r="Q194" s="21" t="s">
        <v>148</v>
      </c>
      <c r="R194" s="21" t="s">
        <v>149</v>
      </c>
      <c r="T194" s="21" t="s">
        <v>24</v>
      </c>
      <c r="U194" s="21" t="s">
        <v>25</v>
      </c>
      <c r="V194" s="21" t="s">
        <v>19</v>
      </c>
      <c r="X194" s="21" t="s">
        <v>20</v>
      </c>
      <c r="Y194" s="21" t="s">
        <v>21</v>
      </c>
      <c r="Z194" s="21" t="s">
        <v>22</v>
      </c>
      <c r="AA194" s="21" t="s">
        <v>23</v>
      </c>
      <c r="AC194" s="21" t="s">
        <v>24</v>
      </c>
      <c r="AD194" s="21" t="s">
        <v>25</v>
      </c>
    </row>
    <row r="195" spans="2:30" x14ac:dyDescent="0.3">
      <c r="B195" s="75" t="s">
        <v>38</v>
      </c>
      <c r="C195" s="72"/>
      <c r="D195" s="75" t="s">
        <v>83</v>
      </c>
      <c r="E195" s="72"/>
      <c r="F195" s="22" t="s">
        <v>2</v>
      </c>
      <c r="G195" s="23">
        <v>959.14</v>
      </c>
      <c r="H195" s="23">
        <v>1004.86</v>
      </c>
      <c r="I195" s="23">
        <v>1360.8</v>
      </c>
      <c r="J195" s="23">
        <v>1583.4</v>
      </c>
      <c r="K195" s="23">
        <v>2039</v>
      </c>
      <c r="L195" s="23">
        <v>2429</v>
      </c>
      <c r="M195" s="23">
        <v>2694</v>
      </c>
      <c r="N195" s="23">
        <v>3047</v>
      </c>
      <c r="O195" s="23">
        <v>2990</v>
      </c>
      <c r="P195" s="23">
        <v>3469</v>
      </c>
      <c r="Q195" s="23">
        <v>3698</v>
      </c>
      <c r="R195" s="23">
        <v>3797</v>
      </c>
      <c r="T195" s="23">
        <v>3797</v>
      </c>
      <c r="U195" s="28">
        <f t="shared" ref="U195:U200" si="2">+AVERAGE(G195:R195)</f>
        <v>2422.6</v>
      </c>
      <c r="V195" s="23">
        <v>2423</v>
      </c>
      <c r="X195" s="23">
        <v>1108</v>
      </c>
      <c r="Y195" s="23">
        <v>2017</v>
      </c>
      <c r="Z195" s="23">
        <v>2910</v>
      </c>
      <c r="AA195" s="23">
        <v>3655</v>
      </c>
      <c r="AC195" s="23">
        <v>3797</v>
      </c>
      <c r="AD195" s="23">
        <v>2423</v>
      </c>
    </row>
    <row r="196" spans="2:30" x14ac:dyDescent="0.3">
      <c r="B196" s="81"/>
      <c r="C196" s="72"/>
      <c r="D196" s="76"/>
      <c r="E196" s="73"/>
      <c r="F196" s="22" t="s">
        <v>3</v>
      </c>
      <c r="G196" s="23">
        <v>3059</v>
      </c>
      <c r="H196" s="23">
        <v>4311</v>
      </c>
      <c r="I196" s="23">
        <v>5519</v>
      </c>
      <c r="J196" s="23">
        <v>6091</v>
      </c>
      <c r="K196" s="23">
        <v>6495</v>
      </c>
      <c r="L196" s="23">
        <v>7874</v>
      </c>
      <c r="M196" s="23">
        <v>8995</v>
      </c>
      <c r="N196" s="23">
        <v>9611</v>
      </c>
      <c r="O196" s="23">
        <v>10136</v>
      </c>
      <c r="P196" s="23">
        <v>10556</v>
      </c>
      <c r="Q196" s="23">
        <v>10909</v>
      </c>
      <c r="R196" s="23">
        <v>11285</v>
      </c>
      <c r="T196" s="23">
        <v>11285</v>
      </c>
      <c r="U196" s="28">
        <f t="shared" si="2"/>
        <v>7903.416666666667</v>
      </c>
      <c r="V196" s="23">
        <v>7903</v>
      </c>
      <c r="X196" s="23">
        <v>4296</v>
      </c>
      <c r="Y196" s="23">
        <v>6820</v>
      </c>
      <c r="Z196" s="23">
        <v>9581</v>
      </c>
      <c r="AA196" s="23">
        <v>10917</v>
      </c>
      <c r="AC196" s="23">
        <v>11285</v>
      </c>
      <c r="AD196" s="23">
        <v>7903</v>
      </c>
    </row>
    <row r="197" spans="2:30" x14ac:dyDescent="0.3">
      <c r="B197" s="81"/>
      <c r="C197" s="72"/>
      <c r="D197" s="75" t="s">
        <v>82</v>
      </c>
      <c r="E197" s="72"/>
      <c r="F197" s="22" t="s">
        <v>2</v>
      </c>
      <c r="G197" s="23">
        <v>138.38999999999999</v>
      </c>
      <c r="H197" s="23">
        <v>155.04</v>
      </c>
      <c r="I197" s="23">
        <v>197.9</v>
      </c>
      <c r="J197" s="23">
        <v>185.9</v>
      </c>
      <c r="K197" s="23">
        <v>228</v>
      </c>
      <c r="L197" s="23">
        <v>220</v>
      </c>
      <c r="M197" s="23">
        <v>322</v>
      </c>
      <c r="N197" s="23">
        <v>401</v>
      </c>
      <c r="O197" s="23">
        <v>803</v>
      </c>
      <c r="P197" s="23">
        <v>762</v>
      </c>
      <c r="Q197" s="23">
        <v>1261</v>
      </c>
      <c r="R197" s="23">
        <v>1092</v>
      </c>
      <c r="T197" s="23">
        <v>1092</v>
      </c>
      <c r="U197" s="28">
        <f t="shared" si="2"/>
        <v>480.51916666666665</v>
      </c>
      <c r="V197" s="23">
        <v>480</v>
      </c>
      <c r="X197" s="23">
        <v>164</v>
      </c>
      <c r="Y197" s="23">
        <v>211</v>
      </c>
      <c r="Z197" s="23">
        <v>509</v>
      </c>
      <c r="AA197" s="23">
        <v>1038</v>
      </c>
      <c r="AC197" s="23">
        <v>1092</v>
      </c>
      <c r="AD197" s="23">
        <v>480</v>
      </c>
    </row>
    <row r="198" spans="2:30" x14ac:dyDescent="0.3">
      <c r="B198" s="76"/>
      <c r="C198" s="73"/>
      <c r="D198" s="76"/>
      <c r="E198" s="73"/>
      <c r="F198" s="22" t="s">
        <v>3</v>
      </c>
      <c r="G198" s="23">
        <v>157</v>
      </c>
      <c r="H198" s="23">
        <v>135</v>
      </c>
      <c r="I198" s="23">
        <v>58</v>
      </c>
      <c r="J198" s="23">
        <v>0</v>
      </c>
      <c r="K198" s="23">
        <v>0</v>
      </c>
      <c r="L198" s="23">
        <v>0</v>
      </c>
      <c r="M198" s="23">
        <v>4</v>
      </c>
      <c r="N198" s="23">
        <v>4</v>
      </c>
      <c r="O198" s="23">
        <v>4</v>
      </c>
      <c r="P198" s="23">
        <v>0</v>
      </c>
      <c r="Q198" s="23">
        <v>0</v>
      </c>
      <c r="R198" s="23">
        <v>0</v>
      </c>
      <c r="T198" s="23">
        <v>0</v>
      </c>
      <c r="U198" s="28">
        <f t="shared" si="2"/>
        <v>30.166666666666668</v>
      </c>
      <c r="V198" s="23">
        <v>30</v>
      </c>
      <c r="X198" s="23">
        <v>117</v>
      </c>
      <c r="Y198" s="23">
        <v>0</v>
      </c>
      <c r="Z198" s="23">
        <v>4</v>
      </c>
      <c r="AA198" s="23">
        <v>0</v>
      </c>
      <c r="AC198" s="23">
        <v>0</v>
      </c>
      <c r="AD198" s="23">
        <v>30</v>
      </c>
    </row>
    <row r="199" spans="2:30" x14ac:dyDescent="0.3">
      <c r="B199" s="75" t="s">
        <v>42</v>
      </c>
      <c r="C199" s="72"/>
      <c r="D199" s="75" t="s">
        <v>83</v>
      </c>
      <c r="E199" s="72"/>
      <c r="F199" s="22" t="s">
        <v>2</v>
      </c>
      <c r="G199" s="23">
        <v>344</v>
      </c>
      <c r="H199" s="23">
        <v>306</v>
      </c>
      <c r="I199" s="23">
        <v>293</v>
      </c>
      <c r="J199" s="23">
        <v>293</v>
      </c>
      <c r="K199" s="23">
        <v>211</v>
      </c>
      <c r="L199" s="23">
        <v>209</v>
      </c>
      <c r="M199" s="23">
        <v>229</v>
      </c>
      <c r="N199" s="23">
        <v>245</v>
      </c>
      <c r="O199" s="23">
        <v>222</v>
      </c>
      <c r="P199" s="23">
        <v>233</v>
      </c>
      <c r="Q199" s="23">
        <v>210</v>
      </c>
      <c r="R199" s="23">
        <v>184</v>
      </c>
      <c r="T199" s="23">
        <v>184</v>
      </c>
      <c r="U199" s="28">
        <f t="shared" si="2"/>
        <v>248.25</v>
      </c>
      <c r="V199" s="23">
        <v>248</v>
      </c>
      <c r="X199" s="23">
        <v>315</v>
      </c>
      <c r="Y199" s="23">
        <v>238</v>
      </c>
      <c r="Z199" s="23">
        <v>232</v>
      </c>
      <c r="AA199" s="23">
        <v>209</v>
      </c>
      <c r="AC199" s="23">
        <v>184</v>
      </c>
      <c r="AD199" s="23">
        <v>248</v>
      </c>
    </row>
    <row r="200" spans="2:30" x14ac:dyDescent="0.3">
      <c r="B200" s="76"/>
      <c r="C200" s="73"/>
      <c r="D200" s="76"/>
      <c r="E200" s="73"/>
      <c r="F200" s="22" t="s">
        <v>3</v>
      </c>
      <c r="G200" s="23">
        <v>469</v>
      </c>
      <c r="H200" s="23">
        <v>464</v>
      </c>
      <c r="I200" s="23">
        <v>429</v>
      </c>
      <c r="J200" s="23">
        <v>436</v>
      </c>
      <c r="K200" s="23">
        <v>282</v>
      </c>
      <c r="L200" s="23">
        <v>245</v>
      </c>
      <c r="M200" s="23">
        <v>252</v>
      </c>
      <c r="N200" s="23">
        <v>252</v>
      </c>
      <c r="O200" s="23">
        <v>354</v>
      </c>
      <c r="P200" s="23">
        <v>366</v>
      </c>
      <c r="Q200" s="23">
        <v>366</v>
      </c>
      <c r="R200" s="23">
        <v>359</v>
      </c>
      <c r="T200" s="23">
        <v>359</v>
      </c>
      <c r="U200" s="28">
        <f t="shared" si="2"/>
        <v>356.16666666666669</v>
      </c>
      <c r="V200" s="23">
        <v>356</v>
      </c>
      <c r="X200" s="23">
        <v>454</v>
      </c>
      <c r="Y200" s="23">
        <v>321</v>
      </c>
      <c r="Z200" s="23">
        <v>286</v>
      </c>
      <c r="AA200" s="23">
        <v>364</v>
      </c>
      <c r="AC200" s="23">
        <v>359</v>
      </c>
      <c r="AD200" s="23">
        <v>356</v>
      </c>
    </row>
    <row r="201" spans="2:30" ht="5.0999999999999996" customHeight="1" x14ac:dyDescent="0.3"/>
    <row r="202" spans="2:30" x14ac:dyDescent="0.3">
      <c r="B202" s="82" t="s">
        <v>86</v>
      </c>
      <c r="C202" s="73"/>
      <c r="D202" s="73"/>
      <c r="E202" s="73"/>
      <c r="F202" s="16" t="s">
        <v>2</v>
      </c>
      <c r="G202" s="17">
        <v>32</v>
      </c>
      <c r="H202" s="17">
        <v>31</v>
      </c>
      <c r="I202" s="17">
        <v>29</v>
      </c>
      <c r="J202" s="17">
        <v>27</v>
      </c>
      <c r="K202" s="17">
        <v>29</v>
      </c>
      <c r="L202" s="17">
        <v>30</v>
      </c>
      <c r="M202" s="17">
        <v>30</v>
      </c>
      <c r="N202" s="17">
        <v>30</v>
      </c>
      <c r="O202" s="17">
        <v>30</v>
      </c>
      <c r="P202" s="17">
        <v>32</v>
      </c>
      <c r="Q202" s="17">
        <v>30</v>
      </c>
      <c r="R202" s="17">
        <v>27</v>
      </c>
      <c r="T202" s="17">
        <v>27</v>
      </c>
      <c r="U202" s="28">
        <f t="shared" ref="U202:U203" si="3">+AVERAGE(G202:R202)</f>
        <v>29.75</v>
      </c>
      <c r="V202" s="17">
        <v>46</v>
      </c>
      <c r="X202" s="17">
        <v>36</v>
      </c>
      <c r="Y202" s="17">
        <v>29</v>
      </c>
      <c r="Z202" s="17">
        <v>31</v>
      </c>
      <c r="AA202" s="17">
        <v>33</v>
      </c>
      <c r="AC202" s="17">
        <v>27</v>
      </c>
      <c r="AD202" s="17">
        <v>41</v>
      </c>
    </row>
    <row r="203" spans="2:30" x14ac:dyDescent="0.3">
      <c r="F203" s="16" t="s">
        <v>3</v>
      </c>
      <c r="G203" s="17">
        <v>27</v>
      </c>
      <c r="H203" s="17">
        <v>27</v>
      </c>
      <c r="I203" s="17">
        <v>26</v>
      </c>
      <c r="J203" s="17">
        <v>14</v>
      </c>
      <c r="K203" s="17">
        <v>14</v>
      </c>
      <c r="L203" s="17">
        <v>14</v>
      </c>
      <c r="M203" s="17">
        <v>14</v>
      </c>
      <c r="N203" s="17">
        <v>14</v>
      </c>
      <c r="O203" s="17">
        <v>14</v>
      </c>
      <c r="P203" s="17">
        <v>14</v>
      </c>
      <c r="Q203" s="17">
        <v>14</v>
      </c>
      <c r="R203" s="17">
        <v>14</v>
      </c>
      <c r="T203" s="17">
        <v>14</v>
      </c>
      <c r="U203" s="28">
        <f t="shared" si="3"/>
        <v>17.166666666666668</v>
      </c>
      <c r="V203" s="17">
        <v>27</v>
      </c>
      <c r="X203" s="17">
        <v>27</v>
      </c>
      <c r="Y203" s="17">
        <v>14</v>
      </c>
      <c r="Z203" s="17">
        <v>14</v>
      </c>
      <c r="AA203" s="17">
        <v>14</v>
      </c>
      <c r="AC203" s="17">
        <v>14</v>
      </c>
      <c r="AD203" s="17">
        <v>27</v>
      </c>
    </row>
    <row r="204" spans="2:30" ht="4.05" customHeight="1" x14ac:dyDescent="0.3"/>
    <row r="205" spans="2:30" x14ac:dyDescent="0.3">
      <c r="B205" s="78" t="s">
        <v>5</v>
      </c>
      <c r="C205" s="73"/>
      <c r="D205" s="73"/>
      <c r="E205" s="73"/>
      <c r="F205" s="20" t="s">
        <v>6</v>
      </c>
      <c r="G205" s="21" t="s">
        <v>138</v>
      </c>
      <c r="H205" s="21" t="s">
        <v>139</v>
      </c>
      <c r="I205" s="21" t="s">
        <v>140</v>
      </c>
      <c r="J205" s="21" t="s">
        <v>141</v>
      </c>
      <c r="K205" s="21" t="s">
        <v>142</v>
      </c>
      <c r="L205" s="21" t="s">
        <v>143</v>
      </c>
      <c r="M205" s="21" t="s">
        <v>144</v>
      </c>
      <c r="N205" s="21" t="s">
        <v>145</v>
      </c>
      <c r="O205" s="21" t="s">
        <v>146</v>
      </c>
      <c r="P205" s="21" t="s">
        <v>147</v>
      </c>
      <c r="Q205" s="21" t="s">
        <v>148</v>
      </c>
      <c r="R205" s="21" t="s">
        <v>149</v>
      </c>
      <c r="T205" s="21" t="s">
        <v>24</v>
      </c>
      <c r="U205" s="21" t="s">
        <v>25</v>
      </c>
      <c r="V205" s="21" t="s">
        <v>19</v>
      </c>
      <c r="X205" s="21" t="s">
        <v>20</v>
      </c>
      <c r="Y205" s="21" t="s">
        <v>21</v>
      </c>
      <c r="Z205" s="21" t="s">
        <v>22</v>
      </c>
      <c r="AA205" s="21" t="s">
        <v>23</v>
      </c>
      <c r="AC205" s="21" t="s">
        <v>24</v>
      </c>
      <c r="AD205" s="21" t="s">
        <v>25</v>
      </c>
    </row>
    <row r="206" spans="2:30" x14ac:dyDescent="0.3">
      <c r="B206" s="75" t="s">
        <v>87</v>
      </c>
      <c r="C206" s="72"/>
      <c r="D206" s="75" t="s">
        <v>117</v>
      </c>
      <c r="E206" s="72"/>
      <c r="F206" s="26" t="s">
        <v>2</v>
      </c>
      <c r="G206" s="27">
        <v>4</v>
      </c>
      <c r="H206" s="27">
        <v>4</v>
      </c>
      <c r="I206" s="27">
        <v>4</v>
      </c>
      <c r="J206" s="27">
        <v>4</v>
      </c>
      <c r="K206" s="27">
        <v>4</v>
      </c>
      <c r="L206" s="27">
        <v>4</v>
      </c>
      <c r="M206" s="27">
        <v>4</v>
      </c>
      <c r="N206" s="27">
        <v>4</v>
      </c>
      <c r="O206" s="27">
        <v>4</v>
      </c>
      <c r="P206" s="27">
        <v>4</v>
      </c>
      <c r="Q206" s="27">
        <v>4</v>
      </c>
      <c r="R206" s="27">
        <v>3</v>
      </c>
      <c r="T206" s="23">
        <v>0</v>
      </c>
      <c r="U206" s="28">
        <f t="shared" ref="U206:U235" si="4">+AVERAGE(G206:R206)</f>
        <v>3.9166666666666665</v>
      </c>
      <c r="V206" s="23">
        <v>2</v>
      </c>
      <c r="X206" s="23">
        <v>2</v>
      </c>
      <c r="Y206" s="23">
        <v>1</v>
      </c>
      <c r="Z206" s="23">
        <v>1</v>
      </c>
      <c r="AA206" s="23">
        <v>0</v>
      </c>
      <c r="AC206" s="23">
        <v>0</v>
      </c>
      <c r="AD206" s="23">
        <v>2</v>
      </c>
    </row>
    <row r="207" spans="2:30" x14ac:dyDescent="0.3">
      <c r="B207" s="81"/>
      <c r="C207" s="72"/>
      <c r="D207" s="76"/>
      <c r="E207" s="73"/>
      <c r="F207" s="26" t="s">
        <v>3</v>
      </c>
      <c r="G207" s="27">
        <v>4</v>
      </c>
      <c r="H207" s="27">
        <v>4</v>
      </c>
      <c r="I207" s="27">
        <v>4</v>
      </c>
      <c r="J207" s="27">
        <v>4</v>
      </c>
      <c r="K207" s="27">
        <v>4</v>
      </c>
      <c r="L207" s="27">
        <v>4</v>
      </c>
      <c r="M207" s="27">
        <v>4</v>
      </c>
      <c r="N207" s="27">
        <v>4</v>
      </c>
      <c r="O207" s="27">
        <v>4</v>
      </c>
      <c r="P207" s="27">
        <v>4</v>
      </c>
      <c r="Q207" s="27">
        <v>4</v>
      </c>
      <c r="R207" s="27">
        <v>4</v>
      </c>
      <c r="T207" s="23">
        <v>0</v>
      </c>
      <c r="U207" s="28">
        <f t="shared" si="4"/>
        <v>4</v>
      </c>
      <c r="V207" s="23">
        <v>1</v>
      </c>
      <c r="X207" s="23">
        <v>1</v>
      </c>
      <c r="Y207" s="23">
        <v>0</v>
      </c>
      <c r="Z207" s="23">
        <v>0</v>
      </c>
      <c r="AA207" s="23">
        <v>0</v>
      </c>
      <c r="AC207" s="23">
        <v>0</v>
      </c>
      <c r="AD207" s="23">
        <v>1</v>
      </c>
    </row>
    <row r="208" spans="2:30" x14ac:dyDescent="0.3">
      <c r="B208" s="81"/>
      <c r="C208" s="72"/>
      <c r="D208" s="75" t="s">
        <v>38</v>
      </c>
      <c r="E208" s="72"/>
      <c r="F208" s="26" t="s">
        <v>2</v>
      </c>
      <c r="G208" s="27">
        <v>1</v>
      </c>
      <c r="H208" s="27">
        <v>1</v>
      </c>
      <c r="I208" s="27">
        <v>1</v>
      </c>
      <c r="J208" s="27">
        <v>1</v>
      </c>
      <c r="K208" s="27">
        <v>1</v>
      </c>
      <c r="L208" s="27">
        <v>1</v>
      </c>
      <c r="M208" s="27">
        <v>1</v>
      </c>
      <c r="N208" s="27">
        <v>1</v>
      </c>
      <c r="O208" s="27">
        <v>1</v>
      </c>
      <c r="P208" s="27">
        <v>1</v>
      </c>
      <c r="Q208" s="27">
        <v>1</v>
      </c>
      <c r="R208" s="27">
        <v>1</v>
      </c>
      <c r="T208" s="23">
        <v>3</v>
      </c>
      <c r="U208" s="28">
        <f t="shared" si="4"/>
        <v>1</v>
      </c>
      <c r="V208" s="23">
        <v>4</v>
      </c>
      <c r="X208" s="23">
        <v>4</v>
      </c>
      <c r="Y208" s="23">
        <v>4</v>
      </c>
      <c r="Z208" s="23">
        <v>4</v>
      </c>
      <c r="AA208" s="23">
        <v>4</v>
      </c>
      <c r="AC208" s="23">
        <v>3</v>
      </c>
      <c r="AD208" s="23">
        <v>4</v>
      </c>
    </row>
    <row r="209" spans="2:30" x14ac:dyDescent="0.3">
      <c r="B209" s="81"/>
      <c r="C209" s="72"/>
      <c r="D209" s="76"/>
      <c r="E209" s="73"/>
      <c r="F209" s="26" t="s">
        <v>3</v>
      </c>
      <c r="G209" s="27">
        <v>1</v>
      </c>
      <c r="H209" s="27">
        <v>1</v>
      </c>
      <c r="I209" s="27">
        <v>1</v>
      </c>
      <c r="J209" s="27">
        <v>1</v>
      </c>
      <c r="K209" s="27">
        <v>1</v>
      </c>
      <c r="L209" s="27">
        <v>1</v>
      </c>
      <c r="M209" s="27">
        <v>1</v>
      </c>
      <c r="N209" s="27">
        <v>1</v>
      </c>
      <c r="O209" s="27">
        <v>1</v>
      </c>
      <c r="P209" s="27">
        <v>1</v>
      </c>
      <c r="Q209" s="27">
        <v>1</v>
      </c>
      <c r="R209" s="27">
        <v>1</v>
      </c>
      <c r="T209" s="23">
        <v>0</v>
      </c>
      <c r="U209" s="28">
        <f t="shared" si="4"/>
        <v>1</v>
      </c>
      <c r="V209" s="23">
        <v>1</v>
      </c>
      <c r="X209" s="23">
        <v>1</v>
      </c>
      <c r="Y209" s="23">
        <v>0</v>
      </c>
      <c r="Z209" s="23">
        <v>0</v>
      </c>
      <c r="AA209" s="23">
        <v>0</v>
      </c>
      <c r="AC209" s="23">
        <v>0</v>
      </c>
      <c r="AD209" s="23">
        <v>1</v>
      </c>
    </row>
    <row r="210" spans="2:30" x14ac:dyDescent="0.3">
      <c r="B210" s="81"/>
      <c r="C210" s="72"/>
      <c r="D210" s="75" t="s">
        <v>42</v>
      </c>
      <c r="E210" s="72"/>
      <c r="F210" s="26" t="s">
        <v>2</v>
      </c>
      <c r="G210" s="27">
        <v>6</v>
      </c>
      <c r="H210" s="27">
        <v>7</v>
      </c>
      <c r="I210" s="27">
        <v>7</v>
      </c>
      <c r="J210" s="27">
        <v>7</v>
      </c>
      <c r="K210" s="27">
        <v>7</v>
      </c>
      <c r="L210" s="27">
        <v>8</v>
      </c>
      <c r="M210" s="27">
        <v>8</v>
      </c>
      <c r="N210" s="27">
        <v>8</v>
      </c>
      <c r="O210" s="27">
        <v>8</v>
      </c>
      <c r="P210" s="27">
        <v>9</v>
      </c>
      <c r="Q210" s="27">
        <v>9</v>
      </c>
      <c r="R210" s="27">
        <v>11</v>
      </c>
      <c r="T210" s="23">
        <v>4</v>
      </c>
      <c r="U210" s="28">
        <f t="shared" si="4"/>
        <v>7.916666666666667</v>
      </c>
      <c r="V210" s="23">
        <v>4</v>
      </c>
      <c r="X210" s="23">
        <v>1</v>
      </c>
      <c r="Y210" s="23">
        <v>0</v>
      </c>
      <c r="Z210" s="23">
        <v>0</v>
      </c>
      <c r="AA210" s="23">
        <v>0</v>
      </c>
      <c r="AC210" s="23">
        <v>4</v>
      </c>
      <c r="AD210" s="23">
        <v>4</v>
      </c>
    </row>
    <row r="211" spans="2:30" x14ac:dyDescent="0.3">
      <c r="B211" s="81"/>
      <c r="C211" s="72"/>
      <c r="D211" s="76"/>
      <c r="E211" s="73"/>
      <c r="F211" s="26" t="s">
        <v>3</v>
      </c>
      <c r="G211" s="27">
        <v>1</v>
      </c>
      <c r="H211" s="27">
        <v>1</v>
      </c>
      <c r="I211" s="27">
        <v>1</v>
      </c>
      <c r="J211" s="27">
        <v>1</v>
      </c>
      <c r="K211" s="27">
        <v>1</v>
      </c>
      <c r="L211" s="27">
        <v>1</v>
      </c>
      <c r="M211" s="27">
        <v>1</v>
      </c>
      <c r="N211" s="27">
        <v>1</v>
      </c>
      <c r="O211" s="27">
        <v>1</v>
      </c>
      <c r="P211" s="27">
        <v>1</v>
      </c>
      <c r="Q211" s="27">
        <v>1</v>
      </c>
      <c r="R211" s="27">
        <v>1</v>
      </c>
      <c r="T211" s="23">
        <v>0</v>
      </c>
      <c r="U211" s="28">
        <f t="shared" si="4"/>
        <v>1</v>
      </c>
      <c r="V211" s="23">
        <v>1</v>
      </c>
      <c r="X211" s="23">
        <v>4</v>
      </c>
      <c r="Y211" s="23">
        <v>4</v>
      </c>
      <c r="Z211" s="23">
        <v>4</v>
      </c>
      <c r="AA211" s="23">
        <v>4</v>
      </c>
      <c r="AC211" s="23">
        <v>0</v>
      </c>
      <c r="AD211" s="23">
        <v>1</v>
      </c>
    </row>
    <row r="212" spans="2:30" x14ac:dyDescent="0.3">
      <c r="B212" s="81"/>
      <c r="C212" s="72"/>
      <c r="D212" s="75" t="s">
        <v>50</v>
      </c>
      <c r="E212" s="72"/>
      <c r="F212" s="26" t="s">
        <v>2</v>
      </c>
      <c r="G212" s="27">
        <v>4</v>
      </c>
      <c r="H212" s="27">
        <v>4</v>
      </c>
      <c r="I212" s="27">
        <v>4</v>
      </c>
      <c r="J212" s="27">
        <v>4</v>
      </c>
      <c r="K212" s="27">
        <v>5</v>
      </c>
      <c r="L212" s="27">
        <v>5</v>
      </c>
      <c r="M212" s="27">
        <v>5</v>
      </c>
      <c r="N212" s="27">
        <v>5</v>
      </c>
      <c r="O212" s="27">
        <v>5</v>
      </c>
      <c r="P212" s="27">
        <v>5</v>
      </c>
      <c r="Q212" s="27">
        <v>5</v>
      </c>
      <c r="R212" s="27">
        <v>5</v>
      </c>
      <c r="T212" s="23">
        <v>2</v>
      </c>
      <c r="U212" s="28">
        <f t="shared" si="4"/>
        <v>4.666666666666667</v>
      </c>
      <c r="V212" s="23">
        <v>2</v>
      </c>
      <c r="X212" s="23">
        <v>0</v>
      </c>
      <c r="Y212" s="23">
        <v>0</v>
      </c>
      <c r="Z212" s="23">
        <v>1</v>
      </c>
      <c r="AA212" s="23">
        <v>2</v>
      </c>
      <c r="AC212" s="23">
        <v>2</v>
      </c>
      <c r="AD212" s="23">
        <v>2</v>
      </c>
    </row>
    <row r="213" spans="2:30" x14ac:dyDescent="0.3">
      <c r="B213" s="81"/>
      <c r="C213" s="72"/>
      <c r="D213" s="76"/>
      <c r="E213" s="73"/>
      <c r="F213" s="26" t="s">
        <v>3</v>
      </c>
      <c r="G213" s="27">
        <v>4</v>
      </c>
      <c r="H213" s="27">
        <v>4</v>
      </c>
      <c r="I213" s="27">
        <v>4</v>
      </c>
      <c r="J213" s="27">
        <v>4</v>
      </c>
      <c r="K213" s="27">
        <v>4</v>
      </c>
      <c r="L213" s="27">
        <v>4</v>
      </c>
      <c r="M213" s="27">
        <v>4</v>
      </c>
      <c r="N213" s="27">
        <v>4</v>
      </c>
      <c r="O213" s="27">
        <v>4</v>
      </c>
      <c r="P213" s="27">
        <v>4</v>
      </c>
      <c r="Q213" s="27">
        <v>4</v>
      </c>
      <c r="R213" s="27">
        <v>4</v>
      </c>
      <c r="T213" s="23">
        <v>1</v>
      </c>
      <c r="U213" s="28">
        <f t="shared" si="4"/>
        <v>4</v>
      </c>
      <c r="V213" s="23">
        <v>2</v>
      </c>
      <c r="X213" s="23">
        <v>1</v>
      </c>
      <c r="Y213" s="23">
        <v>1</v>
      </c>
      <c r="Z213" s="23">
        <v>1</v>
      </c>
      <c r="AA213" s="23">
        <v>1</v>
      </c>
      <c r="AC213" s="23">
        <v>1</v>
      </c>
      <c r="AD213" s="23">
        <v>1</v>
      </c>
    </row>
    <row r="214" spans="2:30" x14ac:dyDescent="0.3">
      <c r="B214" s="81"/>
      <c r="C214" s="72"/>
      <c r="D214" s="75" t="s">
        <v>58</v>
      </c>
      <c r="E214" s="72"/>
      <c r="F214" s="26" t="s">
        <v>2</v>
      </c>
      <c r="G214" s="27">
        <v>1</v>
      </c>
      <c r="H214" s="27">
        <v>1</v>
      </c>
      <c r="I214" s="27">
        <v>1</v>
      </c>
      <c r="J214" s="27">
        <v>1</v>
      </c>
      <c r="K214" s="27">
        <v>1</v>
      </c>
      <c r="L214" s="27">
        <v>1</v>
      </c>
      <c r="M214" s="27">
        <v>1</v>
      </c>
      <c r="N214" s="27">
        <v>1</v>
      </c>
      <c r="O214" s="27">
        <v>1</v>
      </c>
      <c r="P214" s="27">
        <v>1</v>
      </c>
      <c r="Q214" s="27">
        <v>1</v>
      </c>
      <c r="R214" s="27">
        <v>1</v>
      </c>
      <c r="T214" s="23">
        <v>1</v>
      </c>
      <c r="U214" s="28">
        <f t="shared" si="4"/>
        <v>1</v>
      </c>
      <c r="V214" s="23">
        <v>1</v>
      </c>
      <c r="X214" s="23">
        <v>1</v>
      </c>
      <c r="Y214" s="23">
        <v>1</v>
      </c>
      <c r="Z214" s="23">
        <v>1</v>
      </c>
      <c r="AA214" s="23">
        <v>1</v>
      </c>
      <c r="AC214" s="23">
        <v>1</v>
      </c>
      <c r="AD214" s="23">
        <v>1</v>
      </c>
    </row>
    <row r="215" spans="2:30" x14ac:dyDescent="0.3">
      <c r="B215" s="76"/>
      <c r="C215" s="73"/>
      <c r="D215" s="76"/>
      <c r="E215" s="73"/>
      <c r="F215" s="26" t="s">
        <v>3</v>
      </c>
      <c r="G215" s="27">
        <v>1</v>
      </c>
      <c r="H215" s="27">
        <v>1</v>
      </c>
      <c r="I215" s="27">
        <v>1</v>
      </c>
      <c r="J215" s="27">
        <v>1</v>
      </c>
      <c r="K215" s="27">
        <v>1</v>
      </c>
      <c r="L215" s="27">
        <v>1</v>
      </c>
      <c r="M215" s="27">
        <v>1</v>
      </c>
      <c r="N215" s="27">
        <v>1</v>
      </c>
      <c r="O215" s="27">
        <v>1</v>
      </c>
      <c r="P215" s="27">
        <v>1</v>
      </c>
      <c r="Q215" s="27">
        <v>1</v>
      </c>
      <c r="R215" s="27">
        <v>1</v>
      </c>
      <c r="T215" s="23">
        <v>1</v>
      </c>
      <c r="U215" s="28">
        <f t="shared" si="4"/>
        <v>1</v>
      </c>
      <c r="V215" s="23">
        <v>1</v>
      </c>
      <c r="X215" s="23">
        <v>1</v>
      </c>
      <c r="Y215" s="23">
        <v>1</v>
      </c>
      <c r="Z215" s="23">
        <v>1</v>
      </c>
      <c r="AA215" s="23">
        <v>1</v>
      </c>
      <c r="AC215" s="23">
        <v>1</v>
      </c>
      <c r="AD215" s="23">
        <v>1</v>
      </c>
    </row>
    <row r="216" spans="2:30" x14ac:dyDescent="0.3">
      <c r="B216" s="75" t="s">
        <v>88</v>
      </c>
      <c r="C216" s="72"/>
      <c r="D216" s="75" t="s">
        <v>113</v>
      </c>
      <c r="E216" s="72"/>
      <c r="F216" s="26" t="s">
        <v>2</v>
      </c>
      <c r="G216" s="27">
        <v>2</v>
      </c>
      <c r="H216" s="27">
        <v>1</v>
      </c>
      <c r="I216" s="27">
        <v>1</v>
      </c>
      <c r="J216" s="27">
        <v>1</v>
      </c>
      <c r="K216" s="27">
        <v>1</v>
      </c>
      <c r="L216" s="27">
        <v>1</v>
      </c>
      <c r="M216" s="27">
        <v>1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T216" s="23">
        <v>1</v>
      </c>
      <c r="U216" s="28">
        <f t="shared" si="4"/>
        <v>0.66666666666666663</v>
      </c>
      <c r="V216" s="23">
        <v>1</v>
      </c>
      <c r="X216" s="23">
        <v>1</v>
      </c>
      <c r="Y216" s="23">
        <v>1</v>
      </c>
      <c r="Z216" s="23">
        <v>1</v>
      </c>
      <c r="AA216" s="23">
        <v>1</v>
      </c>
      <c r="AC216" s="23">
        <v>1</v>
      </c>
      <c r="AD216" s="23">
        <v>1</v>
      </c>
    </row>
    <row r="217" spans="2:30" x14ac:dyDescent="0.3">
      <c r="B217" s="81"/>
      <c r="C217" s="72"/>
      <c r="D217" s="76"/>
      <c r="E217" s="73"/>
      <c r="F217" s="26" t="s">
        <v>3</v>
      </c>
      <c r="G217" s="27">
        <v>1</v>
      </c>
      <c r="H217" s="27">
        <v>1</v>
      </c>
      <c r="I217" s="27">
        <v>1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T217" s="23">
        <v>0</v>
      </c>
      <c r="U217" s="28">
        <f t="shared" si="4"/>
        <v>0.25</v>
      </c>
      <c r="V217" s="23">
        <v>2</v>
      </c>
      <c r="X217" s="23">
        <v>7</v>
      </c>
      <c r="Y217" s="23">
        <v>7</v>
      </c>
      <c r="Z217" s="23">
        <v>8</v>
      </c>
      <c r="AA217" s="23">
        <v>10</v>
      </c>
      <c r="AC217" s="23">
        <v>0</v>
      </c>
      <c r="AD217" s="23">
        <v>1</v>
      </c>
    </row>
    <row r="218" spans="2:30" x14ac:dyDescent="0.3">
      <c r="B218" s="81"/>
      <c r="C218" s="72"/>
      <c r="D218" s="75" t="s">
        <v>117</v>
      </c>
      <c r="E218" s="72"/>
      <c r="F218" s="26" t="s">
        <v>2</v>
      </c>
      <c r="G218" s="27">
        <v>1</v>
      </c>
      <c r="H218" s="27">
        <v>0</v>
      </c>
      <c r="I218" s="27">
        <v>0</v>
      </c>
      <c r="J218" s="27">
        <v>0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T218" s="23">
        <v>11</v>
      </c>
      <c r="U218" s="28">
        <f t="shared" si="4"/>
        <v>8.3333333333333329E-2</v>
      </c>
      <c r="V218" s="23">
        <v>8</v>
      </c>
      <c r="X218" s="23">
        <v>1</v>
      </c>
      <c r="Y218" s="23">
        <v>1</v>
      </c>
      <c r="Z218" s="23">
        <v>1</v>
      </c>
      <c r="AA218" s="23">
        <v>1</v>
      </c>
      <c r="AC218" s="23">
        <v>11</v>
      </c>
      <c r="AD218" s="23">
        <v>8</v>
      </c>
    </row>
    <row r="219" spans="2:30" x14ac:dyDescent="0.3">
      <c r="B219" s="81"/>
      <c r="C219" s="72"/>
      <c r="D219" s="76"/>
      <c r="E219" s="73"/>
      <c r="F219" s="26" t="s">
        <v>3</v>
      </c>
      <c r="G219" s="27">
        <v>1</v>
      </c>
      <c r="H219" s="27">
        <v>1</v>
      </c>
      <c r="I219" s="27">
        <v>1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T219" s="23">
        <v>0</v>
      </c>
      <c r="U219" s="28">
        <f t="shared" si="4"/>
        <v>0.25</v>
      </c>
      <c r="V219" s="23">
        <v>1</v>
      </c>
      <c r="X219" s="23">
        <v>1</v>
      </c>
      <c r="Y219" s="23">
        <v>1</v>
      </c>
      <c r="Z219" s="23">
        <v>1</v>
      </c>
      <c r="AA219" s="23">
        <v>1</v>
      </c>
      <c r="AC219" s="23">
        <v>0</v>
      </c>
      <c r="AD219" s="23">
        <v>1</v>
      </c>
    </row>
    <row r="220" spans="2:30" x14ac:dyDescent="0.3">
      <c r="B220" s="81"/>
      <c r="C220" s="72"/>
      <c r="D220" s="75" t="s">
        <v>32</v>
      </c>
      <c r="E220" s="73"/>
      <c r="F220" s="26" t="s">
        <v>2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1</v>
      </c>
      <c r="O220" s="27">
        <v>1</v>
      </c>
      <c r="P220" s="27">
        <v>2</v>
      </c>
      <c r="Q220" s="27">
        <v>2</v>
      </c>
      <c r="R220" s="27">
        <v>2</v>
      </c>
      <c r="T220" s="23">
        <v>1</v>
      </c>
      <c r="U220" s="28">
        <f t="shared" si="4"/>
        <v>0.66666666666666663</v>
      </c>
      <c r="V220" s="23">
        <v>1</v>
      </c>
      <c r="X220" s="23">
        <v>1</v>
      </c>
      <c r="Y220" s="23">
        <v>0</v>
      </c>
      <c r="Z220" s="23">
        <v>0</v>
      </c>
      <c r="AA220" s="23">
        <v>0</v>
      </c>
      <c r="AC220" s="23">
        <v>1</v>
      </c>
      <c r="AD220" s="23">
        <v>1</v>
      </c>
    </row>
    <row r="221" spans="2:30" x14ac:dyDescent="0.3">
      <c r="B221" s="81"/>
      <c r="C221" s="72"/>
      <c r="D221" s="75" t="s">
        <v>38</v>
      </c>
      <c r="E221" s="72"/>
      <c r="F221" s="26" t="s">
        <v>2</v>
      </c>
      <c r="G221" s="27">
        <v>1</v>
      </c>
      <c r="H221" s="27">
        <v>1</v>
      </c>
      <c r="I221" s="27">
        <v>1</v>
      </c>
      <c r="J221" s="27">
        <v>1</v>
      </c>
      <c r="K221" s="27">
        <v>1</v>
      </c>
      <c r="L221" s="27">
        <v>1</v>
      </c>
      <c r="M221" s="27">
        <v>1</v>
      </c>
      <c r="N221" s="27">
        <v>1</v>
      </c>
      <c r="O221" s="27">
        <v>1</v>
      </c>
      <c r="P221" s="27">
        <v>1</v>
      </c>
      <c r="Q221" s="27">
        <v>1</v>
      </c>
      <c r="R221" s="27">
        <v>1</v>
      </c>
      <c r="T221" s="23">
        <v>1</v>
      </c>
      <c r="U221" s="28">
        <f t="shared" si="4"/>
        <v>1</v>
      </c>
      <c r="V221" s="23">
        <v>1</v>
      </c>
      <c r="X221" s="23">
        <v>0</v>
      </c>
      <c r="Y221" s="23">
        <v>1</v>
      </c>
      <c r="Z221" s="23">
        <v>1</v>
      </c>
      <c r="AA221" s="23">
        <v>1</v>
      </c>
      <c r="AC221" s="23">
        <v>1</v>
      </c>
      <c r="AD221" s="23">
        <v>1</v>
      </c>
    </row>
    <row r="222" spans="2:30" x14ac:dyDescent="0.3">
      <c r="B222" s="81"/>
      <c r="C222" s="72"/>
      <c r="D222" s="76"/>
      <c r="E222" s="73"/>
      <c r="F222" s="26" t="s">
        <v>3</v>
      </c>
      <c r="G222" s="27">
        <v>1</v>
      </c>
      <c r="H222" s="27">
        <v>1</v>
      </c>
      <c r="I222" s="27">
        <v>1</v>
      </c>
      <c r="J222" s="27">
        <v>1</v>
      </c>
      <c r="K222" s="27">
        <v>1</v>
      </c>
      <c r="L222" s="27">
        <v>1</v>
      </c>
      <c r="M222" s="27">
        <v>1</v>
      </c>
      <c r="N222" s="27">
        <v>1</v>
      </c>
      <c r="O222" s="27">
        <v>1</v>
      </c>
      <c r="P222" s="27">
        <v>1</v>
      </c>
      <c r="Q222" s="27">
        <v>1</v>
      </c>
      <c r="R222" s="27">
        <v>1</v>
      </c>
      <c r="T222" s="23">
        <v>5</v>
      </c>
      <c r="U222" s="28">
        <f t="shared" si="4"/>
        <v>1</v>
      </c>
      <c r="V222" s="23">
        <v>5</v>
      </c>
      <c r="X222" s="23">
        <v>3</v>
      </c>
      <c r="Y222" s="23">
        <v>1</v>
      </c>
      <c r="Z222" s="23">
        <v>1</v>
      </c>
      <c r="AA222" s="23">
        <v>1</v>
      </c>
      <c r="AC222" s="23">
        <v>5</v>
      </c>
      <c r="AD222" s="23">
        <v>5</v>
      </c>
    </row>
    <row r="223" spans="2:30" x14ac:dyDescent="0.3">
      <c r="B223" s="81"/>
      <c r="C223" s="72"/>
      <c r="D223" s="75" t="s">
        <v>121</v>
      </c>
      <c r="E223" s="73"/>
      <c r="F223" s="26" t="s">
        <v>2</v>
      </c>
      <c r="G223" s="27">
        <v>0</v>
      </c>
      <c r="H223" s="27">
        <v>0</v>
      </c>
      <c r="I223" s="27">
        <v>0</v>
      </c>
      <c r="J223" s="27">
        <v>0</v>
      </c>
      <c r="K223" s="27">
        <v>1</v>
      </c>
      <c r="L223" s="27">
        <v>1</v>
      </c>
      <c r="M223" s="27">
        <v>1</v>
      </c>
      <c r="N223" s="27">
        <v>1</v>
      </c>
      <c r="O223" s="27">
        <v>1</v>
      </c>
      <c r="P223" s="27">
        <v>1</v>
      </c>
      <c r="Q223" s="27">
        <v>1</v>
      </c>
      <c r="R223" s="27">
        <v>1</v>
      </c>
      <c r="T223" s="23">
        <v>0</v>
      </c>
      <c r="U223" s="28">
        <f t="shared" si="4"/>
        <v>0.66666666666666663</v>
      </c>
      <c r="V223" s="23">
        <v>4</v>
      </c>
      <c r="X223" s="23">
        <v>4</v>
      </c>
      <c r="Y223" s="23">
        <v>5</v>
      </c>
      <c r="Z223" s="23">
        <v>5</v>
      </c>
      <c r="AA223" s="23">
        <v>5</v>
      </c>
      <c r="AC223" s="23">
        <v>0</v>
      </c>
      <c r="AD223" s="23">
        <v>3</v>
      </c>
    </row>
    <row r="224" spans="2:30" x14ac:dyDescent="0.3">
      <c r="B224" s="81"/>
      <c r="C224" s="72"/>
      <c r="D224" s="75" t="s">
        <v>50</v>
      </c>
      <c r="E224" s="72"/>
      <c r="F224" s="26" t="s">
        <v>2</v>
      </c>
      <c r="G224" s="27">
        <v>3</v>
      </c>
      <c r="H224" s="27">
        <v>2</v>
      </c>
      <c r="I224" s="27">
        <v>2</v>
      </c>
      <c r="J224" s="27">
        <v>1</v>
      </c>
      <c r="K224" s="27">
        <v>1</v>
      </c>
      <c r="L224" s="27">
        <v>1</v>
      </c>
      <c r="M224" s="27">
        <v>1</v>
      </c>
      <c r="N224" s="27">
        <v>1</v>
      </c>
      <c r="O224" s="27">
        <v>1</v>
      </c>
      <c r="P224" s="27">
        <v>1</v>
      </c>
      <c r="Q224" s="27">
        <v>1</v>
      </c>
      <c r="R224" s="27">
        <v>0</v>
      </c>
      <c r="T224" s="23">
        <v>4</v>
      </c>
      <c r="U224" s="28">
        <f t="shared" si="4"/>
        <v>1.25</v>
      </c>
      <c r="V224" s="23">
        <v>4</v>
      </c>
      <c r="X224" s="23">
        <v>4</v>
      </c>
      <c r="Y224" s="23">
        <v>1</v>
      </c>
      <c r="Z224" s="23">
        <v>1</v>
      </c>
      <c r="AA224" s="23">
        <v>1</v>
      </c>
      <c r="AC224" s="23">
        <v>4</v>
      </c>
      <c r="AD224" s="23">
        <v>4</v>
      </c>
    </row>
    <row r="225" spans="2:30" x14ac:dyDescent="0.3">
      <c r="B225" s="81"/>
      <c r="C225" s="72"/>
      <c r="D225" s="76"/>
      <c r="E225" s="73"/>
      <c r="F225" s="26" t="s">
        <v>3</v>
      </c>
      <c r="G225" s="27">
        <v>4</v>
      </c>
      <c r="H225" s="27">
        <v>4</v>
      </c>
      <c r="I225" s="27">
        <v>4</v>
      </c>
      <c r="J225" s="27">
        <v>1</v>
      </c>
      <c r="K225" s="27">
        <v>1</v>
      </c>
      <c r="L225" s="27">
        <v>1</v>
      </c>
      <c r="M225" s="27">
        <v>1</v>
      </c>
      <c r="N225" s="27">
        <v>1</v>
      </c>
      <c r="O225" s="27">
        <v>1</v>
      </c>
      <c r="P225" s="27">
        <v>1</v>
      </c>
      <c r="Q225" s="27">
        <v>1</v>
      </c>
      <c r="R225" s="27">
        <v>1</v>
      </c>
      <c r="T225" s="23">
        <v>1</v>
      </c>
      <c r="U225" s="28">
        <f t="shared" si="4"/>
        <v>1.75</v>
      </c>
      <c r="V225" s="23">
        <v>4</v>
      </c>
      <c r="X225" s="23">
        <v>4</v>
      </c>
      <c r="Y225" s="23">
        <v>4</v>
      </c>
      <c r="Z225" s="23">
        <v>4</v>
      </c>
      <c r="AA225" s="23">
        <v>4</v>
      </c>
      <c r="AC225" s="23">
        <v>1</v>
      </c>
      <c r="AD225" s="23">
        <v>4</v>
      </c>
    </row>
    <row r="226" spans="2:30" x14ac:dyDescent="0.3">
      <c r="B226" s="81"/>
      <c r="C226" s="72"/>
      <c r="D226" s="75" t="s">
        <v>154</v>
      </c>
      <c r="E226" s="72"/>
      <c r="F226" s="26" t="s">
        <v>2</v>
      </c>
      <c r="G226" s="27">
        <v>0</v>
      </c>
      <c r="H226" s="27">
        <v>1</v>
      </c>
      <c r="I226" s="27">
        <v>1</v>
      </c>
      <c r="J226" s="27">
        <v>1</v>
      </c>
      <c r="K226" s="27">
        <v>1</v>
      </c>
      <c r="L226" s="27">
        <v>1</v>
      </c>
      <c r="M226" s="27">
        <v>1</v>
      </c>
      <c r="N226" s="27">
        <v>1</v>
      </c>
      <c r="O226" s="27">
        <v>1</v>
      </c>
      <c r="P226" s="27">
        <v>1</v>
      </c>
      <c r="Q226" s="27">
        <v>1</v>
      </c>
      <c r="R226" s="27">
        <v>0</v>
      </c>
      <c r="T226" s="23">
        <v>1</v>
      </c>
      <c r="U226" s="28">
        <f t="shared" si="4"/>
        <v>0.83333333333333337</v>
      </c>
      <c r="V226" s="23">
        <v>1</v>
      </c>
      <c r="X226" s="23">
        <v>1</v>
      </c>
      <c r="Y226" s="23">
        <v>1</v>
      </c>
      <c r="Z226" s="23">
        <v>1</v>
      </c>
      <c r="AA226" s="23">
        <v>1</v>
      </c>
      <c r="AC226" s="23">
        <v>1</v>
      </c>
      <c r="AD226" s="23">
        <v>1</v>
      </c>
    </row>
    <row r="227" spans="2:30" x14ac:dyDescent="0.3">
      <c r="B227" s="81"/>
      <c r="C227" s="72"/>
      <c r="D227" s="76"/>
      <c r="E227" s="73"/>
      <c r="F227" s="26" t="s">
        <v>3</v>
      </c>
      <c r="G227" s="27">
        <v>2</v>
      </c>
      <c r="H227" s="27">
        <v>2</v>
      </c>
      <c r="I227" s="27">
        <v>2</v>
      </c>
      <c r="J227" s="27">
        <v>1</v>
      </c>
      <c r="K227" s="27">
        <v>1</v>
      </c>
      <c r="L227" s="27">
        <v>1</v>
      </c>
      <c r="M227" s="27">
        <v>1</v>
      </c>
      <c r="N227" s="27">
        <v>1</v>
      </c>
      <c r="O227" s="27">
        <v>1</v>
      </c>
      <c r="P227" s="27">
        <v>1</v>
      </c>
      <c r="Q227" s="27">
        <v>1</v>
      </c>
      <c r="R227" s="27">
        <v>1</v>
      </c>
      <c r="T227" s="23">
        <v>1</v>
      </c>
      <c r="U227" s="28">
        <f t="shared" si="4"/>
        <v>1.25</v>
      </c>
      <c r="V227" s="23">
        <v>1</v>
      </c>
      <c r="X227" s="23">
        <v>1</v>
      </c>
      <c r="Y227" s="23">
        <v>1</v>
      </c>
      <c r="Z227" s="23">
        <v>1</v>
      </c>
      <c r="AA227" s="23">
        <v>1</v>
      </c>
      <c r="AC227" s="23">
        <v>1</v>
      </c>
      <c r="AD227" s="23">
        <v>1</v>
      </c>
    </row>
    <row r="228" spans="2:30" x14ac:dyDescent="0.3">
      <c r="B228" s="81"/>
      <c r="C228" s="72"/>
      <c r="D228" s="75" t="s">
        <v>155</v>
      </c>
      <c r="E228" s="72"/>
      <c r="F228" s="26" t="s">
        <v>2</v>
      </c>
      <c r="G228" s="27">
        <v>7</v>
      </c>
      <c r="H228" s="27">
        <v>7</v>
      </c>
      <c r="I228" s="27">
        <v>6</v>
      </c>
      <c r="J228" s="27">
        <v>5</v>
      </c>
      <c r="K228" s="27">
        <v>5</v>
      </c>
      <c r="L228" s="27">
        <v>5</v>
      </c>
      <c r="M228" s="27">
        <v>5</v>
      </c>
      <c r="N228" s="27">
        <v>5</v>
      </c>
      <c r="O228" s="27">
        <v>5</v>
      </c>
      <c r="P228" s="27">
        <v>5</v>
      </c>
      <c r="Q228" s="27">
        <v>4</v>
      </c>
      <c r="R228" s="27">
        <v>2</v>
      </c>
      <c r="T228" s="23">
        <v>0</v>
      </c>
      <c r="U228" s="28">
        <f t="shared" si="4"/>
        <v>5.083333333333333</v>
      </c>
      <c r="V228" s="23">
        <v>2</v>
      </c>
      <c r="X228" s="23">
        <v>1</v>
      </c>
      <c r="Y228" s="23">
        <v>1</v>
      </c>
      <c r="Z228" s="23">
        <v>1</v>
      </c>
      <c r="AA228" s="23">
        <v>1</v>
      </c>
      <c r="AC228" s="23">
        <v>0</v>
      </c>
      <c r="AD228" s="23">
        <v>1</v>
      </c>
    </row>
    <row r="229" spans="2:30" x14ac:dyDescent="0.3">
      <c r="B229" s="76"/>
      <c r="C229" s="73"/>
      <c r="D229" s="76"/>
      <c r="E229" s="73"/>
      <c r="F229" s="26" t="s">
        <v>3</v>
      </c>
      <c r="G229" s="27">
        <v>5</v>
      </c>
      <c r="H229" s="27">
        <v>5</v>
      </c>
      <c r="I229" s="27">
        <v>5</v>
      </c>
      <c r="J229" s="27">
        <v>0</v>
      </c>
      <c r="K229" s="27">
        <v>0</v>
      </c>
      <c r="L229" s="27">
        <v>0</v>
      </c>
      <c r="M229" s="27">
        <v>0</v>
      </c>
      <c r="N229" s="27">
        <v>0</v>
      </c>
      <c r="O229" s="27">
        <v>0</v>
      </c>
      <c r="P229" s="27">
        <v>0</v>
      </c>
      <c r="Q229" s="27">
        <v>0</v>
      </c>
      <c r="R229" s="27">
        <v>0</v>
      </c>
      <c r="T229" s="23">
        <v>1</v>
      </c>
      <c r="U229" s="28">
        <f t="shared" si="4"/>
        <v>1.25</v>
      </c>
      <c r="V229" s="23">
        <v>2</v>
      </c>
      <c r="X229" s="23">
        <v>2</v>
      </c>
      <c r="Y229" s="23">
        <v>1</v>
      </c>
      <c r="Z229" s="23">
        <v>1</v>
      </c>
      <c r="AA229" s="23">
        <v>1</v>
      </c>
      <c r="AC229" s="23">
        <v>1</v>
      </c>
      <c r="AD229" s="23">
        <v>2</v>
      </c>
    </row>
    <row r="230" spans="2:30" x14ac:dyDescent="0.3">
      <c r="B230" s="75" t="s">
        <v>136</v>
      </c>
      <c r="C230" s="72"/>
      <c r="D230" s="75" t="s">
        <v>42</v>
      </c>
      <c r="E230" s="72"/>
      <c r="F230" s="26" t="s">
        <v>2</v>
      </c>
      <c r="G230" s="27">
        <v>1</v>
      </c>
      <c r="H230" s="27">
        <v>1</v>
      </c>
      <c r="I230" s="27">
        <v>1</v>
      </c>
      <c r="J230" s="27">
        <v>1</v>
      </c>
      <c r="K230" s="27">
        <v>1</v>
      </c>
      <c r="L230" s="27">
        <v>1</v>
      </c>
      <c r="M230" s="27">
        <v>1</v>
      </c>
      <c r="N230" s="27">
        <v>1</v>
      </c>
      <c r="O230" s="27">
        <v>1</v>
      </c>
      <c r="P230" s="27">
        <v>1</v>
      </c>
      <c r="Q230" s="27">
        <v>0</v>
      </c>
      <c r="R230" s="27">
        <v>0</v>
      </c>
      <c r="T230" s="23">
        <v>0</v>
      </c>
      <c r="U230" s="28">
        <f t="shared" si="4"/>
        <v>0.83333333333333337</v>
      </c>
      <c r="V230" s="23">
        <v>2</v>
      </c>
      <c r="X230" s="23">
        <v>9</v>
      </c>
      <c r="Y230" s="23">
        <v>5</v>
      </c>
      <c r="Z230" s="23">
        <v>5</v>
      </c>
      <c r="AA230" s="23">
        <v>5</v>
      </c>
      <c r="AC230" s="23">
        <v>0</v>
      </c>
      <c r="AD230" s="23">
        <v>1</v>
      </c>
    </row>
    <row r="231" spans="2:30" x14ac:dyDescent="0.3">
      <c r="B231" s="81"/>
      <c r="C231" s="72"/>
      <c r="D231" s="76"/>
      <c r="E231" s="73"/>
      <c r="F231" s="26" t="s">
        <v>3</v>
      </c>
      <c r="G231" s="27">
        <v>1</v>
      </c>
      <c r="H231" s="27">
        <v>1</v>
      </c>
      <c r="I231" s="27">
        <v>1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T231" s="23">
        <v>2</v>
      </c>
      <c r="U231" s="28">
        <f t="shared" si="4"/>
        <v>0.25</v>
      </c>
      <c r="V231" s="23">
        <v>9</v>
      </c>
      <c r="X231" s="23">
        <v>1</v>
      </c>
      <c r="Y231" s="23">
        <v>0</v>
      </c>
      <c r="Z231" s="23">
        <v>0</v>
      </c>
      <c r="AA231" s="23">
        <v>0</v>
      </c>
      <c r="AC231" s="23">
        <v>2</v>
      </c>
      <c r="AD231" s="23">
        <v>9</v>
      </c>
    </row>
    <row r="232" spans="2:30" x14ac:dyDescent="0.3">
      <c r="B232" s="81"/>
      <c r="C232" s="72"/>
      <c r="D232" s="75" t="s">
        <v>155</v>
      </c>
      <c r="E232" s="72"/>
      <c r="F232" s="26" t="s">
        <v>2</v>
      </c>
      <c r="G232" s="27">
        <v>1</v>
      </c>
      <c r="H232" s="27">
        <v>1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T232" s="23">
        <v>0</v>
      </c>
      <c r="U232" s="28">
        <f t="shared" si="4"/>
        <v>0.16666666666666666</v>
      </c>
      <c r="V232" s="23">
        <v>1</v>
      </c>
      <c r="X232" s="23">
        <v>5</v>
      </c>
      <c r="Y232" s="23">
        <v>0</v>
      </c>
      <c r="Z232" s="23">
        <v>0</v>
      </c>
      <c r="AA232" s="23">
        <v>0</v>
      </c>
      <c r="AC232" s="23">
        <v>0</v>
      </c>
      <c r="AD232" s="23">
        <v>1</v>
      </c>
    </row>
    <row r="233" spans="2:30" x14ac:dyDescent="0.3">
      <c r="B233" s="81"/>
      <c r="C233" s="72"/>
      <c r="D233" s="76"/>
      <c r="E233" s="73"/>
      <c r="F233" s="26" t="s">
        <v>3</v>
      </c>
      <c r="G233" s="27">
        <v>1</v>
      </c>
      <c r="H233" s="27">
        <v>1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T233" s="23">
        <v>0</v>
      </c>
      <c r="U233" s="28">
        <f t="shared" si="4"/>
        <v>0.16666666666666666</v>
      </c>
      <c r="V233" s="23">
        <v>5</v>
      </c>
      <c r="X233" s="23">
        <v>1</v>
      </c>
      <c r="Y233" s="23">
        <v>0</v>
      </c>
      <c r="Z233" s="23">
        <v>0</v>
      </c>
      <c r="AA233" s="23">
        <v>0</v>
      </c>
      <c r="AC233" s="23">
        <v>0</v>
      </c>
      <c r="AD233" s="23">
        <v>5</v>
      </c>
    </row>
    <row r="234" spans="2:30" x14ac:dyDescent="0.3">
      <c r="B234" s="76"/>
      <c r="C234" s="73"/>
      <c r="D234" s="75" t="s">
        <v>137</v>
      </c>
      <c r="E234" s="73"/>
      <c r="F234" s="26" t="s">
        <v>3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T234" s="23">
        <v>0</v>
      </c>
      <c r="U234" s="28">
        <f t="shared" si="4"/>
        <v>0</v>
      </c>
      <c r="V234" s="23">
        <v>0</v>
      </c>
      <c r="X234" s="23">
        <v>0</v>
      </c>
      <c r="Y234" s="23">
        <v>0</v>
      </c>
      <c r="Z234" s="23">
        <v>0</v>
      </c>
      <c r="AA234" s="23">
        <v>0</v>
      </c>
      <c r="AC234" s="23">
        <v>0</v>
      </c>
      <c r="AD234" s="23">
        <v>0</v>
      </c>
    </row>
    <row r="235" spans="2:30" x14ac:dyDescent="0.3">
      <c r="T235" s="23">
        <v>0</v>
      </c>
      <c r="U235" s="28" t="e">
        <f t="shared" si="4"/>
        <v>#DIV/0!</v>
      </c>
      <c r="V235" s="23">
        <v>0</v>
      </c>
      <c r="AC235" s="23">
        <v>0</v>
      </c>
      <c r="AD235" s="23">
        <v>0</v>
      </c>
    </row>
    <row r="236" spans="2:30" ht="13.95" customHeight="1" x14ac:dyDescent="0.3"/>
    <row r="237" spans="2:30" x14ac:dyDescent="0.3">
      <c r="B237" s="78" t="s">
        <v>89</v>
      </c>
      <c r="C237" s="73"/>
      <c r="D237" s="73"/>
      <c r="E237" s="73"/>
      <c r="F237" s="16" t="s">
        <v>2</v>
      </c>
      <c r="G237" s="17">
        <v>695</v>
      </c>
      <c r="H237" s="17">
        <v>722</v>
      </c>
      <c r="I237" s="17">
        <v>742</v>
      </c>
      <c r="J237" s="17">
        <v>754</v>
      </c>
      <c r="K237" s="17">
        <v>771</v>
      </c>
      <c r="L237" s="17">
        <v>783</v>
      </c>
      <c r="M237" s="17">
        <v>803</v>
      </c>
      <c r="N237" s="17">
        <v>813</v>
      </c>
      <c r="O237" s="17">
        <v>818</v>
      </c>
      <c r="P237" s="17">
        <v>820</v>
      </c>
      <c r="Q237" s="17">
        <v>812</v>
      </c>
      <c r="R237" s="17">
        <v>815</v>
      </c>
      <c r="T237" s="17">
        <v>815</v>
      </c>
      <c r="U237" s="28">
        <f t="shared" ref="U237:U244" si="5">+AVERAGE(G237:R237)</f>
        <v>779</v>
      </c>
      <c r="V237" s="17">
        <v>779</v>
      </c>
      <c r="X237" s="17">
        <v>720</v>
      </c>
      <c r="Y237" s="17">
        <v>769</v>
      </c>
      <c r="Z237" s="17">
        <v>811</v>
      </c>
      <c r="AA237" s="17">
        <v>816</v>
      </c>
      <c r="AC237" s="17">
        <v>815</v>
      </c>
      <c r="AD237" s="17">
        <v>779</v>
      </c>
    </row>
    <row r="238" spans="2:30" x14ac:dyDescent="0.3">
      <c r="F238" s="16" t="s">
        <v>3</v>
      </c>
      <c r="G238" s="17">
        <v>775</v>
      </c>
      <c r="H238" s="17">
        <v>786</v>
      </c>
      <c r="I238" s="17">
        <v>803</v>
      </c>
      <c r="J238" s="17">
        <v>790</v>
      </c>
      <c r="K238" s="17">
        <v>790</v>
      </c>
      <c r="L238" s="17">
        <v>790</v>
      </c>
      <c r="M238" s="17">
        <v>797</v>
      </c>
      <c r="N238" s="17">
        <v>797</v>
      </c>
      <c r="O238" s="17">
        <v>796</v>
      </c>
      <c r="P238" s="17">
        <v>795</v>
      </c>
      <c r="Q238" s="17">
        <v>795</v>
      </c>
      <c r="R238" s="17">
        <v>795</v>
      </c>
      <c r="T238" s="17">
        <v>795</v>
      </c>
      <c r="U238" s="28">
        <f t="shared" si="5"/>
        <v>792.41666666666663</v>
      </c>
      <c r="V238" s="17">
        <v>792</v>
      </c>
      <c r="X238" s="17">
        <v>788</v>
      </c>
      <c r="Y238" s="17">
        <v>790</v>
      </c>
      <c r="Z238" s="17">
        <v>797</v>
      </c>
      <c r="AA238" s="17">
        <v>795</v>
      </c>
      <c r="AC238" s="17">
        <v>795</v>
      </c>
      <c r="AD238" s="17">
        <v>792</v>
      </c>
    </row>
    <row r="239" spans="2:30" ht="2.1" customHeight="1" x14ac:dyDescent="0.3">
      <c r="U239" s="28" t="e">
        <f t="shared" si="5"/>
        <v>#DIV/0!</v>
      </c>
    </row>
    <row r="240" spans="2:30" x14ac:dyDescent="0.3">
      <c r="B240" s="78" t="s">
        <v>90</v>
      </c>
      <c r="C240" s="73"/>
      <c r="D240" s="73"/>
      <c r="E240" s="73"/>
      <c r="F240" s="16" t="s">
        <v>2</v>
      </c>
      <c r="G240" s="17">
        <v>1582</v>
      </c>
      <c r="H240" s="17">
        <v>1585</v>
      </c>
      <c r="I240" s="17">
        <v>1962</v>
      </c>
      <c r="J240" s="17">
        <v>2172</v>
      </c>
      <c r="K240" s="17">
        <v>2603</v>
      </c>
      <c r="L240" s="17">
        <v>2993</v>
      </c>
      <c r="M240" s="17">
        <v>3382</v>
      </c>
      <c r="N240" s="17">
        <v>3814</v>
      </c>
      <c r="O240" s="17">
        <v>4125</v>
      </c>
      <c r="P240" s="17">
        <v>4567</v>
      </c>
      <c r="Q240" s="17">
        <v>5285</v>
      </c>
      <c r="R240" s="17">
        <v>5183</v>
      </c>
      <c r="T240" s="17">
        <v>5183</v>
      </c>
      <c r="U240" s="28">
        <f t="shared" si="5"/>
        <v>3271.0833333333335</v>
      </c>
      <c r="V240" s="17">
        <v>3271</v>
      </c>
      <c r="X240" s="17">
        <v>1710</v>
      </c>
      <c r="Y240" s="17">
        <v>2589</v>
      </c>
      <c r="Z240" s="17">
        <v>3774</v>
      </c>
      <c r="AA240" s="17">
        <v>5012</v>
      </c>
      <c r="AC240" s="17">
        <v>5183</v>
      </c>
      <c r="AD240" s="17">
        <v>3271</v>
      </c>
    </row>
    <row r="241" spans="2:30" x14ac:dyDescent="0.3">
      <c r="F241" s="16" t="s">
        <v>3</v>
      </c>
      <c r="G241" s="17">
        <v>3804</v>
      </c>
      <c r="H241" s="17">
        <v>5026</v>
      </c>
      <c r="I241" s="17">
        <v>6123</v>
      </c>
      <c r="J241" s="17">
        <v>6644</v>
      </c>
      <c r="K241" s="17">
        <v>6894</v>
      </c>
      <c r="L241" s="17">
        <v>8236</v>
      </c>
      <c r="M241" s="17">
        <v>9367</v>
      </c>
      <c r="N241" s="17">
        <v>9983</v>
      </c>
      <c r="O241" s="17">
        <v>10609</v>
      </c>
      <c r="P241" s="17">
        <v>11037</v>
      </c>
      <c r="Q241" s="17">
        <v>11390</v>
      </c>
      <c r="R241" s="17">
        <v>11759</v>
      </c>
      <c r="T241" s="17">
        <v>11759</v>
      </c>
      <c r="U241" s="28">
        <f t="shared" si="5"/>
        <v>8406</v>
      </c>
      <c r="V241" s="17">
        <v>8406</v>
      </c>
      <c r="X241" s="17">
        <v>4984</v>
      </c>
      <c r="Y241" s="17">
        <v>7258</v>
      </c>
      <c r="Z241" s="17">
        <v>9986</v>
      </c>
      <c r="AA241" s="17">
        <v>11395</v>
      </c>
      <c r="AC241" s="17">
        <v>11759</v>
      </c>
      <c r="AD241" s="17">
        <v>8406</v>
      </c>
    </row>
    <row r="242" spans="2:30" ht="3" customHeight="1" x14ac:dyDescent="0.3">
      <c r="U242" s="28" t="e">
        <f t="shared" si="5"/>
        <v>#DIV/0!</v>
      </c>
    </row>
    <row r="243" spans="2:30" x14ac:dyDescent="0.3">
      <c r="B243" s="78" t="s">
        <v>91</v>
      </c>
      <c r="C243" s="73"/>
      <c r="D243" s="73"/>
      <c r="E243" s="73"/>
      <c r="F243" s="16" t="s">
        <v>2</v>
      </c>
      <c r="G243" s="17">
        <v>2277</v>
      </c>
      <c r="H243" s="17">
        <v>2307</v>
      </c>
      <c r="I243" s="17">
        <v>2704</v>
      </c>
      <c r="J243" s="17">
        <v>2926</v>
      </c>
      <c r="K243" s="17">
        <v>3374</v>
      </c>
      <c r="L243" s="17">
        <v>3776</v>
      </c>
      <c r="M243" s="17">
        <v>4185</v>
      </c>
      <c r="N243" s="17">
        <v>4627</v>
      </c>
      <c r="O243" s="17">
        <v>4943</v>
      </c>
      <c r="P243" s="17">
        <v>5387</v>
      </c>
      <c r="Q243" s="17">
        <v>6097</v>
      </c>
      <c r="R243" s="17">
        <v>5998</v>
      </c>
      <c r="T243" s="17">
        <v>5998</v>
      </c>
      <c r="U243" s="28">
        <f t="shared" si="5"/>
        <v>4050.0833333333335</v>
      </c>
      <c r="V243" s="17">
        <v>4050</v>
      </c>
      <c r="X243" s="17">
        <v>2429</v>
      </c>
      <c r="Y243" s="17">
        <v>3359</v>
      </c>
      <c r="Z243" s="17">
        <v>4585</v>
      </c>
      <c r="AA243" s="17">
        <v>5827</v>
      </c>
      <c r="AC243" s="17">
        <v>5998</v>
      </c>
      <c r="AD243" s="17">
        <v>4050</v>
      </c>
    </row>
    <row r="244" spans="2:30" x14ac:dyDescent="0.3">
      <c r="F244" s="16" t="s">
        <v>3</v>
      </c>
      <c r="G244" s="17">
        <v>4579</v>
      </c>
      <c r="H244" s="17">
        <v>5812</v>
      </c>
      <c r="I244" s="17">
        <v>6926</v>
      </c>
      <c r="J244" s="17">
        <v>7434</v>
      </c>
      <c r="K244" s="17">
        <v>7684</v>
      </c>
      <c r="L244" s="17">
        <v>9026</v>
      </c>
      <c r="M244" s="17">
        <v>10164</v>
      </c>
      <c r="N244" s="17">
        <v>10780</v>
      </c>
      <c r="O244" s="17">
        <v>11405</v>
      </c>
      <c r="P244" s="17">
        <v>11832</v>
      </c>
      <c r="Q244" s="17">
        <v>12185</v>
      </c>
      <c r="R244" s="17">
        <v>12554</v>
      </c>
      <c r="T244" s="17">
        <v>12554</v>
      </c>
      <c r="U244" s="28">
        <f t="shared" si="5"/>
        <v>9198.4166666666661</v>
      </c>
      <c r="V244" s="17">
        <v>9198</v>
      </c>
      <c r="X244" s="17">
        <v>5772</v>
      </c>
      <c r="Y244" s="17">
        <v>8048</v>
      </c>
      <c r="Z244" s="17">
        <v>10783</v>
      </c>
      <c r="AA244" s="17">
        <v>12190</v>
      </c>
      <c r="AC244" s="17">
        <v>12554</v>
      </c>
      <c r="AD244" s="17">
        <v>9198</v>
      </c>
    </row>
    <row r="245" spans="2:30" ht="3" customHeight="1" x14ac:dyDescent="0.3"/>
    <row r="246" spans="2:30" ht="18" customHeight="1" x14ac:dyDescent="0.3">
      <c r="B246" s="78" t="s">
        <v>92</v>
      </c>
      <c r="C246" s="73"/>
      <c r="D246" s="73"/>
      <c r="E246" s="73"/>
    </row>
    <row r="247" spans="2:30" ht="4.05" customHeight="1" x14ac:dyDescent="0.3"/>
    <row r="248" spans="2:30" x14ac:dyDescent="0.3">
      <c r="B248" s="74" t="s">
        <v>93</v>
      </c>
      <c r="C248" s="73"/>
      <c r="D248" s="73"/>
      <c r="E248" s="73"/>
      <c r="F248" s="20" t="s">
        <v>6</v>
      </c>
      <c r="G248" s="21" t="s">
        <v>138</v>
      </c>
      <c r="H248" s="21" t="s">
        <v>139</v>
      </c>
      <c r="I248" s="21" t="s">
        <v>140</v>
      </c>
      <c r="J248" s="21" t="s">
        <v>141</v>
      </c>
      <c r="K248" s="21" t="s">
        <v>142</v>
      </c>
      <c r="L248" s="21" t="s">
        <v>143</v>
      </c>
      <c r="M248" s="21" t="s">
        <v>144</v>
      </c>
      <c r="N248" s="21" t="s">
        <v>145</v>
      </c>
      <c r="O248" s="21" t="s">
        <v>146</v>
      </c>
      <c r="P248" s="21" t="s">
        <v>147</v>
      </c>
      <c r="Q248" s="21" t="s">
        <v>148</v>
      </c>
      <c r="R248" s="21" t="s">
        <v>149</v>
      </c>
      <c r="T248" s="21" t="s">
        <v>24</v>
      </c>
      <c r="U248" s="21" t="s">
        <v>25</v>
      </c>
      <c r="V248" s="21" t="s">
        <v>19</v>
      </c>
      <c r="X248" s="21" t="s">
        <v>20</v>
      </c>
      <c r="Y248" s="21" t="s">
        <v>21</v>
      </c>
      <c r="Z248" s="21" t="s">
        <v>22</v>
      </c>
      <c r="AA248" s="21" t="s">
        <v>23</v>
      </c>
      <c r="AC248" s="21" t="s">
        <v>24</v>
      </c>
      <c r="AD248" s="21" t="s">
        <v>25</v>
      </c>
    </row>
    <row r="249" spans="2:30" x14ac:dyDescent="0.3">
      <c r="B249" s="75" t="s">
        <v>38</v>
      </c>
      <c r="C249" s="72"/>
      <c r="D249" s="72"/>
      <c r="E249" s="72"/>
      <c r="F249" s="26" t="s">
        <v>2</v>
      </c>
      <c r="G249" s="27">
        <v>0</v>
      </c>
      <c r="H249" s="27">
        <v>0</v>
      </c>
      <c r="I249" s="27">
        <v>2</v>
      </c>
      <c r="J249" s="27">
        <v>0</v>
      </c>
      <c r="K249" s="27">
        <v>0</v>
      </c>
      <c r="L249" s="27">
        <v>0</v>
      </c>
      <c r="M249" s="27">
        <v>0</v>
      </c>
      <c r="N249" s="27">
        <v>10</v>
      </c>
      <c r="O249" s="27">
        <v>10</v>
      </c>
      <c r="P249" s="27">
        <v>10</v>
      </c>
      <c r="Q249" s="27">
        <v>10</v>
      </c>
      <c r="R249" s="27">
        <v>10</v>
      </c>
      <c r="T249" s="27">
        <v>10</v>
      </c>
      <c r="U249" s="28">
        <f t="shared" ref="U249:U256" si="6">+AVERAGE(G249:R249)</f>
        <v>4.333333333333333</v>
      </c>
      <c r="V249" s="27">
        <v>12</v>
      </c>
      <c r="X249" s="27">
        <v>1</v>
      </c>
      <c r="Y249" s="27">
        <v>0</v>
      </c>
      <c r="Z249" s="27">
        <v>7</v>
      </c>
      <c r="AA249" s="27">
        <v>10</v>
      </c>
      <c r="AC249" s="27">
        <v>10</v>
      </c>
      <c r="AD249" s="27">
        <v>4</v>
      </c>
    </row>
    <row r="250" spans="2:30" x14ac:dyDescent="0.3">
      <c r="B250" s="76"/>
      <c r="C250" s="73"/>
      <c r="D250" s="73"/>
      <c r="E250" s="73"/>
      <c r="F250" s="26" t="s">
        <v>3</v>
      </c>
      <c r="G250" s="27">
        <v>14</v>
      </c>
      <c r="H250" s="27">
        <v>14</v>
      </c>
      <c r="I250" s="27">
        <v>14</v>
      </c>
      <c r="J250" s="27">
        <v>14</v>
      </c>
      <c r="K250" s="27">
        <v>14</v>
      </c>
      <c r="L250" s="27">
        <v>14</v>
      </c>
      <c r="M250" s="27">
        <v>24</v>
      </c>
      <c r="N250" s="27">
        <v>24</v>
      </c>
      <c r="O250" s="27">
        <v>24</v>
      </c>
      <c r="P250" s="27">
        <v>24</v>
      </c>
      <c r="Q250" s="27">
        <v>24</v>
      </c>
      <c r="R250" s="27">
        <v>24</v>
      </c>
      <c r="T250" s="27">
        <v>24</v>
      </c>
      <c r="U250" s="28">
        <f t="shared" si="6"/>
        <v>19</v>
      </c>
      <c r="V250" s="27">
        <v>19</v>
      </c>
      <c r="X250" s="27">
        <v>14</v>
      </c>
      <c r="Y250" s="27">
        <v>14</v>
      </c>
      <c r="Z250" s="27">
        <v>24</v>
      </c>
      <c r="AA250" s="27">
        <v>24</v>
      </c>
      <c r="AC250" s="27">
        <v>24</v>
      </c>
      <c r="AD250" s="27">
        <v>19</v>
      </c>
    </row>
    <row r="251" spans="2:30" x14ac:dyDescent="0.3">
      <c r="B251" s="75" t="s">
        <v>121</v>
      </c>
      <c r="C251" s="72"/>
      <c r="D251" s="72"/>
      <c r="E251" s="72"/>
      <c r="F251" s="26" t="s">
        <v>2</v>
      </c>
      <c r="G251" s="27">
        <v>37</v>
      </c>
      <c r="H251" s="27">
        <v>37</v>
      </c>
      <c r="I251" s="27">
        <v>37</v>
      </c>
      <c r="J251" s="27">
        <v>37</v>
      </c>
      <c r="K251" s="27">
        <v>38</v>
      </c>
      <c r="L251" s="27">
        <v>37</v>
      </c>
      <c r="M251" s="27">
        <v>38</v>
      </c>
      <c r="N251" s="27">
        <v>38</v>
      </c>
      <c r="O251" s="27">
        <v>38</v>
      </c>
      <c r="P251" s="27">
        <v>38</v>
      </c>
      <c r="Q251" s="27">
        <v>38</v>
      </c>
      <c r="R251" s="27">
        <v>38</v>
      </c>
      <c r="T251" s="27">
        <v>38</v>
      </c>
      <c r="U251" s="28">
        <f t="shared" si="6"/>
        <v>37.583333333333336</v>
      </c>
      <c r="V251" s="27">
        <v>38</v>
      </c>
      <c r="X251" s="27">
        <v>37</v>
      </c>
      <c r="Y251" s="27">
        <v>37</v>
      </c>
      <c r="Z251" s="27">
        <v>38</v>
      </c>
      <c r="AA251" s="27">
        <v>38</v>
      </c>
      <c r="AC251" s="27">
        <v>38</v>
      </c>
      <c r="AD251" s="27">
        <v>38</v>
      </c>
    </row>
    <row r="252" spans="2:30" x14ac:dyDescent="0.3">
      <c r="B252" s="76"/>
      <c r="C252" s="73"/>
      <c r="D252" s="73"/>
      <c r="E252" s="73"/>
      <c r="F252" s="26" t="s">
        <v>3</v>
      </c>
      <c r="G252" s="27">
        <v>38</v>
      </c>
      <c r="H252" s="27">
        <v>38</v>
      </c>
      <c r="I252" s="27">
        <v>38</v>
      </c>
      <c r="J252" s="27">
        <v>38</v>
      </c>
      <c r="K252" s="27">
        <v>38</v>
      </c>
      <c r="L252" s="27">
        <v>38</v>
      </c>
      <c r="M252" s="27">
        <v>38</v>
      </c>
      <c r="N252" s="27">
        <v>38</v>
      </c>
      <c r="O252" s="27">
        <v>38</v>
      </c>
      <c r="P252" s="27">
        <v>38</v>
      </c>
      <c r="Q252" s="27">
        <v>38</v>
      </c>
      <c r="R252" s="27">
        <v>38</v>
      </c>
      <c r="T252" s="27">
        <v>38</v>
      </c>
      <c r="U252" s="28">
        <f t="shared" si="6"/>
        <v>38</v>
      </c>
      <c r="V252" s="27">
        <v>38</v>
      </c>
      <c r="X252" s="27">
        <v>38</v>
      </c>
      <c r="Y252" s="27">
        <v>38</v>
      </c>
      <c r="Z252" s="27">
        <v>38</v>
      </c>
      <c r="AA252" s="27">
        <v>38</v>
      </c>
      <c r="AC252" s="27">
        <v>38</v>
      </c>
      <c r="AD252" s="27">
        <v>38</v>
      </c>
    </row>
    <row r="253" spans="2:30" x14ac:dyDescent="0.3">
      <c r="B253" s="75" t="s">
        <v>50</v>
      </c>
      <c r="C253" s="72"/>
      <c r="D253" s="72"/>
      <c r="E253" s="72"/>
      <c r="F253" s="26" t="s">
        <v>2</v>
      </c>
      <c r="G253" s="27">
        <v>60</v>
      </c>
      <c r="H253" s="27">
        <v>60</v>
      </c>
      <c r="I253" s="27">
        <v>60</v>
      </c>
      <c r="J253" s="27">
        <v>61</v>
      </c>
      <c r="K253" s="27">
        <v>62</v>
      </c>
      <c r="L253" s="27">
        <v>62</v>
      </c>
      <c r="M253" s="27">
        <v>62</v>
      </c>
      <c r="N253" s="27">
        <v>63</v>
      </c>
      <c r="O253" s="27">
        <v>63</v>
      </c>
      <c r="P253" s="27">
        <v>63</v>
      </c>
      <c r="Q253" s="27">
        <v>53</v>
      </c>
      <c r="R253" s="27">
        <v>53</v>
      </c>
      <c r="T253" s="27">
        <v>53</v>
      </c>
      <c r="U253" s="28">
        <f t="shared" si="6"/>
        <v>60.166666666666664</v>
      </c>
      <c r="V253" s="27">
        <v>60</v>
      </c>
      <c r="X253" s="27">
        <v>60</v>
      </c>
      <c r="Y253" s="27">
        <v>62</v>
      </c>
      <c r="Z253" s="27">
        <v>63</v>
      </c>
      <c r="AA253" s="27">
        <v>56</v>
      </c>
      <c r="AC253" s="27">
        <v>53</v>
      </c>
      <c r="AD253" s="27">
        <v>60</v>
      </c>
    </row>
    <row r="254" spans="2:30" x14ac:dyDescent="0.3">
      <c r="B254" s="76"/>
      <c r="C254" s="73"/>
      <c r="D254" s="73"/>
      <c r="E254" s="73"/>
      <c r="F254" s="26" t="s">
        <v>3</v>
      </c>
      <c r="G254" s="27">
        <v>62</v>
      </c>
      <c r="H254" s="27">
        <v>62</v>
      </c>
      <c r="I254" s="27">
        <v>62</v>
      </c>
      <c r="J254" s="27">
        <v>62</v>
      </c>
      <c r="K254" s="27">
        <v>62</v>
      </c>
      <c r="L254" s="27">
        <v>62</v>
      </c>
      <c r="M254" s="27">
        <v>62</v>
      </c>
      <c r="N254" s="27">
        <v>62</v>
      </c>
      <c r="O254" s="27">
        <v>62</v>
      </c>
      <c r="P254" s="27">
        <v>62</v>
      </c>
      <c r="Q254" s="27">
        <v>62</v>
      </c>
      <c r="R254" s="27">
        <v>62</v>
      </c>
      <c r="T254" s="27">
        <v>62</v>
      </c>
      <c r="U254" s="28">
        <f t="shared" si="6"/>
        <v>62</v>
      </c>
      <c r="V254" s="27">
        <v>62</v>
      </c>
      <c r="X254" s="27">
        <v>62</v>
      </c>
      <c r="Y254" s="27">
        <v>62</v>
      </c>
      <c r="Z254" s="27">
        <v>62</v>
      </c>
      <c r="AA254" s="27">
        <v>62</v>
      </c>
      <c r="AC254" s="27">
        <v>62</v>
      </c>
      <c r="AD254" s="27">
        <v>62</v>
      </c>
    </row>
    <row r="255" spans="2:30" x14ac:dyDescent="0.3">
      <c r="B255" s="75" t="s">
        <v>154</v>
      </c>
      <c r="C255" s="72"/>
      <c r="D255" s="72"/>
      <c r="E255" s="72"/>
      <c r="F255" s="26" t="s">
        <v>2</v>
      </c>
      <c r="G255" s="27">
        <v>1</v>
      </c>
      <c r="H255" s="27">
        <v>1</v>
      </c>
      <c r="I255" s="27">
        <v>1</v>
      </c>
      <c r="J255" s="27">
        <v>1</v>
      </c>
      <c r="K255" s="27">
        <v>1</v>
      </c>
      <c r="L255" s="27">
        <v>1</v>
      </c>
      <c r="M255" s="27">
        <v>1</v>
      </c>
      <c r="N255" s="27">
        <v>1</v>
      </c>
      <c r="O255" s="27">
        <v>1</v>
      </c>
      <c r="P255" s="27">
        <v>1</v>
      </c>
      <c r="Q255" s="27">
        <v>1</v>
      </c>
      <c r="R255" s="27">
        <v>1</v>
      </c>
      <c r="T255" s="27">
        <v>1</v>
      </c>
      <c r="U255" s="28">
        <f t="shared" si="6"/>
        <v>1</v>
      </c>
      <c r="V255" s="27">
        <v>1</v>
      </c>
      <c r="X255" s="27">
        <v>1</v>
      </c>
      <c r="Y255" s="27">
        <v>1</v>
      </c>
      <c r="Z255" s="27">
        <v>1</v>
      </c>
      <c r="AA255" s="27">
        <v>1</v>
      </c>
      <c r="AC255" s="27">
        <v>1</v>
      </c>
      <c r="AD255" s="27">
        <v>1</v>
      </c>
    </row>
    <row r="256" spans="2:30" x14ac:dyDescent="0.3">
      <c r="B256" s="76"/>
      <c r="C256" s="73"/>
      <c r="D256" s="73"/>
      <c r="E256" s="73"/>
      <c r="F256" s="26" t="s">
        <v>3</v>
      </c>
      <c r="G256" s="27">
        <v>1</v>
      </c>
      <c r="H256" s="27">
        <v>1</v>
      </c>
      <c r="I256" s="27">
        <v>1</v>
      </c>
      <c r="J256" s="27">
        <v>1</v>
      </c>
      <c r="K256" s="27">
        <v>1</v>
      </c>
      <c r="L256" s="27">
        <v>1</v>
      </c>
      <c r="M256" s="27">
        <v>1</v>
      </c>
      <c r="N256" s="27">
        <v>1</v>
      </c>
      <c r="O256" s="27">
        <v>1</v>
      </c>
      <c r="P256" s="27">
        <v>1</v>
      </c>
      <c r="Q256" s="27">
        <v>1</v>
      </c>
      <c r="R256" s="27">
        <v>1</v>
      </c>
      <c r="T256" s="27">
        <v>1</v>
      </c>
      <c r="U256" s="28">
        <f t="shared" si="6"/>
        <v>1</v>
      </c>
      <c r="V256" s="27">
        <v>1</v>
      </c>
      <c r="X256" s="27">
        <v>1</v>
      </c>
      <c r="Y256" s="27">
        <v>1</v>
      </c>
      <c r="Z256" s="27">
        <v>1</v>
      </c>
      <c r="AA256" s="27">
        <v>1</v>
      </c>
      <c r="AC256" s="27">
        <v>1</v>
      </c>
      <c r="AD256" s="27">
        <v>1</v>
      </c>
    </row>
    <row r="257" spans="2:30" ht="10.5" customHeight="1" x14ac:dyDescent="0.3"/>
    <row r="258" spans="2:30" x14ac:dyDescent="0.3">
      <c r="B258" s="74" t="s">
        <v>94</v>
      </c>
      <c r="C258" s="73"/>
      <c r="D258" s="73"/>
      <c r="E258" s="73"/>
      <c r="F258" s="20" t="s">
        <v>6</v>
      </c>
      <c r="G258" s="21" t="s">
        <v>138</v>
      </c>
      <c r="H258" s="21" t="s">
        <v>139</v>
      </c>
      <c r="I258" s="21" t="s">
        <v>140</v>
      </c>
      <c r="J258" s="21" t="s">
        <v>141</v>
      </c>
      <c r="K258" s="21" t="s">
        <v>142</v>
      </c>
      <c r="L258" s="21" t="s">
        <v>143</v>
      </c>
      <c r="M258" s="21" t="s">
        <v>144</v>
      </c>
      <c r="N258" s="21" t="s">
        <v>145</v>
      </c>
      <c r="O258" s="21" t="s">
        <v>146</v>
      </c>
      <c r="P258" s="21" t="s">
        <v>147</v>
      </c>
      <c r="Q258" s="21" t="s">
        <v>148</v>
      </c>
      <c r="R258" s="21" t="s">
        <v>149</v>
      </c>
      <c r="T258" s="21" t="s">
        <v>24</v>
      </c>
      <c r="U258" s="21" t="s">
        <v>25</v>
      </c>
      <c r="V258" s="21" t="s">
        <v>19</v>
      </c>
      <c r="X258" s="21" t="s">
        <v>20</v>
      </c>
      <c r="Y258" s="21" t="s">
        <v>21</v>
      </c>
      <c r="Z258" s="21" t="s">
        <v>22</v>
      </c>
      <c r="AA258" s="21" t="s">
        <v>23</v>
      </c>
      <c r="AC258" s="21" t="s">
        <v>24</v>
      </c>
      <c r="AD258" s="21" t="s">
        <v>25</v>
      </c>
    </row>
    <row r="259" spans="2:30" x14ac:dyDescent="0.3">
      <c r="B259" s="75" t="s">
        <v>38</v>
      </c>
      <c r="C259" s="72"/>
      <c r="D259" s="72"/>
      <c r="E259" s="72"/>
      <c r="F259" s="26" t="s">
        <v>2</v>
      </c>
      <c r="G259" s="27">
        <v>7.7</v>
      </c>
      <c r="H259" s="27">
        <v>0</v>
      </c>
      <c r="I259" s="27">
        <v>6</v>
      </c>
      <c r="J259" s="27">
        <v>7</v>
      </c>
      <c r="K259" s="27">
        <v>8</v>
      </c>
      <c r="L259" s="27">
        <v>5</v>
      </c>
      <c r="M259" s="27">
        <v>9</v>
      </c>
      <c r="N259" s="27">
        <v>10</v>
      </c>
      <c r="O259" s="27">
        <v>10</v>
      </c>
      <c r="P259" s="27">
        <v>10</v>
      </c>
      <c r="Q259" s="27">
        <v>0</v>
      </c>
      <c r="R259" s="27">
        <v>0</v>
      </c>
      <c r="T259" s="27">
        <v>0</v>
      </c>
      <c r="U259" s="28">
        <f t="shared" ref="U259:U260" si="7">+AVERAGE(G259:R259)</f>
        <v>6.0583333333333336</v>
      </c>
      <c r="V259" s="27">
        <v>10</v>
      </c>
      <c r="X259" s="27">
        <v>5</v>
      </c>
      <c r="Y259" s="27">
        <v>7</v>
      </c>
      <c r="Z259" s="27">
        <v>10</v>
      </c>
      <c r="AA259" s="27">
        <v>3</v>
      </c>
      <c r="AC259" s="27">
        <v>0</v>
      </c>
      <c r="AD259" s="27">
        <v>6</v>
      </c>
    </row>
    <row r="260" spans="2:30" x14ac:dyDescent="0.3">
      <c r="B260" s="76"/>
      <c r="C260" s="73"/>
      <c r="D260" s="73"/>
      <c r="E260" s="73"/>
      <c r="F260" s="26" t="s">
        <v>3</v>
      </c>
      <c r="G260" s="27">
        <v>13</v>
      </c>
      <c r="H260" s="27">
        <v>16</v>
      </c>
      <c r="I260" s="27">
        <v>20</v>
      </c>
      <c r="J260" s="27">
        <v>20</v>
      </c>
      <c r="K260" s="27">
        <v>19</v>
      </c>
      <c r="L260" s="27">
        <v>18</v>
      </c>
      <c r="M260" s="27">
        <v>18</v>
      </c>
      <c r="N260" s="27">
        <v>18</v>
      </c>
      <c r="O260" s="27">
        <v>18</v>
      </c>
      <c r="P260" s="27">
        <v>18</v>
      </c>
      <c r="Q260" s="27">
        <v>18</v>
      </c>
      <c r="R260" s="27">
        <v>18</v>
      </c>
      <c r="T260" s="27">
        <v>18</v>
      </c>
      <c r="U260" s="28">
        <f t="shared" si="7"/>
        <v>17.833333333333332</v>
      </c>
      <c r="V260" s="27">
        <v>18</v>
      </c>
      <c r="X260" s="27">
        <v>16</v>
      </c>
      <c r="Y260" s="27">
        <v>19</v>
      </c>
      <c r="Z260" s="27">
        <v>18</v>
      </c>
      <c r="AA260" s="27">
        <v>18</v>
      </c>
      <c r="AC260" s="27">
        <v>18</v>
      </c>
      <c r="AD260" s="27">
        <v>18</v>
      </c>
    </row>
    <row r="261" spans="2:30" ht="13.2" customHeight="1" x14ac:dyDescent="0.3"/>
    <row r="262" spans="2:30" ht="18" customHeight="1" x14ac:dyDescent="0.3">
      <c r="B262" s="78" t="s">
        <v>95</v>
      </c>
      <c r="C262" s="73"/>
      <c r="D262" s="73"/>
      <c r="E262" s="73"/>
    </row>
    <row r="263" spans="2:30" ht="12.75" customHeight="1" x14ac:dyDescent="0.3"/>
    <row r="264" spans="2:30" x14ac:dyDescent="0.3">
      <c r="B264" s="74" t="s">
        <v>93</v>
      </c>
      <c r="C264" s="73"/>
      <c r="D264" s="73"/>
      <c r="E264" s="73"/>
      <c r="F264" s="20" t="s">
        <v>6</v>
      </c>
      <c r="G264" s="21" t="s">
        <v>138</v>
      </c>
      <c r="H264" s="21" t="s">
        <v>139</v>
      </c>
      <c r="I264" s="21" t="s">
        <v>140</v>
      </c>
      <c r="J264" s="21" t="s">
        <v>141</v>
      </c>
      <c r="K264" s="21" t="s">
        <v>142</v>
      </c>
      <c r="L264" s="21" t="s">
        <v>143</v>
      </c>
      <c r="M264" s="21" t="s">
        <v>144</v>
      </c>
      <c r="N264" s="21" t="s">
        <v>145</v>
      </c>
      <c r="O264" s="21" t="s">
        <v>146</v>
      </c>
      <c r="P264" s="21" t="s">
        <v>147</v>
      </c>
      <c r="Q264" s="21" t="s">
        <v>148</v>
      </c>
      <c r="R264" s="21" t="s">
        <v>149</v>
      </c>
      <c r="T264" s="21" t="s">
        <v>24</v>
      </c>
      <c r="U264" s="21" t="s">
        <v>25</v>
      </c>
      <c r="V264" s="21" t="s">
        <v>19</v>
      </c>
      <c r="X264" s="21" t="s">
        <v>20</v>
      </c>
      <c r="Y264" s="21" t="s">
        <v>21</v>
      </c>
      <c r="Z264" s="21" t="s">
        <v>22</v>
      </c>
      <c r="AA264" s="21" t="s">
        <v>23</v>
      </c>
      <c r="AC264" s="21" t="s">
        <v>24</v>
      </c>
      <c r="AD264" s="21" t="s">
        <v>25</v>
      </c>
    </row>
    <row r="265" spans="2:30" x14ac:dyDescent="0.3">
      <c r="B265" s="75" t="s">
        <v>38</v>
      </c>
      <c r="C265" s="72"/>
      <c r="D265" s="72"/>
      <c r="E265" s="72"/>
      <c r="F265" s="26" t="s">
        <v>2</v>
      </c>
      <c r="G265" s="27">
        <v>299.89999999999998</v>
      </c>
      <c r="H265" s="27">
        <v>198</v>
      </c>
      <c r="I265" s="27">
        <v>146</v>
      </c>
      <c r="J265" s="27">
        <v>282</v>
      </c>
      <c r="K265" s="27">
        <v>290</v>
      </c>
      <c r="L265" s="27">
        <v>290</v>
      </c>
      <c r="M265" s="27">
        <v>333</v>
      </c>
      <c r="N265" s="27">
        <v>361</v>
      </c>
      <c r="O265" s="27">
        <v>315</v>
      </c>
      <c r="P265" s="27">
        <v>308</v>
      </c>
      <c r="Q265" s="27">
        <v>344</v>
      </c>
      <c r="R265" s="27">
        <v>365</v>
      </c>
      <c r="T265" s="27">
        <v>365</v>
      </c>
      <c r="U265" s="28">
        <f t="shared" ref="U265:U266" si="8">+AVERAGE(G265:R265)</f>
        <v>294.32499999999999</v>
      </c>
      <c r="V265" s="27">
        <v>294</v>
      </c>
      <c r="X265" s="27">
        <v>215</v>
      </c>
      <c r="Y265" s="27">
        <v>287</v>
      </c>
      <c r="Z265" s="27">
        <v>336</v>
      </c>
      <c r="AA265" s="27">
        <v>339</v>
      </c>
      <c r="AC265" s="27">
        <v>365</v>
      </c>
      <c r="AD265" s="27">
        <v>294</v>
      </c>
    </row>
    <row r="266" spans="2:30" x14ac:dyDescent="0.3">
      <c r="B266" s="76"/>
      <c r="C266" s="73"/>
      <c r="D266" s="73"/>
      <c r="E266" s="73"/>
      <c r="F266" s="26" t="s">
        <v>3</v>
      </c>
      <c r="G266" s="27">
        <v>20</v>
      </c>
      <c r="H266" s="27">
        <v>20</v>
      </c>
      <c r="I266" s="27">
        <v>20</v>
      </c>
      <c r="J266" s="27">
        <v>20</v>
      </c>
      <c r="K266" s="27">
        <v>20</v>
      </c>
      <c r="L266" s="27">
        <v>20</v>
      </c>
      <c r="M266" s="27">
        <v>17</v>
      </c>
      <c r="N266" s="27">
        <v>17</v>
      </c>
      <c r="O266" s="27">
        <v>17</v>
      </c>
      <c r="P266" s="27">
        <v>17</v>
      </c>
      <c r="Q266" s="27">
        <v>17</v>
      </c>
      <c r="R266" s="27">
        <v>17</v>
      </c>
      <c r="T266" s="27">
        <v>17</v>
      </c>
      <c r="U266" s="28">
        <f t="shared" si="8"/>
        <v>18.5</v>
      </c>
      <c r="V266" s="27">
        <v>19</v>
      </c>
      <c r="X266" s="27">
        <v>20</v>
      </c>
      <c r="Y266" s="27">
        <v>20</v>
      </c>
      <c r="Z266" s="27">
        <v>17</v>
      </c>
      <c r="AA266" s="27">
        <v>17</v>
      </c>
      <c r="AC266" s="27">
        <v>17</v>
      </c>
      <c r="AD266" s="27">
        <v>19</v>
      </c>
    </row>
    <row r="267" spans="2:30" ht="13.95" customHeight="1" x14ac:dyDescent="0.3"/>
    <row r="268" spans="2:30" x14ac:dyDescent="0.3">
      <c r="B268" s="74" t="s">
        <v>94</v>
      </c>
      <c r="C268" s="73"/>
      <c r="D268" s="73"/>
      <c r="E268" s="73"/>
      <c r="F268" s="20" t="s">
        <v>6</v>
      </c>
      <c r="G268" s="21" t="s">
        <v>138</v>
      </c>
      <c r="H268" s="21" t="s">
        <v>139</v>
      </c>
      <c r="I268" s="21" t="s">
        <v>140</v>
      </c>
      <c r="J268" s="21" t="s">
        <v>141</v>
      </c>
      <c r="K268" s="21" t="s">
        <v>142</v>
      </c>
      <c r="L268" s="21" t="s">
        <v>143</v>
      </c>
      <c r="M268" s="21" t="s">
        <v>144</v>
      </c>
      <c r="N268" s="21" t="s">
        <v>145</v>
      </c>
      <c r="O268" s="21" t="s">
        <v>146</v>
      </c>
      <c r="P268" s="21" t="s">
        <v>147</v>
      </c>
      <c r="Q268" s="21" t="s">
        <v>148</v>
      </c>
      <c r="R268" s="21" t="s">
        <v>149</v>
      </c>
      <c r="T268" s="21" t="s">
        <v>24</v>
      </c>
      <c r="U268" s="21" t="s">
        <v>25</v>
      </c>
      <c r="V268" s="21" t="s">
        <v>19</v>
      </c>
      <c r="X268" s="21" t="s">
        <v>20</v>
      </c>
      <c r="Y268" s="21" t="s">
        <v>21</v>
      </c>
      <c r="Z268" s="21" t="s">
        <v>22</v>
      </c>
      <c r="AA268" s="21" t="s">
        <v>23</v>
      </c>
      <c r="AC268" s="21" t="s">
        <v>24</v>
      </c>
      <c r="AD268" s="21" t="s">
        <v>25</v>
      </c>
    </row>
    <row r="269" spans="2:30" x14ac:dyDescent="0.3">
      <c r="B269" s="75" t="s">
        <v>38</v>
      </c>
      <c r="C269" s="72"/>
      <c r="D269" s="72"/>
      <c r="E269" s="72"/>
      <c r="F269" s="26" t="s">
        <v>2</v>
      </c>
      <c r="G269" s="27">
        <v>59</v>
      </c>
      <c r="H269" s="27">
        <v>62.95</v>
      </c>
      <c r="I269" s="27">
        <v>16</v>
      </c>
      <c r="J269" s="27">
        <v>16</v>
      </c>
      <c r="K269" s="27">
        <v>18</v>
      </c>
      <c r="L269" s="27">
        <v>19</v>
      </c>
      <c r="M269" s="27">
        <v>74</v>
      </c>
      <c r="N269" s="27">
        <v>67</v>
      </c>
      <c r="O269" s="27">
        <v>93</v>
      </c>
      <c r="P269" s="27">
        <v>112</v>
      </c>
      <c r="Q269" s="27">
        <v>12</v>
      </c>
      <c r="R269" s="27">
        <v>231</v>
      </c>
      <c r="T269" s="27">
        <v>231</v>
      </c>
      <c r="U269" s="28">
        <f t="shared" ref="U269:U270" si="9">+AVERAGE(G269:R269)</f>
        <v>64.995833333333337</v>
      </c>
      <c r="V269" s="27">
        <v>65</v>
      </c>
      <c r="X269" s="27">
        <v>46</v>
      </c>
      <c r="Y269" s="27">
        <v>18</v>
      </c>
      <c r="Z269" s="27">
        <v>78</v>
      </c>
      <c r="AA269" s="27">
        <v>118</v>
      </c>
      <c r="AC269" s="27">
        <v>231</v>
      </c>
      <c r="AD269" s="27">
        <v>65</v>
      </c>
    </row>
    <row r="270" spans="2:30" x14ac:dyDescent="0.3">
      <c r="B270" s="76"/>
      <c r="C270" s="73"/>
      <c r="D270" s="73"/>
      <c r="E270" s="73"/>
      <c r="F270" s="26" t="s">
        <v>3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T270" s="27">
        <v>0</v>
      </c>
      <c r="U270" s="28">
        <f t="shared" si="9"/>
        <v>0</v>
      </c>
      <c r="V270" s="27">
        <v>0</v>
      </c>
      <c r="X270" s="27">
        <v>0</v>
      </c>
      <c r="Y270" s="27">
        <v>0</v>
      </c>
      <c r="Z270" s="27">
        <v>0</v>
      </c>
      <c r="AA270" s="27">
        <v>0</v>
      </c>
      <c r="AC270" s="27">
        <v>0</v>
      </c>
      <c r="AD270" s="27">
        <v>0</v>
      </c>
    </row>
    <row r="271" spans="2:30" ht="12.45" customHeight="1" x14ac:dyDescent="0.3"/>
    <row r="272" spans="2:30" x14ac:dyDescent="0.3">
      <c r="B272" s="77" t="s">
        <v>5</v>
      </c>
      <c r="C272" s="73"/>
      <c r="D272" s="73"/>
      <c r="E272" s="73"/>
      <c r="F272" s="20" t="s">
        <v>6</v>
      </c>
      <c r="G272" s="21" t="s">
        <v>138</v>
      </c>
      <c r="H272" s="21" t="s">
        <v>139</v>
      </c>
      <c r="I272" s="21" t="s">
        <v>140</v>
      </c>
      <c r="J272" s="21" t="s">
        <v>141</v>
      </c>
      <c r="K272" s="21" t="s">
        <v>142</v>
      </c>
      <c r="L272" s="21" t="s">
        <v>143</v>
      </c>
      <c r="M272" s="21" t="s">
        <v>144</v>
      </c>
      <c r="N272" s="21" t="s">
        <v>145</v>
      </c>
      <c r="O272" s="21" t="s">
        <v>146</v>
      </c>
      <c r="P272" s="21" t="s">
        <v>147</v>
      </c>
      <c r="Q272" s="21" t="s">
        <v>148</v>
      </c>
      <c r="R272" s="21" t="s">
        <v>149</v>
      </c>
      <c r="T272" s="21" t="s">
        <v>24</v>
      </c>
      <c r="U272" s="21" t="s">
        <v>25</v>
      </c>
      <c r="V272" s="21" t="s">
        <v>19</v>
      </c>
      <c r="X272" s="21" t="s">
        <v>20</v>
      </c>
      <c r="Y272" s="21" t="s">
        <v>21</v>
      </c>
      <c r="Z272" s="21" t="s">
        <v>22</v>
      </c>
      <c r="AA272" s="21" t="s">
        <v>23</v>
      </c>
      <c r="AC272" s="21" t="s">
        <v>24</v>
      </c>
      <c r="AD272" s="21" t="s">
        <v>25</v>
      </c>
    </row>
    <row r="273" spans="2:30" x14ac:dyDescent="0.3">
      <c r="B273" s="71" t="s">
        <v>96</v>
      </c>
      <c r="C273" s="72"/>
      <c r="D273" s="72"/>
      <c r="E273" s="72"/>
      <c r="F273" s="26" t="s">
        <v>2</v>
      </c>
      <c r="G273" s="27">
        <v>695</v>
      </c>
      <c r="H273" s="27">
        <v>722</v>
      </c>
      <c r="I273" s="27">
        <v>742</v>
      </c>
      <c r="J273" s="27">
        <v>754</v>
      </c>
      <c r="K273" s="27">
        <v>771</v>
      </c>
      <c r="L273" s="27">
        <v>783</v>
      </c>
      <c r="M273" s="27">
        <v>803</v>
      </c>
      <c r="N273" s="27">
        <v>813</v>
      </c>
      <c r="O273" s="27">
        <v>818</v>
      </c>
      <c r="P273" s="27">
        <v>820</v>
      </c>
      <c r="Q273" s="27">
        <v>812</v>
      </c>
      <c r="R273" s="27">
        <v>815</v>
      </c>
      <c r="T273" s="27">
        <v>815</v>
      </c>
      <c r="U273" s="28">
        <f t="shared" ref="U273:U283" si="10">+AVERAGE(G273:R273)</f>
        <v>779</v>
      </c>
      <c r="V273" s="27">
        <v>780</v>
      </c>
      <c r="X273" s="27">
        <v>720</v>
      </c>
      <c r="Y273" s="27">
        <v>769</v>
      </c>
      <c r="Z273" s="27">
        <v>811</v>
      </c>
      <c r="AA273" s="27">
        <v>816</v>
      </c>
      <c r="AC273" s="27">
        <v>815</v>
      </c>
      <c r="AD273" s="27">
        <v>780</v>
      </c>
    </row>
    <row r="274" spans="2:30" x14ac:dyDescent="0.3">
      <c r="B274" s="73"/>
      <c r="C274" s="73"/>
      <c r="D274" s="73"/>
      <c r="E274" s="73"/>
      <c r="F274" s="26" t="s">
        <v>3</v>
      </c>
      <c r="G274" s="27">
        <v>775</v>
      </c>
      <c r="H274" s="27">
        <v>786</v>
      </c>
      <c r="I274" s="27">
        <v>803</v>
      </c>
      <c r="J274" s="27">
        <v>790</v>
      </c>
      <c r="K274" s="27">
        <v>790</v>
      </c>
      <c r="L274" s="27">
        <v>790</v>
      </c>
      <c r="M274" s="27">
        <v>797</v>
      </c>
      <c r="N274" s="27">
        <v>797</v>
      </c>
      <c r="O274" s="27">
        <v>796</v>
      </c>
      <c r="P274" s="27">
        <v>795</v>
      </c>
      <c r="Q274" s="27">
        <v>795</v>
      </c>
      <c r="R274" s="27">
        <v>795</v>
      </c>
      <c r="T274" s="27">
        <v>795</v>
      </c>
      <c r="U274" s="28">
        <f t="shared" si="10"/>
        <v>792.41666666666663</v>
      </c>
      <c r="V274" s="27">
        <v>793</v>
      </c>
      <c r="X274" s="27">
        <v>788</v>
      </c>
      <c r="Y274" s="27">
        <v>790</v>
      </c>
      <c r="Z274" s="27">
        <v>797</v>
      </c>
      <c r="AA274" s="27">
        <v>795</v>
      </c>
      <c r="AC274" s="27">
        <v>795</v>
      </c>
      <c r="AD274" s="27">
        <v>793</v>
      </c>
    </row>
    <row r="275" spans="2:30" x14ac:dyDescent="0.3">
      <c r="B275" s="71" t="s">
        <v>97</v>
      </c>
      <c r="C275" s="72"/>
      <c r="D275" s="72"/>
      <c r="E275" s="72"/>
      <c r="F275" s="26" t="s">
        <v>2</v>
      </c>
      <c r="G275" s="27">
        <v>163</v>
      </c>
      <c r="H275" s="27">
        <v>165</v>
      </c>
      <c r="I275" s="27">
        <v>169</v>
      </c>
      <c r="J275" s="27">
        <v>169</v>
      </c>
      <c r="K275" s="27">
        <v>168</v>
      </c>
      <c r="L275" s="27">
        <v>174</v>
      </c>
      <c r="M275" s="27">
        <v>180</v>
      </c>
      <c r="N275" s="27">
        <v>184</v>
      </c>
      <c r="O275" s="27">
        <v>186</v>
      </c>
      <c r="P275" s="27">
        <v>189</v>
      </c>
      <c r="Q275" s="27">
        <v>188</v>
      </c>
      <c r="R275" s="27">
        <v>187</v>
      </c>
      <c r="T275" s="27">
        <v>187</v>
      </c>
      <c r="U275" s="28">
        <f t="shared" si="10"/>
        <v>176.83333333333334</v>
      </c>
      <c r="V275" s="27">
        <v>176</v>
      </c>
      <c r="X275" s="27">
        <v>166</v>
      </c>
      <c r="Y275" s="27">
        <v>170</v>
      </c>
      <c r="Z275" s="27">
        <v>183</v>
      </c>
      <c r="AA275" s="27">
        <v>189</v>
      </c>
      <c r="AC275" s="27">
        <v>187</v>
      </c>
      <c r="AD275" s="27">
        <v>176</v>
      </c>
    </row>
    <row r="276" spans="2:30" x14ac:dyDescent="0.3">
      <c r="B276" s="73"/>
      <c r="C276" s="73"/>
      <c r="D276" s="73"/>
      <c r="E276" s="73"/>
      <c r="F276" s="26" t="s">
        <v>3</v>
      </c>
      <c r="G276" s="27">
        <v>167</v>
      </c>
      <c r="H276" s="27">
        <v>167</v>
      </c>
      <c r="I276" s="27">
        <v>170</v>
      </c>
      <c r="J276" s="27">
        <v>170</v>
      </c>
      <c r="K276" s="27">
        <v>170</v>
      </c>
      <c r="L276" s="27">
        <v>170</v>
      </c>
      <c r="M276" s="27">
        <v>169</v>
      </c>
      <c r="N276" s="27">
        <v>169</v>
      </c>
      <c r="O276" s="27">
        <v>169</v>
      </c>
      <c r="P276" s="27">
        <v>169</v>
      </c>
      <c r="Q276" s="27">
        <v>169</v>
      </c>
      <c r="R276" s="27">
        <v>169</v>
      </c>
      <c r="T276" s="27">
        <v>169</v>
      </c>
      <c r="U276" s="28">
        <f t="shared" si="10"/>
        <v>169</v>
      </c>
      <c r="V276" s="27">
        <v>169</v>
      </c>
      <c r="X276" s="27">
        <v>168</v>
      </c>
      <c r="Y276" s="27">
        <v>170</v>
      </c>
      <c r="Z276" s="27">
        <v>169</v>
      </c>
      <c r="AA276" s="27">
        <v>169</v>
      </c>
      <c r="AC276" s="27">
        <v>169</v>
      </c>
      <c r="AD276" s="27">
        <v>169</v>
      </c>
    </row>
    <row r="277" spans="2:30" x14ac:dyDescent="0.3">
      <c r="B277" s="71" t="s">
        <v>98</v>
      </c>
      <c r="C277" s="72"/>
      <c r="D277" s="72"/>
      <c r="E277" s="72"/>
      <c r="F277" s="26" t="s">
        <v>2</v>
      </c>
      <c r="G277" s="27">
        <v>4</v>
      </c>
      <c r="H277" s="27">
        <v>4</v>
      </c>
      <c r="I277" s="27">
        <v>4</v>
      </c>
      <c r="J277" s="27">
        <v>4</v>
      </c>
      <c r="K277" s="27">
        <v>4</v>
      </c>
      <c r="L277" s="27">
        <v>4</v>
      </c>
      <c r="M277" s="27">
        <v>4</v>
      </c>
      <c r="N277" s="27">
        <v>4</v>
      </c>
      <c r="O277" s="27">
        <v>4</v>
      </c>
      <c r="P277" s="27">
        <v>4</v>
      </c>
      <c r="Q277" s="27">
        <v>4</v>
      </c>
      <c r="R277" s="27">
        <v>4</v>
      </c>
      <c r="T277" s="27">
        <v>4</v>
      </c>
      <c r="U277" s="28">
        <f t="shared" si="10"/>
        <v>4</v>
      </c>
      <c r="V277" s="27">
        <v>4</v>
      </c>
      <c r="X277" s="27">
        <v>4</v>
      </c>
      <c r="Y277" s="27">
        <v>4</v>
      </c>
      <c r="Z277" s="27">
        <v>4</v>
      </c>
      <c r="AA277" s="27">
        <v>4</v>
      </c>
      <c r="AC277" s="27">
        <v>4</v>
      </c>
      <c r="AD277" s="27">
        <v>4</v>
      </c>
    </row>
    <row r="278" spans="2:30" x14ac:dyDescent="0.3">
      <c r="B278" s="73"/>
      <c r="C278" s="73"/>
      <c r="D278" s="73"/>
      <c r="E278" s="73"/>
      <c r="F278" s="26" t="s">
        <v>3</v>
      </c>
      <c r="G278" s="27">
        <v>4</v>
      </c>
      <c r="H278" s="27">
        <v>4</v>
      </c>
      <c r="I278" s="27">
        <v>4</v>
      </c>
      <c r="J278" s="27">
        <v>4</v>
      </c>
      <c r="K278" s="27">
        <v>4</v>
      </c>
      <c r="L278" s="27">
        <v>4</v>
      </c>
      <c r="M278" s="27">
        <v>4</v>
      </c>
      <c r="N278" s="27">
        <v>4</v>
      </c>
      <c r="O278" s="27">
        <v>4</v>
      </c>
      <c r="P278" s="27">
        <v>4</v>
      </c>
      <c r="Q278" s="27">
        <v>4</v>
      </c>
      <c r="R278" s="27">
        <v>4</v>
      </c>
      <c r="T278" s="27">
        <v>4</v>
      </c>
      <c r="U278" s="28">
        <f t="shared" si="10"/>
        <v>4</v>
      </c>
      <c r="V278" s="27">
        <v>4</v>
      </c>
      <c r="X278" s="27">
        <v>4</v>
      </c>
      <c r="Y278" s="27">
        <v>4</v>
      </c>
      <c r="Z278" s="27">
        <v>4</v>
      </c>
      <c r="AA278" s="27">
        <v>4</v>
      </c>
      <c r="AC278" s="27">
        <v>4</v>
      </c>
      <c r="AD278" s="27">
        <v>4</v>
      </c>
    </row>
    <row r="279" spans="2:30" x14ac:dyDescent="0.3">
      <c r="B279" s="71" t="s">
        <v>99</v>
      </c>
      <c r="C279" s="72"/>
      <c r="D279" s="72"/>
      <c r="E279" s="72"/>
      <c r="F279" s="26" t="s">
        <v>2</v>
      </c>
      <c r="G279" s="27">
        <v>528</v>
      </c>
      <c r="H279" s="27">
        <v>553</v>
      </c>
      <c r="I279" s="27">
        <v>569</v>
      </c>
      <c r="J279" s="27">
        <v>581</v>
      </c>
      <c r="K279" s="27">
        <v>599</v>
      </c>
      <c r="L279" s="27">
        <v>605</v>
      </c>
      <c r="M279" s="27">
        <v>619</v>
      </c>
      <c r="N279" s="27">
        <v>625</v>
      </c>
      <c r="O279" s="27">
        <v>628</v>
      </c>
      <c r="P279" s="27">
        <v>627</v>
      </c>
      <c r="Q279" s="27">
        <v>620</v>
      </c>
      <c r="R279" s="27">
        <v>624</v>
      </c>
      <c r="T279" s="27">
        <v>624</v>
      </c>
      <c r="U279" s="28">
        <f t="shared" si="10"/>
        <v>598.16666666666663</v>
      </c>
      <c r="V279" s="27">
        <v>598</v>
      </c>
      <c r="X279" s="27">
        <v>550</v>
      </c>
      <c r="Y279" s="27">
        <v>595</v>
      </c>
      <c r="Z279" s="27">
        <v>624</v>
      </c>
      <c r="AA279" s="27">
        <v>624</v>
      </c>
      <c r="AC279" s="27">
        <v>624</v>
      </c>
      <c r="AD279" s="27">
        <v>598</v>
      </c>
    </row>
    <row r="280" spans="2:30" x14ac:dyDescent="0.3">
      <c r="B280" s="73"/>
      <c r="C280" s="73"/>
      <c r="D280" s="73"/>
      <c r="E280" s="73"/>
      <c r="F280" s="26" t="s">
        <v>3</v>
      </c>
      <c r="G280" s="27">
        <v>604</v>
      </c>
      <c r="H280" s="27">
        <v>615</v>
      </c>
      <c r="I280" s="27">
        <v>629</v>
      </c>
      <c r="J280" s="27">
        <v>616</v>
      </c>
      <c r="K280" s="27">
        <v>616</v>
      </c>
      <c r="L280" s="27">
        <v>616</v>
      </c>
      <c r="M280" s="27">
        <v>624</v>
      </c>
      <c r="N280" s="27">
        <v>624</v>
      </c>
      <c r="O280" s="27">
        <v>623</v>
      </c>
      <c r="P280" s="27">
        <v>622</v>
      </c>
      <c r="Q280" s="27">
        <v>622</v>
      </c>
      <c r="R280" s="27">
        <v>622</v>
      </c>
      <c r="T280" s="27">
        <v>622</v>
      </c>
      <c r="U280" s="28">
        <f t="shared" si="10"/>
        <v>619.41666666666663</v>
      </c>
      <c r="V280" s="27">
        <v>620</v>
      </c>
      <c r="X280" s="27">
        <v>616</v>
      </c>
      <c r="Y280" s="27">
        <v>616</v>
      </c>
      <c r="Z280" s="27">
        <v>624</v>
      </c>
      <c r="AA280" s="27">
        <v>622</v>
      </c>
      <c r="AC280" s="27">
        <v>622</v>
      </c>
      <c r="AD280" s="27">
        <v>620</v>
      </c>
    </row>
    <row r="281" spans="2:30" ht="11.7" customHeight="1" x14ac:dyDescent="0.3">
      <c r="U281" s="28" t="e">
        <f t="shared" si="10"/>
        <v>#DIV/0!</v>
      </c>
    </row>
    <row r="282" spans="2:30" x14ac:dyDescent="0.3">
      <c r="B282" s="83" t="s">
        <v>100</v>
      </c>
      <c r="C282" s="73"/>
      <c r="D282" s="73"/>
      <c r="E282" s="73"/>
      <c r="F282" s="16" t="s">
        <v>2</v>
      </c>
      <c r="G282" s="17">
        <v>32</v>
      </c>
      <c r="H282" s="17">
        <v>31</v>
      </c>
      <c r="I282" s="17">
        <v>29</v>
      </c>
      <c r="J282" s="17">
        <v>27</v>
      </c>
      <c r="K282" s="17">
        <v>29</v>
      </c>
      <c r="L282" s="17">
        <v>30</v>
      </c>
      <c r="M282" s="17">
        <v>30</v>
      </c>
      <c r="N282" s="17">
        <v>30</v>
      </c>
      <c r="O282" s="17">
        <v>30</v>
      </c>
      <c r="P282" s="17">
        <v>32</v>
      </c>
      <c r="Q282" s="17">
        <v>30</v>
      </c>
      <c r="R282" s="17">
        <v>27</v>
      </c>
      <c r="T282" s="17">
        <v>27</v>
      </c>
      <c r="U282" s="28">
        <f t="shared" si="10"/>
        <v>29.75</v>
      </c>
      <c r="V282" s="17">
        <v>30</v>
      </c>
      <c r="X282" s="17">
        <v>31</v>
      </c>
      <c r="Y282" s="17">
        <v>29</v>
      </c>
      <c r="Z282" s="17">
        <v>30</v>
      </c>
      <c r="AA282" s="17">
        <v>30</v>
      </c>
      <c r="AC282" s="17">
        <v>27</v>
      </c>
      <c r="AD282" s="17">
        <v>30</v>
      </c>
    </row>
    <row r="283" spans="2:30" x14ac:dyDescent="0.3">
      <c r="F283" s="16" t="s">
        <v>3</v>
      </c>
      <c r="G283" s="17">
        <v>27</v>
      </c>
      <c r="H283" s="17">
        <v>27</v>
      </c>
      <c r="I283" s="17">
        <v>26</v>
      </c>
      <c r="J283" s="17">
        <v>14</v>
      </c>
      <c r="K283" s="17">
        <v>14</v>
      </c>
      <c r="L283" s="17">
        <v>14</v>
      </c>
      <c r="M283" s="17">
        <v>14</v>
      </c>
      <c r="N283" s="17">
        <v>14</v>
      </c>
      <c r="O283" s="17">
        <v>14</v>
      </c>
      <c r="P283" s="17">
        <v>14</v>
      </c>
      <c r="Q283" s="17">
        <v>14</v>
      </c>
      <c r="R283" s="17">
        <v>14</v>
      </c>
      <c r="T283" s="17">
        <v>14</v>
      </c>
      <c r="U283" s="28">
        <f t="shared" si="10"/>
        <v>17.166666666666668</v>
      </c>
      <c r="V283" s="17">
        <v>17</v>
      </c>
      <c r="X283" s="17">
        <v>27</v>
      </c>
      <c r="Y283" s="17">
        <v>14</v>
      </c>
      <c r="Z283" s="17">
        <v>14</v>
      </c>
      <c r="AA283" s="17">
        <v>14</v>
      </c>
      <c r="AC283" s="17">
        <v>14</v>
      </c>
      <c r="AD283" s="17">
        <v>17</v>
      </c>
    </row>
    <row r="284" spans="2:30" ht="17.100000000000001" customHeight="1" x14ac:dyDescent="0.3"/>
  </sheetData>
  <mergeCells count="183">
    <mergeCell ref="B1:G1"/>
    <mergeCell ref="B3:E3"/>
    <mergeCell ref="B6:C6"/>
    <mergeCell ref="D6:E6"/>
    <mergeCell ref="B7:C8"/>
    <mergeCell ref="D7:E8"/>
    <mergeCell ref="B9:C10"/>
    <mergeCell ref="D9:E10"/>
    <mergeCell ref="B11:C12"/>
    <mergeCell ref="D11:E12"/>
    <mergeCell ref="B13:C26"/>
    <mergeCell ref="D13:E14"/>
    <mergeCell ref="D15:E16"/>
    <mergeCell ref="D17:E18"/>
    <mergeCell ref="D19:E20"/>
    <mergeCell ref="D21:E22"/>
    <mergeCell ref="B33:C42"/>
    <mergeCell ref="D33:E34"/>
    <mergeCell ref="D35:E36"/>
    <mergeCell ref="D37:E38"/>
    <mergeCell ref="D39:E40"/>
    <mergeCell ref="D41:E42"/>
    <mergeCell ref="D23:E24"/>
    <mergeCell ref="D25:E26"/>
    <mergeCell ref="B27:C32"/>
    <mergeCell ref="D27:E28"/>
    <mergeCell ref="D29:E30"/>
    <mergeCell ref="D31:E32"/>
    <mergeCell ref="B57:C66"/>
    <mergeCell ref="D57:E58"/>
    <mergeCell ref="D59:E60"/>
    <mergeCell ref="D61:E62"/>
    <mergeCell ref="D63:E64"/>
    <mergeCell ref="D65:E66"/>
    <mergeCell ref="B43:C50"/>
    <mergeCell ref="D43:E44"/>
    <mergeCell ref="D45:E46"/>
    <mergeCell ref="D47:E48"/>
    <mergeCell ref="D49:E50"/>
    <mergeCell ref="B51:C56"/>
    <mergeCell ref="D51:E52"/>
    <mergeCell ref="D53:E54"/>
    <mergeCell ref="D55:E56"/>
    <mergeCell ref="B83:C88"/>
    <mergeCell ref="D83:E84"/>
    <mergeCell ref="D85:E86"/>
    <mergeCell ref="D87:E88"/>
    <mergeCell ref="B89:C90"/>
    <mergeCell ref="D89:E90"/>
    <mergeCell ref="B67:C82"/>
    <mergeCell ref="D67:E68"/>
    <mergeCell ref="D69:E70"/>
    <mergeCell ref="D71:E72"/>
    <mergeCell ref="D73:E73"/>
    <mergeCell ref="D74:E75"/>
    <mergeCell ref="D76:E76"/>
    <mergeCell ref="D77:E78"/>
    <mergeCell ref="D79:E80"/>
    <mergeCell ref="D81:E82"/>
    <mergeCell ref="B91:C98"/>
    <mergeCell ref="D91:E92"/>
    <mergeCell ref="D93:E94"/>
    <mergeCell ref="D95:E96"/>
    <mergeCell ref="D97:E98"/>
    <mergeCell ref="B99:C114"/>
    <mergeCell ref="D99:E100"/>
    <mergeCell ref="D101:E102"/>
    <mergeCell ref="D103:E104"/>
    <mergeCell ref="D105:E106"/>
    <mergeCell ref="B122:E122"/>
    <mergeCell ref="B125:E125"/>
    <mergeCell ref="B128:E128"/>
    <mergeCell ref="C131:D131"/>
    <mergeCell ref="B132:B133"/>
    <mergeCell ref="C132:D133"/>
    <mergeCell ref="E132:E133"/>
    <mergeCell ref="D107:E108"/>
    <mergeCell ref="D109:E110"/>
    <mergeCell ref="D111:E112"/>
    <mergeCell ref="D113:E114"/>
    <mergeCell ref="B115:C120"/>
    <mergeCell ref="D115:E116"/>
    <mergeCell ref="D117:E118"/>
    <mergeCell ref="D119:E120"/>
    <mergeCell ref="B142:B150"/>
    <mergeCell ref="C142:D144"/>
    <mergeCell ref="E143:E144"/>
    <mergeCell ref="C145:D146"/>
    <mergeCell ref="E145:E146"/>
    <mergeCell ref="C147:D150"/>
    <mergeCell ref="E147:E148"/>
    <mergeCell ref="E149:E150"/>
    <mergeCell ref="B134:B141"/>
    <mergeCell ref="C134:D135"/>
    <mergeCell ref="E134:E135"/>
    <mergeCell ref="C136:D137"/>
    <mergeCell ref="E136:E137"/>
    <mergeCell ref="C138:D139"/>
    <mergeCell ref="E138:E139"/>
    <mergeCell ref="C140:D141"/>
    <mergeCell ref="E140:E141"/>
    <mergeCell ref="B151:B154"/>
    <mergeCell ref="C151:D152"/>
    <mergeCell ref="E151:E152"/>
    <mergeCell ref="C153:D154"/>
    <mergeCell ref="E153:E154"/>
    <mergeCell ref="B155:B164"/>
    <mergeCell ref="C155:D156"/>
    <mergeCell ref="E155:E156"/>
    <mergeCell ref="C157:D158"/>
    <mergeCell ref="E157:E158"/>
    <mergeCell ref="B165:B166"/>
    <mergeCell ref="C165:D166"/>
    <mergeCell ref="E165:E166"/>
    <mergeCell ref="B167:B168"/>
    <mergeCell ref="C167:D168"/>
    <mergeCell ref="E167:E168"/>
    <mergeCell ref="C159:D160"/>
    <mergeCell ref="E159:E160"/>
    <mergeCell ref="C161:D162"/>
    <mergeCell ref="E161:E162"/>
    <mergeCell ref="C163:D164"/>
    <mergeCell ref="E163:E164"/>
    <mergeCell ref="B182:E183"/>
    <mergeCell ref="B184:E185"/>
    <mergeCell ref="B186:E187"/>
    <mergeCell ref="B188:E189"/>
    <mergeCell ref="B191:E191"/>
    <mergeCell ref="B194:E194"/>
    <mergeCell ref="B170:E170"/>
    <mergeCell ref="B173:E173"/>
    <mergeCell ref="B174:E175"/>
    <mergeCell ref="B176:E177"/>
    <mergeCell ref="B178:E179"/>
    <mergeCell ref="B180:E181"/>
    <mergeCell ref="B205:E205"/>
    <mergeCell ref="B206:C215"/>
    <mergeCell ref="D206:E207"/>
    <mergeCell ref="D208:E209"/>
    <mergeCell ref="D210:E211"/>
    <mergeCell ref="D212:E213"/>
    <mergeCell ref="D214:E215"/>
    <mergeCell ref="B195:C198"/>
    <mergeCell ref="D195:E196"/>
    <mergeCell ref="D197:E198"/>
    <mergeCell ref="B199:C200"/>
    <mergeCell ref="D199:E200"/>
    <mergeCell ref="B202:E202"/>
    <mergeCell ref="B216:C229"/>
    <mergeCell ref="D216:E217"/>
    <mergeCell ref="D218:E219"/>
    <mergeCell ref="D220:E220"/>
    <mergeCell ref="D221:E222"/>
    <mergeCell ref="D223:E223"/>
    <mergeCell ref="D224:E225"/>
    <mergeCell ref="D226:E227"/>
    <mergeCell ref="D228:E229"/>
    <mergeCell ref="B243:E243"/>
    <mergeCell ref="B246:E246"/>
    <mergeCell ref="B248:E248"/>
    <mergeCell ref="B249:E250"/>
    <mergeCell ref="B251:E252"/>
    <mergeCell ref="B253:E254"/>
    <mergeCell ref="B230:C234"/>
    <mergeCell ref="D230:E231"/>
    <mergeCell ref="D232:E233"/>
    <mergeCell ref="D234:E234"/>
    <mergeCell ref="B237:E237"/>
    <mergeCell ref="B240:E240"/>
    <mergeCell ref="B279:E280"/>
    <mergeCell ref="B282:E282"/>
    <mergeCell ref="B268:E268"/>
    <mergeCell ref="B269:E270"/>
    <mergeCell ref="B272:E272"/>
    <mergeCell ref="B273:E274"/>
    <mergeCell ref="B275:E276"/>
    <mergeCell ref="B277:E278"/>
    <mergeCell ref="B255:E256"/>
    <mergeCell ref="B258:E258"/>
    <mergeCell ref="B259:E260"/>
    <mergeCell ref="B262:E262"/>
    <mergeCell ref="B264:E264"/>
    <mergeCell ref="B265:E2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A161-17E6-43DA-ACBA-A5D906797620}">
  <dimension ref="B1:AA329"/>
  <sheetViews>
    <sheetView topLeftCell="E1" zoomScale="76" zoomScaleNormal="76" workbookViewId="0">
      <selection activeCell="AA18" sqref="AA18"/>
    </sheetView>
  </sheetViews>
  <sheetFormatPr baseColWidth="10" defaultRowHeight="14.4" x14ac:dyDescent="0.3"/>
  <sheetData>
    <row r="1" spans="2:27" ht="34.799999999999997" x14ac:dyDescent="0.3">
      <c r="B1" s="40"/>
      <c r="C1" s="29"/>
      <c r="D1" s="29"/>
      <c r="E1" s="29"/>
      <c r="F1" s="29"/>
      <c r="G1" s="48">
        <v>646</v>
      </c>
      <c r="H1" s="48">
        <v>646</v>
      </c>
      <c r="I1" s="48">
        <v>631</v>
      </c>
      <c r="J1" s="48">
        <v>628</v>
      </c>
      <c r="K1" s="48">
        <v>630</v>
      </c>
      <c r="L1" s="48">
        <v>639</v>
      </c>
      <c r="M1" s="48">
        <v>644</v>
      </c>
      <c r="N1" s="48">
        <v>648</v>
      </c>
      <c r="O1" s="48">
        <v>649</v>
      </c>
      <c r="P1" s="48">
        <v>662</v>
      </c>
      <c r="Q1" s="48">
        <v>665</v>
      </c>
      <c r="R1" s="48">
        <v>675</v>
      </c>
      <c r="S1" s="48">
        <v>646.91666666666674</v>
      </c>
      <c r="T1" s="29"/>
      <c r="U1" s="29"/>
      <c r="V1" s="29"/>
      <c r="W1" s="29"/>
      <c r="X1" s="29"/>
      <c r="Y1" s="29"/>
      <c r="Z1" s="29"/>
      <c r="AA1" s="29"/>
    </row>
    <row r="2" spans="2:27" x14ac:dyDescent="0.3">
      <c r="B2" s="29"/>
      <c r="C2" s="29"/>
      <c r="D2" s="29"/>
      <c r="E2" s="29"/>
      <c r="F2" s="29"/>
      <c r="G2" s="48">
        <v>737</v>
      </c>
      <c r="H2" s="48">
        <v>751</v>
      </c>
      <c r="I2" s="48">
        <v>741</v>
      </c>
      <c r="J2" s="48">
        <v>728</v>
      </c>
      <c r="K2" s="48">
        <v>735</v>
      </c>
      <c r="L2" s="48">
        <v>734</v>
      </c>
      <c r="M2" s="48">
        <v>730</v>
      </c>
      <c r="N2" s="48">
        <v>731</v>
      </c>
      <c r="O2" s="48">
        <v>732</v>
      </c>
      <c r="P2" s="48">
        <v>736</v>
      </c>
      <c r="Q2" s="48">
        <v>746</v>
      </c>
      <c r="R2" s="48">
        <v>746</v>
      </c>
      <c r="S2" s="48">
        <v>737.24999999999989</v>
      </c>
      <c r="T2" s="29"/>
      <c r="U2" s="29"/>
      <c r="V2" s="29"/>
      <c r="W2" s="29"/>
      <c r="X2" s="29"/>
      <c r="Y2" s="29"/>
      <c r="Z2" s="29"/>
      <c r="AA2" s="29"/>
    </row>
    <row r="3" spans="2:27" x14ac:dyDescent="0.3">
      <c r="B3" s="99" t="s">
        <v>1</v>
      </c>
      <c r="C3" s="100"/>
      <c r="D3" s="100"/>
      <c r="E3" s="100"/>
      <c r="F3" s="30" t="s">
        <v>2</v>
      </c>
      <c r="G3" s="43">
        <v>387</v>
      </c>
      <c r="H3" s="31">
        <v>387</v>
      </c>
      <c r="I3" s="31">
        <v>387</v>
      </c>
      <c r="J3" s="31">
        <v>385</v>
      </c>
      <c r="K3" s="31">
        <v>386</v>
      </c>
      <c r="L3" s="31">
        <v>393</v>
      </c>
      <c r="M3" s="31">
        <v>391</v>
      </c>
      <c r="N3" s="31">
        <v>394</v>
      </c>
      <c r="O3" s="31">
        <v>397</v>
      </c>
      <c r="P3" s="31">
        <v>397</v>
      </c>
      <c r="Q3" s="31">
        <v>393</v>
      </c>
      <c r="R3" s="43">
        <v>398</v>
      </c>
      <c r="S3" s="45">
        <v>391.25</v>
      </c>
      <c r="T3" s="31">
        <v>398</v>
      </c>
      <c r="U3" s="31">
        <v>459</v>
      </c>
      <c r="V3" s="31">
        <v>448</v>
      </c>
      <c r="W3" s="29"/>
      <c r="X3" s="31">
        <v>389</v>
      </c>
      <c r="Y3" s="31">
        <v>392</v>
      </c>
      <c r="Z3" s="31">
        <v>429</v>
      </c>
      <c r="AA3" s="31">
        <v>396</v>
      </c>
    </row>
    <row r="4" spans="2:27" x14ac:dyDescent="0.3">
      <c r="B4" s="29"/>
      <c r="C4" s="29"/>
      <c r="D4" s="29"/>
      <c r="E4" s="29"/>
      <c r="F4" s="30" t="s">
        <v>3</v>
      </c>
      <c r="G4" s="31">
        <v>420</v>
      </c>
      <c r="H4" s="31">
        <v>420</v>
      </c>
      <c r="I4" s="31">
        <v>420</v>
      </c>
      <c r="J4" s="31">
        <v>415</v>
      </c>
      <c r="K4" s="31">
        <v>415</v>
      </c>
      <c r="L4" s="31">
        <v>415</v>
      </c>
      <c r="M4" s="31">
        <v>414</v>
      </c>
      <c r="N4" s="31">
        <v>414</v>
      </c>
      <c r="O4" s="31">
        <v>414</v>
      </c>
      <c r="P4" s="31">
        <v>414</v>
      </c>
      <c r="Q4" s="31">
        <v>414</v>
      </c>
      <c r="R4" s="31">
        <v>414</v>
      </c>
      <c r="S4" s="44">
        <v>415.75</v>
      </c>
      <c r="T4" s="31">
        <v>414</v>
      </c>
      <c r="U4" s="31">
        <v>456</v>
      </c>
      <c r="V4" s="31">
        <v>456</v>
      </c>
      <c r="W4" s="29"/>
      <c r="X4" s="31">
        <v>420</v>
      </c>
      <c r="Y4" s="31">
        <v>415</v>
      </c>
      <c r="Z4" s="31">
        <v>455</v>
      </c>
      <c r="AA4" s="31">
        <v>414</v>
      </c>
    </row>
    <row r="5" spans="2:27" x14ac:dyDescent="0.3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44" t="e">
        <v>#DIV/0!</v>
      </c>
      <c r="T5" s="29"/>
      <c r="U5" s="29"/>
      <c r="V5" s="29"/>
      <c r="W5" s="29"/>
      <c r="X5" s="29"/>
      <c r="Y5" s="29"/>
      <c r="Z5" s="29"/>
      <c r="AA5" s="29"/>
    </row>
    <row r="6" spans="2:27" x14ac:dyDescent="0.3">
      <c r="B6" s="101" t="s">
        <v>4</v>
      </c>
      <c r="C6" s="100"/>
      <c r="D6" s="110" t="s">
        <v>5</v>
      </c>
      <c r="E6" s="100"/>
      <c r="F6" s="34" t="s">
        <v>6</v>
      </c>
      <c r="G6" s="35" t="s">
        <v>160</v>
      </c>
      <c r="H6" s="35" t="s">
        <v>161</v>
      </c>
      <c r="I6" s="35" t="s">
        <v>162</v>
      </c>
      <c r="J6" s="35" t="s">
        <v>163</v>
      </c>
      <c r="K6" s="35" t="s">
        <v>164</v>
      </c>
      <c r="L6" s="35" t="s">
        <v>165</v>
      </c>
      <c r="M6" s="35" t="s">
        <v>166</v>
      </c>
      <c r="N6" s="35" t="s">
        <v>167</v>
      </c>
      <c r="O6" s="35" t="s">
        <v>168</v>
      </c>
      <c r="P6" s="35" t="s">
        <v>169</v>
      </c>
      <c r="Q6" s="35" t="s">
        <v>170</v>
      </c>
      <c r="R6" s="35" t="s">
        <v>171</v>
      </c>
      <c r="S6" s="44" t="e">
        <v>#DIV/0!</v>
      </c>
      <c r="T6" s="35" t="s">
        <v>24</v>
      </c>
      <c r="U6" s="35" t="s">
        <v>25</v>
      </c>
      <c r="V6" s="35" t="s">
        <v>19</v>
      </c>
      <c r="W6" s="29"/>
      <c r="X6" s="35" t="s">
        <v>20</v>
      </c>
      <c r="Y6" s="35" t="s">
        <v>21</v>
      </c>
      <c r="Z6" s="35" t="s">
        <v>22</v>
      </c>
      <c r="AA6" s="35" t="s">
        <v>23</v>
      </c>
    </row>
    <row r="7" spans="2:27" x14ac:dyDescent="0.3">
      <c r="B7" s="105" t="s">
        <v>26</v>
      </c>
      <c r="C7" s="103"/>
      <c r="D7" s="105" t="s">
        <v>26</v>
      </c>
      <c r="E7" s="103"/>
      <c r="F7" s="36" t="s">
        <v>2</v>
      </c>
      <c r="G7" s="37">
        <v>12</v>
      </c>
      <c r="H7" s="37">
        <v>12</v>
      </c>
      <c r="I7" s="37">
        <v>12</v>
      </c>
      <c r="J7" s="37">
        <v>12</v>
      </c>
      <c r="K7" s="37">
        <v>12</v>
      </c>
      <c r="L7" s="37">
        <v>12</v>
      </c>
      <c r="M7" s="37">
        <v>12</v>
      </c>
      <c r="N7" s="37">
        <v>11</v>
      </c>
      <c r="O7" s="37">
        <v>11</v>
      </c>
      <c r="P7" s="37">
        <v>11</v>
      </c>
      <c r="Q7" s="37">
        <v>11</v>
      </c>
      <c r="R7" s="37">
        <v>10</v>
      </c>
      <c r="S7" s="46">
        <v>11.5</v>
      </c>
      <c r="T7" s="37">
        <v>10</v>
      </c>
      <c r="U7" s="37">
        <v>12</v>
      </c>
      <c r="V7" s="37">
        <v>12</v>
      </c>
      <c r="W7" s="29"/>
      <c r="X7" s="37">
        <v>12</v>
      </c>
      <c r="Y7" s="37">
        <v>12</v>
      </c>
      <c r="Z7" s="37">
        <v>11</v>
      </c>
      <c r="AA7" s="37">
        <v>11</v>
      </c>
    </row>
    <row r="8" spans="2:27" x14ac:dyDescent="0.3">
      <c r="B8" s="106"/>
      <c r="C8" s="100"/>
      <c r="D8" s="106"/>
      <c r="E8" s="100"/>
      <c r="F8" s="36" t="s">
        <v>3</v>
      </c>
      <c r="G8" s="37">
        <v>12</v>
      </c>
      <c r="H8" s="37">
        <v>12</v>
      </c>
      <c r="I8" s="37">
        <v>12</v>
      </c>
      <c r="J8" s="37">
        <v>12</v>
      </c>
      <c r="K8" s="37">
        <v>12</v>
      </c>
      <c r="L8" s="37">
        <v>12</v>
      </c>
      <c r="M8" s="37">
        <v>12</v>
      </c>
      <c r="N8" s="37">
        <v>12</v>
      </c>
      <c r="O8" s="37">
        <v>12</v>
      </c>
      <c r="P8" s="37">
        <v>12</v>
      </c>
      <c r="Q8" s="37">
        <v>12</v>
      </c>
      <c r="R8" s="37">
        <v>12</v>
      </c>
      <c r="S8" s="44">
        <v>12</v>
      </c>
      <c r="T8" s="37">
        <v>12</v>
      </c>
      <c r="U8" s="37">
        <v>12</v>
      </c>
      <c r="V8" s="37">
        <v>12</v>
      </c>
      <c r="W8" s="29"/>
      <c r="X8" s="37">
        <v>12</v>
      </c>
      <c r="Y8" s="37">
        <v>12</v>
      </c>
      <c r="Z8" s="37">
        <v>12</v>
      </c>
      <c r="AA8" s="37">
        <v>12</v>
      </c>
    </row>
    <row r="9" spans="2:27" x14ac:dyDescent="0.3">
      <c r="B9" s="105" t="s">
        <v>27</v>
      </c>
      <c r="C9" s="103"/>
      <c r="D9" s="105" t="s">
        <v>27</v>
      </c>
      <c r="E9" s="103"/>
      <c r="F9" s="36" t="s">
        <v>2</v>
      </c>
      <c r="G9" s="37">
        <v>3</v>
      </c>
      <c r="H9" s="37">
        <v>3</v>
      </c>
      <c r="I9" s="37">
        <v>3</v>
      </c>
      <c r="J9" s="37">
        <v>3</v>
      </c>
      <c r="K9" s="37">
        <v>3</v>
      </c>
      <c r="L9" s="37">
        <v>3</v>
      </c>
      <c r="M9" s="37">
        <v>3</v>
      </c>
      <c r="N9" s="37">
        <v>3</v>
      </c>
      <c r="O9" s="37">
        <v>3</v>
      </c>
      <c r="P9" s="37">
        <v>3</v>
      </c>
      <c r="Q9" s="37">
        <v>3</v>
      </c>
      <c r="R9" s="37">
        <v>3</v>
      </c>
      <c r="S9" s="46">
        <v>3</v>
      </c>
      <c r="T9" s="37">
        <v>3</v>
      </c>
      <c r="U9" s="37">
        <v>3</v>
      </c>
      <c r="V9" s="37">
        <v>3</v>
      </c>
      <c r="W9" s="29"/>
      <c r="X9" s="37">
        <v>3</v>
      </c>
      <c r="Y9" s="37">
        <v>3</v>
      </c>
      <c r="Z9" s="37">
        <v>3</v>
      </c>
      <c r="AA9" s="37">
        <v>3</v>
      </c>
    </row>
    <row r="10" spans="2:27" x14ac:dyDescent="0.3">
      <c r="B10" s="106"/>
      <c r="C10" s="100"/>
      <c r="D10" s="106"/>
      <c r="E10" s="100"/>
      <c r="F10" s="36" t="s">
        <v>3</v>
      </c>
      <c r="G10" s="37">
        <v>3</v>
      </c>
      <c r="H10" s="37">
        <v>3</v>
      </c>
      <c r="I10" s="37">
        <v>3</v>
      </c>
      <c r="J10" s="37">
        <v>3</v>
      </c>
      <c r="K10" s="37">
        <v>3</v>
      </c>
      <c r="L10" s="37">
        <v>3</v>
      </c>
      <c r="M10" s="37">
        <v>3</v>
      </c>
      <c r="N10" s="37">
        <v>3</v>
      </c>
      <c r="O10" s="37">
        <v>3</v>
      </c>
      <c r="P10" s="37">
        <v>3</v>
      </c>
      <c r="Q10" s="37">
        <v>3</v>
      </c>
      <c r="R10" s="37">
        <v>3</v>
      </c>
      <c r="S10" s="44">
        <v>3</v>
      </c>
      <c r="T10" s="37">
        <v>3</v>
      </c>
      <c r="U10" s="37">
        <v>3</v>
      </c>
      <c r="V10" s="37">
        <v>3</v>
      </c>
      <c r="W10" s="29"/>
      <c r="X10" s="37">
        <v>3</v>
      </c>
      <c r="Y10" s="37">
        <v>3</v>
      </c>
      <c r="Z10" s="37">
        <v>3</v>
      </c>
      <c r="AA10" s="37">
        <v>3</v>
      </c>
    </row>
    <row r="11" spans="2:27" x14ac:dyDescent="0.3">
      <c r="B11" s="105" t="s">
        <v>28</v>
      </c>
      <c r="C11" s="103"/>
      <c r="D11" s="105" t="s">
        <v>28</v>
      </c>
      <c r="E11" s="103"/>
      <c r="F11" s="36" t="s">
        <v>2</v>
      </c>
      <c r="G11" s="37">
        <v>2</v>
      </c>
      <c r="H11" s="37">
        <v>2</v>
      </c>
      <c r="I11" s="37">
        <v>2</v>
      </c>
      <c r="J11" s="37">
        <v>2</v>
      </c>
      <c r="K11" s="37">
        <v>2</v>
      </c>
      <c r="L11" s="37">
        <v>2</v>
      </c>
      <c r="M11" s="37">
        <v>2</v>
      </c>
      <c r="N11" s="37">
        <v>2</v>
      </c>
      <c r="O11" s="37">
        <v>2</v>
      </c>
      <c r="P11" s="37">
        <v>2</v>
      </c>
      <c r="Q11" s="37">
        <v>2</v>
      </c>
      <c r="R11" s="37">
        <v>2</v>
      </c>
      <c r="S11" s="46">
        <v>2</v>
      </c>
      <c r="T11" s="37">
        <v>2</v>
      </c>
      <c r="U11" s="37">
        <v>2</v>
      </c>
      <c r="V11" s="37">
        <v>2</v>
      </c>
      <c r="W11" s="29"/>
      <c r="X11" s="37">
        <v>2</v>
      </c>
      <c r="Y11" s="37">
        <v>2</v>
      </c>
      <c r="Z11" s="37">
        <v>2</v>
      </c>
      <c r="AA11" s="37">
        <v>2</v>
      </c>
    </row>
    <row r="12" spans="2:27" x14ac:dyDescent="0.3">
      <c r="B12" s="106"/>
      <c r="C12" s="100"/>
      <c r="D12" s="106"/>
      <c r="E12" s="100"/>
      <c r="F12" s="36" t="s">
        <v>3</v>
      </c>
      <c r="G12" s="37">
        <v>2</v>
      </c>
      <c r="H12" s="37">
        <v>2</v>
      </c>
      <c r="I12" s="37">
        <v>2</v>
      </c>
      <c r="J12" s="37">
        <v>2</v>
      </c>
      <c r="K12" s="37">
        <v>2</v>
      </c>
      <c r="L12" s="37">
        <v>2</v>
      </c>
      <c r="M12" s="37">
        <v>2</v>
      </c>
      <c r="N12" s="37">
        <v>2</v>
      </c>
      <c r="O12" s="37">
        <v>2</v>
      </c>
      <c r="P12" s="37">
        <v>2</v>
      </c>
      <c r="Q12" s="37">
        <v>2</v>
      </c>
      <c r="R12" s="37">
        <v>2</v>
      </c>
      <c r="S12" s="44">
        <v>2</v>
      </c>
      <c r="T12" s="37">
        <v>2</v>
      </c>
      <c r="U12" s="37">
        <v>2</v>
      </c>
      <c r="V12" s="37">
        <v>2</v>
      </c>
      <c r="W12" s="29"/>
      <c r="X12" s="37">
        <v>2</v>
      </c>
      <c r="Y12" s="37">
        <v>2</v>
      </c>
      <c r="Z12" s="37">
        <v>2</v>
      </c>
      <c r="AA12" s="37">
        <v>2</v>
      </c>
    </row>
    <row r="13" spans="2:27" x14ac:dyDescent="0.3">
      <c r="B13" s="105" t="s">
        <v>113</v>
      </c>
      <c r="C13" s="103"/>
      <c r="D13" s="105" t="s">
        <v>114</v>
      </c>
      <c r="E13" s="103"/>
      <c r="F13" s="36" t="s">
        <v>2</v>
      </c>
      <c r="G13" s="37">
        <v>7</v>
      </c>
      <c r="H13" s="37">
        <v>7</v>
      </c>
      <c r="I13" s="37">
        <v>6</v>
      </c>
      <c r="J13" s="37">
        <v>6</v>
      </c>
      <c r="K13" s="37">
        <v>6</v>
      </c>
      <c r="L13" s="37">
        <v>7</v>
      </c>
      <c r="M13" s="37">
        <v>6</v>
      </c>
      <c r="N13" s="37">
        <v>4</v>
      </c>
      <c r="O13" s="37">
        <v>4</v>
      </c>
      <c r="P13" s="37">
        <v>5</v>
      </c>
      <c r="Q13" s="37">
        <v>5</v>
      </c>
      <c r="R13" s="37">
        <v>5</v>
      </c>
      <c r="S13" s="46">
        <v>5.666666666666667</v>
      </c>
      <c r="T13" s="37">
        <v>5</v>
      </c>
      <c r="U13" s="37">
        <v>6</v>
      </c>
      <c r="V13" s="37">
        <v>6</v>
      </c>
      <c r="W13" s="29"/>
      <c r="X13" s="37">
        <v>7</v>
      </c>
      <c r="Y13" s="37">
        <v>6</v>
      </c>
      <c r="Z13" s="37">
        <v>5</v>
      </c>
      <c r="AA13" s="37">
        <v>5</v>
      </c>
    </row>
    <row r="14" spans="2:27" x14ac:dyDescent="0.3">
      <c r="B14" s="108"/>
      <c r="C14" s="103"/>
      <c r="D14" s="106"/>
      <c r="E14" s="100"/>
      <c r="F14" s="36" t="s">
        <v>3</v>
      </c>
      <c r="G14" s="37">
        <v>8</v>
      </c>
      <c r="H14" s="37">
        <v>8</v>
      </c>
      <c r="I14" s="37">
        <v>8</v>
      </c>
      <c r="J14" s="37">
        <v>8</v>
      </c>
      <c r="K14" s="37">
        <v>8</v>
      </c>
      <c r="L14" s="37">
        <v>8</v>
      </c>
      <c r="M14" s="37">
        <v>8</v>
      </c>
      <c r="N14" s="37">
        <v>8</v>
      </c>
      <c r="O14" s="37">
        <v>8</v>
      </c>
      <c r="P14" s="37">
        <v>8</v>
      </c>
      <c r="Q14" s="37">
        <v>8</v>
      </c>
      <c r="R14" s="37">
        <v>8</v>
      </c>
      <c r="S14" s="44">
        <v>8</v>
      </c>
      <c r="T14" s="37">
        <v>8</v>
      </c>
      <c r="U14" s="37">
        <v>8</v>
      </c>
      <c r="V14" s="37">
        <v>8</v>
      </c>
      <c r="W14" s="29"/>
      <c r="X14" s="37">
        <v>8</v>
      </c>
      <c r="Y14" s="37">
        <v>8</v>
      </c>
      <c r="Z14" s="37">
        <v>8</v>
      </c>
      <c r="AA14" s="37">
        <v>8</v>
      </c>
    </row>
    <row r="15" spans="2:27" x14ac:dyDescent="0.3">
      <c r="B15" s="108"/>
      <c r="C15" s="103"/>
      <c r="D15" s="105" t="s">
        <v>35</v>
      </c>
      <c r="E15" s="103"/>
      <c r="F15" s="36" t="s">
        <v>2</v>
      </c>
      <c r="G15" s="37">
        <v>19</v>
      </c>
      <c r="H15" s="37">
        <v>21</v>
      </c>
      <c r="I15" s="37">
        <v>21</v>
      </c>
      <c r="J15" s="37">
        <v>21</v>
      </c>
      <c r="K15" s="37">
        <v>21</v>
      </c>
      <c r="L15" s="37">
        <v>22</v>
      </c>
      <c r="M15" s="37">
        <v>21</v>
      </c>
      <c r="N15" s="37">
        <v>21</v>
      </c>
      <c r="O15" s="37">
        <v>21</v>
      </c>
      <c r="P15" s="37">
        <v>20</v>
      </c>
      <c r="Q15" s="37">
        <v>19</v>
      </c>
      <c r="R15" s="37">
        <v>19</v>
      </c>
      <c r="S15" s="46">
        <v>20.5</v>
      </c>
      <c r="T15" s="37">
        <v>19</v>
      </c>
      <c r="U15" s="37">
        <v>21</v>
      </c>
      <c r="V15" s="37">
        <v>21</v>
      </c>
      <c r="W15" s="29"/>
      <c r="X15" s="37">
        <v>20</v>
      </c>
      <c r="Y15" s="37">
        <v>21</v>
      </c>
      <c r="Z15" s="37">
        <v>21</v>
      </c>
      <c r="AA15" s="37">
        <v>19</v>
      </c>
    </row>
    <row r="16" spans="2:27" x14ac:dyDescent="0.3">
      <c r="B16" s="108"/>
      <c r="C16" s="103"/>
      <c r="D16" s="106"/>
      <c r="E16" s="100"/>
      <c r="F16" s="36" t="s">
        <v>3</v>
      </c>
      <c r="G16" s="37">
        <v>22</v>
      </c>
      <c r="H16" s="37">
        <v>22</v>
      </c>
      <c r="I16" s="37">
        <v>22</v>
      </c>
      <c r="J16" s="37">
        <v>22</v>
      </c>
      <c r="K16" s="37">
        <v>22</v>
      </c>
      <c r="L16" s="37">
        <v>22</v>
      </c>
      <c r="M16" s="37">
        <v>22</v>
      </c>
      <c r="N16" s="37">
        <v>22</v>
      </c>
      <c r="O16" s="37">
        <v>22</v>
      </c>
      <c r="P16" s="37">
        <v>22</v>
      </c>
      <c r="Q16" s="37">
        <v>22</v>
      </c>
      <c r="R16" s="37">
        <v>22</v>
      </c>
      <c r="S16" s="44">
        <v>22</v>
      </c>
      <c r="T16" s="37">
        <v>22</v>
      </c>
      <c r="U16" s="37">
        <v>22</v>
      </c>
      <c r="V16" s="37">
        <v>22</v>
      </c>
      <c r="W16" s="29"/>
      <c r="X16" s="37">
        <v>22</v>
      </c>
      <c r="Y16" s="37">
        <v>22</v>
      </c>
      <c r="Z16" s="37">
        <v>22</v>
      </c>
      <c r="AA16" s="37">
        <v>22</v>
      </c>
    </row>
    <row r="17" spans="2:27" x14ac:dyDescent="0.3">
      <c r="B17" s="108"/>
      <c r="C17" s="103"/>
      <c r="D17" s="105" t="s">
        <v>115</v>
      </c>
      <c r="E17" s="103"/>
      <c r="F17" s="36" t="s">
        <v>2</v>
      </c>
      <c r="G17" s="37">
        <v>14</v>
      </c>
      <c r="H17" s="37">
        <v>14</v>
      </c>
      <c r="I17" s="37">
        <v>14</v>
      </c>
      <c r="J17" s="37">
        <v>14</v>
      </c>
      <c r="K17" s="37">
        <v>14</v>
      </c>
      <c r="L17" s="37">
        <v>14</v>
      </c>
      <c r="M17" s="37">
        <v>14</v>
      </c>
      <c r="N17" s="37">
        <v>14</v>
      </c>
      <c r="O17" s="37">
        <v>14</v>
      </c>
      <c r="P17" s="37">
        <v>13</v>
      </c>
      <c r="Q17" s="37">
        <v>12</v>
      </c>
      <c r="R17" s="37">
        <v>12</v>
      </c>
      <c r="S17" s="46">
        <v>13.583333333333334</v>
      </c>
      <c r="T17" s="37">
        <v>12</v>
      </c>
      <c r="U17" s="37">
        <v>14</v>
      </c>
      <c r="V17" s="37">
        <v>14</v>
      </c>
      <c r="W17" s="29"/>
      <c r="X17" s="37">
        <v>14</v>
      </c>
      <c r="Y17" s="37">
        <v>14</v>
      </c>
      <c r="Z17" s="37">
        <v>14</v>
      </c>
      <c r="AA17" s="37">
        <v>12</v>
      </c>
    </row>
    <row r="18" spans="2:27" x14ac:dyDescent="0.3">
      <c r="B18" s="108"/>
      <c r="C18" s="103"/>
      <c r="D18" s="106"/>
      <c r="E18" s="100"/>
      <c r="F18" s="36" t="s">
        <v>3</v>
      </c>
      <c r="G18" s="37">
        <v>14</v>
      </c>
      <c r="H18" s="37">
        <v>14</v>
      </c>
      <c r="I18" s="37">
        <v>14</v>
      </c>
      <c r="J18" s="37">
        <v>14</v>
      </c>
      <c r="K18" s="37">
        <v>14</v>
      </c>
      <c r="L18" s="37">
        <v>14</v>
      </c>
      <c r="M18" s="37">
        <v>14</v>
      </c>
      <c r="N18" s="37">
        <v>14</v>
      </c>
      <c r="O18" s="37">
        <v>14</v>
      </c>
      <c r="P18" s="37">
        <v>14</v>
      </c>
      <c r="Q18" s="37">
        <v>14</v>
      </c>
      <c r="R18" s="37">
        <v>14</v>
      </c>
      <c r="S18" s="44">
        <v>14</v>
      </c>
      <c r="T18" s="37">
        <v>14</v>
      </c>
      <c r="U18" s="37">
        <v>14</v>
      </c>
      <c r="V18" s="37">
        <v>14</v>
      </c>
      <c r="W18" s="29"/>
      <c r="X18" s="37">
        <v>14</v>
      </c>
      <c r="Y18" s="37">
        <v>14</v>
      </c>
      <c r="Z18" s="37">
        <v>14</v>
      </c>
      <c r="AA18" s="37">
        <v>14</v>
      </c>
    </row>
    <row r="19" spans="2:27" x14ac:dyDescent="0.3">
      <c r="B19" s="108"/>
      <c r="C19" s="103"/>
      <c r="D19" s="105" t="s">
        <v>36</v>
      </c>
      <c r="E19" s="103"/>
      <c r="F19" s="36" t="s">
        <v>2</v>
      </c>
      <c r="G19" s="37">
        <v>7</v>
      </c>
      <c r="H19" s="37">
        <v>7</v>
      </c>
      <c r="I19" s="37">
        <v>7</v>
      </c>
      <c r="J19" s="37">
        <v>7</v>
      </c>
      <c r="K19" s="37">
        <v>7</v>
      </c>
      <c r="L19" s="37">
        <v>7</v>
      </c>
      <c r="M19" s="37">
        <v>7</v>
      </c>
      <c r="N19" s="37">
        <v>7</v>
      </c>
      <c r="O19" s="37">
        <v>7</v>
      </c>
      <c r="P19" s="37">
        <v>7</v>
      </c>
      <c r="Q19" s="37">
        <v>7</v>
      </c>
      <c r="R19" s="37">
        <v>7</v>
      </c>
      <c r="S19" s="46">
        <v>7</v>
      </c>
      <c r="T19" s="37">
        <v>7</v>
      </c>
      <c r="U19" s="37">
        <v>7</v>
      </c>
      <c r="V19" s="37">
        <v>7</v>
      </c>
      <c r="W19" s="29"/>
      <c r="X19" s="37">
        <v>7</v>
      </c>
      <c r="Y19" s="37">
        <v>7</v>
      </c>
      <c r="Z19" s="37">
        <v>7</v>
      </c>
      <c r="AA19" s="37">
        <v>7</v>
      </c>
    </row>
    <row r="20" spans="2:27" x14ac:dyDescent="0.3">
      <c r="B20" s="108"/>
      <c r="C20" s="103"/>
      <c r="D20" s="106"/>
      <c r="E20" s="100"/>
      <c r="F20" s="36" t="s">
        <v>3</v>
      </c>
      <c r="G20" s="37">
        <v>7</v>
      </c>
      <c r="H20" s="37">
        <v>7</v>
      </c>
      <c r="I20" s="37">
        <v>7</v>
      </c>
      <c r="J20" s="37">
        <v>7</v>
      </c>
      <c r="K20" s="37">
        <v>7</v>
      </c>
      <c r="L20" s="37">
        <v>7</v>
      </c>
      <c r="M20" s="37">
        <v>7</v>
      </c>
      <c r="N20" s="37">
        <v>7</v>
      </c>
      <c r="O20" s="37">
        <v>7</v>
      </c>
      <c r="P20" s="37">
        <v>7</v>
      </c>
      <c r="Q20" s="37">
        <v>7</v>
      </c>
      <c r="R20" s="37">
        <v>7</v>
      </c>
      <c r="S20" s="44">
        <v>7</v>
      </c>
      <c r="T20" s="37">
        <v>7</v>
      </c>
      <c r="U20" s="37">
        <v>7</v>
      </c>
      <c r="V20" s="37">
        <v>7</v>
      </c>
      <c r="W20" s="29"/>
      <c r="X20" s="37">
        <v>7</v>
      </c>
      <c r="Y20" s="37">
        <v>7</v>
      </c>
      <c r="Z20" s="37">
        <v>7</v>
      </c>
      <c r="AA20" s="37">
        <v>7</v>
      </c>
    </row>
    <row r="21" spans="2:27" x14ac:dyDescent="0.3">
      <c r="B21" s="108"/>
      <c r="C21" s="103"/>
      <c r="D21" s="105" t="s">
        <v>76</v>
      </c>
      <c r="E21" s="103"/>
      <c r="F21" s="36" t="s">
        <v>2</v>
      </c>
      <c r="G21" s="37">
        <v>7</v>
      </c>
      <c r="H21" s="37">
        <v>7</v>
      </c>
      <c r="I21" s="37">
        <v>7</v>
      </c>
      <c r="J21" s="37">
        <v>5</v>
      </c>
      <c r="K21" s="37">
        <v>5</v>
      </c>
      <c r="L21" s="37">
        <v>5</v>
      </c>
      <c r="M21" s="37">
        <v>5</v>
      </c>
      <c r="N21" s="37">
        <v>6</v>
      </c>
      <c r="O21" s="37">
        <v>6</v>
      </c>
      <c r="P21" s="37">
        <v>6</v>
      </c>
      <c r="Q21" s="37">
        <v>6</v>
      </c>
      <c r="R21" s="37">
        <v>7</v>
      </c>
      <c r="S21" s="46">
        <v>6</v>
      </c>
      <c r="T21" s="37">
        <v>7</v>
      </c>
      <c r="U21" s="37">
        <v>6</v>
      </c>
      <c r="V21" s="37">
        <v>6</v>
      </c>
      <c r="W21" s="29"/>
      <c r="X21" s="37">
        <v>7</v>
      </c>
      <c r="Y21" s="37">
        <v>5</v>
      </c>
      <c r="Z21" s="37">
        <v>6</v>
      </c>
      <c r="AA21" s="37">
        <v>6</v>
      </c>
    </row>
    <row r="22" spans="2:27" x14ac:dyDescent="0.3">
      <c r="B22" s="108"/>
      <c r="C22" s="103"/>
      <c r="D22" s="106"/>
      <c r="E22" s="100"/>
      <c r="F22" s="36" t="s">
        <v>3</v>
      </c>
      <c r="G22" s="37">
        <v>7</v>
      </c>
      <c r="H22" s="37">
        <v>7</v>
      </c>
      <c r="I22" s="37">
        <v>7</v>
      </c>
      <c r="J22" s="37">
        <v>6</v>
      </c>
      <c r="K22" s="37">
        <v>6</v>
      </c>
      <c r="L22" s="37">
        <v>6</v>
      </c>
      <c r="M22" s="37">
        <v>6</v>
      </c>
      <c r="N22" s="37">
        <v>6</v>
      </c>
      <c r="O22" s="37">
        <v>6</v>
      </c>
      <c r="P22" s="37">
        <v>6</v>
      </c>
      <c r="Q22" s="37">
        <v>6</v>
      </c>
      <c r="R22" s="37">
        <v>6</v>
      </c>
      <c r="S22" s="44">
        <v>6.25</v>
      </c>
      <c r="T22" s="37">
        <v>6</v>
      </c>
      <c r="U22" s="37">
        <v>6</v>
      </c>
      <c r="V22" s="37">
        <v>6</v>
      </c>
      <c r="W22" s="29"/>
      <c r="X22" s="37">
        <v>7</v>
      </c>
      <c r="Y22" s="37">
        <v>6</v>
      </c>
      <c r="Z22" s="37">
        <v>6</v>
      </c>
      <c r="AA22" s="37">
        <v>6</v>
      </c>
    </row>
    <row r="23" spans="2:27" x14ac:dyDescent="0.3">
      <c r="B23" s="108"/>
      <c r="C23" s="103"/>
      <c r="D23" s="105" t="s">
        <v>116</v>
      </c>
      <c r="E23" s="103"/>
      <c r="F23" s="36" t="s">
        <v>2</v>
      </c>
      <c r="G23" s="37">
        <v>5</v>
      </c>
      <c r="H23" s="37">
        <v>5</v>
      </c>
      <c r="I23" s="37">
        <v>5</v>
      </c>
      <c r="J23" s="37">
        <v>5</v>
      </c>
      <c r="K23" s="37">
        <v>5</v>
      </c>
      <c r="L23" s="37">
        <v>4</v>
      </c>
      <c r="M23" s="37">
        <v>4</v>
      </c>
      <c r="N23" s="37">
        <v>4</v>
      </c>
      <c r="O23" s="37">
        <v>4</v>
      </c>
      <c r="P23" s="37">
        <v>4</v>
      </c>
      <c r="Q23" s="37">
        <v>4</v>
      </c>
      <c r="R23" s="37">
        <v>4</v>
      </c>
      <c r="S23" s="46">
        <v>4.416666666666667</v>
      </c>
      <c r="T23" s="37">
        <v>4</v>
      </c>
      <c r="U23" s="37">
        <v>4</v>
      </c>
      <c r="V23" s="37">
        <v>4</v>
      </c>
      <c r="W23" s="29"/>
      <c r="X23" s="37">
        <v>5</v>
      </c>
      <c r="Y23" s="37">
        <v>5</v>
      </c>
      <c r="Z23" s="37">
        <v>4</v>
      </c>
      <c r="AA23" s="37">
        <v>4</v>
      </c>
    </row>
    <row r="24" spans="2:27" x14ac:dyDescent="0.3">
      <c r="B24" s="108"/>
      <c r="C24" s="103"/>
      <c r="D24" s="106"/>
      <c r="E24" s="100"/>
      <c r="F24" s="36" t="s">
        <v>3</v>
      </c>
      <c r="G24" s="37">
        <v>5</v>
      </c>
      <c r="H24" s="37">
        <v>5</v>
      </c>
      <c r="I24" s="37">
        <v>5</v>
      </c>
      <c r="J24" s="37">
        <v>5</v>
      </c>
      <c r="K24" s="37">
        <v>5</v>
      </c>
      <c r="L24" s="37">
        <v>5</v>
      </c>
      <c r="M24" s="37">
        <v>5</v>
      </c>
      <c r="N24" s="37">
        <v>5</v>
      </c>
      <c r="O24" s="37">
        <v>5</v>
      </c>
      <c r="P24" s="37">
        <v>5</v>
      </c>
      <c r="Q24" s="37">
        <v>5</v>
      </c>
      <c r="R24" s="37">
        <v>5</v>
      </c>
      <c r="S24" s="44">
        <v>5</v>
      </c>
      <c r="T24" s="37">
        <v>5</v>
      </c>
      <c r="U24" s="37">
        <v>5</v>
      </c>
      <c r="V24" s="37">
        <v>5</v>
      </c>
      <c r="W24" s="29"/>
      <c r="X24" s="37">
        <v>5</v>
      </c>
      <c r="Y24" s="37">
        <v>5</v>
      </c>
      <c r="Z24" s="37">
        <v>5</v>
      </c>
      <c r="AA24" s="37">
        <v>5</v>
      </c>
    </row>
    <row r="25" spans="2:27" x14ac:dyDescent="0.3">
      <c r="B25" s="108"/>
      <c r="C25" s="103"/>
      <c r="D25" s="105" t="s">
        <v>113</v>
      </c>
      <c r="E25" s="103"/>
      <c r="F25" s="36" t="s">
        <v>2</v>
      </c>
      <c r="G25" s="37">
        <v>5</v>
      </c>
      <c r="H25" s="37">
        <v>4</v>
      </c>
      <c r="I25" s="37">
        <v>5</v>
      </c>
      <c r="J25" s="37">
        <v>5</v>
      </c>
      <c r="K25" s="37">
        <v>5</v>
      </c>
      <c r="L25" s="37">
        <v>5</v>
      </c>
      <c r="M25" s="37">
        <v>6</v>
      </c>
      <c r="N25" s="37">
        <v>7</v>
      </c>
      <c r="O25" s="37">
        <v>7</v>
      </c>
      <c r="P25" s="37">
        <v>7</v>
      </c>
      <c r="Q25" s="37">
        <v>7</v>
      </c>
      <c r="R25" s="37">
        <v>7</v>
      </c>
      <c r="S25" s="46">
        <v>5.833333333333333</v>
      </c>
      <c r="T25" s="37">
        <v>7</v>
      </c>
      <c r="U25" s="37">
        <v>6</v>
      </c>
      <c r="V25" s="37">
        <v>6</v>
      </c>
      <c r="W25" s="29"/>
      <c r="X25" s="37">
        <v>5</v>
      </c>
      <c r="Y25" s="37">
        <v>5</v>
      </c>
      <c r="Z25" s="37">
        <v>7</v>
      </c>
      <c r="AA25" s="37">
        <v>7</v>
      </c>
    </row>
    <row r="26" spans="2:27" x14ac:dyDescent="0.3">
      <c r="B26" s="106"/>
      <c r="C26" s="100"/>
      <c r="D26" s="106"/>
      <c r="E26" s="100"/>
      <c r="F26" s="36" t="s">
        <v>3</v>
      </c>
      <c r="G26" s="37">
        <v>4</v>
      </c>
      <c r="H26" s="37">
        <v>4</v>
      </c>
      <c r="I26" s="37">
        <v>4</v>
      </c>
      <c r="J26" s="37">
        <v>4</v>
      </c>
      <c r="K26" s="37">
        <v>4</v>
      </c>
      <c r="L26" s="37">
        <v>4</v>
      </c>
      <c r="M26" s="37">
        <v>4</v>
      </c>
      <c r="N26" s="37">
        <v>4</v>
      </c>
      <c r="O26" s="37">
        <v>4</v>
      </c>
      <c r="P26" s="37">
        <v>4</v>
      </c>
      <c r="Q26" s="37">
        <v>4</v>
      </c>
      <c r="R26" s="37">
        <v>4</v>
      </c>
      <c r="S26" s="44">
        <v>4</v>
      </c>
      <c r="T26" s="37">
        <v>4</v>
      </c>
      <c r="U26" s="37">
        <v>4</v>
      </c>
      <c r="V26" s="37">
        <v>4</v>
      </c>
      <c r="W26" s="29"/>
      <c r="X26" s="37">
        <v>4</v>
      </c>
      <c r="Y26" s="37">
        <v>4</v>
      </c>
      <c r="Z26" s="37">
        <v>4</v>
      </c>
      <c r="AA26" s="37">
        <v>4</v>
      </c>
    </row>
    <row r="27" spans="2:27" x14ac:dyDescent="0.3">
      <c r="B27" s="105" t="s">
        <v>117</v>
      </c>
      <c r="C27" s="103"/>
      <c r="D27" s="105" t="s">
        <v>118</v>
      </c>
      <c r="E27" s="103"/>
      <c r="F27" s="36" t="s">
        <v>2</v>
      </c>
      <c r="G27" s="37">
        <v>5</v>
      </c>
      <c r="H27" s="37">
        <v>5</v>
      </c>
      <c r="I27" s="37">
        <v>4</v>
      </c>
      <c r="J27" s="37">
        <v>4</v>
      </c>
      <c r="K27" s="37">
        <v>4</v>
      </c>
      <c r="L27" s="37">
        <v>4</v>
      </c>
      <c r="M27" s="37">
        <v>4</v>
      </c>
      <c r="N27" s="37">
        <v>4</v>
      </c>
      <c r="O27" s="37">
        <v>4</v>
      </c>
      <c r="P27" s="37">
        <v>4</v>
      </c>
      <c r="Q27" s="37">
        <v>4</v>
      </c>
      <c r="R27" s="37">
        <v>4</v>
      </c>
      <c r="S27" s="46">
        <v>4.166666666666667</v>
      </c>
      <c r="T27" s="37">
        <v>4</v>
      </c>
      <c r="U27" s="37">
        <v>4</v>
      </c>
      <c r="V27" s="37">
        <v>4</v>
      </c>
      <c r="W27" s="29"/>
      <c r="X27" s="37">
        <v>5</v>
      </c>
      <c r="Y27" s="37">
        <v>4</v>
      </c>
      <c r="Z27" s="37">
        <v>4</v>
      </c>
      <c r="AA27" s="37">
        <v>4</v>
      </c>
    </row>
    <row r="28" spans="2:27" x14ac:dyDescent="0.3">
      <c r="B28" s="108"/>
      <c r="C28" s="103"/>
      <c r="D28" s="106"/>
      <c r="E28" s="100"/>
      <c r="F28" s="36" t="s">
        <v>3</v>
      </c>
      <c r="G28" s="37">
        <v>5</v>
      </c>
      <c r="H28" s="37">
        <v>5</v>
      </c>
      <c r="I28" s="37">
        <v>5</v>
      </c>
      <c r="J28" s="37">
        <v>4</v>
      </c>
      <c r="K28" s="37">
        <v>4</v>
      </c>
      <c r="L28" s="37">
        <v>4</v>
      </c>
      <c r="M28" s="37">
        <v>4</v>
      </c>
      <c r="N28" s="37">
        <v>4</v>
      </c>
      <c r="O28" s="37">
        <v>4</v>
      </c>
      <c r="P28" s="37">
        <v>4</v>
      </c>
      <c r="Q28" s="37">
        <v>4</v>
      </c>
      <c r="R28" s="37">
        <v>4</v>
      </c>
      <c r="S28" s="44">
        <v>4.25</v>
      </c>
      <c r="T28" s="37">
        <v>4</v>
      </c>
      <c r="U28" s="37">
        <v>4</v>
      </c>
      <c r="V28" s="37">
        <v>4</v>
      </c>
      <c r="W28" s="29"/>
      <c r="X28" s="37">
        <v>5</v>
      </c>
      <c r="Y28" s="37">
        <v>4</v>
      </c>
      <c r="Z28" s="37">
        <v>4</v>
      </c>
      <c r="AA28" s="37">
        <v>4</v>
      </c>
    </row>
    <row r="29" spans="2:27" x14ac:dyDescent="0.3">
      <c r="B29" s="108"/>
      <c r="C29" s="103"/>
      <c r="D29" s="105" t="s">
        <v>31</v>
      </c>
      <c r="E29" s="103"/>
      <c r="F29" s="36" t="s">
        <v>2</v>
      </c>
      <c r="G29" s="37">
        <v>4</v>
      </c>
      <c r="H29" s="37">
        <v>4</v>
      </c>
      <c r="I29" s="37">
        <v>4</v>
      </c>
      <c r="J29" s="37">
        <v>4</v>
      </c>
      <c r="K29" s="37">
        <v>4</v>
      </c>
      <c r="L29" s="37">
        <v>4</v>
      </c>
      <c r="M29" s="37">
        <v>4</v>
      </c>
      <c r="N29" s="37">
        <v>4</v>
      </c>
      <c r="O29" s="37">
        <v>4</v>
      </c>
      <c r="P29" s="37">
        <v>4</v>
      </c>
      <c r="Q29" s="37">
        <v>4</v>
      </c>
      <c r="R29" s="37">
        <v>4</v>
      </c>
      <c r="S29" s="46">
        <v>4</v>
      </c>
      <c r="T29" s="37">
        <v>4</v>
      </c>
      <c r="U29" s="37">
        <v>4</v>
      </c>
      <c r="V29" s="37">
        <v>4</v>
      </c>
      <c r="W29" s="29"/>
      <c r="X29" s="37">
        <v>4</v>
      </c>
      <c r="Y29" s="37">
        <v>4</v>
      </c>
      <c r="Z29" s="37">
        <v>4</v>
      </c>
      <c r="AA29" s="37">
        <v>4</v>
      </c>
    </row>
    <row r="30" spans="2:27" x14ac:dyDescent="0.3">
      <c r="B30" s="108"/>
      <c r="C30" s="103"/>
      <c r="D30" s="106"/>
      <c r="E30" s="100"/>
      <c r="F30" s="36" t="s">
        <v>3</v>
      </c>
      <c r="G30" s="37">
        <v>4</v>
      </c>
      <c r="H30" s="37">
        <v>4</v>
      </c>
      <c r="I30" s="37">
        <v>4</v>
      </c>
      <c r="J30" s="37">
        <v>4</v>
      </c>
      <c r="K30" s="37">
        <v>4</v>
      </c>
      <c r="L30" s="37">
        <v>4</v>
      </c>
      <c r="M30" s="37">
        <v>4</v>
      </c>
      <c r="N30" s="37">
        <v>4</v>
      </c>
      <c r="O30" s="37">
        <v>4</v>
      </c>
      <c r="P30" s="37">
        <v>4</v>
      </c>
      <c r="Q30" s="37">
        <v>4</v>
      </c>
      <c r="R30" s="37">
        <v>4</v>
      </c>
      <c r="S30" s="44">
        <v>4</v>
      </c>
      <c r="T30" s="37">
        <v>4</v>
      </c>
      <c r="U30" s="37">
        <v>4</v>
      </c>
      <c r="V30" s="37">
        <v>4</v>
      </c>
      <c r="W30" s="29"/>
      <c r="X30" s="37">
        <v>4</v>
      </c>
      <c r="Y30" s="37">
        <v>4</v>
      </c>
      <c r="Z30" s="37">
        <v>4</v>
      </c>
      <c r="AA30" s="37">
        <v>4</v>
      </c>
    </row>
    <row r="31" spans="2:27" x14ac:dyDescent="0.3">
      <c r="B31" s="108"/>
      <c r="C31" s="103"/>
      <c r="D31" s="105" t="s">
        <v>117</v>
      </c>
      <c r="E31" s="103"/>
      <c r="F31" s="36" t="s">
        <v>2</v>
      </c>
      <c r="G31" s="37">
        <v>10</v>
      </c>
      <c r="H31" s="37">
        <v>10</v>
      </c>
      <c r="I31" s="37">
        <v>10</v>
      </c>
      <c r="J31" s="37">
        <v>10</v>
      </c>
      <c r="K31" s="37">
        <v>10</v>
      </c>
      <c r="L31" s="37">
        <v>10</v>
      </c>
      <c r="M31" s="37">
        <v>10</v>
      </c>
      <c r="N31" s="37">
        <v>10</v>
      </c>
      <c r="O31" s="37">
        <v>10</v>
      </c>
      <c r="P31" s="37">
        <v>10</v>
      </c>
      <c r="Q31" s="37">
        <v>10</v>
      </c>
      <c r="R31" s="37">
        <v>10</v>
      </c>
      <c r="S31" s="46">
        <v>10</v>
      </c>
      <c r="T31" s="37">
        <v>10</v>
      </c>
      <c r="U31" s="37">
        <v>10</v>
      </c>
      <c r="V31" s="37">
        <v>10</v>
      </c>
      <c r="W31" s="29"/>
      <c r="X31" s="37">
        <v>10</v>
      </c>
      <c r="Y31" s="37">
        <v>10</v>
      </c>
      <c r="Z31" s="37">
        <v>10</v>
      </c>
      <c r="AA31" s="37">
        <v>10</v>
      </c>
    </row>
    <row r="32" spans="2:27" x14ac:dyDescent="0.3">
      <c r="B32" s="106"/>
      <c r="C32" s="100"/>
      <c r="D32" s="106"/>
      <c r="E32" s="100"/>
      <c r="F32" s="36" t="s">
        <v>3</v>
      </c>
      <c r="G32" s="37">
        <v>10</v>
      </c>
      <c r="H32" s="37">
        <v>10</v>
      </c>
      <c r="I32" s="37">
        <v>11</v>
      </c>
      <c r="J32" s="37">
        <v>11</v>
      </c>
      <c r="K32" s="37">
        <v>11</v>
      </c>
      <c r="L32" s="37">
        <v>11</v>
      </c>
      <c r="M32" s="37">
        <v>11</v>
      </c>
      <c r="N32" s="37">
        <v>11</v>
      </c>
      <c r="O32" s="37">
        <v>11</v>
      </c>
      <c r="P32" s="37">
        <v>11</v>
      </c>
      <c r="Q32" s="37">
        <v>11</v>
      </c>
      <c r="R32" s="37">
        <v>11</v>
      </c>
      <c r="S32" s="44">
        <v>10.833333333333334</v>
      </c>
      <c r="T32" s="37">
        <v>11</v>
      </c>
      <c r="U32" s="37">
        <v>11</v>
      </c>
      <c r="V32" s="37">
        <v>11</v>
      </c>
      <c r="W32" s="29"/>
      <c r="X32" s="37">
        <v>10</v>
      </c>
      <c r="Y32" s="37">
        <v>11</v>
      </c>
      <c r="Z32" s="37">
        <v>11</v>
      </c>
      <c r="AA32" s="37">
        <v>11</v>
      </c>
    </row>
    <row r="33" spans="2:27" x14ac:dyDescent="0.3">
      <c r="B33" s="105" t="s">
        <v>38</v>
      </c>
      <c r="C33" s="103"/>
      <c r="D33" s="105" t="s">
        <v>39</v>
      </c>
      <c r="E33" s="103"/>
      <c r="F33" s="36" t="s">
        <v>2</v>
      </c>
      <c r="G33" s="37">
        <v>6</v>
      </c>
      <c r="H33" s="37">
        <v>6</v>
      </c>
      <c r="I33" s="37">
        <v>6</v>
      </c>
      <c r="J33" s="37">
        <v>6</v>
      </c>
      <c r="K33" s="37">
        <v>6</v>
      </c>
      <c r="L33" s="37">
        <v>6</v>
      </c>
      <c r="M33" s="37">
        <v>6</v>
      </c>
      <c r="N33" s="37">
        <v>6</v>
      </c>
      <c r="O33" s="37">
        <v>6</v>
      </c>
      <c r="P33" s="37">
        <v>6</v>
      </c>
      <c r="Q33" s="37">
        <v>7</v>
      </c>
      <c r="R33" s="37">
        <v>7</v>
      </c>
      <c r="S33" s="46">
        <v>6.166666666666667</v>
      </c>
      <c r="T33" s="37">
        <v>7</v>
      </c>
      <c r="U33" s="37">
        <v>6</v>
      </c>
      <c r="V33" s="37">
        <v>6</v>
      </c>
      <c r="W33" s="29"/>
      <c r="X33" s="37">
        <v>6</v>
      </c>
      <c r="Y33" s="37">
        <v>6</v>
      </c>
      <c r="Z33" s="37">
        <v>6</v>
      </c>
      <c r="AA33" s="37">
        <v>7</v>
      </c>
    </row>
    <row r="34" spans="2:27" x14ac:dyDescent="0.3">
      <c r="B34" s="108"/>
      <c r="C34" s="103"/>
      <c r="D34" s="106"/>
      <c r="E34" s="100"/>
      <c r="F34" s="36" t="s">
        <v>3</v>
      </c>
      <c r="G34" s="37">
        <v>7</v>
      </c>
      <c r="H34" s="37">
        <v>7</v>
      </c>
      <c r="I34" s="37">
        <v>7</v>
      </c>
      <c r="J34" s="37">
        <v>7</v>
      </c>
      <c r="K34" s="37">
        <v>7</v>
      </c>
      <c r="L34" s="37">
        <v>7</v>
      </c>
      <c r="M34" s="37">
        <v>7</v>
      </c>
      <c r="N34" s="37">
        <v>7</v>
      </c>
      <c r="O34" s="37">
        <v>7</v>
      </c>
      <c r="P34" s="37">
        <v>7</v>
      </c>
      <c r="Q34" s="37">
        <v>7</v>
      </c>
      <c r="R34" s="37">
        <v>7</v>
      </c>
      <c r="S34" s="44">
        <v>7</v>
      </c>
      <c r="T34" s="37">
        <v>7</v>
      </c>
      <c r="U34" s="37">
        <v>7</v>
      </c>
      <c r="V34" s="37">
        <v>7</v>
      </c>
      <c r="W34" s="29"/>
      <c r="X34" s="37">
        <v>7</v>
      </c>
      <c r="Y34" s="37">
        <v>7</v>
      </c>
      <c r="Z34" s="37">
        <v>7</v>
      </c>
      <c r="AA34" s="37">
        <v>7</v>
      </c>
    </row>
    <row r="35" spans="2:27" x14ac:dyDescent="0.3">
      <c r="B35" s="108"/>
      <c r="C35" s="103"/>
      <c r="D35" s="105" t="s">
        <v>40</v>
      </c>
      <c r="E35" s="103"/>
      <c r="F35" s="36" t="s">
        <v>2</v>
      </c>
      <c r="G35" s="37">
        <v>4</v>
      </c>
      <c r="H35" s="37">
        <v>4</v>
      </c>
      <c r="I35" s="37">
        <v>4</v>
      </c>
      <c r="J35" s="37">
        <v>6</v>
      </c>
      <c r="K35" s="37">
        <v>5</v>
      </c>
      <c r="L35" s="37">
        <v>3</v>
      </c>
      <c r="M35" s="37">
        <v>3</v>
      </c>
      <c r="N35" s="37">
        <v>3</v>
      </c>
      <c r="O35" s="37">
        <v>4</v>
      </c>
      <c r="P35" s="37">
        <v>4</v>
      </c>
      <c r="Q35" s="37">
        <v>4</v>
      </c>
      <c r="R35" s="37">
        <v>4</v>
      </c>
      <c r="S35" s="46">
        <v>4</v>
      </c>
      <c r="T35" s="37">
        <v>4</v>
      </c>
      <c r="U35" s="37">
        <v>4</v>
      </c>
      <c r="V35" s="37">
        <v>4</v>
      </c>
      <c r="W35" s="29"/>
      <c r="X35" s="37">
        <v>4</v>
      </c>
      <c r="Y35" s="37">
        <v>5</v>
      </c>
      <c r="Z35" s="37">
        <v>3</v>
      </c>
      <c r="AA35" s="37">
        <v>4</v>
      </c>
    </row>
    <row r="36" spans="2:27" x14ac:dyDescent="0.3">
      <c r="B36" s="108"/>
      <c r="C36" s="103"/>
      <c r="D36" s="106"/>
      <c r="E36" s="100"/>
      <c r="F36" s="36" t="s">
        <v>3</v>
      </c>
      <c r="G36" s="37">
        <v>5</v>
      </c>
      <c r="H36" s="37">
        <v>5</v>
      </c>
      <c r="I36" s="37">
        <v>5</v>
      </c>
      <c r="J36" s="37">
        <v>5</v>
      </c>
      <c r="K36" s="37">
        <v>5</v>
      </c>
      <c r="L36" s="37">
        <v>5</v>
      </c>
      <c r="M36" s="37">
        <v>5</v>
      </c>
      <c r="N36" s="37">
        <v>5</v>
      </c>
      <c r="O36" s="37">
        <v>5</v>
      </c>
      <c r="P36" s="37">
        <v>5</v>
      </c>
      <c r="Q36" s="37">
        <v>5</v>
      </c>
      <c r="R36" s="37">
        <v>5</v>
      </c>
      <c r="S36" s="44">
        <v>5</v>
      </c>
      <c r="T36" s="37">
        <v>5</v>
      </c>
      <c r="U36" s="37">
        <v>5</v>
      </c>
      <c r="V36" s="37">
        <v>5</v>
      </c>
      <c r="W36" s="29"/>
      <c r="X36" s="37">
        <v>5</v>
      </c>
      <c r="Y36" s="37">
        <v>5</v>
      </c>
      <c r="Z36" s="37">
        <v>5</v>
      </c>
      <c r="AA36" s="37">
        <v>5</v>
      </c>
    </row>
    <row r="37" spans="2:27" x14ac:dyDescent="0.3">
      <c r="B37" s="108"/>
      <c r="C37" s="103"/>
      <c r="D37" s="105" t="s">
        <v>41</v>
      </c>
      <c r="E37" s="103"/>
      <c r="F37" s="36" t="s">
        <v>2</v>
      </c>
      <c r="G37" s="37">
        <v>2</v>
      </c>
      <c r="H37" s="37">
        <v>2</v>
      </c>
      <c r="I37" s="37">
        <v>2</v>
      </c>
      <c r="J37" s="37">
        <v>2</v>
      </c>
      <c r="K37" s="37">
        <v>2</v>
      </c>
      <c r="L37" s="37">
        <v>2</v>
      </c>
      <c r="M37" s="37">
        <v>2</v>
      </c>
      <c r="N37" s="37">
        <v>2</v>
      </c>
      <c r="O37" s="37">
        <v>3</v>
      </c>
      <c r="P37" s="37">
        <v>3</v>
      </c>
      <c r="Q37" s="37">
        <v>2</v>
      </c>
      <c r="R37" s="37">
        <v>2</v>
      </c>
      <c r="S37" s="46">
        <v>2.1666666666666665</v>
      </c>
      <c r="T37" s="37">
        <v>2</v>
      </c>
      <c r="U37" s="37">
        <v>2</v>
      </c>
      <c r="V37" s="37">
        <v>2</v>
      </c>
      <c r="W37" s="29"/>
      <c r="X37" s="37">
        <v>2</v>
      </c>
      <c r="Y37" s="37">
        <v>2</v>
      </c>
      <c r="Z37" s="37">
        <v>2</v>
      </c>
      <c r="AA37" s="37">
        <v>2</v>
      </c>
    </row>
    <row r="38" spans="2:27" x14ac:dyDescent="0.3">
      <c r="B38" s="106"/>
      <c r="C38" s="100"/>
      <c r="D38" s="106"/>
      <c r="E38" s="100"/>
      <c r="F38" s="36" t="s">
        <v>3</v>
      </c>
      <c r="G38" s="37">
        <v>2</v>
      </c>
      <c r="H38" s="37">
        <v>2</v>
      </c>
      <c r="I38" s="37">
        <v>2</v>
      </c>
      <c r="J38" s="37">
        <v>2</v>
      </c>
      <c r="K38" s="37">
        <v>2</v>
      </c>
      <c r="L38" s="37">
        <v>2</v>
      </c>
      <c r="M38" s="37">
        <v>2</v>
      </c>
      <c r="N38" s="37">
        <v>2</v>
      </c>
      <c r="O38" s="37">
        <v>2</v>
      </c>
      <c r="P38" s="37">
        <v>2</v>
      </c>
      <c r="Q38" s="37">
        <v>2</v>
      </c>
      <c r="R38" s="37">
        <v>2</v>
      </c>
      <c r="S38" s="44">
        <v>2</v>
      </c>
      <c r="T38" s="37">
        <v>2</v>
      </c>
      <c r="U38" s="37">
        <v>2</v>
      </c>
      <c r="V38" s="37">
        <v>2</v>
      </c>
      <c r="W38" s="29"/>
      <c r="X38" s="37">
        <v>2</v>
      </c>
      <c r="Y38" s="37">
        <v>2</v>
      </c>
      <c r="Z38" s="37">
        <v>2</v>
      </c>
      <c r="AA38" s="37">
        <v>2</v>
      </c>
    </row>
    <row r="39" spans="2:27" x14ac:dyDescent="0.3">
      <c r="B39" s="105" t="s">
        <v>42</v>
      </c>
      <c r="C39" s="103"/>
      <c r="D39" s="105" t="s">
        <v>120</v>
      </c>
      <c r="E39" s="103"/>
      <c r="F39" s="36" t="s">
        <v>2</v>
      </c>
      <c r="G39" s="37">
        <v>3</v>
      </c>
      <c r="H39" s="37">
        <v>3</v>
      </c>
      <c r="I39" s="37">
        <v>3</v>
      </c>
      <c r="J39" s="37">
        <v>3</v>
      </c>
      <c r="K39" s="37">
        <v>3</v>
      </c>
      <c r="L39" s="37">
        <v>3</v>
      </c>
      <c r="M39" s="37">
        <v>3</v>
      </c>
      <c r="N39" s="37">
        <v>3</v>
      </c>
      <c r="O39" s="37">
        <v>3</v>
      </c>
      <c r="P39" s="37">
        <v>2</v>
      </c>
      <c r="Q39" s="37">
        <v>2</v>
      </c>
      <c r="R39" s="37">
        <v>2</v>
      </c>
      <c r="S39" s="46">
        <v>2.75</v>
      </c>
      <c r="T39" s="37">
        <v>2</v>
      </c>
      <c r="U39" s="37">
        <v>3</v>
      </c>
      <c r="V39" s="37">
        <v>3</v>
      </c>
      <c r="W39" s="29"/>
      <c r="X39" s="37">
        <v>3</v>
      </c>
      <c r="Y39" s="37">
        <v>3</v>
      </c>
      <c r="Z39" s="37">
        <v>3</v>
      </c>
      <c r="AA39" s="37">
        <v>2</v>
      </c>
    </row>
    <row r="40" spans="2:27" x14ac:dyDescent="0.3">
      <c r="B40" s="108"/>
      <c r="C40" s="103"/>
      <c r="D40" s="106"/>
      <c r="E40" s="100"/>
      <c r="F40" s="36" t="s">
        <v>3</v>
      </c>
      <c r="G40" s="37">
        <v>4</v>
      </c>
      <c r="H40" s="37">
        <v>4</v>
      </c>
      <c r="I40" s="37">
        <v>4</v>
      </c>
      <c r="J40" s="37">
        <v>4</v>
      </c>
      <c r="K40" s="37">
        <v>4</v>
      </c>
      <c r="L40" s="37">
        <v>4</v>
      </c>
      <c r="M40" s="37">
        <v>3</v>
      </c>
      <c r="N40" s="37">
        <v>3</v>
      </c>
      <c r="O40" s="37">
        <v>3</v>
      </c>
      <c r="P40" s="37">
        <v>3</v>
      </c>
      <c r="Q40" s="37">
        <v>3</v>
      </c>
      <c r="R40" s="37">
        <v>3</v>
      </c>
      <c r="S40" s="44">
        <v>3.5</v>
      </c>
      <c r="T40" s="37">
        <v>3</v>
      </c>
      <c r="U40" s="37">
        <v>4</v>
      </c>
      <c r="V40" s="37">
        <v>4</v>
      </c>
      <c r="W40" s="29"/>
      <c r="X40" s="37">
        <v>4</v>
      </c>
      <c r="Y40" s="37">
        <v>4</v>
      </c>
      <c r="Z40" s="37">
        <v>3</v>
      </c>
      <c r="AA40" s="37">
        <v>3</v>
      </c>
    </row>
    <row r="41" spans="2:27" x14ac:dyDescent="0.3">
      <c r="B41" s="108"/>
      <c r="C41" s="103"/>
      <c r="D41" s="105" t="s">
        <v>44</v>
      </c>
      <c r="E41" s="103"/>
      <c r="F41" s="36" t="s">
        <v>2</v>
      </c>
      <c r="G41" s="37">
        <v>9</v>
      </c>
      <c r="H41" s="37">
        <v>9</v>
      </c>
      <c r="I41" s="37">
        <v>9</v>
      </c>
      <c r="J41" s="37">
        <v>9</v>
      </c>
      <c r="K41" s="37">
        <v>9</v>
      </c>
      <c r="L41" s="37">
        <v>9</v>
      </c>
      <c r="M41" s="37">
        <v>9</v>
      </c>
      <c r="N41" s="37">
        <v>9</v>
      </c>
      <c r="O41" s="37">
        <v>9</v>
      </c>
      <c r="P41" s="37">
        <v>9</v>
      </c>
      <c r="Q41" s="37">
        <v>9</v>
      </c>
      <c r="R41" s="37">
        <v>9</v>
      </c>
      <c r="S41" s="46">
        <v>9</v>
      </c>
      <c r="T41" s="37">
        <v>9</v>
      </c>
      <c r="U41" s="37">
        <v>9</v>
      </c>
      <c r="V41" s="37">
        <v>9</v>
      </c>
      <c r="W41" s="29"/>
      <c r="X41" s="37">
        <v>9</v>
      </c>
      <c r="Y41" s="37">
        <v>9</v>
      </c>
      <c r="Z41" s="37">
        <v>9</v>
      </c>
      <c r="AA41" s="37">
        <v>9</v>
      </c>
    </row>
    <row r="42" spans="2:27" x14ac:dyDescent="0.3">
      <c r="B42" s="108"/>
      <c r="C42" s="103"/>
      <c r="D42" s="106"/>
      <c r="E42" s="100"/>
      <c r="F42" s="36" t="s">
        <v>3</v>
      </c>
      <c r="G42" s="37">
        <v>9</v>
      </c>
      <c r="H42" s="37">
        <v>9</v>
      </c>
      <c r="I42" s="37">
        <v>9</v>
      </c>
      <c r="J42" s="37">
        <v>9</v>
      </c>
      <c r="K42" s="37">
        <v>9</v>
      </c>
      <c r="L42" s="37">
        <v>9</v>
      </c>
      <c r="M42" s="37">
        <v>9</v>
      </c>
      <c r="N42" s="37">
        <v>9</v>
      </c>
      <c r="O42" s="37">
        <v>9</v>
      </c>
      <c r="P42" s="37">
        <v>9</v>
      </c>
      <c r="Q42" s="37">
        <v>9</v>
      </c>
      <c r="R42" s="37">
        <v>9</v>
      </c>
      <c r="S42" s="44">
        <v>9</v>
      </c>
      <c r="T42" s="37">
        <v>9</v>
      </c>
      <c r="U42" s="37">
        <v>9</v>
      </c>
      <c r="V42" s="37">
        <v>9</v>
      </c>
      <c r="W42" s="29"/>
      <c r="X42" s="37">
        <v>9</v>
      </c>
      <c r="Y42" s="37">
        <v>9</v>
      </c>
      <c r="Z42" s="37">
        <v>9</v>
      </c>
      <c r="AA42" s="37">
        <v>9</v>
      </c>
    </row>
    <row r="43" spans="2:27" x14ac:dyDescent="0.3">
      <c r="B43" s="108"/>
      <c r="C43" s="103"/>
      <c r="D43" s="105" t="s">
        <v>172</v>
      </c>
      <c r="E43" s="103"/>
      <c r="F43" s="36" t="s">
        <v>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2</v>
      </c>
      <c r="N43" s="37">
        <v>2</v>
      </c>
      <c r="O43" s="37">
        <v>2</v>
      </c>
      <c r="P43" s="37">
        <v>0</v>
      </c>
      <c r="Q43" s="37">
        <v>0</v>
      </c>
      <c r="R43" s="37">
        <v>0</v>
      </c>
      <c r="S43" s="46">
        <v>0.5</v>
      </c>
      <c r="T43" s="37">
        <v>0</v>
      </c>
      <c r="U43" s="37">
        <v>2</v>
      </c>
      <c r="V43" s="37">
        <v>2</v>
      </c>
      <c r="W43" s="29"/>
      <c r="X43" s="37">
        <v>0</v>
      </c>
      <c r="Y43" s="37">
        <v>0</v>
      </c>
      <c r="Z43" s="37">
        <v>2</v>
      </c>
      <c r="AA43" s="37">
        <v>0</v>
      </c>
    </row>
    <row r="44" spans="2:27" x14ac:dyDescent="0.3">
      <c r="B44" s="108"/>
      <c r="C44" s="103"/>
      <c r="D44" s="106"/>
      <c r="E44" s="100"/>
      <c r="F44" s="36" t="s">
        <v>3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44">
        <v>0</v>
      </c>
      <c r="T44" s="37">
        <v>0</v>
      </c>
      <c r="U44" s="37">
        <v>0</v>
      </c>
      <c r="V44" s="37">
        <v>0</v>
      </c>
      <c r="W44" s="29"/>
      <c r="X44" s="37">
        <v>0</v>
      </c>
      <c r="Y44" s="37">
        <v>0</v>
      </c>
      <c r="Z44" s="37">
        <v>0</v>
      </c>
      <c r="AA44" s="37">
        <v>0</v>
      </c>
    </row>
    <row r="45" spans="2:27" x14ac:dyDescent="0.3">
      <c r="B45" s="108"/>
      <c r="C45" s="103"/>
      <c r="D45" s="105" t="s">
        <v>173</v>
      </c>
      <c r="E45" s="103"/>
      <c r="F45" s="36" t="s">
        <v>2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1</v>
      </c>
      <c r="N45" s="37">
        <v>1</v>
      </c>
      <c r="O45" s="37">
        <v>1</v>
      </c>
      <c r="P45" s="37">
        <v>0</v>
      </c>
      <c r="Q45" s="37">
        <v>0</v>
      </c>
      <c r="R45" s="37">
        <v>0</v>
      </c>
      <c r="S45" s="46">
        <v>0.25</v>
      </c>
      <c r="T45" s="37">
        <v>0</v>
      </c>
      <c r="U45" s="37">
        <v>0</v>
      </c>
      <c r="V45" s="37">
        <v>0</v>
      </c>
      <c r="W45" s="29"/>
      <c r="X45" s="37">
        <v>0</v>
      </c>
      <c r="Y45" s="37">
        <v>0</v>
      </c>
      <c r="Z45" s="37">
        <v>1</v>
      </c>
      <c r="AA45" s="37">
        <v>0</v>
      </c>
    </row>
    <row r="46" spans="2:27" x14ac:dyDescent="0.3">
      <c r="B46" s="108"/>
      <c r="C46" s="103"/>
      <c r="D46" s="106"/>
      <c r="E46" s="100"/>
      <c r="F46" s="36" t="s">
        <v>3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44">
        <v>0</v>
      </c>
      <c r="T46" s="37">
        <v>0</v>
      </c>
      <c r="U46" s="37">
        <v>1</v>
      </c>
      <c r="V46" s="37">
        <v>1</v>
      </c>
      <c r="W46" s="29"/>
      <c r="X46" s="37">
        <v>0</v>
      </c>
      <c r="Y46" s="37">
        <v>0</v>
      </c>
      <c r="Z46" s="37">
        <v>0</v>
      </c>
      <c r="AA46" s="37">
        <v>0</v>
      </c>
    </row>
    <row r="47" spans="2:27" x14ac:dyDescent="0.3">
      <c r="B47" s="108"/>
      <c r="C47" s="103"/>
      <c r="D47" s="105" t="s">
        <v>42</v>
      </c>
      <c r="E47" s="103"/>
      <c r="F47" s="36" t="s">
        <v>2</v>
      </c>
      <c r="G47" s="37">
        <v>5</v>
      </c>
      <c r="H47" s="37">
        <v>5</v>
      </c>
      <c r="I47" s="37">
        <v>5</v>
      </c>
      <c r="J47" s="37">
        <v>6</v>
      </c>
      <c r="K47" s="37">
        <v>6</v>
      </c>
      <c r="L47" s="37">
        <v>7</v>
      </c>
      <c r="M47" s="37">
        <v>4</v>
      </c>
      <c r="N47" s="37">
        <v>4</v>
      </c>
      <c r="O47" s="37">
        <v>4</v>
      </c>
      <c r="P47" s="37">
        <v>4</v>
      </c>
      <c r="Q47" s="37">
        <v>4</v>
      </c>
      <c r="R47" s="37">
        <v>4</v>
      </c>
      <c r="S47" s="46">
        <v>4.833333333333333</v>
      </c>
      <c r="T47" s="37">
        <v>0</v>
      </c>
      <c r="U47" s="37">
        <v>0</v>
      </c>
      <c r="V47" s="37">
        <v>0</v>
      </c>
      <c r="W47" s="29"/>
      <c r="X47" s="37">
        <v>5</v>
      </c>
      <c r="Y47" s="37">
        <v>6</v>
      </c>
      <c r="Z47" s="37">
        <v>4</v>
      </c>
      <c r="AA47" s="37">
        <v>4</v>
      </c>
    </row>
    <row r="48" spans="2:27" x14ac:dyDescent="0.3">
      <c r="B48" s="106"/>
      <c r="C48" s="100"/>
      <c r="D48" s="106"/>
      <c r="E48" s="100"/>
      <c r="F48" s="36" t="s">
        <v>3</v>
      </c>
      <c r="G48" s="37">
        <v>5</v>
      </c>
      <c r="H48" s="37">
        <v>5</v>
      </c>
      <c r="I48" s="37">
        <v>5</v>
      </c>
      <c r="J48" s="37">
        <v>5</v>
      </c>
      <c r="K48" s="37">
        <v>5</v>
      </c>
      <c r="L48" s="37">
        <v>5</v>
      </c>
      <c r="M48" s="37">
        <v>5</v>
      </c>
      <c r="N48" s="37">
        <v>5</v>
      </c>
      <c r="O48" s="37">
        <v>5</v>
      </c>
      <c r="P48" s="37">
        <v>5</v>
      </c>
      <c r="Q48" s="37">
        <v>5</v>
      </c>
      <c r="R48" s="37">
        <v>5</v>
      </c>
      <c r="S48" s="44">
        <v>5</v>
      </c>
      <c r="T48" s="37">
        <v>4</v>
      </c>
      <c r="U48" s="37">
        <v>5</v>
      </c>
      <c r="V48" s="37">
        <v>5</v>
      </c>
      <c r="W48" s="29"/>
      <c r="X48" s="37">
        <v>5</v>
      </c>
      <c r="Y48" s="37">
        <v>5</v>
      </c>
      <c r="Z48" s="37">
        <v>5</v>
      </c>
      <c r="AA48" s="37">
        <v>5</v>
      </c>
    </row>
    <row r="49" spans="2:27" x14ac:dyDescent="0.3">
      <c r="B49" s="105" t="s">
        <v>121</v>
      </c>
      <c r="C49" s="103"/>
      <c r="D49" s="105" t="s">
        <v>122</v>
      </c>
      <c r="E49" s="103"/>
      <c r="F49" s="36" t="s">
        <v>2</v>
      </c>
      <c r="G49" s="37">
        <v>5</v>
      </c>
      <c r="H49" s="37">
        <v>5</v>
      </c>
      <c r="I49" s="37">
        <v>5</v>
      </c>
      <c r="J49" s="37">
        <v>6</v>
      </c>
      <c r="K49" s="37">
        <v>6</v>
      </c>
      <c r="L49" s="37">
        <v>7</v>
      </c>
      <c r="M49" s="37">
        <v>7</v>
      </c>
      <c r="N49" s="37">
        <v>7</v>
      </c>
      <c r="O49" s="37">
        <v>8</v>
      </c>
      <c r="P49" s="37">
        <v>8</v>
      </c>
      <c r="Q49" s="37">
        <v>8</v>
      </c>
      <c r="R49" s="37">
        <v>8</v>
      </c>
      <c r="S49" s="46">
        <v>6.666666666666667</v>
      </c>
      <c r="T49" s="37">
        <v>5</v>
      </c>
      <c r="U49" s="37">
        <v>5</v>
      </c>
      <c r="V49" s="37">
        <v>5</v>
      </c>
      <c r="W49" s="29"/>
      <c r="X49" s="37">
        <v>5</v>
      </c>
      <c r="Y49" s="37">
        <v>6</v>
      </c>
      <c r="Z49" s="37">
        <v>7</v>
      </c>
      <c r="AA49" s="37">
        <v>8</v>
      </c>
    </row>
    <row r="50" spans="2:27" x14ac:dyDescent="0.3">
      <c r="B50" s="108"/>
      <c r="C50" s="103"/>
      <c r="D50" s="106"/>
      <c r="E50" s="100"/>
      <c r="F50" s="36" t="s">
        <v>3</v>
      </c>
      <c r="G50" s="37">
        <v>5</v>
      </c>
      <c r="H50" s="37">
        <v>5</v>
      </c>
      <c r="I50" s="37">
        <v>5</v>
      </c>
      <c r="J50" s="37">
        <v>5</v>
      </c>
      <c r="K50" s="37">
        <v>5</v>
      </c>
      <c r="L50" s="37">
        <v>5</v>
      </c>
      <c r="M50" s="37">
        <v>5</v>
      </c>
      <c r="N50" s="37">
        <v>5</v>
      </c>
      <c r="O50" s="37">
        <v>5</v>
      </c>
      <c r="P50" s="37">
        <v>5</v>
      </c>
      <c r="Q50" s="37">
        <v>5</v>
      </c>
      <c r="R50" s="37">
        <v>5</v>
      </c>
      <c r="S50" s="44">
        <v>5</v>
      </c>
      <c r="T50" s="37">
        <v>8</v>
      </c>
      <c r="U50" s="37">
        <v>7</v>
      </c>
      <c r="V50" s="37">
        <v>7</v>
      </c>
      <c r="W50" s="29"/>
      <c r="X50" s="37">
        <v>5</v>
      </c>
      <c r="Y50" s="37">
        <v>5</v>
      </c>
      <c r="Z50" s="37">
        <v>5</v>
      </c>
      <c r="AA50" s="37">
        <v>5</v>
      </c>
    </row>
    <row r="51" spans="2:27" x14ac:dyDescent="0.3">
      <c r="B51" s="108"/>
      <c r="C51" s="103"/>
      <c r="D51" s="105" t="s">
        <v>123</v>
      </c>
      <c r="E51" s="103"/>
      <c r="F51" s="36" t="s">
        <v>2</v>
      </c>
      <c r="G51" s="37">
        <v>4</v>
      </c>
      <c r="H51" s="37">
        <v>4</v>
      </c>
      <c r="I51" s="37">
        <v>4</v>
      </c>
      <c r="J51" s="37">
        <v>4</v>
      </c>
      <c r="K51" s="37">
        <v>4</v>
      </c>
      <c r="L51" s="37">
        <v>4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46">
        <v>2</v>
      </c>
      <c r="T51" s="37">
        <v>5</v>
      </c>
      <c r="U51" s="37">
        <v>5</v>
      </c>
      <c r="V51" s="37">
        <v>5</v>
      </c>
      <c r="W51" s="29"/>
      <c r="X51" s="37">
        <v>4</v>
      </c>
      <c r="Y51" s="37">
        <v>4</v>
      </c>
      <c r="Z51" s="37">
        <v>0</v>
      </c>
      <c r="AA51" s="37">
        <v>0</v>
      </c>
    </row>
    <row r="52" spans="2:27" x14ac:dyDescent="0.3">
      <c r="B52" s="108"/>
      <c r="C52" s="103"/>
      <c r="D52" s="106"/>
      <c r="E52" s="100"/>
      <c r="F52" s="36" t="s">
        <v>3</v>
      </c>
      <c r="G52" s="37">
        <v>4</v>
      </c>
      <c r="H52" s="37">
        <v>4</v>
      </c>
      <c r="I52" s="37">
        <v>4</v>
      </c>
      <c r="J52" s="37">
        <v>4</v>
      </c>
      <c r="K52" s="37">
        <v>4</v>
      </c>
      <c r="L52" s="37">
        <v>4</v>
      </c>
      <c r="M52" s="37">
        <v>4</v>
      </c>
      <c r="N52" s="37">
        <v>4</v>
      </c>
      <c r="O52" s="37">
        <v>4</v>
      </c>
      <c r="P52" s="37">
        <v>4</v>
      </c>
      <c r="Q52" s="37">
        <v>4</v>
      </c>
      <c r="R52" s="37">
        <v>4</v>
      </c>
      <c r="S52" s="44">
        <v>4</v>
      </c>
      <c r="T52" s="37">
        <v>0</v>
      </c>
      <c r="U52" s="37">
        <v>4</v>
      </c>
      <c r="V52" s="37">
        <v>2</v>
      </c>
      <c r="W52" s="29"/>
      <c r="X52" s="37">
        <v>4</v>
      </c>
      <c r="Y52" s="37">
        <v>4</v>
      </c>
      <c r="Z52" s="37">
        <v>4</v>
      </c>
      <c r="AA52" s="37">
        <v>4</v>
      </c>
    </row>
    <row r="53" spans="2:27" x14ac:dyDescent="0.3">
      <c r="B53" s="108"/>
      <c r="C53" s="103"/>
      <c r="D53" s="105" t="s">
        <v>124</v>
      </c>
      <c r="E53" s="103"/>
      <c r="F53" s="36" t="s">
        <v>2</v>
      </c>
      <c r="G53" s="37">
        <v>9</v>
      </c>
      <c r="H53" s="37">
        <v>10</v>
      </c>
      <c r="I53" s="37">
        <v>11</v>
      </c>
      <c r="J53" s="37">
        <v>11</v>
      </c>
      <c r="K53" s="37">
        <v>11</v>
      </c>
      <c r="L53" s="37">
        <v>10</v>
      </c>
      <c r="M53" s="37">
        <v>9</v>
      </c>
      <c r="N53" s="37">
        <v>9</v>
      </c>
      <c r="O53" s="37">
        <v>8</v>
      </c>
      <c r="P53" s="37">
        <v>6</v>
      </c>
      <c r="Q53" s="37">
        <v>7</v>
      </c>
      <c r="R53" s="37">
        <v>8</v>
      </c>
      <c r="S53" s="46">
        <v>9.0833333333333339</v>
      </c>
      <c r="T53" s="37">
        <v>4</v>
      </c>
      <c r="U53" s="37">
        <v>4</v>
      </c>
      <c r="V53" s="37">
        <v>4</v>
      </c>
      <c r="W53" s="29"/>
      <c r="X53" s="37">
        <v>10</v>
      </c>
      <c r="Y53" s="37">
        <v>11</v>
      </c>
      <c r="Z53" s="37">
        <v>9</v>
      </c>
      <c r="AA53" s="37">
        <v>7</v>
      </c>
    </row>
    <row r="54" spans="2:27" x14ac:dyDescent="0.3">
      <c r="B54" s="108"/>
      <c r="C54" s="103"/>
      <c r="D54" s="106"/>
      <c r="E54" s="100"/>
      <c r="F54" s="36" t="s">
        <v>3</v>
      </c>
      <c r="G54" s="37">
        <v>14</v>
      </c>
      <c r="H54" s="37">
        <v>14</v>
      </c>
      <c r="I54" s="37">
        <v>14</v>
      </c>
      <c r="J54" s="37">
        <v>14</v>
      </c>
      <c r="K54" s="37">
        <v>14</v>
      </c>
      <c r="L54" s="37">
        <v>14</v>
      </c>
      <c r="M54" s="37">
        <v>14</v>
      </c>
      <c r="N54" s="37">
        <v>14</v>
      </c>
      <c r="O54" s="37">
        <v>14</v>
      </c>
      <c r="P54" s="37">
        <v>14</v>
      </c>
      <c r="Q54" s="37">
        <v>14</v>
      </c>
      <c r="R54" s="37">
        <v>14</v>
      </c>
      <c r="S54" s="44">
        <v>14</v>
      </c>
      <c r="T54" s="37">
        <v>8</v>
      </c>
      <c r="U54" s="37">
        <v>9</v>
      </c>
      <c r="V54" s="37">
        <v>9</v>
      </c>
      <c r="W54" s="29"/>
      <c r="X54" s="37">
        <v>14</v>
      </c>
      <c r="Y54" s="37">
        <v>14</v>
      </c>
      <c r="Z54" s="37">
        <v>14</v>
      </c>
      <c r="AA54" s="37">
        <v>14</v>
      </c>
    </row>
    <row r="55" spans="2:27" x14ac:dyDescent="0.3">
      <c r="B55" s="108"/>
      <c r="C55" s="103"/>
      <c r="D55" s="105" t="s">
        <v>125</v>
      </c>
      <c r="E55" s="103"/>
      <c r="F55" s="36" t="s">
        <v>2</v>
      </c>
      <c r="G55" s="37">
        <v>53</v>
      </c>
      <c r="H55" s="37">
        <v>50</v>
      </c>
      <c r="I55" s="37">
        <v>48</v>
      </c>
      <c r="J55" s="37">
        <v>48</v>
      </c>
      <c r="K55" s="37">
        <v>48</v>
      </c>
      <c r="L55" s="37">
        <v>53</v>
      </c>
      <c r="M55" s="37">
        <v>53</v>
      </c>
      <c r="N55" s="37">
        <v>53</v>
      </c>
      <c r="O55" s="37">
        <v>53</v>
      </c>
      <c r="P55" s="37">
        <v>54</v>
      </c>
      <c r="Q55" s="37">
        <v>53</v>
      </c>
      <c r="R55" s="37">
        <v>53</v>
      </c>
      <c r="S55" s="46">
        <v>51.583333333333336</v>
      </c>
      <c r="T55" s="37">
        <v>14</v>
      </c>
      <c r="U55" s="37">
        <v>14</v>
      </c>
      <c r="V55" s="37">
        <v>14</v>
      </c>
      <c r="W55" s="29"/>
      <c r="X55" s="37">
        <v>50</v>
      </c>
      <c r="Y55" s="37">
        <v>50</v>
      </c>
      <c r="Z55" s="37">
        <v>53</v>
      </c>
      <c r="AA55" s="37">
        <v>53</v>
      </c>
    </row>
    <row r="56" spans="2:27" x14ac:dyDescent="0.3">
      <c r="B56" s="108"/>
      <c r="C56" s="103"/>
      <c r="D56" s="106"/>
      <c r="E56" s="100"/>
      <c r="F56" s="36" t="s">
        <v>3</v>
      </c>
      <c r="G56" s="37">
        <v>56</v>
      </c>
      <c r="H56" s="37">
        <v>56</v>
      </c>
      <c r="I56" s="37">
        <v>56</v>
      </c>
      <c r="J56" s="37">
        <v>56</v>
      </c>
      <c r="K56" s="37">
        <v>56</v>
      </c>
      <c r="L56" s="37">
        <v>56</v>
      </c>
      <c r="M56" s="37">
        <v>56</v>
      </c>
      <c r="N56" s="37">
        <v>56</v>
      </c>
      <c r="O56" s="37">
        <v>56</v>
      </c>
      <c r="P56" s="37">
        <v>56</v>
      </c>
      <c r="Q56" s="37">
        <v>56</v>
      </c>
      <c r="R56" s="37">
        <v>56</v>
      </c>
      <c r="S56" s="44">
        <v>56</v>
      </c>
      <c r="T56" s="37">
        <v>53</v>
      </c>
      <c r="U56" s="37">
        <v>52</v>
      </c>
      <c r="V56" s="37">
        <v>52</v>
      </c>
      <c r="W56" s="29"/>
      <c r="X56" s="37">
        <v>56</v>
      </c>
      <c r="Y56" s="37">
        <v>56</v>
      </c>
      <c r="Z56" s="37">
        <v>56</v>
      </c>
      <c r="AA56" s="37">
        <v>56</v>
      </c>
    </row>
    <row r="57" spans="2:27" x14ac:dyDescent="0.3">
      <c r="B57" s="108"/>
      <c r="C57" s="103"/>
      <c r="D57" s="105" t="s">
        <v>121</v>
      </c>
      <c r="E57" s="103"/>
      <c r="F57" s="36" t="s">
        <v>2</v>
      </c>
      <c r="G57" s="37">
        <v>6</v>
      </c>
      <c r="H57" s="37">
        <v>6</v>
      </c>
      <c r="I57" s="37">
        <v>6</v>
      </c>
      <c r="J57" s="37">
        <v>6</v>
      </c>
      <c r="K57" s="37">
        <v>6</v>
      </c>
      <c r="L57" s="37">
        <v>6</v>
      </c>
      <c r="M57" s="37">
        <v>7</v>
      </c>
      <c r="N57" s="37">
        <v>7</v>
      </c>
      <c r="O57" s="37">
        <v>7</v>
      </c>
      <c r="P57" s="37">
        <v>7</v>
      </c>
      <c r="Q57" s="37">
        <v>8</v>
      </c>
      <c r="R57" s="37">
        <v>8</v>
      </c>
      <c r="S57" s="46">
        <v>6.666666666666667</v>
      </c>
      <c r="T57" s="37">
        <v>56</v>
      </c>
      <c r="U57" s="37">
        <v>56</v>
      </c>
      <c r="V57" s="37">
        <v>56</v>
      </c>
      <c r="W57" s="29"/>
      <c r="X57" s="37">
        <v>6</v>
      </c>
      <c r="Y57" s="37">
        <v>6</v>
      </c>
      <c r="Z57" s="37">
        <v>7</v>
      </c>
      <c r="AA57" s="37">
        <v>8</v>
      </c>
    </row>
    <row r="58" spans="2:27" x14ac:dyDescent="0.3">
      <c r="B58" s="106"/>
      <c r="C58" s="100"/>
      <c r="D58" s="106"/>
      <c r="E58" s="100"/>
      <c r="F58" s="36" t="s">
        <v>3</v>
      </c>
      <c r="G58" s="37">
        <v>6</v>
      </c>
      <c r="H58" s="37">
        <v>6</v>
      </c>
      <c r="I58" s="37">
        <v>6</v>
      </c>
      <c r="J58" s="37">
        <v>6</v>
      </c>
      <c r="K58" s="37">
        <v>6</v>
      </c>
      <c r="L58" s="37">
        <v>6</v>
      </c>
      <c r="M58" s="37">
        <v>6</v>
      </c>
      <c r="N58" s="37">
        <v>6</v>
      </c>
      <c r="O58" s="37">
        <v>6</v>
      </c>
      <c r="P58" s="37">
        <v>6</v>
      </c>
      <c r="Q58" s="37">
        <v>6</v>
      </c>
      <c r="R58" s="37">
        <v>6</v>
      </c>
      <c r="S58" s="44">
        <v>6</v>
      </c>
      <c r="T58" s="37">
        <v>8</v>
      </c>
      <c r="U58" s="37">
        <v>7</v>
      </c>
      <c r="V58" s="37">
        <v>7</v>
      </c>
      <c r="W58" s="29"/>
      <c r="X58" s="37">
        <v>6</v>
      </c>
      <c r="Y58" s="37">
        <v>6</v>
      </c>
      <c r="Z58" s="37">
        <v>6</v>
      </c>
      <c r="AA58" s="37">
        <v>6</v>
      </c>
    </row>
    <row r="59" spans="2:27" x14ac:dyDescent="0.3">
      <c r="B59" s="105" t="s">
        <v>50</v>
      </c>
      <c r="C59" s="103"/>
      <c r="D59" s="105" t="s">
        <v>51</v>
      </c>
      <c r="E59" s="103"/>
      <c r="F59" s="36" t="s">
        <v>2</v>
      </c>
      <c r="G59" s="37">
        <v>33</v>
      </c>
      <c r="H59" s="37">
        <v>36</v>
      </c>
      <c r="I59" s="37">
        <v>37</v>
      </c>
      <c r="J59" s="37">
        <v>36</v>
      </c>
      <c r="K59" s="37">
        <v>36</v>
      </c>
      <c r="L59" s="37">
        <v>36</v>
      </c>
      <c r="M59" s="37">
        <v>36</v>
      </c>
      <c r="N59" s="37">
        <v>37</v>
      </c>
      <c r="O59" s="37">
        <v>37</v>
      </c>
      <c r="P59" s="37">
        <v>37</v>
      </c>
      <c r="Q59" s="37">
        <v>37</v>
      </c>
      <c r="R59" s="37">
        <v>37</v>
      </c>
      <c r="S59" s="46">
        <v>36.25</v>
      </c>
      <c r="T59" s="37">
        <v>6</v>
      </c>
      <c r="U59" s="37">
        <v>6</v>
      </c>
      <c r="V59" s="37">
        <v>6</v>
      </c>
      <c r="W59" s="29"/>
      <c r="X59" s="37">
        <v>35</v>
      </c>
      <c r="Y59" s="37">
        <v>36</v>
      </c>
      <c r="Z59" s="37">
        <v>37</v>
      </c>
      <c r="AA59" s="37">
        <v>37</v>
      </c>
    </row>
    <row r="60" spans="2:27" x14ac:dyDescent="0.3">
      <c r="B60" s="108"/>
      <c r="C60" s="103"/>
      <c r="D60" s="106"/>
      <c r="E60" s="100"/>
      <c r="F60" s="36" t="s">
        <v>3</v>
      </c>
      <c r="G60" s="37">
        <v>38</v>
      </c>
      <c r="H60" s="37">
        <v>38</v>
      </c>
      <c r="I60" s="37">
        <v>38</v>
      </c>
      <c r="J60" s="37">
        <v>38</v>
      </c>
      <c r="K60" s="37">
        <v>38</v>
      </c>
      <c r="L60" s="37">
        <v>38</v>
      </c>
      <c r="M60" s="37">
        <v>38</v>
      </c>
      <c r="N60" s="37">
        <v>38</v>
      </c>
      <c r="O60" s="37">
        <v>38</v>
      </c>
      <c r="P60" s="37">
        <v>38</v>
      </c>
      <c r="Q60" s="37">
        <v>38</v>
      </c>
      <c r="R60" s="37">
        <v>38</v>
      </c>
      <c r="S60" s="44">
        <v>38</v>
      </c>
      <c r="T60" s="37">
        <v>37</v>
      </c>
      <c r="U60" s="37">
        <v>36</v>
      </c>
      <c r="V60" s="37">
        <v>36</v>
      </c>
      <c r="W60" s="29"/>
      <c r="X60" s="37">
        <v>38</v>
      </c>
      <c r="Y60" s="37">
        <v>38</v>
      </c>
      <c r="Z60" s="37">
        <v>38</v>
      </c>
      <c r="AA60" s="37">
        <v>38</v>
      </c>
    </row>
    <row r="61" spans="2:27" x14ac:dyDescent="0.3">
      <c r="B61" s="108"/>
      <c r="C61" s="103"/>
      <c r="D61" s="105" t="s">
        <v>52</v>
      </c>
      <c r="E61" s="103"/>
      <c r="F61" s="36" t="s">
        <v>2</v>
      </c>
      <c r="G61" s="37">
        <v>35</v>
      </c>
      <c r="H61" s="37">
        <v>35</v>
      </c>
      <c r="I61" s="37">
        <v>35</v>
      </c>
      <c r="J61" s="37">
        <v>34</v>
      </c>
      <c r="K61" s="37">
        <v>34</v>
      </c>
      <c r="L61" s="37">
        <v>34</v>
      </c>
      <c r="M61" s="37">
        <v>35</v>
      </c>
      <c r="N61" s="37">
        <v>35</v>
      </c>
      <c r="O61" s="37">
        <v>35</v>
      </c>
      <c r="P61" s="37">
        <v>36</v>
      </c>
      <c r="Q61" s="37">
        <v>35</v>
      </c>
      <c r="R61" s="37">
        <v>36</v>
      </c>
      <c r="S61" s="46">
        <v>34.916666666666664</v>
      </c>
      <c r="T61" s="37">
        <v>38</v>
      </c>
      <c r="U61" s="37">
        <v>38</v>
      </c>
      <c r="V61" s="37">
        <v>38</v>
      </c>
      <c r="W61" s="29"/>
      <c r="X61" s="37">
        <v>35</v>
      </c>
      <c r="Y61" s="37">
        <v>34</v>
      </c>
      <c r="Z61" s="37">
        <v>35</v>
      </c>
      <c r="AA61" s="37">
        <v>36</v>
      </c>
    </row>
    <row r="62" spans="2:27" x14ac:dyDescent="0.3">
      <c r="B62" s="108"/>
      <c r="C62" s="103"/>
      <c r="D62" s="106"/>
      <c r="E62" s="100"/>
      <c r="F62" s="36" t="s">
        <v>3</v>
      </c>
      <c r="G62" s="37">
        <v>37</v>
      </c>
      <c r="H62" s="37">
        <v>37</v>
      </c>
      <c r="I62" s="37">
        <v>36</v>
      </c>
      <c r="J62" s="37">
        <v>36</v>
      </c>
      <c r="K62" s="37">
        <v>36</v>
      </c>
      <c r="L62" s="37">
        <v>36</v>
      </c>
      <c r="M62" s="37">
        <v>36</v>
      </c>
      <c r="N62" s="37">
        <v>36</v>
      </c>
      <c r="O62" s="37">
        <v>36</v>
      </c>
      <c r="P62" s="37">
        <v>36</v>
      </c>
      <c r="Q62" s="37">
        <v>36</v>
      </c>
      <c r="R62" s="37">
        <v>36</v>
      </c>
      <c r="S62" s="44">
        <v>36.166666666666664</v>
      </c>
      <c r="T62" s="37">
        <v>36</v>
      </c>
      <c r="U62" s="37">
        <v>35</v>
      </c>
      <c r="V62" s="37">
        <v>35</v>
      </c>
      <c r="W62" s="29"/>
      <c r="X62" s="37">
        <v>37</v>
      </c>
      <c r="Y62" s="37">
        <v>36</v>
      </c>
      <c r="Z62" s="37">
        <v>36</v>
      </c>
      <c r="AA62" s="37">
        <v>36</v>
      </c>
    </row>
    <row r="63" spans="2:27" x14ac:dyDescent="0.3">
      <c r="B63" s="108"/>
      <c r="C63" s="103"/>
      <c r="D63" s="105" t="s">
        <v>152</v>
      </c>
      <c r="E63" s="103"/>
      <c r="F63" s="36" t="s">
        <v>2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2</v>
      </c>
      <c r="Q63" s="37">
        <v>2</v>
      </c>
      <c r="R63" s="37">
        <v>2</v>
      </c>
      <c r="S63" s="46">
        <v>0.5</v>
      </c>
      <c r="T63" s="37">
        <v>36</v>
      </c>
      <c r="U63" s="37">
        <v>36</v>
      </c>
      <c r="V63" s="37">
        <v>36</v>
      </c>
      <c r="W63" s="29"/>
      <c r="X63" s="37">
        <v>0</v>
      </c>
      <c r="Y63" s="37">
        <v>0</v>
      </c>
      <c r="Z63" s="37">
        <v>0</v>
      </c>
      <c r="AA63" s="37">
        <v>2</v>
      </c>
    </row>
    <row r="64" spans="2:27" x14ac:dyDescent="0.3">
      <c r="B64" s="108"/>
      <c r="C64" s="103"/>
      <c r="D64" s="106"/>
      <c r="E64" s="100"/>
      <c r="F64" s="36" t="s">
        <v>3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44">
        <v>0</v>
      </c>
      <c r="T64" s="37">
        <v>2</v>
      </c>
      <c r="U64" s="37">
        <v>2</v>
      </c>
      <c r="V64" s="37">
        <v>2</v>
      </c>
      <c r="W64" s="29"/>
      <c r="X64" s="37">
        <v>0</v>
      </c>
      <c r="Y64" s="37">
        <v>0</v>
      </c>
      <c r="Z64" s="37">
        <v>0</v>
      </c>
      <c r="AA64" s="37">
        <v>0</v>
      </c>
    </row>
    <row r="65" spans="2:27" x14ac:dyDescent="0.3">
      <c r="B65" s="108"/>
      <c r="C65" s="103"/>
      <c r="D65" s="105" t="s">
        <v>126</v>
      </c>
      <c r="E65" s="103"/>
      <c r="F65" s="36" t="s">
        <v>2</v>
      </c>
      <c r="G65" s="37">
        <v>26</v>
      </c>
      <c r="H65" s="37">
        <v>26</v>
      </c>
      <c r="I65" s="37">
        <v>25</v>
      </c>
      <c r="J65" s="37">
        <v>25</v>
      </c>
      <c r="K65" s="37">
        <v>25</v>
      </c>
      <c r="L65" s="37">
        <v>24</v>
      </c>
      <c r="M65" s="37">
        <v>23</v>
      </c>
      <c r="N65" s="37">
        <v>23</v>
      </c>
      <c r="O65" s="37">
        <v>22</v>
      </c>
      <c r="P65" s="37">
        <v>24</v>
      </c>
      <c r="Q65" s="37">
        <v>24</v>
      </c>
      <c r="R65" s="37">
        <v>25</v>
      </c>
      <c r="S65" s="46">
        <v>24.333333333333332</v>
      </c>
      <c r="T65" s="37">
        <v>0</v>
      </c>
      <c r="U65" s="37">
        <v>0</v>
      </c>
      <c r="V65" s="37">
        <v>0</v>
      </c>
      <c r="W65" s="29"/>
      <c r="X65" s="37">
        <v>26</v>
      </c>
      <c r="Y65" s="37">
        <v>25</v>
      </c>
      <c r="Z65" s="37">
        <v>23</v>
      </c>
      <c r="AA65" s="37">
        <v>24</v>
      </c>
    </row>
    <row r="66" spans="2:27" x14ac:dyDescent="0.3">
      <c r="B66" s="108"/>
      <c r="C66" s="103"/>
      <c r="D66" s="106"/>
      <c r="E66" s="100"/>
      <c r="F66" s="36" t="s">
        <v>3</v>
      </c>
      <c r="G66" s="37">
        <v>26</v>
      </c>
      <c r="H66" s="37">
        <v>26</v>
      </c>
      <c r="I66" s="37">
        <v>26</v>
      </c>
      <c r="J66" s="37">
        <v>26</v>
      </c>
      <c r="K66" s="37">
        <v>26</v>
      </c>
      <c r="L66" s="37">
        <v>26</v>
      </c>
      <c r="M66" s="37">
        <v>26</v>
      </c>
      <c r="N66" s="37">
        <v>26</v>
      </c>
      <c r="O66" s="37">
        <v>26</v>
      </c>
      <c r="P66" s="37">
        <v>26</v>
      </c>
      <c r="Q66" s="37">
        <v>26</v>
      </c>
      <c r="R66" s="37">
        <v>26</v>
      </c>
      <c r="S66" s="44">
        <v>26</v>
      </c>
      <c r="T66" s="37">
        <v>25</v>
      </c>
      <c r="U66" s="37">
        <v>24</v>
      </c>
      <c r="V66" s="37">
        <v>24</v>
      </c>
      <c r="W66" s="29"/>
      <c r="X66" s="37">
        <v>26</v>
      </c>
      <c r="Y66" s="37">
        <v>26</v>
      </c>
      <c r="Z66" s="37">
        <v>26</v>
      </c>
      <c r="AA66" s="37">
        <v>26</v>
      </c>
    </row>
    <row r="67" spans="2:27" x14ac:dyDescent="0.3">
      <c r="B67" s="108"/>
      <c r="C67" s="103"/>
      <c r="D67" s="105" t="s">
        <v>56</v>
      </c>
      <c r="E67" s="103"/>
      <c r="F67" s="36" t="s">
        <v>2</v>
      </c>
      <c r="G67" s="37">
        <v>10</v>
      </c>
      <c r="H67" s="37">
        <v>10</v>
      </c>
      <c r="I67" s="37">
        <v>10</v>
      </c>
      <c r="J67" s="37">
        <v>10</v>
      </c>
      <c r="K67" s="37">
        <v>10</v>
      </c>
      <c r="L67" s="37">
        <v>10</v>
      </c>
      <c r="M67" s="37">
        <v>10</v>
      </c>
      <c r="N67" s="37">
        <v>10</v>
      </c>
      <c r="O67" s="37">
        <v>9</v>
      </c>
      <c r="P67" s="37">
        <v>10</v>
      </c>
      <c r="Q67" s="37">
        <v>10</v>
      </c>
      <c r="R67" s="37">
        <v>10</v>
      </c>
      <c r="S67" s="46">
        <v>9.9166666666666661</v>
      </c>
      <c r="T67" s="37">
        <v>26</v>
      </c>
      <c r="U67" s="37">
        <v>26</v>
      </c>
      <c r="V67" s="37">
        <v>26</v>
      </c>
      <c r="W67" s="29"/>
      <c r="X67" s="37">
        <v>10</v>
      </c>
      <c r="Y67" s="37">
        <v>10</v>
      </c>
      <c r="Z67" s="37">
        <v>10</v>
      </c>
      <c r="AA67" s="37">
        <v>10</v>
      </c>
    </row>
    <row r="68" spans="2:27" x14ac:dyDescent="0.3">
      <c r="B68" s="108"/>
      <c r="C68" s="103"/>
      <c r="D68" s="106"/>
      <c r="E68" s="100"/>
      <c r="F68" s="36" t="s">
        <v>3</v>
      </c>
      <c r="G68" s="37">
        <v>10</v>
      </c>
      <c r="H68" s="37">
        <v>10</v>
      </c>
      <c r="I68" s="37">
        <v>10</v>
      </c>
      <c r="J68" s="37">
        <v>10</v>
      </c>
      <c r="K68" s="37">
        <v>10</v>
      </c>
      <c r="L68" s="37">
        <v>10</v>
      </c>
      <c r="M68" s="37">
        <v>10</v>
      </c>
      <c r="N68" s="37">
        <v>10</v>
      </c>
      <c r="O68" s="37">
        <v>10</v>
      </c>
      <c r="P68" s="37">
        <v>10</v>
      </c>
      <c r="Q68" s="37">
        <v>10</v>
      </c>
      <c r="R68" s="37">
        <v>10</v>
      </c>
      <c r="S68" s="44">
        <v>10</v>
      </c>
      <c r="T68" s="37">
        <v>10</v>
      </c>
      <c r="U68" s="37">
        <v>10</v>
      </c>
      <c r="V68" s="37">
        <v>10</v>
      </c>
      <c r="W68" s="29"/>
      <c r="X68" s="37">
        <v>10</v>
      </c>
      <c r="Y68" s="37">
        <v>10</v>
      </c>
      <c r="Z68" s="37">
        <v>10</v>
      </c>
      <c r="AA68" s="37">
        <v>10</v>
      </c>
    </row>
    <row r="69" spans="2:27" x14ac:dyDescent="0.3">
      <c r="B69" s="108"/>
      <c r="C69" s="103"/>
      <c r="D69" s="105" t="s">
        <v>57</v>
      </c>
      <c r="E69" s="103"/>
      <c r="F69" s="36" t="s">
        <v>2</v>
      </c>
      <c r="G69" s="37">
        <v>7</v>
      </c>
      <c r="H69" s="37">
        <v>8</v>
      </c>
      <c r="I69" s="37">
        <v>7</v>
      </c>
      <c r="J69" s="37">
        <v>7</v>
      </c>
      <c r="K69" s="37">
        <v>8</v>
      </c>
      <c r="L69" s="37">
        <v>8</v>
      </c>
      <c r="M69" s="37">
        <v>8</v>
      </c>
      <c r="N69" s="37">
        <v>8</v>
      </c>
      <c r="O69" s="37">
        <v>8</v>
      </c>
      <c r="P69" s="37">
        <v>8</v>
      </c>
      <c r="Q69" s="37">
        <v>8</v>
      </c>
      <c r="R69" s="37">
        <v>8</v>
      </c>
      <c r="S69" s="46">
        <v>7.75</v>
      </c>
      <c r="T69" s="37">
        <v>10</v>
      </c>
      <c r="U69" s="37">
        <v>10</v>
      </c>
      <c r="V69" s="37">
        <v>10</v>
      </c>
      <c r="W69" s="29"/>
      <c r="X69" s="37">
        <v>7</v>
      </c>
      <c r="Y69" s="37">
        <v>8</v>
      </c>
      <c r="Z69" s="37">
        <v>8</v>
      </c>
      <c r="AA69" s="37">
        <v>8</v>
      </c>
    </row>
    <row r="70" spans="2:27" x14ac:dyDescent="0.3">
      <c r="B70" s="108"/>
      <c r="C70" s="103"/>
      <c r="D70" s="106"/>
      <c r="E70" s="100"/>
      <c r="F70" s="36" t="s">
        <v>3</v>
      </c>
      <c r="G70" s="37">
        <v>9</v>
      </c>
      <c r="H70" s="37">
        <v>9</v>
      </c>
      <c r="I70" s="37">
        <v>9</v>
      </c>
      <c r="J70" s="37">
        <v>8</v>
      </c>
      <c r="K70" s="37">
        <v>8</v>
      </c>
      <c r="L70" s="37">
        <v>8</v>
      </c>
      <c r="M70" s="37">
        <v>8</v>
      </c>
      <c r="N70" s="37">
        <v>8</v>
      </c>
      <c r="O70" s="37">
        <v>8</v>
      </c>
      <c r="P70" s="37">
        <v>8</v>
      </c>
      <c r="Q70" s="37">
        <v>8</v>
      </c>
      <c r="R70" s="37">
        <v>8</v>
      </c>
      <c r="S70" s="44">
        <v>8.25</v>
      </c>
      <c r="T70" s="37">
        <v>8</v>
      </c>
      <c r="U70" s="37">
        <v>8</v>
      </c>
      <c r="V70" s="37">
        <v>8</v>
      </c>
      <c r="W70" s="29"/>
      <c r="X70" s="37">
        <v>9</v>
      </c>
      <c r="Y70" s="37">
        <v>8</v>
      </c>
      <c r="Z70" s="37">
        <v>8</v>
      </c>
      <c r="AA70" s="37">
        <v>8</v>
      </c>
    </row>
    <row r="71" spans="2:27" x14ac:dyDescent="0.3">
      <c r="B71" s="108"/>
      <c r="C71" s="103"/>
      <c r="D71" s="105" t="s">
        <v>50</v>
      </c>
      <c r="E71" s="103"/>
      <c r="F71" s="36" t="s">
        <v>2</v>
      </c>
      <c r="G71" s="37">
        <v>2</v>
      </c>
      <c r="H71" s="37">
        <v>2</v>
      </c>
      <c r="I71" s="37">
        <v>2</v>
      </c>
      <c r="J71" s="37">
        <v>2</v>
      </c>
      <c r="K71" s="37">
        <v>2</v>
      </c>
      <c r="L71" s="37">
        <v>2</v>
      </c>
      <c r="M71" s="37">
        <v>2</v>
      </c>
      <c r="N71" s="37">
        <v>3</v>
      </c>
      <c r="O71" s="37">
        <v>3</v>
      </c>
      <c r="P71" s="37">
        <v>3</v>
      </c>
      <c r="Q71" s="37">
        <v>2</v>
      </c>
      <c r="R71" s="37">
        <v>3</v>
      </c>
      <c r="S71" s="46">
        <v>2.3333333333333335</v>
      </c>
      <c r="T71" s="37">
        <v>8</v>
      </c>
      <c r="U71" s="37">
        <v>8</v>
      </c>
      <c r="V71" s="37">
        <v>8</v>
      </c>
      <c r="W71" s="29"/>
      <c r="X71" s="37">
        <v>2</v>
      </c>
      <c r="Y71" s="37">
        <v>2</v>
      </c>
      <c r="Z71" s="37">
        <v>3</v>
      </c>
      <c r="AA71" s="37">
        <v>3</v>
      </c>
    </row>
    <row r="72" spans="2:27" x14ac:dyDescent="0.3">
      <c r="B72" s="106"/>
      <c r="C72" s="100"/>
      <c r="D72" s="106"/>
      <c r="E72" s="100"/>
      <c r="F72" s="36" t="s">
        <v>3</v>
      </c>
      <c r="G72" s="37">
        <v>2</v>
      </c>
      <c r="H72" s="37">
        <v>2</v>
      </c>
      <c r="I72" s="37">
        <v>2</v>
      </c>
      <c r="J72" s="37">
        <v>2</v>
      </c>
      <c r="K72" s="37">
        <v>2</v>
      </c>
      <c r="L72" s="37">
        <v>2</v>
      </c>
      <c r="M72" s="37">
        <v>2</v>
      </c>
      <c r="N72" s="37">
        <v>2</v>
      </c>
      <c r="O72" s="37">
        <v>2</v>
      </c>
      <c r="P72" s="37">
        <v>2</v>
      </c>
      <c r="Q72" s="37">
        <v>2</v>
      </c>
      <c r="R72" s="37">
        <v>2</v>
      </c>
      <c r="S72" s="44">
        <v>2</v>
      </c>
      <c r="T72" s="37">
        <v>3</v>
      </c>
      <c r="U72" s="37">
        <v>2</v>
      </c>
      <c r="V72" s="37">
        <v>2</v>
      </c>
      <c r="W72" s="29"/>
      <c r="X72" s="37">
        <v>2</v>
      </c>
      <c r="Y72" s="37">
        <v>2</v>
      </c>
      <c r="Z72" s="37">
        <v>2</v>
      </c>
      <c r="AA72" s="37">
        <v>2</v>
      </c>
    </row>
    <row r="73" spans="2:27" x14ac:dyDescent="0.3">
      <c r="B73" s="105" t="s">
        <v>58</v>
      </c>
      <c r="C73" s="103"/>
      <c r="D73" s="105" t="s">
        <v>59</v>
      </c>
      <c r="E73" s="103"/>
      <c r="F73" s="36" t="s">
        <v>2</v>
      </c>
      <c r="G73" s="37">
        <v>8</v>
      </c>
      <c r="H73" s="37">
        <v>8</v>
      </c>
      <c r="I73" s="37">
        <v>8</v>
      </c>
      <c r="J73" s="37">
        <v>8</v>
      </c>
      <c r="K73" s="37">
        <v>8</v>
      </c>
      <c r="L73" s="37">
        <v>8</v>
      </c>
      <c r="M73" s="37">
        <v>7</v>
      </c>
      <c r="N73" s="37">
        <v>7</v>
      </c>
      <c r="O73" s="37">
        <v>8</v>
      </c>
      <c r="P73" s="37">
        <v>8</v>
      </c>
      <c r="Q73" s="37">
        <v>8</v>
      </c>
      <c r="R73" s="37">
        <v>8</v>
      </c>
      <c r="S73" s="46">
        <v>7.833333333333333</v>
      </c>
      <c r="T73" s="37">
        <v>2</v>
      </c>
      <c r="U73" s="37">
        <v>2</v>
      </c>
      <c r="V73" s="37">
        <v>2</v>
      </c>
      <c r="W73" s="29"/>
      <c r="X73" s="37">
        <v>8</v>
      </c>
      <c r="Y73" s="37">
        <v>8</v>
      </c>
      <c r="Z73" s="37">
        <v>7</v>
      </c>
      <c r="AA73" s="37">
        <v>8</v>
      </c>
    </row>
    <row r="74" spans="2:27" x14ac:dyDescent="0.3">
      <c r="B74" s="108"/>
      <c r="C74" s="103"/>
      <c r="D74" s="106"/>
      <c r="E74" s="100"/>
      <c r="F74" s="36" t="s">
        <v>3</v>
      </c>
      <c r="G74" s="37">
        <v>9</v>
      </c>
      <c r="H74" s="37">
        <v>9</v>
      </c>
      <c r="I74" s="37">
        <v>9</v>
      </c>
      <c r="J74" s="37">
        <v>9</v>
      </c>
      <c r="K74" s="37">
        <v>9</v>
      </c>
      <c r="L74" s="37">
        <v>9</v>
      </c>
      <c r="M74" s="37">
        <v>9</v>
      </c>
      <c r="N74" s="37">
        <v>9</v>
      </c>
      <c r="O74" s="37">
        <v>9</v>
      </c>
      <c r="P74" s="37">
        <v>9</v>
      </c>
      <c r="Q74" s="37">
        <v>9</v>
      </c>
      <c r="R74" s="37">
        <v>9</v>
      </c>
      <c r="S74" s="44">
        <v>9</v>
      </c>
      <c r="T74" s="37">
        <v>8</v>
      </c>
      <c r="U74" s="37">
        <v>8</v>
      </c>
      <c r="V74" s="37">
        <v>8</v>
      </c>
      <c r="W74" s="29"/>
      <c r="X74" s="37">
        <v>9</v>
      </c>
      <c r="Y74" s="37">
        <v>9</v>
      </c>
      <c r="Z74" s="37">
        <v>9</v>
      </c>
      <c r="AA74" s="37">
        <v>9</v>
      </c>
    </row>
    <row r="75" spans="2:27" x14ac:dyDescent="0.3">
      <c r="B75" s="108"/>
      <c r="C75" s="103"/>
      <c r="D75" s="105" t="s">
        <v>60</v>
      </c>
      <c r="E75" s="103"/>
      <c r="F75" s="36" t="s">
        <v>2</v>
      </c>
      <c r="G75" s="37">
        <v>8</v>
      </c>
      <c r="H75" s="37">
        <v>8</v>
      </c>
      <c r="I75" s="37">
        <v>9</v>
      </c>
      <c r="J75" s="37">
        <v>9</v>
      </c>
      <c r="K75" s="37">
        <v>9</v>
      </c>
      <c r="L75" s="37">
        <v>9</v>
      </c>
      <c r="M75" s="37">
        <v>9</v>
      </c>
      <c r="N75" s="37">
        <v>9</v>
      </c>
      <c r="O75" s="37">
        <v>9</v>
      </c>
      <c r="P75" s="37">
        <v>9</v>
      </c>
      <c r="Q75" s="37">
        <v>9</v>
      </c>
      <c r="R75" s="37">
        <v>9</v>
      </c>
      <c r="S75" s="46">
        <v>8.8333333333333339</v>
      </c>
      <c r="T75" s="37">
        <v>9</v>
      </c>
      <c r="U75" s="37">
        <v>9</v>
      </c>
      <c r="V75" s="37">
        <v>9</v>
      </c>
      <c r="W75" s="29"/>
      <c r="X75" s="37">
        <v>8</v>
      </c>
      <c r="Y75" s="37">
        <v>9</v>
      </c>
      <c r="Z75" s="37">
        <v>9</v>
      </c>
      <c r="AA75" s="37">
        <v>9</v>
      </c>
    </row>
    <row r="76" spans="2:27" x14ac:dyDescent="0.3">
      <c r="B76" s="108"/>
      <c r="C76" s="103"/>
      <c r="D76" s="106"/>
      <c r="E76" s="100"/>
      <c r="F76" s="36" t="s">
        <v>3</v>
      </c>
      <c r="G76" s="37">
        <v>9</v>
      </c>
      <c r="H76" s="37">
        <v>9</v>
      </c>
      <c r="I76" s="37">
        <v>9</v>
      </c>
      <c r="J76" s="37">
        <v>9</v>
      </c>
      <c r="K76" s="37">
        <v>9</v>
      </c>
      <c r="L76" s="37">
        <v>9</v>
      </c>
      <c r="M76" s="37">
        <v>9</v>
      </c>
      <c r="N76" s="37">
        <v>9</v>
      </c>
      <c r="O76" s="37">
        <v>9</v>
      </c>
      <c r="P76" s="37">
        <v>9</v>
      </c>
      <c r="Q76" s="37">
        <v>9</v>
      </c>
      <c r="R76" s="37">
        <v>9</v>
      </c>
      <c r="S76" s="44">
        <v>9</v>
      </c>
      <c r="T76" s="37">
        <v>9</v>
      </c>
      <c r="U76" s="37">
        <v>9</v>
      </c>
      <c r="V76" s="37">
        <v>9</v>
      </c>
      <c r="W76" s="29"/>
      <c r="X76" s="37">
        <v>9</v>
      </c>
      <c r="Y76" s="37">
        <v>9</v>
      </c>
      <c r="Z76" s="37">
        <v>9</v>
      </c>
      <c r="AA76" s="37">
        <v>9</v>
      </c>
    </row>
    <row r="77" spans="2:27" x14ac:dyDescent="0.3">
      <c r="B77" s="108"/>
      <c r="C77" s="103"/>
      <c r="D77" s="105" t="s">
        <v>58</v>
      </c>
      <c r="E77" s="103"/>
      <c r="F77" s="36" t="s">
        <v>2</v>
      </c>
      <c r="G77" s="37">
        <v>2</v>
      </c>
      <c r="H77" s="37">
        <v>2</v>
      </c>
      <c r="I77" s="37">
        <v>2</v>
      </c>
      <c r="J77" s="37">
        <v>2</v>
      </c>
      <c r="K77" s="37">
        <v>2</v>
      </c>
      <c r="L77" s="37">
        <v>2</v>
      </c>
      <c r="M77" s="37">
        <v>2</v>
      </c>
      <c r="N77" s="37">
        <v>2</v>
      </c>
      <c r="O77" s="37">
        <v>2</v>
      </c>
      <c r="P77" s="37">
        <v>2</v>
      </c>
      <c r="Q77" s="37">
        <v>2</v>
      </c>
      <c r="R77" s="37">
        <v>2</v>
      </c>
      <c r="S77" s="46">
        <v>2</v>
      </c>
      <c r="T77" s="37">
        <v>9</v>
      </c>
      <c r="U77" s="37">
        <v>9</v>
      </c>
      <c r="V77" s="37">
        <v>9</v>
      </c>
      <c r="W77" s="29"/>
      <c r="X77" s="37">
        <v>2</v>
      </c>
      <c r="Y77" s="37">
        <v>2</v>
      </c>
      <c r="Z77" s="37">
        <v>2</v>
      </c>
      <c r="AA77" s="37">
        <v>2</v>
      </c>
    </row>
    <row r="78" spans="2:27" x14ac:dyDescent="0.3">
      <c r="B78" s="106"/>
      <c r="C78" s="100"/>
      <c r="D78" s="106"/>
      <c r="E78" s="100"/>
      <c r="F78" s="36" t="s">
        <v>3</v>
      </c>
      <c r="G78" s="37">
        <v>2</v>
      </c>
      <c r="H78" s="37">
        <v>2</v>
      </c>
      <c r="I78" s="37">
        <v>2</v>
      </c>
      <c r="J78" s="37">
        <v>2</v>
      </c>
      <c r="K78" s="37">
        <v>2</v>
      </c>
      <c r="L78" s="37">
        <v>2</v>
      </c>
      <c r="M78" s="37">
        <v>2</v>
      </c>
      <c r="N78" s="37">
        <v>2</v>
      </c>
      <c r="O78" s="37">
        <v>2</v>
      </c>
      <c r="P78" s="37">
        <v>2</v>
      </c>
      <c r="Q78" s="37">
        <v>2</v>
      </c>
      <c r="R78" s="37">
        <v>2</v>
      </c>
      <c r="S78" s="44">
        <v>2</v>
      </c>
      <c r="T78" s="37">
        <v>2</v>
      </c>
      <c r="U78" s="37">
        <v>2</v>
      </c>
      <c r="V78" s="37">
        <v>2</v>
      </c>
      <c r="W78" s="29"/>
      <c r="X78" s="37">
        <v>2</v>
      </c>
      <c r="Y78" s="37">
        <v>2</v>
      </c>
      <c r="Z78" s="37">
        <v>2</v>
      </c>
      <c r="AA78" s="37">
        <v>2</v>
      </c>
    </row>
    <row r="79" spans="2:27" x14ac:dyDescent="0.3">
      <c r="B79" s="105" t="s">
        <v>61</v>
      </c>
      <c r="C79" s="103"/>
      <c r="D79" s="105" t="s">
        <v>127</v>
      </c>
      <c r="E79" s="103"/>
      <c r="F79" s="36" t="s">
        <v>2</v>
      </c>
      <c r="G79" s="37">
        <v>6</v>
      </c>
      <c r="H79" s="37">
        <v>6</v>
      </c>
      <c r="I79" s="37">
        <v>5</v>
      </c>
      <c r="J79" s="37">
        <v>5</v>
      </c>
      <c r="K79" s="37">
        <v>5</v>
      </c>
      <c r="L79" s="37">
        <v>5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46">
        <v>2.6666666666666665</v>
      </c>
      <c r="T79" s="37">
        <v>2</v>
      </c>
      <c r="U79" s="37">
        <v>2</v>
      </c>
      <c r="V79" s="37">
        <v>2</v>
      </c>
      <c r="W79" s="29"/>
      <c r="X79" s="37">
        <v>6</v>
      </c>
      <c r="Y79" s="37">
        <v>5</v>
      </c>
      <c r="Z79" s="37">
        <v>0</v>
      </c>
      <c r="AA79" s="37">
        <v>0</v>
      </c>
    </row>
    <row r="80" spans="2:27" x14ac:dyDescent="0.3">
      <c r="B80" s="108"/>
      <c r="C80" s="103"/>
      <c r="D80" s="106"/>
      <c r="E80" s="100"/>
      <c r="F80" s="36" t="s">
        <v>3</v>
      </c>
      <c r="G80" s="37">
        <v>6</v>
      </c>
      <c r="H80" s="37">
        <v>6</v>
      </c>
      <c r="I80" s="37">
        <v>6</v>
      </c>
      <c r="J80" s="37">
        <v>5</v>
      </c>
      <c r="K80" s="37">
        <v>5</v>
      </c>
      <c r="L80" s="37">
        <v>5</v>
      </c>
      <c r="M80" s="37">
        <v>5</v>
      </c>
      <c r="N80" s="37">
        <v>5</v>
      </c>
      <c r="O80" s="37">
        <v>5</v>
      </c>
      <c r="P80" s="37">
        <v>5</v>
      </c>
      <c r="Q80" s="37">
        <v>5</v>
      </c>
      <c r="R80" s="37">
        <v>5</v>
      </c>
      <c r="S80" s="44">
        <v>5.25</v>
      </c>
      <c r="T80" s="37">
        <v>0</v>
      </c>
      <c r="U80" s="37">
        <v>5</v>
      </c>
      <c r="V80" s="37">
        <v>3</v>
      </c>
      <c r="W80" s="29"/>
      <c r="X80" s="37">
        <v>6</v>
      </c>
      <c r="Y80" s="37">
        <v>5</v>
      </c>
      <c r="Z80" s="37">
        <v>5</v>
      </c>
      <c r="AA80" s="37">
        <v>5</v>
      </c>
    </row>
    <row r="81" spans="2:27" x14ac:dyDescent="0.3">
      <c r="B81" s="108"/>
      <c r="C81" s="103"/>
      <c r="D81" s="105" t="s">
        <v>128</v>
      </c>
      <c r="E81" s="103"/>
      <c r="F81" s="36" t="s">
        <v>2</v>
      </c>
      <c r="G81" s="37">
        <v>4</v>
      </c>
      <c r="H81" s="37">
        <v>4</v>
      </c>
      <c r="I81" s="37">
        <v>5</v>
      </c>
      <c r="J81" s="37">
        <v>4</v>
      </c>
      <c r="K81" s="37">
        <v>4</v>
      </c>
      <c r="L81" s="37">
        <v>4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46">
        <v>2.0833333333333335</v>
      </c>
      <c r="T81" s="37">
        <v>5</v>
      </c>
      <c r="U81" s="37">
        <v>5</v>
      </c>
      <c r="V81" s="37">
        <v>5</v>
      </c>
      <c r="W81" s="29"/>
      <c r="X81" s="37">
        <v>4</v>
      </c>
      <c r="Y81" s="37">
        <v>4</v>
      </c>
      <c r="Z81" s="37">
        <v>0</v>
      </c>
      <c r="AA81" s="37">
        <v>0</v>
      </c>
    </row>
    <row r="82" spans="2:27" x14ac:dyDescent="0.3">
      <c r="B82" s="108"/>
      <c r="C82" s="103"/>
      <c r="D82" s="106"/>
      <c r="E82" s="100"/>
      <c r="F82" s="36" t="s">
        <v>3</v>
      </c>
      <c r="G82" s="37">
        <v>3</v>
      </c>
      <c r="H82" s="37">
        <v>3</v>
      </c>
      <c r="I82" s="37">
        <v>3</v>
      </c>
      <c r="J82" s="37">
        <v>3</v>
      </c>
      <c r="K82" s="37">
        <v>3</v>
      </c>
      <c r="L82" s="37">
        <v>3</v>
      </c>
      <c r="M82" s="37">
        <v>3</v>
      </c>
      <c r="N82" s="37">
        <v>3</v>
      </c>
      <c r="O82" s="37">
        <v>3</v>
      </c>
      <c r="P82" s="37">
        <v>3</v>
      </c>
      <c r="Q82" s="37">
        <v>3</v>
      </c>
      <c r="R82" s="37">
        <v>3</v>
      </c>
      <c r="S82" s="44">
        <v>3</v>
      </c>
      <c r="T82" s="37">
        <v>0</v>
      </c>
      <c r="U82" s="37">
        <v>4</v>
      </c>
      <c r="V82" s="37">
        <v>2</v>
      </c>
      <c r="W82" s="29"/>
      <c r="X82" s="37">
        <v>3</v>
      </c>
      <c r="Y82" s="37">
        <v>3</v>
      </c>
      <c r="Z82" s="37">
        <v>3</v>
      </c>
      <c r="AA82" s="37">
        <v>3</v>
      </c>
    </row>
    <row r="83" spans="2:27" x14ac:dyDescent="0.3">
      <c r="B83" s="108"/>
      <c r="C83" s="103"/>
      <c r="D83" s="105" t="s">
        <v>129</v>
      </c>
      <c r="E83" s="103"/>
      <c r="F83" s="36" t="s">
        <v>2</v>
      </c>
      <c r="G83" s="37">
        <v>4</v>
      </c>
      <c r="H83" s="37">
        <v>4</v>
      </c>
      <c r="I83" s="37">
        <v>4</v>
      </c>
      <c r="J83" s="37">
        <v>4</v>
      </c>
      <c r="K83" s="37">
        <v>5</v>
      </c>
      <c r="L83" s="37">
        <v>4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46">
        <v>2.0833333333333335</v>
      </c>
      <c r="T83" s="37">
        <v>3</v>
      </c>
      <c r="U83" s="37">
        <v>3</v>
      </c>
      <c r="V83" s="37">
        <v>3</v>
      </c>
      <c r="W83" s="29"/>
      <c r="X83" s="37">
        <v>4</v>
      </c>
      <c r="Y83" s="37">
        <v>4</v>
      </c>
      <c r="Z83" s="37">
        <v>0</v>
      </c>
      <c r="AA83" s="37">
        <v>0</v>
      </c>
    </row>
    <row r="84" spans="2:27" x14ac:dyDescent="0.3">
      <c r="B84" s="108"/>
      <c r="C84" s="103"/>
      <c r="D84" s="106"/>
      <c r="E84" s="100"/>
      <c r="F84" s="36" t="s">
        <v>3</v>
      </c>
      <c r="G84" s="37">
        <v>5</v>
      </c>
      <c r="H84" s="37">
        <v>5</v>
      </c>
      <c r="I84" s="37">
        <v>5</v>
      </c>
      <c r="J84" s="37">
        <v>4</v>
      </c>
      <c r="K84" s="37">
        <v>4</v>
      </c>
      <c r="L84" s="37">
        <v>4</v>
      </c>
      <c r="M84" s="37">
        <v>4</v>
      </c>
      <c r="N84" s="37">
        <v>4</v>
      </c>
      <c r="O84" s="37">
        <v>4</v>
      </c>
      <c r="P84" s="37">
        <v>4</v>
      </c>
      <c r="Q84" s="37">
        <v>4</v>
      </c>
      <c r="R84" s="37">
        <v>4</v>
      </c>
      <c r="S84" s="44">
        <v>4.25</v>
      </c>
      <c r="T84" s="37">
        <v>0</v>
      </c>
      <c r="U84" s="37">
        <v>4</v>
      </c>
      <c r="V84" s="37">
        <v>2</v>
      </c>
      <c r="W84" s="29"/>
      <c r="X84" s="37">
        <v>5</v>
      </c>
      <c r="Y84" s="37">
        <v>4</v>
      </c>
      <c r="Z84" s="37">
        <v>4</v>
      </c>
      <c r="AA84" s="37">
        <v>4</v>
      </c>
    </row>
    <row r="85" spans="2:27" x14ac:dyDescent="0.3">
      <c r="B85" s="108"/>
      <c r="C85" s="103"/>
      <c r="D85" s="105" t="s">
        <v>61</v>
      </c>
      <c r="E85" s="103"/>
      <c r="F85" s="36" t="s">
        <v>2</v>
      </c>
      <c r="G85" s="37">
        <v>3</v>
      </c>
      <c r="H85" s="37">
        <v>3</v>
      </c>
      <c r="I85" s="37">
        <v>3</v>
      </c>
      <c r="J85" s="37">
        <v>3</v>
      </c>
      <c r="K85" s="37">
        <v>3</v>
      </c>
      <c r="L85" s="37">
        <v>2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46">
        <v>1.4166666666666667</v>
      </c>
      <c r="T85" s="37">
        <v>4</v>
      </c>
      <c r="U85" s="37">
        <v>4</v>
      </c>
      <c r="V85" s="37">
        <v>4</v>
      </c>
      <c r="W85" s="29"/>
      <c r="X85" s="37">
        <v>3</v>
      </c>
      <c r="Y85" s="37">
        <v>3</v>
      </c>
      <c r="Z85" s="37">
        <v>0</v>
      </c>
      <c r="AA85" s="37">
        <v>0</v>
      </c>
    </row>
    <row r="86" spans="2:27" x14ac:dyDescent="0.3">
      <c r="B86" s="106"/>
      <c r="C86" s="100"/>
      <c r="D86" s="106"/>
      <c r="E86" s="100"/>
      <c r="F86" s="36" t="s">
        <v>3</v>
      </c>
      <c r="G86" s="37">
        <v>3</v>
      </c>
      <c r="H86" s="37">
        <v>3</v>
      </c>
      <c r="I86" s="37">
        <v>3</v>
      </c>
      <c r="J86" s="37">
        <v>3</v>
      </c>
      <c r="K86" s="37">
        <v>3</v>
      </c>
      <c r="L86" s="37">
        <v>3</v>
      </c>
      <c r="M86" s="37">
        <v>3</v>
      </c>
      <c r="N86" s="37">
        <v>3</v>
      </c>
      <c r="O86" s="37">
        <v>3</v>
      </c>
      <c r="P86" s="37">
        <v>3</v>
      </c>
      <c r="Q86" s="37">
        <v>3</v>
      </c>
      <c r="R86" s="37">
        <v>3</v>
      </c>
      <c r="S86" s="44">
        <v>3</v>
      </c>
      <c r="T86" s="37">
        <v>0</v>
      </c>
      <c r="U86" s="37">
        <v>3</v>
      </c>
      <c r="V86" s="37">
        <v>1</v>
      </c>
      <c r="W86" s="29"/>
      <c r="X86" s="37">
        <v>3</v>
      </c>
      <c r="Y86" s="37">
        <v>3</v>
      </c>
      <c r="Z86" s="37">
        <v>3</v>
      </c>
      <c r="AA86" s="37">
        <v>3</v>
      </c>
    </row>
    <row r="87" spans="2:27" x14ac:dyDescent="0.3">
      <c r="B87" s="105" t="s">
        <v>154</v>
      </c>
      <c r="C87" s="103"/>
      <c r="D87" s="105" t="s">
        <v>63</v>
      </c>
      <c r="E87" s="103"/>
      <c r="F87" s="36" t="s">
        <v>2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13</v>
      </c>
      <c r="O87" s="37">
        <v>14</v>
      </c>
      <c r="P87" s="37">
        <v>15</v>
      </c>
      <c r="Q87" s="37">
        <v>16</v>
      </c>
      <c r="R87" s="37">
        <v>16</v>
      </c>
      <c r="S87" s="46">
        <v>6.166666666666667</v>
      </c>
      <c r="T87" s="37">
        <v>3</v>
      </c>
      <c r="U87" s="37">
        <v>3</v>
      </c>
      <c r="V87" s="37">
        <v>3</v>
      </c>
      <c r="W87" s="29"/>
      <c r="X87" s="37">
        <v>0</v>
      </c>
      <c r="Y87" s="37">
        <v>0</v>
      </c>
      <c r="Z87" s="37">
        <v>14</v>
      </c>
      <c r="AA87" s="37">
        <v>16</v>
      </c>
    </row>
    <row r="88" spans="2:27" x14ac:dyDescent="0.3">
      <c r="B88" s="108"/>
      <c r="C88" s="103"/>
      <c r="D88" s="106"/>
      <c r="E88" s="100"/>
      <c r="F88" s="36" t="s">
        <v>3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15</v>
      </c>
      <c r="O88" s="37">
        <v>15</v>
      </c>
      <c r="P88" s="37">
        <v>15</v>
      </c>
      <c r="Q88" s="37">
        <v>15</v>
      </c>
      <c r="R88" s="37">
        <v>15</v>
      </c>
      <c r="S88" s="44">
        <v>6.25</v>
      </c>
      <c r="T88" s="37">
        <v>16</v>
      </c>
      <c r="U88" s="37">
        <v>15</v>
      </c>
      <c r="V88" s="37">
        <v>15</v>
      </c>
      <c r="W88" s="29"/>
      <c r="X88" s="37">
        <v>0</v>
      </c>
      <c r="Y88" s="37">
        <v>0</v>
      </c>
      <c r="Z88" s="37">
        <v>15</v>
      </c>
      <c r="AA88" s="37">
        <v>15</v>
      </c>
    </row>
    <row r="89" spans="2:27" x14ac:dyDescent="0.3">
      <c r="B89" s="108"/>
      <c r="C89" s="103"/>
      <c r="D89" s="105" t="s">
        <v>64</v>
      </c>
      <c r="E89" s="103"/>
      <c r="F89" s="36" t="s">
        <v>2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15</v>
      </c>
      <c r="O89" s="37">
        <v>15</v>
      </c>
      <c r="P89" s="37">
        <v>15</v>
      </c>
      <c r="Q89" s="37">
        <v>14</v>
      </c>
      <c r="R89" s="37">
        <v>15</v>
      </c>
      <c r="S89" s="46">
        <v>6.166666666666667</v>
      </c>
      <c r="T89" s="37">
        <v>15</v>
      </c>
      <c r="U89" s="37">
        <v>15</v>
      </c>
      <c r="V89" s="37">
        <v>15</v>
      </c>
      <c r="W89" s="29"/>
      <c r="X89" s="37">
        <v>0</v>
      </c>
      <c r="Y89" s="37">
        <v>0</v>
      </c>
      <c r="Z89" s="37">
        <v>15</v>
      </c>
      <c r="AA89" s="37">
        <v>15</v>
      </c>
    </row>
    <row r="90" spans="2:27" x14ac:dyDescent="0.3">
      <c r="B90" s="108"/>
      <c r="C90" s="103"/>
      <c r="D90" s="106"/>
      <c r="E90" s="100"/>
      <c r="F90" s="36" t="s">
        <v>3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17</v>
      </c>
      <c r="O90" s="37">
        <v>17</v>
      </c>
      <c r="P90" s="37">
        <v>17</v>
      </c>
      <c r="Q90" s="37">
        <v>17</v>
      </c>
      <c r="R90" s="37">
        <v>17</v>
      </c>
      <c r="S90" s="44">
        <v>7.083333333333333</v>
      </c>
      <c r="T90" s="37">
        <v>15</v>
      </c>
      <c r="U90" s="37">
        <v>15</v>
      </c>
      <c r="V90" s="37">
        <v>15</v>
      </c>
      <c r="W90" s="29"/>
      <c r="X90" s="37">
        <v>0</v>
      </c>
      <c r="Y90" s="37">
        <v>0</v>
      </c>
      <c r="Z90" s="37">
        <v>17</v>
      </c>
      <c r="AA90" s="37">
        <v>17</v>
      </c>
    </row>
    <row r="91" spans="2:27" x14ac:dyDescent="0.3">
      <c r="B91" s="108"/>
      <c r="C91" s="103"/>
      <c r="D91" s="105" t="s">
        <v>65</v>
      </c>
      <c r="E91" s="103"/>
      <c r="F91" s="36" t="s">
        <v>2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2</v>
      </c>
      <c r="O91" s="37">
        <v>2</v>
      </c>
      <c r="P91" s="37">
        <v>2</v>
      </c>
      <c r="Q91" s="37">
        <v>2</v>
      </c>
      <c r="R91" s="37">
        <v>2</v>
      </c>
      <c r="S91" s="46">
        <v>0.83333333333333337</v>
      </c>
      <c r="T91" s="37">
        <v>17</v>
      </c>
      <c r="U91" s="37">
        <v>17</v>
      </c>
      <c r="V91" s="37">
        <v>17</v>
      </c>
      <c r="W91" s="29"/>
      <c r="X91" s="37">
        <v>0</v>
      </c>
      <c r="Y91" s="37">
        <v>0</v>
      </c>
      <c r="Z91" s="37">
        <v>2</v>
      </c>
      <c r="AA91" s="37">
        <v>2</v>
      </c>
    </row>
    <row r="92" spans="2:27" x14ac:dyDescent="0.3">
      <c r="B92" s="108"/>
      <c r="C92" s="103"/>
      <c r="D92" s="106"/>
      <c r="E92" s="100"/>
      <c r="F92" s="36" t="s">
        <v>3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2</v>
      </c>
      <c r="O92" s="37">
        <v>2</v>
      </c>
      <c r="P92" s="37">
        <v>2</v>
      </c>
      <c r="Q92" s="37">
        <v>2</v>
      </c>
      <c r="R92" s="37">
        <v>2</v>
      </c>
      <c r="S92" s="44">
        <v>0.83333333333333337</v>
      </c>
      <c r="T92" s="37">
        <v>2</v>
      </c>
      <c r="U92" s="37">
        <v>2</v>
      </c>
      <c r="V92" s="37">
        <v>2</v>
      </c>
      <c r="W92" s="29"/>
      <c r="X92" s="37">
        <v>0</v>
      </c>
      <c r="Y92" s="37">
        <v>0</v>
      </c>
      <c r="Z92" s="37">
        <v>2</v>
      </c>
      <c r="AA92" s="37">
        <v>2</v>
      </c>
    </row>
    <row r="93" spans="2:27" x14ac:dyDescent="0.3">
      <c r="B93" s="108"/>
      <c r="C93" s="103"/>
      <c r="D93" s="105" t="s">
        <v>154</v>
      </c>
      <c r="E93" s="103"/>
      <c r="F93" s="36" t="s">
        <v>2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4</v>
      </c>
      <c r="O93" s="37">
        <v>5</v>
      </c>
      <c r="P93" s="37">
        <v>5</v>
      </c>
      <c r="Q93" s="37">
        <v>5</v>
      </c>
      <c r="R93" s="37">
        <v>5</v>
      </c>
      <c r="S93" s="46">
        <v>2</v>
      </c>
      <c r="T93" s="37">
        <v>2</v>
      </c>
      <c r="U93" s="37">
        <v>2</v>
      </c>
      <c r="V93" s="37">
        <v>2</v>
      </c>
      <c r="W93" s="29"/>
      <c r="X93" s="37">
        <v>0</v>
      </c>
      <c r="Y93" s="37">
        <v>0</v>
      </c>
      <c r="Z93" s="37">
        <v>5</v>
      </c>
      <c r="AA93" s="37">
        <v>5</v>
      </c>
    </row>
    <row r="94" spans="2:27" x14ac:dyDescent="0.3">
      <c r="B94" s="106"/>
      <c r="C94" s="100"/>
      <c r="D94" s="106"/>
      <c r="E94" s="100"/>
      <c r="F94" s="36" t="s">
        <v>3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7</v>
      </c>
      <c r="O94" s="37">
        <v>7</v>
      </c>
      <c r="P94" s="37">
        <v>7</v>
      </c>
      <c r="Q94" s="37">
        <v>7</v>
      </c>
      <c r="R94" s="37">
        <v>7</v>
      </c>
      <c r="S94" s="44">
        <v>2.9166666666666665</v>
      </c>
      <c r="T94" s="37">
        <v>5</v>
      </c>
      <c r="U94" s="37">
        <v>5</v>
      </c>
      <c r="V94" s="37">
        <v>5</v>
      </c>
      <c r="W94" s="29"/>
      <c r="X94" s="37">
        <v>0</v>
      </c>
      <c r="Y94" s="37">
        <v>0</v>
      </c>
      <c r="Z94" s="37">
        <v>7</v>
      </c>
      <c r="AA94" s="37">
        <v>7</v>
      </c>
    </row>
    <row r="95" spans="2:27" x14ac:dyDescent="0.3">
      <c r="B95" s="105" t="s">
        <v>155</v>
      </c>
      <c r="C95" s="103"/>
      <c r="D95" s="105" t="s">
        <v>127</v>
      </c>
      <c r="E95" s="103"/>
      <c r="F95" s="36" t="s">
        <v>2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5</v>
      </c>
      <c r="N95" s="37">
        <v>5</v>
      </c>
      <c r="O95" s="37">
        <v>5</v>
      </c>
      <c r="P95" s="37">
        <v>4</v>
      </c>
      <c r="Q95" s="37">
        <v>3</v>
      </c>
      <c r="R95" s="37">
        <v>3</v>
      </c>
      <c r="S95" s="46">
        <v>2.0833333333333335</v>
      </c>
      <c r="T95" s="37">
        <v>7</v>
      </c>
      <c r="U95" s="37">
        <v>7</v>
      </c>
      <c r="V95" s="37">
        <v>7</v>
      </c>
      <c r="W95" s="29"/>
      <c r="X95" s="37">
        <v>0</v>
      </c>
      <c r="Y95" s="37">
        <v>0</v>
      </c>
      <c r="Z95" s="37">
        <v>5</v>
      </c>
      <c r="AA95" s="37">
        <v>3</v>
      </c>
    </row>
    <row r="96" spans="2:27" x14ac:dyDescent="0.3">
      <c r="B96" s="108"/>
      <c r="C96" s="103"/>
      <c r="D96" s="106"/>
      <c r="E96" s="100"/>
      <c r="F96" s="36" t="s">
        <v>3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44">
        <v>0</v>
      </c>
      <c r="T96" s="37">
        <v>3</v>
      </c>
      <c r="U96" s="37">
        <v>4</v>
      </c>
      <c r="V96" s="37">
        <v>4</v>
      </c>
      <c r="W96" s="29"/>
      <c r="X96" s="37">
        <v>0</v>
      </c>
      <c r="Y96" s="37">
        <v>0</v>
      </c>
      <c r="Z96" s="37">
        <v>0</v>
      </c>
      <c r="AA96" s="37">
        <v>0</v>
      </c>
    </row>
    <row r="97" spans="2:27" x14ac:dyDescent="0.3">
      <c r="B97" s="108"/>
      <c r="C97" s="103"/>
      <c r="D97" s="105" t="s">
        <v>156</v>
      </c>
      <c r="E97" s="103"/>
      <c r="F97" s="36" t="s">
        <v>2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4</v>
      </c>
      <c r="N97" s="37">
        <v>4</v>
      </c>
      <c r="O97" s="37">
        <v>4</v>
      </c>
      <c r="P97" s="37">
        <v>4</v>
      </c>
      <c r="Q97" s="37">
        <v>4</v>
      </c>
      <c r="R97" s="37">
        <v>4</v>
      </c>
      <c r="S97" s="46">
        <v>2</v>
      </c>
      <c r="T97" s="37">
        <v>0</v>
      </c>
      <c r="U97" s="37">
        <v>0</v>
      </c>
      <c r="V97" s="37">
        <v>0</v>
      </c>
      <c r="W97" s="29"/>
      <c r="X97" s="37">
        <v>0</v>
      </c>
      <c r="Y97" s="37">
        <v>0</v>
      </c>
      <c r="Z97" s="37">
        <v>4</v>
      </c>
      <c r="AA97" s="37">
        <v>4</v>
      </c>
    </row>
    <row r="98" spans="2:27" x14ac:dyDescent="0.3">
      <c r="B98" s="108"/>
      <c r="C98" s="103"/>
      <c r="D98" s="106"/>
      <c r="E98" s="100"/>
      <c r="F98" s="36" t="s">
        <v>3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44">
        <v>0</v>
      </c>
      <c r="T98" s="37">
        <v>4</v>
      </c>
      <c r="U98" s="37">
        <v>4</v>
      </c>
      <c r="V98" s="37">
        <v>4</v>
      </c>
      <c r="W98" s="29"/>
      <c r="X98" s="37">
        <v>0</v>
      </c>
      <c r="Y98" s="37">
        <v>0</v>
      </c>
      <c r="Z98" s="37">
        <v>0</v>
      </c>
      <c r="AA98" s="37">
        <v>0</v>
      </c>
    </row>
    <row r="99" spans="2:27" x14ac:dyDescent="0.3">
      <c r="B99" s="108"/>
      <c r="C99" s="103"/>
      <c r="D99" s="105" t="s">
        <v>72</v>
      </c>
      <c r="E99" s="103"/>
      <c r="F99" s="36" t="s">
        <v>2</v>
      </c>
      <c r="G99" s="37">
        <v>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46">
        <v>0</v>
      </c>
      <c r="T99" s="37">
        <v>0</v>
      </c>
      <c r="U99" s="37">
        <v>0</v>
      </c>
      <c r="V99" s="37">
        <v>0</v>
      </c>
      <c r="W99" s="29"/>
      <c r="X99" s="37">
        <v>0</v>
      </c>
      <c r="Y99" s="37">
        <v>0</v>
      </c>
      <c r="Z99" s="37">
        <v>0</v>
      </c>
      <c r="AA99" s="37">
        <v>0</v>
      </c>
    </row>
    <row r="100" spans="2:27" x14ac:dyDescent="0.3">
      <c r="B100" s="108"/>
      <c r="C100" s="103"/>
      <c r="D100" s="106"/>
      <c r="E100" s="100"/>
      <c r="F100" s="36" t="s">
        <v>3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44">
        <v>0</v>
      </c>
      <c r="T100" s="37">
        <v>0</v>
      </c>
      <c r="U100" s="37">
        <v>0</v>
      </c>
      <c r="V100" s="37">
        <v>0</v>
      </c>
      <c r="W100" s="29"/>
      <c r="X100" s="37">
        <v>0</v>
      </c>
      <c r="Y100" s="37">
        <v>0</v>
      </c>
      <c r="Z100" s="37">
        <v>0</v>
      </c>
      <c r="AA100" s="37">
        <v>0</v>
      </c>
    </row>
    <row r="101" spans="2:27" x14ac:dyDescent="0.3">
      <c r="B101" s="108"/>
      <c r="C101" s="103"/>
      <c r="D101" s="105" t="s">
        <v>157</v>
      </c>
      <c r="E101" s="103"/>
      <c r="F101" s="36" t="s">
        <v>2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1</v>
      </c>
      <c r="M101" s="37">
        <v>2</v>
      </c>
      <c r="N101" s="37">
        <v>2</v>
      </c>
      <c r="O101" s="37">
        <v>2</v>
      </c>
      <c r="P101" s="37">
        <v>2</v>
      </c>
      <c r="Q101" s="37">
        <v>2</v>
      </c>
      <c r="R101" s="37">
        <v>2</v>
      </c>
      <c r="S101" s="46">
        <v>1.0833333333333333</v>
      </c>
      <c r="T101" s="37">
        <v>0</v>
      </c>
      <c r="U101" s="37">
        <v>0</v>
      </c>
      <c r="V101" s="37">
        <v>0</v>
      </c>
      <c r="W101" s="29"/>
      <c r="X101" s="37">
        <v>0</v>
      </c>
      <c r="Y101" s="37">
        <v>1</v>
      </c>
      <c r="Z101" s="37">
        <v>2</v>
      </c>
      <c r="AA101" s="37">
        <v>2</v>
      </c>
    </row>
    <row r="102" spans="2:27" x14ac:dyDescent="0.3">
      <c r="B102" s="108"/>
      <c r="C102" s="103"/>
      <c r="D102" s="106"/>
      <c r="E102" s="100"/>
      <c r="F102" s="36" t="s">
        <v>3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44">
        <v>0</v>
      </c>
      <c r="T102" s="37">
        <v>2</v>
      </c>
      <c r="U102" s="37">
        <v>2</v>
      </c>
      <c r="V102" s="37">
        <v>2</v>
      </c>
      <c r="W102" s="29"/>
      <c r="X102" s="37">
        <v>0</v>
      </c>
      <c r="Y102" s="37">
        <v>0</v>
      </c>
      <c r="Z102" s="37">
        <v>0</v>
      </c>
      <c r="AA102" s="37">
        <v>0</v>
      </c>
    </row>
    <row r="103" spans="2:27" x14ac:dyDescent="0.3">
      <c r="B103" s="108"/>
      <c r="C103" s="103"/>
      <c r="D103" s="105" t="s">
        <v>74</v>
      </c>
      <c r="E103" s="103"/>
      <c r="F103" s="36" t="s">
        <v>2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3</v>
      </c>
      <c r="N103" s="37">
        <v>3</v>
      </c>
      <c r="O103" s="37">
        <v>3</v>
      </c>
      <c r="P103" s="37">
        <v>3</v>
      </c>
      <c r="Q103" s="37">
        <v>3</v>
      </c>
      <c r="R103" s="37">
        <v>3</v>
      </c>
      <c r="S103" s="46">
        <v>1.5</v>
      </c>
      <c r="T103" s="37">
        <v>0</v>
      </c>
      <c r="U103" s="37">
        <v>0</v>
      </c>
      <c r="V103" s="37">
        <v>0</v>
      </c>
      <c r="W103" s="29"/>
      <c r="X103" s="37">
        <v>0</v>
      </c>
      <c r="Y103" s="37">
        <v>0</v>
      </c>
      <c r="Z103" s="37">
        <v>3</v>
      </c>
      <c r="AA103" s="37">
        <v>3</v>
      </c>
    </row>
    <row r="104" spans="2:27" x14ac:dyDescent="0.3">
      <c r="B104" s="108"/>
      <c r="C104" s="103"/>
      <c r="D104" s="106"/>
      <c r="E104" s="100"/>
      <c r="F104" s="36" t="s">
        <v>3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44">
        <v>0</v>
      </c>
      <c r="T104" s="37">
        <v>3</v>
      </c>
      <c r="U104" s="37">
        <v>3</v>
      </c>
      <c r="V104" s="37">
        <v>3</v>
      </c>
      <c r="W104" s="29"/>
      <c r="X104" s="37">
        <v>0</v>
      </c>
      <c r="Y104" s="37">
        <v>0</v>
      </c>
      <c r="Z104" s="37">
        <v>0</v>
      </c>
      <c r="AA104" s="37">
        <v>0</v>
      </c>
    </row>
    <row r="105" spans="2:27" x14ac:dyDescent="0.3">
      <c r="B105" s="108"/>
      <c r="C105" s="103"/>
      <c r="D105" s="105" t="s">
        <v>155</v>
      </c>
      <c r="E105" s="103"/>
      <c r="F105" s="36" t="s">
        <v>2</v>
      </c>
      <c r="G105" s="37">
        <v>0</v>
      </c>
      <c r="H105" s="37">
        <v>0</v>
      </c>
      <c r="I105" s="37">
        <v>0</v>
      </c>
      <c r="J105" s="37">
        <v>0</v>
      </c>
      <c r="K105" s="37">
        <v>0</v>
      </c>
      <c r="L105" s="37">
        <v>3</v>
      </c>
      <c r="M105" s="37">
        <v>9</v>
      </c>
      <c r="N105" s="37">
        <v>9</v>
      </c>
      <c r="O105" s="37">
        <v>9</v>
      </c>
      <c r="P105" s="37">
        <v>9</v>
      </c>
      <c r="Q105" s="37">
        <v>9</v>
      </c>
      <c r="R105" s="37">
        <v>9</v>
      </c>
      <c r="S105" s="46">
        <v>4.75</v>
      </c>
      <c r="T105" s="37">
        <v>0</v>
      </c>
      <c r="U105" s="37">
        <v>0</v>
      </c>
      <c r="V105" s="37">
        <v>0</v>
      </c>
      <c r="W105" s="29"/>
      <c r="X105" s="37">
        <v>0</v>
      </c>
      <c r="Y105" s="37">
        <v>3</v>
      </c>
      <c r="Z105" s="37">
        <v>9</v>
      </c>
      <c r="AA105" s="37">
        <v>9</v>
      </c>
    </row>
    <row r="106" spans="2:27" x14ac:dyDescent="0.3">
      <c r="B106" s="106"/>
      <c r="C106" s="100"/>
      <c r="D106" s="106"/>
      <c r="E106" s="100"/>
      <c r="F106" s="36" t="s">
        <v>3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44">
        <v>0</v>
      </c>
      <c r="T106" s="37">
        <v>9</v>
      </c>
      <c r="U106" s="37">
        <v>8</v>
      </c>
      <c r="V106" s="37">
        <v>7</v>
      </c>
      <c r="W106" s="29"/>
      <c r="X106" s="37">
        <v>0</v>
      </c>
      <c r="Y106" s="37">
        <v>0</v>
      </c>
      <c r="Z106" s="37">
        <v>0</v>
      </c>
      <c r="AA106" s="37">
        <v>0</v>
      </c>
    </row>
    <row r="107" spans="2:27" x14ac:dyDescent="0.3">
      <c r="B107" s="105" t="s">
        <v>130</v>
      </c>
      <c r="C107" s="103"/>
      <c r="D107" s="105" t="s">
        <v>63</v>
      </c>
      <c r="E107" s="103"/>
      <c r="F107" s="36" t="s">
        <v>2</v>
      </c>
      <c r="G107" s="37">
        <v>12</v>
      </c>
      <c r="H107" s="37">
        <v>11</v>
      </c>
      <c r="I107" s="37">
        <v>11</v>
      </c>
      <c r="J107" s="37">
        <v>10</v>
      </c>
      <c r="K107" s="37">
        <v>11</v>
      </c>
      <c r="L107" s="37">
        <v>11</v>
      </c>
      <c r="M107" s="37">
        <v>11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46">
        <v>6.416666666666667</v>
      </c>
      <c r="T107" s="37">
        <v>0</v>
      </c>
      <c r="U107" s="37">
        <v>0</v>
      </c>
      <c r="V107" s="37">
        <v>0</v>
      </c>
      <c r="W107" s="29"/>
      <c r="X107" s="37">
        <v>11</v>
      </c>
      <c r="Y107" s="37">
        <v>11</v>
      </c>
      <c r="Z107" s="37">
        <v>11</v>
      </c>
      <c r="AA107" s="37">
        <v>0</v>
      </c>
    </row>
    <row r="108" spans="2:27" x14ac:dyDescent="0.3">
      <c r="B108" s="108"/>
      <c r="C108" s="103"/>
      <c r="D108" s="106"/>
      <c r="E108" s="100"/>
      <c r="F108" s="36" t="s">
        <v>3</v>
      </c>
      <c r="G108" s="37">
        <v>15</v>
      </c>
      <c r="H108" s="37">
        <v>15</v>
      </c>
      <c r="I108" s="37">
        <v>15</v>
      </c>
      <c r="J108" s="37">
        <v>15</v>
      </c>
      <c r="K108" s="37">
        <v>15</v>
      </c>
      <c r="L108" s="37">
        <v>15</v>
      </c>
      <c r="M108" s="37">
        <v>15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44">
        <v>8.75</v>
      </c>
      <c r="T108" s="37">
        <v>0</v>
      </c>
      <c r="U108" s="37">
        <v>11</v>
      </c>
      <c r="V108" s="37">
        <v>11</v>
      </c>
      <c r="W108" s="29"/>
      <c r="X108" s="37">
        <v>15</v>
      </c>
      <c r="Y108" s="37">
        <v>15</v>
      </c>
      <c r="Z108" s="37">
        <v>15</v>
      </c>
      <c r="AA108" s="37">
        <v>0</v>
      </c>
    </row>
    <row r="109" spans="2:27" x14ac:dyDescent="0.3">
      <c r="B109" s="108"/>
      <c r="C109" s="103"/>
      <c r="D109" s="105" t="s">
        <v>64</v>
      </c>
      <c r="E109" s="103"/>
      <c r="F109" s="36" t="s">
        <v>2</v>
      </c>
      <c r="G109" s="37">
        <v>4</v>
      </c>
      <c r="H109" s="37">
        <v>5</v>
      </c>
      <c r="I109" s="37">
        <v>15</v>
      </c>
      <c r="J109" s="37">
        <v>15</v>
      </c>
      <c r="K109" s="37">
        <v>14</v>
      </c>
      <c r="L109" s="37">
        <v>15</v>
      </c>
      <c r="M109" s="37">
        <v>15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46">
        <v>6.916666666666667</v>
      </c>
      <c r="T109" s="37">
        <v>0</v>
      </c>
      <c r="U109" s="37">
        <v>15</v>
      </c>
      <c r="V109" s="37">
        <v>15</v>
      </c>
      <c r="W109" s="29"/>
      <c r="X109" s="37">
        <v>8</v>
      </c>
      <c r="Y109" s="37">
        <v>15</v>
      </c>
      <c r="Z109" s="37">
        <v>15</v>
      </c>
      <c r="AA109" s="37">
        <v>0</v>
      </c>
    </row>
    <row r="110" spans="2:27" x14ac:dyDescent="0.3">
      <c r="B110" s="108"/>
      <c r="C110" s="103"/>
      <c r="D110" s="106"/>
      <c r="E110" s="100"/>
      <c r="F110" s="36" t="s">
        <v>3</v>
      </c>
      <c r="G110" s="37">
        <v>17</v>
      </c>
      <c r="H110" s="37">
        <v>17</v>
      </c>
      <c r="I110" s="37">
        <v>17</v>
      </c>
      <c r="J110" s="37">
        <v>17</v>
      </c>
      <c r="K110" s="37">
        <v>17</v>
      </c>
      <c r="L110" s="37">
        <v>17</v>
      </c>
      <c r="M110" s="37">
        <v>17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44">
        <v>9.9166666666666661</v>
      </c>
      <c r="T110" s="37">
        <v>0</v>
      </c>
      <c r="U110" s="37">
        <v>12</v>
      </c>
      <c r="V110" s="37">
        <v>12</v>
      </c>
      <c r="W110" s="29"/>
      <c r="X110" s="37">
        <v>17</v>
      </c>
      <c r="Y110" s="37">
        <v>17</v>
      </c>
      <c r="Z110" s="37">
        <v>17</v>
      </c>
      <c r="AA110" s="37">
        <v>0</v>
      </c>
    </row>
    <row r="111" spans="2:27" x14ac:dyDescent="0.3">
      <c r="B111" s="108"/>
      <c r="C111" s="103"/>
      <c r="D111" s="105" t="s">
        <v>65</v>
      </c>
      <c r="E111" s="103"/>
      <c r="F111" s="36" t="s">
        <v>2</v>
      </c>
      <c r="G111" s="37">
        <v>1</v>
      </c>
      <c r="H111" s="37">
        <v>1</v>
      </c>
      <c r="I111" s="37">
        <v>2</v>
      </c>
      <c r="J111" s="37">
        <v>2</v>
      </c>
      <c r="K111" s="37">
        <v>2</v>
      </c>
      <c r="L111" s="37">
        <v>2</v>
      </c>
      <c r="M111" s="37">
        <v>2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46">
        <v>1</v>
      </c>
      <c r="T111" s="37">
        <v>0</v>
      </c>
      <c r="U111" s="37">
        <v>17</v>
      </c>
      <c r="V111" s="37">
        <v>17</v>
      </c>
      <c r="W111" s="29"/>
      <c r="X111" s="37">
        <v>1</v>
      </c>
      <c r="Y111" s="37">
        <v>2</v>
      </c>
      <c r="Z111" s="37">
        <v>2</v>
      </c>
      <c r="AA111" s="37">
        <v>0</v>
      </c>
    </row>
    <row r="112" spans="2:27" x14ac:dyDescent="0.3">
      <c r="B112" s="108"/>
      <c r="C112" s="103"/>
      <c r="D112" s="106"/>
      <c r="E112" s="100"/>
      <c r="F112" s="36" t="s">
        <v>3</v>
      </c>
      <c r="G112" s="37">
        <v>2</v>
      </c>
      <c r="H112" s="37">
        <v>2</v>
      </c>
      <c r="I112" s="37">
        <v>2</v>
      </c>
      <c r="J112" s="37">
        <v>2</v>
      </c>
      <c r="K112" s="37">
        <v>2</v>
      </c>
      <c r="L112" s="37">
        <v>2</v>
      </c>
      <c r="M112" s="37">
        <v>2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44">
        <v>1.1666666666666667</v>
      </c>
      <c r="T112" s="37">
        <v>0</v>
      </c>
      <c r="U112" s="37">
        <v>2</v>
      </c>
      <c r="V112" s="37">
        <v>2</v>
      </c>
      <c r="W112" s="29"/>
      <c r="X112" s="37">
        <v>2</v>
      </c>
      <c r="Y112" s="37">
        <v>2</v>
      </c>
      <c r="Z112" s="37">
        <v>2</v>
      </c>
      <c r="AA112" s="37">
        <v>0</v>
      </c>
    </row>
    <row r="113" spans="2:27" x14ac:dyDescent="0.3">
      <c r="B113" s="108"/>
      <c r="C113" s="103"/>
      <c r="D113" s="105" t="s">
        <v>133</v>
      </c>
      <c r="E113" s="103"/>
      <c r="F113" s="36" t="s">
        <v>2</v>
      </c>
      <c r="G113" s="37">
        <v>11</v>
      </c>
      <c r="H113" s="37">
        <v>9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46">
        <v>1.6666666666666667</v>
      </c>
      <c r="T113" s="37">
        <v>0</v>
      </c>
      <c r="U113" s="37">
        <v>2</v>
      </c>
      <c r="V113" s="37">
        <v>2</v>
      </c>
      <c r="W113" s="29"/>
      <c r="X113" s="37">
        <v>10</v>
      </c>
      <c r="Y113" s="37">
        <v>0</v>
      </c>
      <c r="Z113" s="37">
        <v>0</v>
      </c>
      <c r="AA113" s="37">
        <v>0</v>
      </c>
    </row>
    <row r="114" spans="2:27" x14ac:dyDescent="0.3">
      <c r="B114" s="108"/>
      <c r="C114" s="103"/>
      <c r="D114" s="106"/>
      <c r="E114" s="100"/>
      <c r="F114" s="36" t="s">
        <v>3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44">
        <v>0</v>
      </c>
      <c r="T114" s="37">
        <v>0</v>
      </c>
      <c r="U114" s="37">
        <v>10</v>
      </c>
      <c r="V114" s="37">
        <v>10</v>
      </c>
      <c r="W114" s="29"/>
      <c r="X114" s="37">
        <v>0</v>
      </c>
      <c r="Y114" s="37">
        <v>0</v>
      </c>
      <c r="Z114" s="37">
        <v>0</v>
      </c>
      <c r="AA114" s="37">
        <v>0</v>
      </c>
    </row>
    <row r="115" spans="2:27" x14ac:dyDescent="0.3">
      <c r="B115" s="108"/>
      <c r="C115" s="103"/>
      <c r="D115" s="105" t="s">
        <v>130</v>
      </c>
      <c r="E115" s="103"/>
      <c r="F115" s="36" t="s">
        <v>2</v>
      </c>
      <c r="G115" s="37">
        <v>5</v>
      </c>
      <c r="H115" s="37">
        <v>4</v>
      </c>
      <c r="I115" s="37">
        <v>4</v>
      </c>
      <c r="J115" s="37">
        <v>4</v>
      </c>
      <c r="K115" s="37">
        <v>4</v>
      </c>
      <c r="L115" s="37">
        <v>4</v>
      </c>
      <c r="M115" s="37">
        <v>4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46">
        <v>2.4166666666666665</v>
      </c>
      <c r="T115" s="37">
        <v>0</v>
      </c>
      <c r="U115" s="37">
        <v>0</v>
      </c>
      <c r="V115" s="37">
        <v>0</v>
      </c>
      <c r="W115" s="29"/>
      <c r="X115" s="37">
        <v>4</v>
      </c>
      <c r="Y115" s="37">
        <v>4</v>
      </c>
      <c r="Z115" s="37">
        <v>4</v>
      </c>
      <c r="AA115" s="37">
        <v>0</v>
      </c>
    </row>
    <row r="116" spans="2:27" x14ac:dyDescent="0.3">
      <c r="B116" s="106"/>
      <c r="C116" s="100"/>
      <c r="D116" s="106"/>
      <c r="E116" s="100"/>
      <c r="F116" s="36" t="s">
        <v>3</v>
      </c>
      <c r="G116" s="37">
        <v>7</v>
      </c>
      <c r="H116" s="37">
        <v>7</v>
      </c>
      <c r="I116" s="37">
        <v>7</v>
      </c>
      <c r="J116" s="37">
        <v>7</v>
      </c>
      <c r="K116" s="37">
        <v>7</v>
      </c>
      <c r="L116" s="37">
        <v>7</v>
      </c>
      <c r="M116" s="37">
        <v>7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44">
        <v>4.083333333333333</v>
      </c>
      <c r="T116" s="37">
        <v>0</v>
      </c>
      <c r="U116" s="37">
        <v>4</v>
      </c>
      <c r="V116" s="37">
        <v>4</v>
      </c>
      <c r="W116" s="29"/>
      <c r="X116" s="37">
        <v>7</v>
      </c>
      <c r="Y116" s="37">
        <v>7</v>
      </c>
      <c r="Z116" s="37">
        <v>7</v>
      </c>
      <c r="AA116" s="37">
        <v>0</v>
      </c>
    </row>
    <row r="117" spans="2:27" x14ac:dyDescent="0.3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44" t="e">
        <v>#DIV/0!</v>
      </c>
      <c r="T117" s="29"/>
      <c r="U117" s="29"/>
      <c r="V117" s="29"/>
      <c r="W117" s="29"/>
      <c r="X117" s="29"/>
      <c r="Y117" s="29"/>
      <c r="Z117" s="29"/>
      <c r="AA117" s="29"/>
    </row>
    <row r="118" spans="2:27" x14ac:dyDescent="0.3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44" t="e">
        <v>#DIV/0!</v>
      </c>
      <c r="T118" s="37">
        <v>0</v>
      </c>
      <c r="U118" s="37">
        <v>7</v>
      </c>
      <c r="V118" s="37">
        <v>7</v>
      </c>
      <c r="W118" s="29"/>
      <c r="X118" s="29"/>
      <c r="Y118" s="29"/>
      <c r="Z118" s="29"/>
      <c r="AA118" s="29"/>
    </row>
    <row r="119" spans="2:27" ht="15" thickBot="1" x14ac:dyDescent="0.3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44" t="e">
        <v>#DIV/0!</v>
      </c>
      <c r="T119" s="29"/>
      <c r="U119" s="29"/>
      <c r="V119" s="29"/>
      <c r="W119" s="29"/>
      <c r="X119" s="29"/>
      <c r="Y119" s="29"/>
      <c r="Z119" s="29"/>
      <c r="AA119" s="29"/>
    </row>
    <row r="120" spans="2:27" ht="15" thickBot="1" x14ac:dyDescent="0.35">
      <c r="B120" s="99" t="s">
        <v>134</v>
      </c>
      <c r="C120" s="100"/>
      <c r="D120" s="100"/>
      <c r="E120" s="100"/>
      <c r="F120" s="30" t="s">
        <v>2</v>
      </c>
      <c r="G120" s="31">
        <v>151</v>
      </c>
      <c r="H120" s="31">
        <v>156</v>
      </c>
      <c r="I120" s="31">
        <v>150</v>
      </c>
      <c r="J120" s="31">
        <v>149</v>
      </c>
      <c r="K120" s="31">
        <v>143</v>
      </c>
      <c r="L120" s="31">
        <v>147</v>
      </c>
      <c r="M120" s="31">
        <v>147</v>
      </c>
      <c r="N120" s="31">
        <v>147</v>
      </c>
      <c r="O120" s="31">
        <v>147</v>
      </c>
      <c r="P120" s="31">
        <v>149</v>
      </c>
      <c r="Q120" s="31">
        <v>150</v>
      </c>
      <c r="R120" s="31">
        <v>149</v>
      </c>
      <c r="S120" s="51">
        <v>148.75</v>
      </c>
      <c r="T120" s="31">
        <v>149</v>
      </c>
      <c r="U120" s="31">
        <v>149</v>
      </c>
      <c r="V120" s="31">
        <v>149</v>
      </c>
      <c r="W120" s="29"/>
      <c r="X120" s="31">
        <v>152</v>
      </c>
      <c r="Y120" s="31">
        <v>147</v>
      </c>
      <c r="Z120" s="31">
        <v>177</v>
      </c>
      <c r="AA120" s="31">
        <v>150</v>
      </c>
    </row>
    <row r="121" spans="2:27" x14ac:dyDescent="0.3">
      <c r="B121" s="29"/>
      <c r="C121" s="29"/>
      <c r="D121" s="29"/>
      <c r="E121" s="29"/>
      <c r="F121" s="30" t="s">
        <v>3</v>
      </c>
      <c r="G121" s="31">
        <v>151</v>
      </c>
      <c r="H121" s="31">
        <v>151</v>
      </c>
      <c r="I121" s="31">
        <v>151</v>
      </c>
      <c r="J121" s="31">
        <v>151</v>
      </c>
      <c r="K121" s="31">
        <v>151</v>
      </c>
      <c r="L121" s="31">
        <v>151</v>
      </c>
      <c r="M121" s="31">
        <v>151</v>
      </c>
      <c r="N121" s="31">
        <v>151</v>
      </c>
      <c r="O121" s="31">
        <v>151</v>
      </c>
      <c r="P121" s="31">
        <v>150</v>
      </c>
      <c r="Q121" s="31">
        <v>150</v>
      </c>
      <c r="R121" s="31">
        <v>150</v>
      </c>
      <c r="S121" s="44">
        <v>150.75</v>
      </c>
      <c r="T121" s="31">
        <v>150</v>
      </c>
      <c r="U121" s="31">
        <v>151</v>
      </c>
      <c r="V121" s="31">
        <v>151</v>
      </c>
      <c r="W121" s="29"/>
      <c r="X121" s="31">
        <v>151</v>
      </c>
      <c r="Y121" s="31">
        <v>151</v>
      </c>
      <c r="Z121" s="31">
        <v>186</v>
      </c>
      <c r="AA121" s="31">
        <v>150</v>
      </c>
    </row>
    <row r="122" spans="2:27" x14ac:dyDescent="0.3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44" t="e">
        <v>#DIV/0!</v>
      </c>
      <c r="T122" s="29"/>
      <c r="U122" s="29"/>
      <c r="V122" s="29"/>
      <c r="W122" s="29"/>
      <c r="X122" s="29"/>
      <c r="Y122" s="29"/>
      <c r="Z122" s="29"/>
      <c r="AA122" s="29"/>
    </row>
    <row r="123" spans="2:27" x14ac:dyDescent="0.3">
      <c r="B123" s="101" t="s">
        <v>79</v>
      </c>
      <c r="C123" s="100"/>
      <c r="D123" s="100"/>
      <c r="E123" s="100"/>
      <c r="F123" s="30" t="s">
        <v>2</v>
      </c>
      <c r="G123" s="31">
        <v>141</v>
      </c>
      <c r="H123" s="31">
        <v>146.61000000000001</v>
      </c>
      <c r="I123" s="31">
        <v>141</v>
      </c>
      <c r="J123" s="31">
        <v>137</v>
      </c>
      <c r="K123" s="31">
        <v>131.4</v>
      </c>
      <c r="L123" s="31">
        <v>135.4</v>
      </c>
      <c r="M123" s="31">
        <v>135</v>
      </c>
      <c r="N123" s="31">
        <v>135</v>
      </c>
      <c r="O123" s="31">
        <v>135</v>
      </c>
      <c r="P123" s="31">
        <v>137</v>
      </c>
      <c r="Q123" s="31">
        <v>138</v>
      </c>
      <c r="R123" s="31">
        <v>138</v>
      </c>
      <c r="S123" s="44">
        <v>137.53416666666666</v>
      </c>
      <c r="T123" s="31">
        <v>138</v>
      </c>
      <c r="U123" s="31">
        <v>138</v>
      </c>
      <c r="V123" s="31">
        <v>138</v>
      </c>
      <c r="W123" s="29"/>
      <c r="X123" s="31">
        <v>143</v>
      </c>
      <c r="Y123" s="31">
        <v>135</v>
      </c>
      <c r="Z123" s="31">
        <v>135</v>
      </c>
      <c r="AA123" s="31">
        <v>138</v>
      </c>
    </row>
    <row r="124" spans="2:27" x14ac:dyDescent="0.3">
      <c r="B124" s="29"/>
      <c r="C124" s="29"/>
      <c r="D124" s="29"/>
      <c r="E124" s="29"/>
      <c r="F124" s="30" t="s">
        <v>3</v>
      </c>
      <c r="G124" s="31">
        <v>141</v>
      </c>
      <c r="H124" s="31">
        <v>141</v>
      </c>
      <c r="I124" s="31">
        <v>141</v>
      </c>
      <c r="J124" s="31">
        <v>141</v>
      </c>
      <c r="K124" s="31">
        <v>141</v>
      </c>
      <c r="L124" s="31">
        <v>141</v>
      </c>
      <c r="M124" s="31">
        <v>141</v>
      </c>
      <c r="N124" s="31">
        <v>141</v>
      </c>
      <c r="O124" s="31">
        <v>141</v>
      </c>
      <c r="P124" s="31">
        <v>141</v>
      </c>
      <c r="Q124" s="31">
        <v>141</v>
      </c>
      <c r="R124" s="31">
        <v>141</v>
      </c>
      <c r="S124" s="44">
        <v>141</v>
      </c>
      <c r="T124" s="31">
        <v>141</v>
      </c>
      <c r="U124" s="31">
        <v>141</v>
      </c>
      <c r="V124" s="31">
        <v>141</v>
      </c>
      <c r="W124" s="29"/>
      <c r="X124" s="31">
        <v>141</v>
      </c>
      <c r="Y124" s="31">
        <v>141</v>
      </c>
      <c r="Z124" s="31">
        <v>141</v>
      </c>
      <c r="AA124" s="31">
        <v>141</v>
      </c>
    </row>
    <row r="125" spans="2:27" x14ac:dyDescent="0.3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44" t="e">
        <v>#DIV/0!</v>
      </c>
      <c r="T125" s="29"/>
      <c r="U125" s="29"/>
      <c r="V125" s="29"/>
      <c r="W125" s="29"/>
      <c r="X125" s="29"/>
      <c r="Y125" s="29"/>
      <c r="Z125" s="29"/>
      <c r="AA125" s="29"/>
    </row>
    <row r="126" spans="2:27" x14ac:dyDescent="0.3">
      <c r="B126" s="101" t="s">
        <v>80</v>
      </c>
      <c r="C126" s="100"/>
      <c r="D126" s="100"/>
      <c r="E126" s="100"/>
      <c r="F126" s="30" t="s">
        <v>2</v>
      </c>
      <c r="G126" s="31">
        <v>10</v>
      </c>
      <c r="H126" s="31">
        <v>9</v>
      </c>
      <c r="I126" s="31">
        <v>9</v>
      </c>
      <c r="J126" s="31">
        <v>12</v>
      </c>
      <c r="K126" s="31">
        <v>12</v>
      </c>
      <c r="L126" s="31">
        <v>12</v>
      </c>
      <c r="M126" s="31">
        <v>12</v>
      </c>
      <c r="N126" s="31">
        <v>12</v>
      </c>
      <c r="O126" s="31">
        <v>12</v>
      </c>
      <c r="P126" s="31">
        <v>12</v>
      </c>
      <c r="Q126" s="31">
        <v>12</v>
      </c>
      <c r="R126" s="31">
        <v>11</v>
      </c>
      <c r="S126" s="44">
        <v>11.25</v>
      </c>
      <c r="T126" s="31">
        <v>11</v>
      </c>
      <c r="U126" s="31">
        <v>11</v>
      </c>
      <c r="V126" s="31">
        <v>11</v>
      </c>
      <c r="W126" s="29"/>
      <c r="X126" s="31">
        <v>9</v>
      </c>
      <c r="Y126" s="31">
        <v>12</v>
      </c>
      <c r="Z126" s="31">
        <v>12</v>
      </c>
      <c r="AA126" s="31">
        <v>12</v>
      </c>
    </row>
    <row r="127" spans="2:27" x14ac:dyDescent="0.3">
      <c r="B127" s="29"/>
      <c r="C127" s="29"/>
      <c r="D127" s="29"/>
      <c r="E127" s="29"/>
      <c r="F127" s="30" t="s">
        <v>3</v>
      </c>
      <c r="G127" s="31">
        <v>10</v>
      </c>
      <c r="H127" s="31">
        <v>10</v>
      </c>
      <c r="I127" s="31">
        <v>10</v>
      </c>
      <c r="J127" s="31">
        <v>10</v>
      </c>
      <c r="K127" s="31">
        <v>10</v>
      </c>
      <c r="L127" s="31">
        <v>10</v>
      </c>
      <c r="M127" s="31">
        <v>10</v>
      </c>
      <c r="N127" s="31">
        <v>10</v>
      </c>
      <c r="O127" s="31">
        <v>10</v>
      </c>
      <c r="P127" s="31">
        <v>9</v>
      </c>
      <c r="Q127" s="31">
        <v>9</v>
      </c>
      <c r="R127" s="31">
        <v>9</v>
      </c>
      <c r="S127" s="44">
        <v>9.75</v>
      </c>
      <c r="T127" s="31">
        <v>9</v>
      </c>
      <c r="U127" s="31">
        <v>10</v>
      </c>
      <c r="V127" s="31">
        <v>10</v>
      </c>
      <c r="W127" s="29"/>
      <c r="X127" s="31">
        <v>10</v>
      </c>
      <c r="Y127" s="31">
        <v>10</v>
      </c>
      <c r="Z127" s="31">
        <v>10</v>
      </c>
      <c r="AA127" s="31">
        <v>9</v>
      </c>
    </row>
    <row r="128" spans="2:27" x14ac:dyDescent="0.3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44" t="e">
        <v>#DIV/0!</v>
      </c>
      <c r="T128" s="29"/>
      <c r="U128" s="29"/>
      <c r="V128" s="29"/>
      <c r="W128" s="29"/>
      <c r="X128" s="29"/>
      <c r="Y128" s="29"/>
      <c r="Z128" s="29"/>
      <c r="AA128" s="29"/>
    </row>
    <row r="129" spans="2:27" x14ac:dyDescent="0.3">
      <c r="B129" s="32" t="s">
        <v>81</v>
      </c>
      <c r="C129" s="110" t="s">
        <v>5</v>
      </c>
      <c r="D129" s="100"/>
      <c r="E129" s="33" t="s">
        <v>5</v>
      </c>
      <c r="F129" s="34" t="s">
        <v>6</v>
      </c>
      <c r="G129" s="35" t="s">
        <v>160</v>
      </c>
      <c r="H129" s="35" t="s">
        <v>161</v>
      </c>
      <c r="I129" s="35" t="s">
        <v>162</v>
      </c>
      <c r="J129" s="35" t="s">
        <v>163</v>
      </c>
      <c r="K129" s="35" t="s">
        <v>164</v>
      </c>
      <c r="L129" s="35" t="s">
        <v>165</v>
      </c>
      <c r="M129" s="35" t="s">
        <v>166</v>
      </c>
      <c r="N129" s="35" t="s">
        <v>167</v>
      </c>
      <c r="O129" s="35" t="s">
        <v>168</v>
      </c>
      <c r="P129" s="35" t="s">
        <v>169</v>
      </c>
      <c r="Q129" s="35" t="s">
        <v>170</v>
      </c>
      <c r="R129" s="35" t="s">
        <v>171</v>
      </c>
      <c r="S129" s="44" t="e">
        <v>#DIV/0!</v>
      </c>
      <c r="T129" s="35" t="s">
        <v>24</v>
      </c>
      <c r="U129" s="35" t="s">
        <v>25</v>
      </c>
      <c r="V129" s="35" t="s">
        <v>19</v>
      </c>
      <c r="W129" s="29"/>
      <c r="X129" s="35" t="s">
        <v>20</v>
      </c>
      <c r="Y129" s="35" t="s">
        <v>21</v>
      </c>
      <c r="Z129" s="35" t="s">
        <v>22</v>
      </c>
      <c r="AA129" s="35" t="s">
        <v>23</v>
      </c>
    </row>
    <row r="130" spans="2:27" x14ac:dyDescent="0.3">
      <c r="B130" s="105" t="s">
        <v>113</v>
      </c>
      <c r="C130" s="105" t="s">
        <v>114</v>
      </c>
      <c r="D130" s="103"/>
      <c r="E130" s="105" t="s">
        <v>83</v>
      </c>
      <c r="F130" s="36" t="s">
        <v>2</v>
      </c>
      <c r="G130" s="37">
        <v>3</v>
      </c>
      <c r="H130" s="37">
        <v>2</v>
      </c>
      <c r="I130" s="37">
        <v>2</v>
      </c>
      <c r="J130" s="37">
        <v>2</v>
      </c>
      <c r="K130" s="37">
        <v>1.4</v>
      </c>
      <c r="L130" s="37">
        <v>1.4</v>
      </c>
      <c r="M130" s="37">
        <v>1</v>
      </c>
      <c r="N130" s="37">
        <v>1</v>
      </c>
      <c r="O130" s="37">
        <v>1</v>
      </c>
      <c r="P130" s="37">
        <v>1</v>
      </c>
      <c r="Q130" s="37">
        <v>2</v>
      </c>
      <c r="R130" s="37">
        <v>2</v>
      </c>
      <c r="S130" s="49">
        <v>1.6500000000000001</v>
      </c>
      <c r="T130" s="37">
        <v>2</v>
      </c>
      <c r="U130" s="37">
        <v>2</v>
      </c>
      <c r="V130" s="37">
        <v>2</v>
      </c>
      <c r="W130" s="29"/>
      <c r="X130" s="37">
        <v>2</v>
      </c>
      <c r="Y130" s="37">
        <v>2</v>
      </c>
      <c r="Z130" s="37">
        <v>1</v>
      </c>
      <c r="AA130" s="37">
        <v>2</v>
      </c>
    </row>
    <row r="131" spans="2:27" x14ac:dyDescent="0.3">
      <c r="B131" s="108"/>
      <c r="C131" s="108"/>
      <c r="D131" s="103"/>
      <c r="E131" s="106"/>
      <c r="F131" s="36" t="s">
        <v>3</v>
      </c>
      <c r="G131" s="37">
        <v>2</v>
      </c>
      <c r="H131" s="37">
        <v>2</v>
      </c>
      <c r="I131" s="37">
        <v>2</v>
      </c>
      <c r="J131" s="37">
        <v>2</v>
      </c>
      <c r="K131" s="37">
        <v>2</v>
      </c>
      <c r="L131" s="37">
        <v>2</v>
      </c>
      <c r="M131" s="37">
        <v>2</v>
      </c>
      <c r="N131" s="37">
        <v>2</v>
      </c>
      <c r="O131" s="37">
        <v>2</v>
      </c>
      <c r="P131" s="37">
        <v>2</v>
      </c>
      <c r="Q131" s="37">
        <v>2</v>
      </c>
      <c r="R131" s="37">
        <v>2</v>
      </c>
      <c r="S131" s="44">
        <v>2</v>
      </c>
      <c r="T131" s="37">
        <v>2</v>
      </c>
      <c r="U131" s="37">
        <v>2</v>
      </c>
      <c r="V131" s="37">
        <v>2</v>
      </c>
      <c r="W131" s="29"/>
      <c r="X131" s="37">
        <v>2</v>
      </c>
      <c r="Y131" s="37">
        <v>2</v>
      </c>
      <c r="Z131" s="37">
        <v>2</v>
      </c>
      <c r="AA131" s="37">
        <v>2</v>
      </c>
    </row>
    <row r="132" spans="2:27" x14ac:dyDescent="0.3">
      <c r="B132" s="108"/>
      <c r="C132" s="108"/>
      <c r="D132" s="103"/>
      <c r="E132" s="105" t="s">
        <v>82</v>
      </c>
      <c r="F132" s="36" t="s">
        <v>2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44">
        <v>0</v>
      </c>
      <c r="T132" s="37">
        <v>0</v>
      </c>
      <c r="U132" s="37">
        <v>0</v>
      </c>
      <c r="V132" s="37">
        <v>0</v>
      </c>
      <c r="W132" s="29"/>
      <c r="X132" s="37">
        <v>0</v>
      </c>
      <c r="Y132" s="37">
        <v>0</v>
      </c>
      <c r="Z132" s="37">
        <v>0</v>
      </c>
      <c r="AA132" s="37">
        <v>0</v>
      </c>
    </row>
    <row r="133" spans="2:27" x14ac:dyDescent="0.3">
      <c r="B133" s="108"/>
      <c r="C133" s="106"/>
      <c r="D133" s="100"/>
      <c r="E133" s="106"/>
      <c r="F133" s="36" t="s">
        <v>3</v>
      </c>
      <c r="G133" s="37">
        <v>0</v>
      </c>
      <c r="H133" s="37">
        <v>0</v>
      </c>
      <c r="I133" s="37">
        <v>0</v>
      </c>
      <c r="J133" s="37">
        <v>0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44">
        <v>0</v>
      </c>
      <c r="T133" s="37">
        <v>0</v>
      </c>
      <c r="U133" s="37">
        <v>0</v>
      </c>
      <c r="V133" s="37">
        <v>0</v>
      </c>
      <c r="W133" s="29"/>
      <c r="X133" s="37">
        <v>0</v>
      </c>
      <c r="Y133" s="37">
        <v>0</v>
      </c>
      <c r="Z133" s="37">
        <v>0</v>
      </c>
      <c r="AA133" s="37">
        <v>0</v>
      </c>
    </row>
    <row r="134" spans="2:27" x14ac:dyDescent="0.3">
      <c r="B134" s="108"/>
      <c r="C134" s="105" t="s">
        <v>35</v>
      </c>
      <c r="D134" s="103"/>
      <c r="E134" s="105" t="s">
        <v>83</v>
      </c>
      <c r="F134" s="36" t="s">
        <v>2</v>
      </c>
      <c r="G134" s="37">
        <v>1</v>
      </c>
      <c r="H134" s="37">
        <v>1</v>
      </c>
      <c r="I134" s="37">
        <v>1</v>
      </c>
      <c r="J134" s="37">
        <v>1</v>
      </c>
      <c r="K134" s="37">
        <v>0</v>
      </c>
      <c r="L134" s="37">
        <v>0</v>
      </c>
      <c r="M134" s="37">
        <v>1</v>
      </c>
      <c r="N134" s="37">
        <v>1</v>
      </c>
      <c r="O134" s="37">
        <v>1</v>
      </c>
      <c r="P134" s="37">
        <v>1</v>
      </c>
      <c r="Q134" s="37">
        <v>1</v>
      </c>
      <c r="R134" s="37">
        <v>1</v>
      </c>
      <c r="S134" s="49">
        <v>0.83333333333333337</v>
      </c>
      <c r="T134" s="37">
        <v>1</v>
      </c>
      <c r="U134" s="37">
        <v>1</v>
      </c>
      <c r="V134" s="37">
        <v>1</v>
      </c>
      <c r="W134" s="29"/>
      <c r="X134" s="37">
        <v>1</v>
      </c>
      <c r="Y134" s="37">
        <v>0</v>
      </c>
      <c r="Z134" s="37">
        <v>1</v>
      </c>
      <c r="AA134" s="37">
        <v>1</v>
      </c>
    </row>
    <row r="135" spans="2:27" x14ac:dyDescent="0.3">
      <c r="B135" s="108"/>
      <c r="C135" s="108"/>
      <c r="D135" s="103"/>
      <c r="E135" s="106"/>
      <c r="F135" s="36" t="s">
        <v>3</v>
      </c>
      <c r="G135" s="37">
        <v>1</v>
      </c>
      <c r="H135" s="37">
        <v>1</v>
      </c>
      <c r="I135" s="37">
        <v>1</v>
      </c>
      <c r="J135" s="37">
        <v>1</v>
      </c>
      <c r="K135" s="37">
        <v>1</v>
      </c>
      <c r="L135" s="37">
        <v>1</v>
      </c>
      <c r="M135" s="37">
        <v>1</v>
      </c>
      <c r="N135" s="37">
        <v>1</v>
      </c>
      <c r="O135" s="37">
        <v>1</v>
      </c>
      <c r="P135" s="37">
        <v>1</v>
      </c>
      <c r="Q135" s="37">
        <v>1</v>
      </c>
      <c r="R135" s="37">
        <v>1</v>
      </c>
      <c r="S135" s="44">
        <v>1</v>
      </c>
      <c r="T135" s="37">
        <v>1</v>
      </c>
      <c r="U135" s="37">
        <v>1</v>
      </c>
      <c r="V135" s="37">
        <v>1</v>
      </c>
      <c r="W135" s="29"/>
      <c r="X135" s="37">
        <v>1</v>
      </c>
      <c r="Y135" s="37">
        <v>1</v>
      </c>
      <c r="Z135" s="37">
        <v>1</v>
      </c>
      <c r="AA135" s="37">
        <v>1</v>
      </c>
    </row>
    <row r="136" spans="2:27" x14ac:dyDescent="0.3">
      <c r="B136" s="108"/>
      <c r="C136" s="108"/>
      <c r="D136" s="103"/>
      <c r="E136" s="105" t="s">
        <v>82</v>
      </c>
      <c r="F136" s="36" t="s">
        <v>2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44">
        <v>0</v>
      </c>
      <c r="T136" s="37">
        <v>0</v>
      </c>
      <c r="U136" s="37">
        <v>0</v>
      </c>
      <c r="V136" s="37">
        <v>0</v>
      </c>
      <c r="W136" s="29"/>
      <c r="X136" s="37">
        <v>0</v>
      </c>
      <c r="Y136" s="37">
        <v>0</v>
      </c>
      <c r="Z136" s="37">
        <v>0</v>
      </c>
      <c r="AA136" s="37">
        <v>0</v>
      </c>
    </row>
    <row r="137" spans="2:27" x14ac:dyDescent="0.3">
      <c r="B137" s="108"/>
      <c r="C137" s="106"/>
      <c r="D137" s="100"/>
      <c r="E137" s="106"/>
      <c r="F137" s="36" t="s">
        <v>3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44">
        <v>0</v>
      </c>
      <c r="T137" s="37">
        <v>0</v>
      </c>
      <c r="U137" s="37">
        <v>0</v>
      </c>
      <c r="V137" s="37">
        <v>0</v>
      </c>
      <c r="W137" s="29"/>
      <c r="X137" s="37">
        <v>0</v>
      </c>
      <c r="Y137" s="37">
        <v>0</v>
      </c>
      <c r="Z137" s="37">
        <v>0</v>
      </c>
      <c r="AA137" s="37">
        <v>0</v>
      </c>
    </row>
    <row r="138" spans="2:27" x14ac:dyDescent="0.3">
      <c r="B138" s="108"/>
      <c r="C138" s="105" t="s">
        <v>36</v>
      </c>
      <c r="D138" s="103"/>
      <c r="E138" s="105" t="s">
        <v>83</v>
      </c>
      <c r="F138" s="36" t="s">
        <v>2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44">
        <v>0</v>
      </c>
      <c r="T138" s="37">
        <v>0</v>
      </c>
      <c r="U138" s="37">
        <v>0</v>
      </c>
      <c r="V138" s="37">
        <v>0</v>
      </c>
      <c r="W138" s="29"/>
      <c r="X138" s="37">
        <v>0</v>
      </c>
      <c r="Y138" s="37">
        <v>0</v>
      </c>
      <c r="Z138" s="37">
        <v>0</v>
      </c>
      <c r="AA138" s="37">
        <v>0</v>
      </c>
    </row>
    <row r="139" spans="2:27" x14ac:dyDescent="0.3">
      <c r="B139" s="108"/>
      <c r="C139" s="108"/>
      <c r="D139" s="103"/>
      <c r="E139" s="106"/>
      <c r="F139" s="36" t="s">
        <v>3</v>
      </c>
      <c r="G139" s="37">
        <v>0</v>
      </c>
      <c r="H139" s="37">
        <v>0</v>
      </c>
      <c r="I139" s="37">
        <v>0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44">
        <v>0</v>
      </c>
      <c r="T139" s="37">
        <v>0</v>
      </c>
      <c r="U139" s="37">
        <v>0</v>
      </c>
      <c r="V139" s="37">
        <v>0</v>
      </c>
      <c r="W139" s="29"/>
      <c r="X139" s="37">
        <v>0</v>
      </c>
      <c r="Y139" s="37">
        <v>0</v>
      </c>
      <c r="Z139" s="37">
        <v>0</v>
      </c>
      <c r="AA139" s="37">
        <v>0</v>
      </c>
    </row>
    <row r="140" spans="2:27" x14ac:dyDescent="0.3">
      <c r="B140" s="108"/>
      <c r="C140" s="108"/>
      <c r="D140" s="103"/>
      <c r="E140" s="105" t="s">
        <v>82</v>
      </c>
      <c r="F140" s="36" t="s">
        <v>2</v>
      </c>
      <c r="G140" s="37">
        <v>0</v>
      </c>
      <c r="H140" s="37">
        <v>0</v>
      </c>
      <c r="I140" s="37">
        <v>0</v>
      </c>
      <c r="J140" s="37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44">
        <v>0</v>
      </c>
      <c r="T140" s="37">
        <v>0</v>
      </c>
      <c r="U140" s="37">
        <v>0</v>
      </c>
      <c r="V140" s="37">
        <v>0</v>
      </c>
      <c r="W140" s="29"/>
      <c r="X140" s="37">
        <v>0</v>
      </c>
      <c r="Y140" s="37">
        <v>0</v>
      </c>
      <c r="Z140" s="37">
        <v>0</v>
      </c>
      <c r="AA140" s="37">
        <v>0</v>
      </c>
    </row>
    <row r="141" spans="2:27" x14ac:dyDescent="0.3">
      <c r="B141" s="108"/>
      <c r="C141" s="106"/>
      <c r="D141" s="100"/>
      <c r="E141" s="106"/>
      <c r="F141" s="36" t="s">
        <v>3</v>
      </c>
      <c r="G141" s="37">
        <v>0</v>
      </c>
      <c r="H141" s="37">
        <v>0</v>
      </c>
      <c r="I141" s="37">
        <v>0</v>
      </c>
      <c r="J141" s="37">
        <v>0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44">
        <v>0</v>
      </c>
      <c r="T141" s="37">
        <v>0</v>
      </c>
      <c r="U141" s="37">
        <v>0</v>
      </c>
      <c r="V141" s="37">
        <v>0</v>
      </c>
      <c r="W141" s="29"/>
      <c r="X141" s="37">
        <v>0</v>
      </c>
      <c r="Y141" s="37">
        <v>0</v>
      </c>
      <c r="Z141" s="37">
        <v>0</v>
      </c>
      <c r="AA141" s="37">
        <v>0</v>
      </c>
    </row>
    <row r="142" spans="2:27" x14ac:dyDescent="0.3">
      <c r="B142" s="108"/>
      <c r="C142" s="105" t="s">
        <v>76</v>
      </c>
      <c r="D142" s="103"/>
      <c r="E142" s="105" t="s">
        <v>83</v>
      </c>
      <c r="F142" s="36" t="s">
        <v>2</v>
      </c>
      <c r="G142" s="37">
        <v>3</v>
      </c>
      <c r="H142" s="37">
        <v>3</v>
      </c>
      <c r="I142" s="37">
        <v>3</v>
      </c>
      <c r="J142" s="37">
        <v>3</v>
      </c>
      <c r="K142" s="37">
        <v>0</v>
      </c>
      <c r="L142" s="37">
        <v>3</v>
      </c>
      <c r="M142" s="37">
        <v>3</v>
      </c>
      <c r="N142" s="37">
        <v>3</v>
      </c>
      <c r="O142" s="37">
        <v>3</v>
      </c>
      <c r="P142" s="37">
        <v>3</v>
      </c>
      <c r="Q142" s="37">
        <v>3</v>
      </c>
      <c r="R142" s="37">
        <v>3</v>
      </c>
      <c r="S142" s="49">
        <v>2.75</v>
      </c>
      <c r="T142" s="37">
        <v>3</v>
      </c>
      <c r="U142" s="37">
        <v>3</v>
      </c>
      <c r="V142" s="37">
        <v>3</v>
      </c>
      <c r="W142" s="29"/>
      <c r="X142" s="37">
        <v>3</v>
      </c>
      <c r="Y142" s="37">
        <v>2</v>
      </c>
      <c r="Z142" s="37">
        <v>3</v>
      </c>
      <c r="AA142" s="37">
        <v>3</v>
      </c>
    </row>
    <row r="143" spans="2:27" x14ac:dyDescent="0.3">
      <c r="B143" s="108"/>
      <c r="C143" s="108"/>
      <c r="D143" s="103"/>
      <c r="E143" s="106"/>
      <c r="F143" s="36" t="s">
        <v>3</v>
      </c>
      <c r="G143" s="37">
        <v>3</v>
      </c>
      <c r="H143" s="37">
        <v>3</v>
      </c>
      <c r="I143" s="37">
        <v>3</v>
      </c>
      <c r="J143" s="37">
        <v>3</v>
      </c>
      <c r="K143" s="37">
        <v>3</v>
      </c>
      <c r="L143" s="37">
        <v>3</v>
      </c>
      <c r="M143" s="37">
        <v>3</v>
      </c>
      <c r="N143" s="37">
        <v>3</v>
      </c>
      <c r="O143" s="37">
        <v>3</v>
      </c>
      <c r="P143" s="37">
        <v>3</v>
      </c>
      <c r="Q143" s="37">
        <v>3</v>
      </c>
      <c r="R143" s="37">
        <v>3</v>
      </c>
      <c r="S143" s="44">
        <v>3</v>
      </c>
      <c r="T143" s="37">
        <v>3</v>
      </c>
      <c r="U143" s="37">
        <v>3</v>
      </c>
      <c r="V143" s="37">
        <v>3</v>
      </c>
      <c r="W143" s="29"/>
      <c r="X143" s="37">
        <v>3</v>
      </c>
      <c r="Y143" s="37">
        <v>3</v>
      </c>
      <c r="Z143" s="37">
        <v>3</v>
      </c>
      <c r="AA143" s="37">
        <v>3</v>
      </c>
    </row>
    <row r="144" spans="2:27" x14ac:dyDescent="0.3">
      <c r="B144" s="108"/>
      <c r="C144" s="108"/>
      <c r="D144" s="103"/>
      <c r="E144" s="105" t="s">
        <v>82</v>
      </c>
      <c r="F144" s="36" t="s">
        <v>2</v>
      </c>
      <c r="G144" s="37">
        <v>0</v>
      </c>
      <c r="H144" s="37">
        <v>0</v>
      </c>
      <c r="I144" s="37">
        <v>0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44">
        <v>0</v>
      </c>
      <c r="T144" s="37">
        <v>0</v>
      </c>
      <c r="U144" s="37">
        <v>0</v>
      </c>
      <c r="V144" s="37">
        <v>0</v>
      </c>
      <c r="W144" s="29"/>
      <c r="X144" s="37">
        <v>0</v>
      </c>
      <c r="Y144" s="37">
        <v>0</v>
      </c>
      <c r="Z144" s="37">
        <v>0</v>
      </c>
      <c r="AA144" s="37">
        <v>0</v>
      </c>
    </row>
    <row r="145" spans="2:27" x14ac:dyDescent="0.3">
      <c r="B145" s="108"/>
      <c r="C145" s="106"/>
      <c r="D145" s="100"/>
      <c r="E145" s="106"/>
      <c r="F145" s="36" t="s">
        <v>3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44">
        <v>0</v>
      </c>
      <c r="T145" s="37">
        <v>0</v>
      </c>
      <c r="U145" s="37">
        <v>0</v>
      </c>
      <c r="V145" s="37">
        <v>0</v>
      </c>
      <c r="W145" s="29"/>
      <c r="X145" s="37">
        <v>0</v>
      </c>
      <c r="Y145" s="37">
        <v>0</v>
      </c>
      <c r="Z145" s="37">
        <v>0</v>
      </c>
      <c r="AA145" s="37">
        <v>0</v>
      </c>
    </row>
    <row r="146" spans="2:27" x14ac:dyDescent="0.3">
      <c r="B146" s="108"/>
      <c r="C146" s="105" t="s">
        <v>116</v>
      </c>
      <c r="D146" s="103"/>
      <c r="E146" s="105" t="s">
        <v>83</v>
      </c>
      <c r="F146" s="36" t="s">
        <v>2</v>
      </c>
      <c r="G146" s="37">
        <v>10</v>
      </c>
      <c r="H146" s="37">
        <v>15.61</v>
      </c>
      <c r="I146" s="37">
        <v>10</v>
      </c>
      <c r="J146" s="37">
        <v>11</v>
      </c>
      <c r="K146" s="37">
        <v>10</v>
      </c>
      <c r="L146" s="37">
        <v>11</v>
      </c>
      <c r="M146" s="37">
        <v>11</v>
      </c>
      <c r="N146" s="37">
        <v>11</v>
      </c>
      <c r="O146" s="37">
        <v>11</v>
      </c>
      <c r="P146" s="37">
        <v>11</v>
      </c>
      <c r="Q146" s="37">
        <v>11</v>
      </c>
      <c r="R146" s="37">
        <v>10</v>
      </c>
      <c r="S146" s="49">
        <v>11.050833333333335</v>
      </c>
      <c r="T146" s="37">
        <v>10</v>
      </c>
      <c r="U146" s="37">
        <v>11</v>
      </c>
      <c r="V146" s="37">
        <v>11</v>
      </c>
      <c r="W146" s="29"/>
      <c r="X146" s="37">
        <v>12</v>
      </c>
      <c r="Y146" s="37">
        <v>11</v>
      </c>
      <c r="Z146" s="37">
        <v>11</v>
      </c>
      <c r="AA146" s="37">
        <v>11</v>
      </c>
    </row>
    <row r="147" spans="2:27" x14ac:dyDescent="0.3">
      <c r="B147" s="108"/>
      <c r="C147" s="108"/>
      <c r="D147" s="103"/>
      <c r="E147" s="106"/>
      <c r="F147" s="36" t="s">
        <v>3</v>
      </c>
      <c r="G147" s="37">
        <v>9</v>
      </c>
      <c r="H147" s="37">
        <v>9</v>
      </c>
      <c r="I147" s="37">
        <v>9</v>
      </c>
      <c r="J147" s="37">
        <v>9</v>
      </c>
      <c r="K147" s="37">
        <v>9</v>
      </c>
      <c r="L147" s="37">
        <v>9</v>
      </c>
      <c r="M147" s="37">
        <v>9</v>
      </c>
      <c r="N147" s="37">
        <v>9</v>
      </c>
      <c r="O147" s="37">
        <v>9</v>
      </c>
      <c r="P147" s="37">
        <v>9</v>
      </c>
      <c r="Q147" s="37">
        <v>9</v>
      </c>
      <c r="R147" s="37">
        <v>9</v>
      </c>
      <c r="S147" s="44">
        <v>9</v>
      </c>
      <c r="T147" s="37">
        <v>9</v>
      </c>
      <c r="U147" s="37">
        <v>9</v>
      </c>
      <c r="V147" s="37">
        <v>9</v>
      </c>
      <c r="W147" s="29"/>
      <c r="X147" s="37">
        <v>9</v>
      </c>
      <c r="Y147" s="37">
        <v>9</v>
      </c>
      <c r="Z147" s="37">
        <v>9</v>
      </c>
      <c r="AA147" s="37">
        <v>9</v>
      </c>
    </row>
    <row r="148" spans="2:27" x14ac:dyDescent="0.3">
      <c r="B148" s="108"/>
      <c r="C148" s="108"/>
      <c r="D148" s="103"/>
      <c r="E148" s="105" t="s">
        <v>82</v>
      </c>
      <c r="F148" s="36" t="s">
        <v>2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44">
        <v>0</v>
      </c>
      <c r="T148" s="37">
        <v>0</v>
      </c>
      <c r="U148" s="37">
        <v>0</v>
      </c>
      <c r="V148" s="37">
        <v>0</v>
      </c>
      <c r="W148" s="29"/>
      <c r="X148" s="37">
        <v>0</v>
      </c>
      <c r="Y148" s="37">
        <v>0</v>
      </c>
      <c r="Z148" s="37">
        <v>0</v>
      </c>
      <c r="AA148" s="37">
        <v>0</v>
      </c>
    </row>
    <row r="149" spans="2:27" x14ac:dyDescent="0.3">
      <c r="B149" s="106"/>
      <c r="C149" s="106"/>
      <c r="D149" s="100"/>
      <c r="E149" s="106"/>
      <c r="F149" s="36" t="s">
        <v>3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44">
        <v>0</v>
      </c>
      <c r="T149" s="37">
        <v>0</v>
      </c>
      <c r="U149" s="37">
        <v>0</v>
      </c>
      <c r="V149" s="37">
        <v>0</v>
      </c>
      <c r="W149" s="29"/>
      <c r="X149" s="37">
        <v>0</v>
      </c>
      <c r="Y149" s="37">
        <v>0</v>
      </c>
      <c r="Z149" s="37">
        <v>0</v>
      </c>
      <c r="AA149" s="37">
        <v>0</v>
      </c>
    </row>
    <row r="150" spans="2:27" x14ac:dyDescent="0.3">
      <c r="B150" s="105" t="s">
        <v>121</v>
      </c>
      <c r="C150" s="105" t="s">
        <v>125</v>
      </c>
      <c r="D150" s="103"/>
      <c r="E150" s="105" t="s">
        <v>83</v>
      </c>
      <c r="F150" s="36" t="s">
        <v>2</v>
      </c>
      <c r="G150" s="37">
        <v>24</v>
      </c>
      <c r="H150" s="37">
        <v>24</v>
      </c>
      <c r="I150" s="37">
        <v>24</v>
      </c>
      <c r="J150" s="37">
        <v>24</v>
      </c>
      <c r="K150" s="37">
        <v>24</v>
      </c>
      <c r="L150" s="37">
        <v>24</v>
      </c>
      <c r="M150" s="37">
        <v>24</v>
      </c>
      <c r="N150" s="37">
        <v>24</v>
      </c>
      <c r="O150" s="37">
        <v>24</v>
      </c>
      <c r="P150" s="37">
        <v>24</v>
      </c>
      <c r="Q150" s="37">
        <v>24</v>
      </c>
      <c r="R150" s="37">
        <v>24</v>
      </c>
      <c r="S150" s="49">
        <v>24</v>
      </c>
      <c r="T150" s="37">
        <v>24</v>
      </c>
      <c r="U150" s="37">
        <v>24</v>
      </c>
      <c r="V150" s="37">
        <v>24</v>
      </c>
      <c r="W150" s="29"/>
      <c r="X150" s="37">
        <v>24</v>
      </c>
      <c r="Y150" s="37">
        <v>24</v>
      </c>
      <c r="Z150" s="37">
        <v>24</v>
      </c>
      <c r="AA150" s="37">
        <v>24</v>
      </c>
    </row>
    <row r="151" spans="2:27" x14ac:dyDescent="0.3">
      <c r="B151" s="108"/>
      <c r="C151" s="108"/>
      <c r="D151" s="103"/>
      <c r="E151" s="106"/>
      <c r="F151" s="36" t="s">
        <v>3</v>
      </c>
      <c r="G151" s="37">
        <v>24</v>
      </c>
      <c r="H151" s="37">
        <v>24</v>
      </c>
      <c r="I151" s="37">
        <v>24</v>
      </c>
      <c r="J151" s="37">
        <v>24</v>
      </c>
      <c r="K151" s="37">
        <v>24</v>
      </c>
      <c r="L151" s="37">
        <v>24</v>
      </c>
      <c r="M151" s="37">
        <v>24</v>
      </c>
      <c r="N151" s="37">
        <v>24</v>
      </c>
      <c r="O151" s="37">
        <v>24</v>
      </c>
      <c r="P151" s="37">
        <v>24</v>
      </c>
      <c r="Q151" s="37">
        <v>24</v>
      </c>
      <c r="R151" s="37">
        <v>24</v>
      </c>
      <c r="S151" s="44">
        <v>24</v>
      </c>
      <c r="T151" s="37">
        <v>24</v>
      </c>
      <c r="U151" s="37">
        <v>24</v>
      </c>
      <c r="V151" s="37">
        <v>24</v>
      </c>
      <c r="W151" s="29"/>
      <c r="X151" s="37">
        <v>24</v>
      </c>
      <c r="Y151" s="37">
        <v>24</v>
      </c>
      <c r="Z151" s="37">
        <v>24</v>
      </c>
      <c r="AA151" s="37">
        <v>24</v>
      </c>
    </row>
    <row r="152" spans="2:27" x14ac:dyDescent="0.3">
      <c r="B152" s="108"/>
      <c r="C152" s="108"/>
      <c r="D152" s="103"/>
      <c r="E152" s="105" t="s">
        <v>82</v>
      </c>
      <c r="F152" s="36" t="s">
        <v>2</v>
      </c>
      <c r="G152" s="37">
        <v>0</v>
      </c>
      <c r="H152" s="37">
        <v>0</v>
      </c>
      <c r="I152" s="37">
        <v>0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44">
        <v>0</v>
      </c>
      <c r="T152" s="37">
        <v>0</v>
      </c>
      <c r="U152" s="37">
        <v>0</v>
      </c>
      <c r="V152" s="37">
        <v>0</v>
      </c>
      <c r="W152" s="29"/>
      <c r="X152" s="37">
        <v>0</v>
      </c>
      <c r="Y152" s="37">
        <v>0</v>
      </c>
      <c r="Z152" s="37">
        <v>0</v>
      </c>
      <c r="AA152" s="37">
        <v>0</v>
      </c>
    </row>
    <row r="153" spans="2:27" x14ac:dyDescent="0.3">
      <c r="B153" s="106"/>
      <c r="C153" s="106"/>
      <c r="D153" s="100"/>
      <c r="E153" s="106"/>
      <c r="F153" s="36" t="s">
        <v>3</v>
      </c>
      <c r="G153" s="37">
        <v>0</v>
      </c>
      <c r="H153" s="37">
        <v>0</v>
      </c>
      <c r="I153" s="37">
        <v>0</v>
      </c>
      <c r="J153" s="37">
        <v>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44">
        <v>0</v>
      </c>
      <c r="T153" s="37">
        <v>0</v>
      </c>
      <c r="U153" s="37">
        <v>0</v>
      </c>
      <c r="V153" s="37">
        <v>0</v>
      </c>
      <c r="W153" s="29"/>
      <c r="X153" s="37">
        <v>0</v>
      </c>
      <c r="Y153" s="37">
        <v>0</v>
      </c>
      <c r="Z153" s="37">
        <v>0</v>
      </c>
      <c r="AA153" s="37">
        <v>0</v>
      </c>
    </row>
    <row r="154" spans="2:27" x14ac:dyDescent="0.3">
      <c r="B154" s="105" t="s">
        <v>50</v>
      </c>
      <c r="C154" s="105" t="s">
        <v>51</v>
      </c>
      <c r="D154" s="103"/>
      <c r="E154" s="105" t="s">
        <v>83</v>
      </c>
      <c r="F154" s="36" t="s">
        <v>2</v>
      </c>
      <c r="G154" s="37">
        <v>47</v>
      </c>
      <c r="H154" s="37">
        <v>48</v>
      </c>
      <c r="I154" s="37">
        <v>48</v>
      </c>
      <c r="J154" s="37">
        <v>49</v>
      </c>
      <c r="K154" s="37">
        <v>49</v>
      </c>
      <c r="L154" s="37">
        <v>49</v>
      </c>
      <c r="M154" s="37">
        <v>48</v>
      </c>
      <c r="N154" s="37">
        <v>48</v>
      </c>
      <c r="O154" s="37">
        <v>48</v>
      </c>
      <c r="P154" s="37">
        <v>50</v>
      </c>
      <c r="Q154" s="37">
        <v>50</v>
      </c>
      <c r="R154" s="37">
        <v>50</v>
      </c>
      <c r="S154" s="49">
        <v>48.666666666666664</v>
      </c>
      <c r="T154" s="37">
        <v>50</v>
      </c>
      <c r="U154" s="37">
        <v>49</v>
      </c>
      <c r="V154" s="37">
        <v>49</v>
      </c>
      <c r="W154" s="29"/>
      <c r="X154" s="37">
        <v>48</v>
      </c>
      <c r="Y154" s="37">
        <v>49</v>
      </c>
      <c r="Z154" s="37">
        <v>48</v>
      </c>
      <c r="AA154" s="37">
        <v>50</v>
      </c>
    </row>
    <row r="155" spans="2:27" x14ac:dyDescent="0.3">
      <c r="B155" s="108"/>
      <c r="C155" s="108"/>
      <c r="D155" s="103"/>
      <c r="E155" s="106"/>
      <c r="F155" s="36" t="s">
        <v>3</v>
      </c>
      <c r="G155" s="37">
        <v>48</v>
      </c>
      <c r="H155" s="37">
        <v>48</v>
      </c>
      <c r="I155" s="37">
        <v>48</v>
      </c>
      <c r="J155" s="37">
        <v>48</v>
      </c>
      <c r="K155" s="37">
        <v>48</v>
      </c>
      <c r="L155" s="37">
        <v>48</v>
      </c>
      <c r="M155" s="37">
        <v>48</v>
      </c>
      <c r="N155" s="37">
        <v>48</v>
      </c>
      <c r="O155" s="37">
        <v>48</v>
      </c>
      <c r="P155" s="37">
        <v>48</v>
      </c>
      <c r="Q155" s="37">
        <v>48</v>
      </c>
      <c r="R155" s="37">
        <v>48</v>
      </c>
      <c r="S155" s="44">
        <v>48</v>
      </c>
      <c r="T155" s="37">
        <v>48</v>
      </c>
      <c r="U155" s="37">
        <v>48</v>
      </c>
      <c r="V155" s="37">
        <v>48</v>
      </c>
      <c r="W155" s="29"/>
      <c r="X155" s="37">
        <v>48</v>
      </c>
      <c r="Y155" s="37">
        <v>48</v>
      </c>
      <c r="Z155" s="37">
        <v>48</v>
      </c>
      <c r="AA155" s="37">
        <v>48</v>
      </c>
    </row>
    <row r="156" spans="2:27" x14ac:dyDescent="0.3">
      <c r="B156" s="108"/>
      <c r="C156" s="108"/>
      <c r="D156" s="103"/>
      <c r="E156" s="105" t="s">
        <v>82</v>
      </c>
      <c r="F156" s="36" t="s">
        <v>2</v>
      </c>
      <c r="G156" s="37">
        <v>8</v>
      </c>
      <c r="H156" s="37">
        <v>8</v>
      </c>
      <c r="I156" s="37">
        <v>8</v>
      </c>
      <c r="J156" s="37">
        <v>11</v>
      </c>
      <c r="K156" s="37">
        <v>11</v>
      </c>
      <c r="L156" s="37">
        <v>11</v>
      </c>
      <c r="M156" s="37">
        <v>11</v>
      </c>
      <c r="N156" s="37">
        <v>11</v>
      </c>
      <c r="O156" s="37">
        <v>11</v>
      </c>
      <c r="P156" s="37">
        <v>11</v>
      </c>
      <c r="Q156" s="37">
        <v>11</v>
      </c>
      <c r="R156" s="37">
        <v>11</v>
      </c>
      <c r="S156" s="49">
        <v>10.25</v>
      </c>
      <c r="T156" s="37">
        <v>11</v>
      </c>
      <c r="U156" s="37">
        <v>10</v>
      </c>
      <c r="V156" s="37">
        <v>10</v>
      </c>
      <c r="W156" s="29"/>
      <c r="X156" s="37">
        <v>8</v>
      </c>
      <c r="Y156" s="37">
        <v>11</v>
      </c>
      <c r="Z156" s="37">
        <v>11</v>
      </c>
      <c r="AA156" s="37">
        <v>11</v>
      </c>
    </row>
    <row r="157" spans="2:27" x14ac:dyDescent="0.3">
      <c r="B157" s="108"/>
      <c r="C157" s="106"/>
      <c r="D157" s="100"/>
      <c r="E157" s="106"/>
      <c r="F157" s="36" t="s">
        <v>3</v>
      </c>
      <c r="G157" s="37">
        <v>8</v>
      </c>
      <c r="H157" s="37">
        <v>8</v>
      </c>
      <c r="I157" s="37">
        <v>8</v>
      </c>
      <c r="J157" s="37">
        <v>8</v>
      </c>
      <c r="K157" s="37">
        <v>8</v>
      </c>
      <c r="L157" s="37">
        <v>8</v>
      </c>
      <c r="M157" s="37">
        <v>8</v>
      </c>
      <c r="N157" s="37">
        <v>8</v>
      </c>
      <c r="O157" s="37">
        <v>8</v>
      </c>
      <c r="P157" s="37">
        <v>8</v>
      </c>
      <c r="Q157" s="37">
        <v>8</v>
      </c>
      <c r="R157" s="37">
        <v>8</v>
      </c>
      <c r="S157" s="44">
        <v>8</v>
      </c>
      <c r="T157" s="37">
        <v>8</v>
      </c>
      <c r="U157" s="37">
        <v>8</v>
      </c>
      <c r="V157" s="37">
        <v>8</v>
      </c>
      <c r="W157" s="29"/>
      <c r="X157" s="37">
        <v>8</v>
      </c>
      <c r="Y157" s="37">
        <v>8</v>
      </c>
      <c r="Z157" s="37">
        <v>8</v>
      </c>
      <c r="AA157" s="37">
        <v>8</v>
      </c>
    </row>
    <row r="158" spans="2:27" x14ac:dyDescent="0.3">
      <c r="B158" s="108"/>
      <c r="C158" s="105" t="s">
        <v>52</v>
      </c>
      <c r="D158" s="103"/>
      <c r="E158" s="105" t="s">
        <v>83</v>
      </c>
      <c r="F158" s="36" t="s">
        <v>2</v>
      </c>
      <c r="G158" s="37">
        <v>10</v>
      </c>
      <c r="H158" s="37">
        <v>10</v>
      </c>
      <c r="I158" s="37">
        <v>10</v>
      </c>
      <c r="J158" s="37">
        <v>10</v>
      </c>
      <c r="K158" s="37">
        <v>10</v>
      </c>
      <c r="L158" s="37">
        <v>10</v>
      </c>
      <c r="M158" s="37">
        <v>10</v>
      </c>
      <c r="N158" s="37">
        <v>10</v>
      </c>
      <c r="O158" s="37">
        <v>10</v>
      </c>
      <c r="P158" s="37">
        <v>10</v>
      </c>
      <c r="Q158" s="37">
        <v>10</v>
      </c>
      <c r="R158" s="37">
        <v>10</v>
      </c>
      <c r="S158" s="49">
        <v>10</v>
      </c>
      <c r="T158" s="37">
        <v>10</v>
      </c>
      <c r="U158" s="37">
        <v>10</v>
      </c>
      <c r="V158" s="37">
        <v>10</v>
      </c>
      <c r="W158" s="29"/>
      <c r="X158" s="37">
        <v>10</v>
      </c>
      <c r="Y158" s="37">
        <v>10</v>
      </c>
      <c r="Z158" s="37">
        <v>10</v>
      </c>
      <c r="AA158" s="37">
        <v>10</v>
      </c>
    </row>
    <row r="159" spans="2:27" x14ac:dyDescent="0.3">
      <c r="B159" s="108"/>
      <c r="C159" s="108"/>
      <c r="D159" s="103"/>
      <c r="E159" s="106"/>
      <c r="F159" s="36" t="s">
        <v>3</v>
      </c>
      <c r="G159" s="37">
        <v>10</v>
      </c>
      <c r="H159" s="37">
        <v>10</v>
      </c>
      <c r="I159" s="37">
        <v>10</v>
      </c>
      <c r="J159" s="37">
        <v>10</v>
      </c>
      <c r="K159" s="37">
        <v>10</v>
      </c>
      <c r="L159" s="37">
        <v>10</v>
      </c>
      <c r="M159" s="37">
        <v>10</v>
      </c>
      <c r="N159" s="37">
        <v>10</v>
      </c>
      <c r="O159" s="37">
        <v>10</v>
      </c>
      <c r="P159" s="37">
        <v>10</v>
      </c>
      <c r="Q159" s="37">
        <v>10</v>
      </c>
      <c r="R159" s="37">
        <v>10</v>
      </c>
      <c r="S159" s="44">
        <v>10</v>
      </c>
      <c r="T159" s="37">
        <v>10</v>
      </c>
      <c r="U159" s="37">
        <v>10</v>
      </c>
      <c r="V159" s="37">
        <v>10</v>
      </c>
      <c r="W159" s="29"/>
      <c r="X159" s="37">
        <v>10</v>
      </c>
      <c r="Y159" s="37">
        <v>10</v>
      </c>
      <c r="Z159" s="37">
        <v>10</v>
      </c>
      <c r="AA159" s="37">
        <v>10</v>
      </c>
    </row>
    <row r="160" spans="2:27" x14ac:dyDescent="0.3">
      <c r="B160" s="108"/>
      <c r="C160" s="108"/>
      <c r="D160" s="103"/>
      <c r="E160" s="105" t="s">
        <v>82</v>
      </c>
      <c r="F160" s="36" t="s">
        <v>2</v>
      </c>
      <c r="G160" s="37">
        <v>2</v>
      </c>
      <c r="H160" s="37">
        <v>1</v>
      </c>
      <c r="I160" s="37">
        <v>1</v>
      </c>
      <c r="J160" s="37">
        <v>1</v>
      </c>
      <c r="K160" s="37">
        <v>1</v>
      </c>
      <c r="L160" s="37">
        <v>1</v>
      </c>
      <c r="M160" s="37">
        <v>1</v>
      </c>
      <c r="N160" s="37">
        <v>1</v>
      </c>
      <c r="O160" s="37">
        <v>1</v>
      </c>
      <c r="P160" s="37">
        <v>1</v>
      </c>
      <c r="Q160" s="37">
        <v>1</v>
      </c>
      <c r="R160" s="37">
        <v>0</v>
      </c>
      <c r="S160" s="49">
        <v>1</v>
      </c>
      <c r="T160" s="37">
        <v>0</v>
      </c>
      <c r="U160" s="37">
        <v>1</v>
      </c>
      <c r="V160" s="37">
        <v>1</v>
      </c>
      <c r="W160" s="29"/>
      <c r="X160" s="37">
        <v>1</v>
      </c>
      <c r="Y160" s="37">
        <v>1</v>
      </c>
      <c r="Z160" s="37">
        <v>1</v>
      </c>
      <c r="AA160" s="37">
        <v>1</v>
      </c>
    </row>
    <row r="161" spans="2:27" x14ac:dyDescent="0.3">
      <c r="B161" s="108"/>
      <c r="C161" s="106"/>
      <c r="D161" s="100"/>
      <c r="E161" s="106"/>
      <c r="F161" s="36" t="s">
        <v>3</v>
      </c>
      <c r="G161" s="37">
        <v>2</v>
      </c>
      <c r="H161" s="37">
        <v>2</v>
      </c>
      <c r="I161" s="37">
        <v>2</v>
      </c>
      <c r="J161" s="37">
        <v>2</v>
      </c>
      <c r="K161" s="37">
        <v>2</v>
      </c>
      <c r="L161" s="37">
        <v>2</v>
      </c>
      <c r="M161" s="37">
        <v>2</v>
      </c>
      <c r="N161" s="37">
        <v>2</v>
      </c>
      <c r="O161" s="37">
        <v>2</v>
      </c>
      <c r="P161" s="37">
        <v>1</v>
      </c>
      <c r="Q161" s="37">
        <v>1</v>
      </c>
      <c r="R161" s="37">
        <v>1</v>
      </c>
      <c r="S161" s="44">
        <v>1.75</v>
      </c>
      <c r="T161" s="37">
        <v>1</v>
      </c>
      <c r="U161" s="37">
        <v>2</v>
      </c>
      <c r="V161" s="37">
        <v>2</v>
      </c>
      <c r="W161" s="29"/>
      <c r="X161" s="37">
        <v>2</v>
      </c>
      <c r="Y161" s="37">
        <v>2</v>
      </c>
      <c r="Z161" s="37">
        <v>2</v>
      </c>
      <c r="AA161" s="37">
        <v>1</v>
      </c>
    </row>
    <row r="162" spans="2:27" x14ac:dyDescent="0.3">
      <c r="B162" s="108"/>
      <c r="C162" s="105" t="s">
        <v>126</v>
      </c>
      <c r="D162" s="103"/>
      <c r="E162" s="105" t="s">
        <v>83</v>
      </c>
      <c r="F162" s="36" t="s">
        <v>2</v>
      </c>
      <c r="G162" s="37">
        <v>2</v>
      </c>
      <c r="H162" s="37">
        <v>2</v>
      </c>
      <c r="I162" s="37">
        <v>2</v>
      </c>
      <c r="J162" s="37">
        <v>1</v>
      </c>
      <c r="K162" s="37">
        <v>1</v>
      </c>
      <c r="L162" s="37">
        <v>1</v>
      </c>
      <c r="M162" s="37">
        <v>1</v>
      </c>
      <c r="N162" s="37">
        <v>1</v>
      </c>
      <c r="O162" s="37">
        <v>1</v>
      </c>
      <c r="P162" s="37">
        <v>1</v>
      </c>
      <c r="Q162" s="37">
        <v>1</v>
      </c>
      <c r="R162" s="37">
        <v>2</v>
      </c>
      <c r="S162" s="49">
        <v>1.3333333333333333</v>
      </c>
      <c r="T162" s="37">
        <v>2</v>
      </c>
      <c r="U162" s="37">
        <v>1</v>
      </c>
      <c r="V162" s="37">
        <v>1</v>
      </c>
      <c r="W162" s="29"/>
      <c r="X162" s="37">
        <v>2</v>
      </c>
      <c r="Y162" s="37">
        <v>1</v>
      </c>
      <c r="Z162" s="37">
        <v>1</v>
      </c>
      <c r="AA162" s="37">
        <v>1</v>
      </c>
    </row>
    <row r="163" spans="2:27" x14ac:dyDescent="0.3">
      <c r="B163" s="108"/>
      <c r="C163" s="108"/>
      <c r="D163" s="103"/>
      <c r="E163" s="106"/>
      <c r="F163" s="36" t="s">
        <v>3</v>
      </c>
      <c r="G163" s="37">
        <v>3</v>
      </c>
      <c r="H163" s="37">
        <v>3</v>
      </c>
      <c r="I163" s="37">
        <v>3</v>
      </c>
      <c r="J163" s="37">
        <v>3</v>
      </c>
      <c r="K163" s="37">
        <v>3</v>
      </c>
      <c r="L163" s="37">
        <v>3</v>
      </c>
      <c r="M163" s="37">
        <v>3</v>
      </c>
      <c r="N163" s="37">
        <v>3</v>
      </c>
      <c r="O163" s="37">
        <v>3</v>
      </c>
      <c r="P163" s="37">
        <v>3</v>
      </c>
      <c r="Q163" s="37">
        <v>3</v>
      </c>
      <c r="R163" s="37">
        <v>3</v>
      </c>
      <c r="S163" s="44">
        <v>3</v>
      </c>
      <c r="T163" s="37">
        <v>3</v>
      </c>
      <c r="U163" s="37">
        <v>3</v>
      </c>
      <c r="V163" s="37">
        <v>3</v>
      </c>
      <c r="W163" s="29"/>
      <c r="X163" s="37">
        <v>3</v>
      </c>
      <c r="Y163" s="37">
        <v>3</v>
      </c>
      <c r="Z163" s="37">
        <v>3</v>
      </c>
      <c r="AA163" s="37">
        <v>3</v>
      </c>
    </row>
    <row r="164" spans="2:27" x14ac:dyDescent="0.3">
      <c r="B164" s="108"/>
      <c r="C164" s="108"/>
      <c r="D164" s="103"/>
      <c r="E164" s="105" t="s">
        <v>82</v>
      </c>
      <c r="F164" s="36" t="s">
        <v>2</v>
      </c>
      <c r="G164" s="37">
        <v>0</v>
      </c>
      <c r="H164" s="37">
        <v>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44">
        <v>0</v>
      </c>
      <c r="T164" s="37">
        <v>0</v>
      </c>
      <c r="U164" s="37">
        <v>0</v>
      </c>
      <c r="V164" s="37">
        <v>0</v>
      </c>
      <c r="W164" s="29"/>
      <c r="X164" s="37">
        <v>0</v>
      </c>
      <c r="Y164" s="37">
        <v>0</v>
      </c>
      <c r="Z164" s="37">
        <v>0</v>
      </c>
      <c r="AA164" s="37">
        <v>0</v>
      </c>
    </row>
    <row r="165" spans="2:27" x14ac:dyDescent="0.3">
      <c r="B165" s="108"/>
      <c r="C165" s="106"/>
      <c r="D165" s="100"/>
      <c r="E165" s="106"/>
      <c r="F165" s="36" t="s">
        <v>3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44">
        <v>0</v>
      </c>
      <c r="T165" s="37">
        <v>0</v>
      </c>
      <c r="U165" s="37">
        <v>0</v>
      </c>
      <c r="V165" s="37">
        <v>0</v>
      </c>
      <c r="W165" s="29"/>
      <c r="X165" s="37">
        <v>0</v>
      </c>
      <c r="Y165" s="37">
        <v>0</v>
      </c>
      <c r="Z165" s="37">
        <v>0</v>
      </c>
      <c r="AA165" s="37">
        <v>0</v>
      </c>
    </row>
    <row r="166" spans="2:27" x14ac:dyDescent="0.3">
      <c r="B166" s="108"/>
      <c r="C166" s="105" t="s">
        <v>57</v>
      </c>
      <c r="D166" s="103"/>
      <c r="E166" s="105" t="s">
        <v>83</v>
      </c>
      <c r="F166" s="36" t="s">
        <v>2</v>
      </c>
      <c r="G166" s="37">
        <v>1</v>
      </c>
      <c r="H166" s="37">
        <v>1</v>
      </c>
      <c r="I166" s="37">
        <v>1</v>
      </c>
      <c r="J166" s="37">
        <v>1</v>
      </c>
      <c r="K166" s="37">
        <v>1</v>
      </c>
      <c r="L166" s="37">
        <v>1</v>
      </c>
      <c r="M166" s="37">
        <v>1</v>
      </c>
      <c r="N166" s="37">
        <v>1</v>
      </c>
      <c r="O166" s="37">
        <v>1</v>
      </c>
      <c r="P166" s="37">
        <v>1</v>
      </c>
      <c r="Q166" s="37">
        <v>1</v>
      </c>
      <c r="R166" s="37">
        <v>1</v>
      </c>
      <c r="S166" s="49">
        <v>1</v>
      </c>
      <c r="T166" s="37">
        <v>1</v>
      </c>
      <c r="U166" s="37">
        <v>1</v>
      </c>
      <c r="V166" s="37">
        <v>1</v>
      </c>
      <c r="W166" s="29"/>
      <c r="X166" s="37">
        <v>1</v>
      </c>
      <c r="Y166" s="37">
        <v>1</v>
      </c>
      <c r="Z166" s="37">
        <v>1</v>
      </c>
      <c r="AA166" s="37">
        <v>1</v>
      </c>
    </row>
    <row r="167" spans="2:27" x14ac:dyDescent="0.3">
      <c r="B167" s="108"/>
      <c r="C167" s="108"/>
      <c r="D167" s="103"/>
      <c r="E167" s="106"/>
      <c r="F167" s="36" t="s">
        <v>3</v>
      </c>
      <c r="G167" s="37">
        <v>1</v>
      </c>
      <c r="H167" s="37">
        <v>1</v>
      </c>
      <c r="I167" s="37">
        <v>1</v>
      </c>
      <c r="J167" s="37">
        <v>1</v>
      </c>
      <c r="K167" s="37">
        <v>1</v>
      </c>
      <c r="L167" s="37">
        <v>1</v>
      </c>
      <c r="M167" s="37">
        <v>1</v>
      </c>
      <c r="N167" s="37">
        <v>1</v>
      </c>
      <c r="O167" s="37">
        <v>1</v>
      </c>
      <c r="P167" s="37">
        <v>1</v>
      </c>
      <c r="Q167" s="37">
        <v>1</v>
      </c>
      <c r="R167" s="37">
        <v>1</v>
      </c>
      <c r="S167" s="44">
        <v>1</v>
      </c>
      <c r="T167" s="37">
        <v>1</v>
      </c>
      <c r="U167" s="37">
        <v>1</v>
      </c>
      <c r="V167" s="37">
        <v>1</v>
      </c>
      <c r="W167" s="29"/>
      <c r="X167" s="37">
        <v>1</v>
      </c>
      <c r="Y167" s="37">
        <v>1</v>
      </c>
      <c r="Z167" s="37">
        <v>1</v>
      </c>
      <c r="AA167" s="37">
        <v>1</v>
      </c>
    </row>
    <row r="168" spans="2:27" x14ac:dyDescent="0.3">
      <c r="B168" s="108"/>
      <c r="C168" s="108"/>
      <c r="D168" s="103"/>
      <c r="E168" s="105" t="s">
        <v>82</v>
      </c>
      <c r="F168" s="36" t="s">
        <v>2</v>
      </c>
      <c r="G168" s="37">
        <v>0</v>
      </c>
      <c r="H168" s="37">
        <v>0</v>
      </c>
      <c r="I168" s="37">
        <v>0</v>
      </c>
      <c r="J168" s="37">
        <v>0</v>
      </c>
      <c r="K168" s="37">
        <v>0</v>
      </c>
      <c r="L168" s="37">
        <v>0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44">
        <v>0</v>
      </c>
      <c r="T168" s="37">
        <v>0</v>
      </c>
      <c r="U168" s="37">
        <v>0</v>
      </c>
      <c r="V168" s="37">
        <v>0</v>
      </c>
      <c r="W168" s="29"/>
      <c r="X168" s="37">
        <v>0</v>
      </c>
      <c r="Y168" s="37">
        <v>0</v>
      </c>
      <c r="Z168" s="37">
        <v>0</v>
      </c>
      <c r="AA168" s="37">
        <v>0</v>
      </c>
    </row>
    <row r="169" spans="2:27" x14ac:dyDescent="0.3">
      <c r="B169" s="106"/>
      <c r="C169" s="106"/>
      <c r="D169" s="100"/>
      <c r="E169" s="106"/>
      <c r="F169" s="36" t="s">
        <v>3</v>
      </c>
      <c r="G169" s="37">
        <v>0</v>
      </c>
      <c r="H169" s="37">
        <v>0</v>
      </c>
      <c r="I169" s="37">
        <v>0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44">
        <v>0</v>
      </c>
      <c r="T169" s="37">
        <v>0</v>
      </c>
      <c r="U169" s="37">
        <v>0</v>
      </c>
      <c r="V169" s="37">
        <v>0</v>
      </c>
      <c r="W169" s="29"/>
      <c r="X169" s="37">
        <v>0</v>
      </c>
      <c r="Y169" s="37">
        <v>0</v>
      </c>
      <c r="Z169" s="37">
        <v>0</v>
      </c>
      <c r="AA169" s="37">
        <v>0</v>
      </c>
    </row>
    <row r="170" spans="2:27" x14ac:dyDescent="0.3">
      <c r="B170" s="105" t="s">
        <v>58</v>
      </c>
      <c r="C170" s="105" t="s">
        <v>60</v>
      </c>
      <c r="D170" s="103"/>
      <c r="E170" s="105" t="s">
        <v>83</v>
      </c>
      <c r="F170" s="36" t="s">
        <v>2</v>
      </c>
      <c r="G170" s="37">
        <v>3</v>
      </c>
      <c r="H170" s="37">
        <v>3</v>
      </c>
      <c r="I170" s="37">
        <v>3</v>
      </c>
      <c r="J170" s="37">
        <v>3</v>
      </c>
      <c r="K170" s="37">
        <v>3</v>
      </c>
      <c r="L170" s="37">
        <v>3</v>
      </c>
      <c r="M170" s="37">
        <v>3</v>
      </c>
      <c r="N170" s="37">
        <v>3</v>
      </c>
      <c r="O170" s="37">
        <v>3</v>
      </c>
      <c r="P170" s="37">
        <v>3</v>
      </c>
      <c r="Q170" s="37">
        <v>3</v>
      </c>
      <c r="R170" s="37">
        <v>3</v>
      </c>
      <c r="S170" s="49">
        <v>3</v>
      </c>
      <c r="T170" s="37">
        <v>3</v>
      </c>
      <c r="U170" s="37">
        <v>3</v>
      </c>
      <c r="V170" s="37">
        <v>3</v>
      </c>
      <c r="W170" s="29"/>
      <c r="X170" s="37">
        <v>3</v>
      </c>
      <c r="Y170" s="37">
        <v>3</v>
      </c>
      <c r="Z170" s="37">
        <v>3</v>
      </c>
      <c r="AA170" s="37">
        <v>3</v>
      </c>
    </row>
    <row r="171" spans="2:27" x14ac:dyDescent="0.3">
      <c r="B171" s="108"/>
      <c r="C171" s="108"/>
      <c r="D171" s="103"/>
      <c r="E171" s="106"/>
      <c r="F171" s="36" t="s">
        <v>3</v>
      </c>
      <c r="G171" s="37">
        <v>3</v>
      </c>
      <c r="H171" s="37">
        <v>3</v>
      </c>
      <c r="I171" s="37">
        <v>3</v>
      </c>
      <c r="J171" s="37">
        <v>3</v>
      </c>
      <c r="K171" s="37">
        <v>3</v>
      </c>
      <c r="L171" s="37">
        <v>3</v>
      </c>
      <c r="M171" s="37">
        <v>3</v>
      </c>
      <c r="N171" s="37">
        <v>3</v>
      </c>
      <c r="O171" s="37">
        <v>3</v>
      </c>
      <c r="P171" s="37">
        <v>3</v>
      </c>
      <c r="Q171" s="37">
        <v>3</v>
      </c>
      <c r="R171" s="37">
        <v>3</v>
      </c>
      <c r="S171" s="44">
        <v>3</v>
      </c>
      <c r="T171" s="37">
        <v>3</v>
      </c>
      <c r="U171" s="37">
        <v>3</v>
      </c>
      <c r="V171" s="37">
        <v>3</v>
      </c>
      <c r="W171" s="29"/>
      <c r="X171" s="37">
        <v>3</v>
      </c>
      <c r="Y171" s="37">
        <v>3</v>
      </c>
      <c r="Z171" s="37">
        <v>3</v>
      </c>
      <c r="AA171" s="37">
        <v>3</v>
      </c>
    </row>
    <row r="172" spans="2:27" x14ac:dyDescent="0.3">
      <c r="B172" s="108"/>
      <c r="C172" s="108"/>
      <c r="D172" s="103"/>
      <c r="E172" s="105" t="s">
        <v>82</v>
      </c>
      <c r="F172" s="36" t="s">
        <v>2</v>
      </c>
      <c r="G172" s="37">
        <v>0</v>
      </c>
      <c r="H172" s="37">
        <v>0</v>
      </c>
      <c r="I172" s="37">
        <v>0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44">
        <v>0</v>
      </c>
      <c r="T172" s="37">
        <v>0</v>
      </c>
      <c r="U172" s="37">
        <v>0</v>
      </c>
      <c r="V172" s="37">
        <v>0</v>
      </c>
      <c r="W172" s="29"/>
      <c r="X172" s="37">
        <v>0</v>
      </c>
      <c r="Y172" s="37">
        <v>0</v>
      </c>
      <c r="Z172" s="37">
        <v>0</v>
      </c>
      <c r="AA172" s="37">
        <v>0</v>
      </c>
    </row>
    <row r="173" spans="2:27" x14ac:dyDescent="0.3">
      <c r="B173" s="106"/>
      <c r="C173" s="106"/>
      <c r="D173" s="100"/>
      <c r="E173" s="106"/>
      <c r="F173" s="36" t="s">
        <v>3</v>
      </c>
      <c r="G173" s="37">
        <v>0</v>
      </c>
      <c r="H173" s="37">
        <v>0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44">
        <v>0</v>
      </c>
      <c r="T173" s="37">
        <v>0</v>
      </c>
      <c r="U173" s="37">
        <v>0</v>
      </c>
      <c r="V173" s="37">
        <v>0</v>
      </c>
      <c r="W173" s="29"/>
      <c r="X173" s="37">
        <v>0</v>
      </c>
      <c r="Y173" s="37">
        <v>0</v>
      </c>
      <c r="Z173" s="37">
        <v>0</v>
      </c>
      <c r="AA173" s="37">
        <v>0</v>
      </c>
    </row>
    <row r="174" spans="2:27" x14ac:dyDescent="0.3">
      <c r="B174" s="105" t="s">
        <v>154</v>
      </c>
      <c r="C174" s="105" t="s">
        <v>133</v>
      </c>
      <c r="D174" s="103"/>
      <c r="E174" s="105" t="s">
        <v>83</v>
      </c>
      <c r="F174" s="36" t="s">
        <v>2</v>
      </c>
      <c r="G174" s="37">
        <v>0</v>
      </c>
      <c r="H174" s="37">
        <v>0</v>
      </c>
      <c r="I174" s="37">
        <v>0</v>
      </c>
      <c r="J174" s="37">
        <v>0</v>
      </c>
      <c r="K174" s="37">
        <v>0</v>
      </c>
      <c r="L174" s="37">
        <v>0</v>
      </c>
      <c r="M174" s="37">
        <v>0</v>
      </c>
      <c r="N174" s="37">
        <v>30</v>
      </c>
      <c r="O174" s="37">
        <v>30</v>
      </c>
      <c r="P174" s="37">
        <v>30</v>
      </c>
      <c r="Q174" s="37">
        <v>30</v>
      </c>
      <c r="R174" s="37">
        <v>30</v>
      </c>
      <c r="S174" s="49">
        <v>12.5</v>
      </c>
      <c r="T174" s="37">
        <v>30</v>
      </c>
      <c r="U174" s="37">
        <v>30</v>
      </c>
      <c r="V174" s="37">
        <v>30</v>
      </c>
      <c r="W174" s="29"/>
      <c r="X174" s="37">
        <v>0</v>
      </c>
      <c r="Y174" s="37">
        <v>0</v>
      </c>
      <c r="Z174" s="37">
        <v>30</v>
      </c>
      <c r="AA174" s="37">
        <v>30</v>
      </c>
    </row>
    <row r="175" spans="2:27" x14ac:dyDescent="0.3">
      <c r="B175" s="106"/>
      <c r="C175" s="106"/>
      <c r="D175" s="100"/>
      <c r="E175" s="106"/>
      <c r="F175" s="36" t="s">
        <v>3</v>
      </c>
      <c r="G175" s="37">
        <v>0</v>
      </c>
      <c r="H175" s="37">
        <v>0</v>
      </c>
      <c r="I175" s="37">
        <v>0</v>
      </c>
      <c r="J175" s="37">
        <v>0</v>
      </c>
      <c r="K175" s="37">
        <v>0</v>
      </c>
      <c r="L175" s="37">
        <v>0</v>
      </c>
      <c r="M175" s="37">
        <v>0</v>
      </c>
      <c r="N175" s="37">
        <v>35</v>
      </c>
      <c r="O175" s="37">
        <v>35</v>
      </c>
      <c r="P175" s="37">
        <v>35</v>
      </c>
      <c r="Q175" s="37">
        <v>35</v>
      </c>
      <c r="R175" s="37">
        <v>35</v>
      </c>
      <c r="S175" s="44">
        <v>14.583333333333334</v>
      </c>
      <c r="T175" s="37">
        <v>35</v>
      </c>
      <c r="U175" s="37">
        <v>35</v>
      </c>
      <c r="V175" s="37">
        <v>35</v>
      </c>
      <c r="W175" s="29"/>
      <c r="X175" s="37">
        <v>0</v>
      </c>
      <c r="Y175" s="37">
        <v>0</v>
      </c>
      <c r="Z175" s="37">
        <v>35</v>
      </c>
      <c r="AA175" s="37">
        <v>35</v>
      </c>
    </row>
    <row r="176" spans="2:27" x14ac:dyDescent="0.3">
      <c r="B176" s="105" t="s">
        <v>130</v>
      </c>
      <c r="C176" s="105" t="s">
        <v>132</v>
      </c>
      <c r="D176" s="103"/>
      <c r="E176" s="105" t="s">
        <v>83</v>
      </c>
      <c r="F176" s="36" t="s">
        <v>2</v>
      </c>
      <c r="G176" s="37">
        <v>2</v>
      </c>
      <c r="H176" s="37">
        <v>2</v>
      </c>
      <c r="I176" s="37">
        <v>2</v>
      </c>
      <c r="J176" s="37">
        <v>2</v>
      </c>
      <c r="K176" s="37">
        <v>2</v>
      </c>
      <c r="L176" s="37">
        <v>2</v>
      </c>
      <c r="M176" s="37">
        <v>2</v>
      </c>
      <c r="N176" s="37">
        <v>2</v>
      </c>
      <c r="O176" s="37">
        <v>2</v>
      </c>
      <c r="P176" s="37">
        <v>2</v>
      </c>
      <c r="Q176" s="37">
        <v>2</v>
      </c>
      <c r="R176" s="37">
        <v>2</v>
      </c>
      <c r="S176" s="49">
        <v>2</v>
      </c>
      <c r="T176" s="37">
        <v>2</v>
      </c>
      <c r="U176" s="37">
        <v>2</v>
      </c>
      <c r="V176" s="37">
        <v>2</v>
      </c>
      <c r="W176" s="29"/>
      <c r="X176" s="37">
        <v>2</v>
      </c>
      <c r="Y176" s="37">
        <v>2</v>
      </c>
      <c r="Z176" s="37">
        <v>2</v>
      </c>
      <c r="AA176" s="37">
        <v>2</v>
      </c>
    </row>
    <row r="177" spans="2:27" x14ac:dyDescent="0.3">
      <c r="B177" s="108"/>
      <c r="C177" s="108"/>
      <c r="D177" s="103"/>
      <c r="E177" s="106"/>
      <c r="F177" s="36" t="s">
        <v>3</v>
      </c>
      <c r="G177" s="37">
        <v>2</v>
      </c>
      <c r="H177" s="37">
        <v>2</v>
      </c>
      <c r="I177" s="37">
        <v>2</v>
      </c>
      <c r="J177" s="37">
        <v>2</v>
      </c>
      <c r="K177" s="37">
        <v>2</v>
      </c>
      <c r="L177" s="37">
        <v>2</v>
      </c>
      <c r="M177" s="37">
        <v>2</v>
      </c>
      <c r="N177" s="37">
        <v>2</v>
      </c>
      <c r="O177" s="37">
        <v>2</v>
      </c>
      <c r="P177" s="37">
        <v>2</v>
      </c>
      <c r="Q177" s="37">
        <v>2</v>
      </c>
      <c r="R177" s="37">
        <v>2</v>
      </c>
      <c r="S177" s="44">
        <v>2</v>
      </c>
      <c r="T177" s="37">
        <v>2</v>
      </c>
      <c r="U177" s="37">
        <v>2</v>
      </c>
      <c r="V177" s="37">
        <v>2</v>
      </c>
      <c r="W177" s="29"/>
      <c r="X177" s="37">
        <v>2</v>
      </c>
      <c r="Y177" s="37">
        <v>2</v>
      </c>
      <c r="Z177" s="37">
        <v>2</v>
      </c>
      <c r="AA177" s="37">
        <v>2</v>
      </c>
    </row>
    <row r="178" spans="2:27" x14ac:dyDescent="0.3">
      <c r="B178" s="108"/>
      <c r="C178" s="108"/>
      <c r="D178" s="103"/>
      <c r="E178" s="105" t="s">
        <v>82</v>
      </c>
      <c r="F178" s="36" t="s">
        <v>2</v>
      </c>
      <c r="G178" s="37">
        <v>0</v>
      </c>
      <c r="H178" s="37">
        <v>0</v>
      </c>
      <c r="I178" s="37">
        <v>0</v>
      </c>
      <c r="J178" s="37">
        <v>0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44">
        <v>0</v>
      </c>
      <c r="T178" s="37">
        <v>0</v>
      </c>
      <c r="U178" s="37">
        <v>0</v>
      </c>
      <c r="V178" s="37">
        <v>0</v>
      </c>
      <c r="W178" s="29"/>
      <c r="X178" s="37">
        <v>0</v>
      </c>
      <c r="Y178" s="37">
        <v>0</v>
      </c>
      <c r="Z178" s="37">
        <v>0</v>
      </c>
      <c r="AA178" s="37">
        <v>0</v>
      </c>
    </row>
    <row r="179" spans="2:27" x14ac:dyDescent="0.3">
      <c r="B179" s="108"/>
      <c r="C179" s="106"/>
      <c r="D179" s="100"/>
      <c r="E179" s="106"/>
      <c r="F179" s="36" t="s">
        <v>3</v>
      </c>
      <c r="G179" s="37">
        <v>0</v>
      </c>
      <c r="H179" s="37">
        <v>0</v>
      </c>
      <c r="I179" s="37">
        <v>0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44">
        <v>0</v>
      </c>
      <c r="T179" s="37">
        <v>0</v>
      </c>
      <c r="U179" s="37">
        <v>0</v>
      </c>
      <c r="V179" s="37">
        <v>0</v>
      </c>
      <c r="W179" s="29"/>
      <c r="X179" s="37">
        <v>0</v>
      </c>
      <c r="Y179" s="37">
        <v>0</v>
      </c>
      <c r="Z179" s="37">
        <v>0</v>
      </c>
      <c r="AA179" s="37">
        <v>0</v>
      </c>
    </row>
    <row r="180" spans="2:27" x14ac:dyDescent="0.3">
      <c r="B180" s="108"/>
      <c r="C180" s="105" t="s">
        <v>133</v>
      </c>
      <c r="D180" s="103"/>
      <c r="E180" s="105" t="s">
        <v>83</v>
      </c>
      <c r="F180" s="36" t="s">
        <v>2</v>
      </c>
      <c r="G180" s="37">
        <v>35</v>
      </c>
      <c r="H180" s="37">
        <v>35</v>
      </c>
      <c r="I180" s="37">
        <v>35</v>
      </c>
      <c r="J180" s="37">
        <v>30</v>
      </c>
      <c r="K180" s="37">
        <v>30</v>
      </c>
      <c r="L180" s="37">
        <v>30</v>
      </c>
      <c r="M180" s="37">
        <v>30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49">
        <v>18.75</v>
      </c>
      <c r="T180" s="37">
        <v>0</v>
      </c>
      <c r="U180" s="37">
        <v>32</v>
      </c>
      <c r="V180" s="37">
        <v>32</v>
      </c>
      <c r="W180" s="29"/>
      <c r="X180" s="37">
        <v>35</v>
      </c>
      <c r="Y180" s="37">
        <v>30</v>
      </c>
      <c r="Z180" s="37">
        <v>30</v>
      </c>
      <c r="AA180" s="37">
        <v>0</v>
      </c>
    </row>
    <row r="181" spans="2:27" x14ac:dyDescent="0.3">
      <c r="B181" s="108"/>
      <c r="C181" s="108"/>
      <c r="D181" s="103"/>
      <c r="E181" s="106"/>
      <c r="F181" s="36" t="s">
        <v>3</v>
      </c>
      <c r="G181" s="37">
        <v>35</v>
      </c>
      <c r="H181" s="37">
        <v>35</v>
      </c>
      <c r="I181" s="37">
        <v>35</v>
      </c>
      <c r="J181" s="37">
        <v>35</v>
      </c>
      <c r="K181" s="37">
        <v>35</v>
      </c>
      <c r="L181" s="37">
        <v>35</v>
      </c>
      <c r="M181" s="37">
        <v>35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44">
        <v>20.416666666666668</v>
      </c>
      <c r="T181" s="37">
        <v>0</v>
      </c>
      <c r="U181" s="37">
        <v>35</v>
      </c>
      <c r="V181" s="37">
        <v>35</v>
      </c>
      <c r="W181" s="29"/>
      <c r="X181" s="37">
        <v>35</v>
      </c>
      <c r="Y181" s="37">
        <v>35</v>
      </c>
      <c r="Z181" s="37">
        <v>35</v>
      </c>
      <c r="AA181" s="37">
        <v>0</v>
      </c>
    </row>
    <row r="182" spans="2:27" x14ac:dyDescent="0.3">
      <c r="B182" s="108"/>
      <c r="C182" s="108"/>
      <c r="D182" s="103"/>
      <c r="E182" s="105" t="s">
        <v>82</v>
      </c>
      <c r="F182" s="36" t="s">
        <v>2</v>
      </c>
      <c r="G182" s="37">
        <v>0</v>
      </c>
      <c r="H182" s="37">
        <v>0</v>
      </c>
      <c r="I182" s="37">
        <v>0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44">
        <v>0</v>
      </c>
      <c r="T182" s="37">
        <v>0</v>
      </c>
      <c r="U182" s="37">
        <v>0</v>
      </c>
      <c r="V182" s="37">
        <v>0</v>
      </c>
      <c r="W182" s="29"/>
      <c r="X182" s="37">
        <v>0</v>
      </c>
      <c r="Y182" s="37">
        <v>0</v>
      </c>
      <c r="Z182" s="37">
        <v>0</v>
      </c>
      <c r="AA182" s="37">
        <v>0</v>
      </c>
    </row>
    <row r="183" spans="2:27" x14ac:dyDescent="0.3">
      <c r="B183" s="106"/>
      <c r="C183" s="106"/>
      <c r="D183" s="100"/>
      <c r="E183" s="106"/>
      <c r="F183" s="36" t="s">
        <v>3</v>
      </c>
      <c r="G183" s="37">
        <v>0</v>
      </c>
      <c r="H183" s="37">
        <v>0</v>
      </c>
      <c r="I183" s="37">
        <v>0</v>
      </c>
      <c r="J183" s="37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44">
        <v>0</v>
      </c>
      <c r="T183" s="37">
        <v>0</v>
      </c>
      <c r="U183" s="37">
        <v>0</v>
      </c>
      <c r="V183" s="37">
        <v>0</v>
      </c>
      <c r="W183" s="29"/>
      <c r="X183" s="37">
        <v>0</v>
      </c>
      <c r="Y183" s="37">
        <v>0</v>
      </c>
      <c r="Z183" s="37">
        <v>0</v>
      </c>
      <c r="AA183" s="37">
        <v>0</v>
      </c>
    </row>
    <row r="184" spans="2:27" x14ac:dyDescent="0.3"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44" t="e">
        <v>#DIV/0!</v>
      </c>
      <c r="T184" s="29"/>
      <c r="U184" s="29"/>
      <c r="V184" s="29"/>
      <c r="W184" s="29"/>
      <c r="X184" s="29"/>
      <c r="Y184" s="29"/>
      <c r="Z184" s="29"/>
      <c r="AA184" s="29"/>
    </row>
    <row r="185" spans="2:27" x14ac:dyDescent="0.3">
      <c r="B185" s="101" t="s">
        <v>135</v>
      </c>
      <c r="C185" s="100"/>
      <c r="D185" s="100"/>
      <c r="E185" s="100"/>
      <c r="F185" s="30" t="s">
        <v>2</v>
      </c>
      <c r="G185" s="43">
        <v>228</v>
      </c>
      <c r="H185" s="31">
        <v>228</v>
      </c>
      <c r="I185" s="31">
        <v>211</v>
      </c>
      <c r="J185" s="31">
        <v>209</v>
      </c>
      <c r="K185" s="31">
        <v>210</v>
      </c>
      <c r="L185" s="31">
        <v>214</v>
      </c>
      <c r="M185" s="31">
        <v>220</v>
      </c>
      <c r="N185" s="31">
        <v>221</v>
      </c>
      <c r="O185" s="31">
        <v>219</v>
      </c>
      <c r="P185" s="31">
        <v>232</v>
      </c>
      <c r="Q185" s="31">
        <v>239</v>
      </c>
      <c r="R185" s="43">
        <v>246</v>
      </c>
      <c r="S185" s="45">
        <v>223.08333333333334</v>
      </c>
      <c r="T185" s="31">
        <v>246</v>
      </c>
      <c r="U185" s="31">
        <v>241</v>
      </c>
      <c r="V185" s="31">
        <v>269</v>
      </c>
      <c r="W185" s="29"/>
      <c r="X185" s="31">
        <v>223</v>
      </c>
      <c r="Y185" s="31">
        <v>211</v>
      </c>
      <c r="Z185" s="31">
        <v>221</v>
      </c>
      <c r="AA185" s="31">
        <v>239</v>
      </c>
    </row>
    <row r="186" spans="2:27" x14ac:dyDescent="0.3">
      <c r="B186" s="29"/>
      <c r="C186" s="29"/>
      <c r="D186" s="29"/>
      <c r="E186" s="29"/>
      <c r="F186" s="30" t="s">
        <v>3</v>
      </c>
      <c r="G186" s="31">
        <v>292</v>
      </c>
      <c r="H186" s="31">
        <v>306</v>
      </c>
      <c r="I186" s="31">
        <v>297</v>
      </c>
      <c r="J186" s="31">
        <v>289</v>
      </c>
      <c r="K186" s="31">
        <v>296</v>
      </c>
      <c r="L186" s="31">
        <v>295</v>
      </c>
      <c r="M186" s="31">
        <v>292</v>
      </c>
      <c r="N186" s="31">
        <v>293</v>
      </c>
      <c r="O186" s="31">
        <v>294</v>
      </c>
      <c r="P186" s="31">
        <v>298</v>
      </c>
      <c r="Q186" s="31">
        <v>308</v>
      </c>
      <c r="R186" s="31">
        <v>308</v>
      </c>
      <c r="S186" s="44">
        <v>297.33333333333331</v>
      </c>
      <c r="T186" s="31">
        <v>308</v>
      </c>
      <c r="U186" s="31">
        <v>298</v>
      </c>
      <c r="V186" s="31">
        <v>298</v>
      </c>
      <c r="W186" s="29"/>
      <c r="X186" s="31">
        <v>298</v>
      </c>
      <c r="Y186" s="31">
        <v>294</v>
      </c>
      <c r="Z186" s="31">
        <v>293</v>
      </c>
      <c r="AA186" s="31">
        <v>305</v>
      </c>
    </row>
    <row r="187" spans="2:27" x14ac:dyDescent="0.3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44" t="e">
        <v>#DIV/0!</v>
      </c>
      <c r="T187" s="29"/>
      <c r="U187" s="29"/>
      <c r="V187" s="29"/>
      <c r="W187" s="29"/>
      <c r="X187" s="29"/>
      <c r="Y187" s="29"/>
      <c r="Z187" s="29"/>
      <c r="AA187" s="29"/>
    </row>
    <row r="188" spans="2:27" x14ac:dyDescent="0.3">
      <c r="B188" s="101" t="s">
        <v>5</v>
      </c>
      <c r="C188" s="100"/>
      <c r="D188" s="100"/>
      <c r="E188" s="100"/>
      <c r="F188" s="34" t="s">
        <v>6</v>
      </c>
      <c r="G188" s="35" t="s">
        <v>160</v>
      </c>
      <c r="H188" s="35" t="s">
        <v>161</v>
      </c>
      <c r="I188" s="35" t="s">
        <v>162</v>
      </c>
      <c r="J188" s="35" t="s">
        <v>163</v>
      </c>
      <c r="K188" s="35" t="s">
        <v>164</v>
      </c>
      <c r="L188" s="35" t="s">
        <v>165</v>
      </c>
      <c r="M188" s="35" t="s">
        <v>166</v>
      </c>
      <c r="N188" s="35" t="s">
        <v>167</v>
      </c>
      <c r="O188" s="35" t="s">
        <v>168</v>
      </c>
      <c r="P188" s="35" t="s">
        <v>169</v>
      </c>
      <c r="Q188" s="35" t="s">
        <v>170</v>
      </c>
      <c r="R188" s="35" t="s">
        <v>171</v>
      </c>
      <c r="S188" s="44" t="e">
        <v>#DIV/0!</v>
      </c>
      <c r="T188" s="35" t="s">
        <v>24</v>
      </c>
      <c r="U188" s="35" t="s">
        <v>25</v>
      </c>
      <c r="V188" s="35" t="s">
        <v>19</v>
      </c>
      <c r="W188" s="29"/>
      <c r="X188" s="35" t="s">
        <v>20</v>
      </c>
      <c r="Y188" s="35" t="s">
        <v>21</v>
      </c>
      <c r="Z188" s="35" t="s">
        <v>22</v>
      </c>
      <c r="AA188" s="35" t="s">
        <v>23</v>
      </c>
    </row>
    <row r="189" spans="2:27" x14ac:dyDescent="0.3">
      <c r="B189" s="105" t="s">
        <v>113</v>
      </c>
      <c r="C189" s="103"/>
      <c r="D189" s="103"/>
      <c r="E189" s="103"/>
      <c r="F189" s="36" t="s">
        <v>2</v>
      </c>
      <c r="G189" s="37">
        <v>10</v>
      </c>
      <c r="H189" s="37">
        <v>10</v>
      </c>
      <c r="I189" s="37">
        <v>9</v>
      </c>
      <c r="J189" s="37">
        <v>9</v>
      </c>
      <c r="K189" s="37">
        <v>9</v>
      </c>
      <c r="L189" s="37">
        <v>10</v>
      </c>
      <c r="M189" s="37">
        <v>11</v>
      </c>
      <c r="N189" s="37">
        <v>12</v>
      </c>
      <c r="O189" s="37">
        <v>12</v>
      </c>
      <c r="P189" s="37">
        <v>13</v>
      </c>
      <c r="Q189" s="37">
        <v>13</v>
      </c>
      <c r="R189" s="37">
        <v>13</v>
      </c>
      <c r="S189" s="44">
        <v>10.916666666666666</v>
      </c>
      <c r="T189" s="37">
        <v>13</v>
      </c>
      <c r="U189" s="37">
        <v>11</v>
      </c>
      <c r="V189" s="37">
        <v>12</v>
      </c>
      <c r="W189" s="29"/>
      <c r="X189" s="37">
        <v>10</v>
      </c>
      <c r="Y189" s="37">
        <v>9</v>
      </c>
      <c r="Z189" s="37">
        <v>12</v>
      </c>
      <c r="AA189" s="37">
        <v>13</v>
      </c>
    </row>
    <row r="190" spans="2:27" x14ac:dyDescent="0.3">
      <c r="B190" s="106"/>
      <c r="C190" s="100"/>
      <c r="D190" s="100"/>
      <c r="E190" s="100"/>
      <c r="F190" s="36" t="s">
        <v>3</v>
      </c>
      <c r="G190" s="37">
        <v>12</v>
      </c>
      <c r="H190" s="37">
        <v>12</v>
      </c>
      <c r="I190" s="37">
        <v>12</v>
      </c>
      <c r="J190" s="37">
        <v>12</v>
      </c>
      <c r="K190" s="37">
        <v>12</v>
      </c>
      <c r="L190" s="37">
        <v>12</v>
      </c>
      <c r="M190" s="37">
        <v>12</v>
      </c>
      <c r="N190" s="37">
        <v>12</v>
      </c>
      <c r="O190" s="37">
        <v>12</v>
      </c>
      <c r="P190" s="37">
        <v>12</v>
      </c>
      <c r="Q190" s="37">
        <v>12</v>
      </c>
      <c r="R190" s="37">
        <v>12</v>
      </c>
      <c r="S190" s="44">
        <v>12</v>
      </c>
      <c r="T190" s="37">
        <v>12</v>
      </c>
      <c r="U190" s="37">
        <v>12</v>
      </c>
      <c r="V190" s="37">
        <v>12</v>
      </c>
      <c r="W190" s="29"/>
      <c r="X190" s="37">
        <v>12</v>
      </c>
      <c r="Y190" s="37">
        <v>12</v>
      </c>
      <c r="Z190" s="37">
        <v>12</v>
      </c>
      <c r="AA190" s="37">
        <v>12</v>
      </c>
    </row>
    <row r="191" spans="2:27" x14ac:dyDescent="0.3">
      <c r="B191" s="105" t="s">
        <v>38</v>
      </c>
      <c r="C191" s="103"/>
      <c r="D191" s="103"/>
      <c r="E191" s="103"/>
      <c r="F191" s="36" t="s">
        <v>2</v>
      </c>
      <c r="G191" s="37">
        <v>175</v>
      </c>
      <c r="H191" s="37">
        <v>174</v>
      </c>
      <c r="I191" s="37">
        <v>159</v>
      </c>
      <c r="J191" s="37">
        <v>159</v>
      </c>
      <c r="K191" s="37">
        <v>159</v>
      </c>
      <c r="L191" s="37">
        <v>163</v>
      </c>
      <c r="M191" s="37">
        <v>164</v>
      </c>
      <c r="N191" s="37">
        <v>164</v>
      </c>
      <c r="O191" s="37">
        <v>163</v>
      </c>
      <c r="P191" s="37">
        <v>173</v>
      </c>
      <c r="Q191" s="37">
        <v>180</v>
      </c>
      <c r="R191" s="37">
        <v>187</v>
      </c>
      <c r="S191" s="44">
        <v>168.33333333333334</v>
      </c>
      <c r="T191" s="37">
        <v>187</v>
      </c>
      <c r="U191" s="37">
        <v>169</v>
      </c>
      <c r="V191" s="37">
        <v>169</v>
      </c>
      <c r="W191" s="29"/>
      <c r="X191" s="37">
        <v>169</v>
      </c>
      <c r="Y191" s="37">
        <v>161</v>
      </c>
      <c r="Z191" s="37">
        <v>164</v>
      </c>
      <c r="AA191" s="37">
        <v>180</v>
      </c>
    </row>
    <row r="192" spans="2:27" x14ac:dyDescent="0.3">
      <c r="B192" s="106"/>
      <c r="C192" s="100"/>
      <c r="D192" s="100"/>
      <c r="E192" s="100"/>
      <c r="F192" s="36" t="s">
        <v>3</v>
      </c>
      <c r="G192" s="37">
        <v>231</v>
      </c>
      <c r="H192" s="37">
        <v>245</v>
      </c>
      <c r="I192" s="37">
        <v>236</v>
      </c>
      <c r="J192" s="37">
        <v>228</v>
      </c>
      <c r="K192" s="37">
        <v>235</v>
      </c>
      <c r="L192" s="37">
        <v>235</v>
      </c>
      <c r="M192" s="37">
        <v>232</v>
      </c>
      <c r="N192" s="37">
        <v>233</v>
      </c>
      <c r="O192" s="37">
        <v>234</v>
      </c>
      <c r="P192" s="37">
        <v>238</v>
      </c>
      <c r="Q192" s="37">
        <v>248</v>
      </c>
      <c r="R192" s="37">
        <v>248</v>
      </c>
      <c r="S192" s="44">
        <v>236.91666666666666</v>
      </c>
      <c r="T192" s="37">
        <v>248</v>
      </c>
      <c r="U192" s="37">
        <v>237</v>
      </c>
      <c r="V192" s="37">
        <v>237</v>
      </c>
      <c r="W192" s="29"/>
      <c r="X192" s="37">
        <v>237</v>
      </c>
      <c r="Y192" s="37">
        <v>233</v>
      </c>
      <c r="Z192" s="37">
        <v>233</v>
      </c>
      <c r="AA192" s="37">
        <v>245</v>
      </c>
    </row>
    <row r="193" spans="2:27" x14ac:dyDescent="0.3">
      <c r="B193" s="105" t="s">
        <v>42</v>
      </c>
      <c r="C193" s="103"/>
      <c r="D193" s="103"/>
      <c r="E193" s="103"/>
      <c r="F193" s="36" t="s">
        <v>2</v>
      </c>
      <c r="G193" s="37">
        <v>38</v>
      </c>
      <c r="H193" s="37">
        <v>38</v>
      </c>
      <c r="I193" s="37">
        <v>37</v>
      </c>
      <c r="J193" s="37">
        <v>36</v>
      </c>
      <c r="K193" s="37">
        <v>37</v>
      </c>
      <c r="L193" s="37">
        <v>36</v>
      </c>
      <c r="M193" s="37">
        <v>39</v>
      </c>
      <c r="N193" s="37">
        <v>39</v>
      </c>
      <c r="O193" s="37">
        <v>39</v>
      </c>
      <c r="P193" s="37">
        <v>41</v>
      </c>
      <c r="Q193" s="37">
        <v>41</v>
      </c>
      <c r="R193" s="37">
        <v>41</v>
      </c>
      <c r="S193" s="44">
        <v>38.5</v>
      </c>
      <c r="T193" s="37">
        <v>41</v>
      </c>
      <c r="U193" s="37">
        <v>55</v>
      </c>
      <c r="V193" s="37">
        <v>82</v>
      </c>
      <c r="W193" s="29"/>
      <c r="X193" s="37">
        <v>38</v>
      </c>
      <c r="Y193" s="37">
        <v>36</v>
      </c>
      <c r="Z193" s="37">
        <v>39</v>
      </c>
      <c r="AA193" s="37">
        <v>41</v>
      </c>
    </row>
    <row r="194" spans="2:27" x14ac:dyDescent="0.3">
      <c r="B194" s="106"/>
      <c r="C194" s="100"/>
      <c r="D194" s="100"/>
      <c r="E194" s="100"/>
      <c r="F194" s="36" t="s">
        <v>3</v>
      </c>
      <c r="G194" s="37">
        <v>44</v>
      </c>
      <c r="H194" s="37">
        <v>44</v>
      </c>
      <c r="I194" s="37">
        <v>44</v>
      </c>
      <c r="J194" s="37">
        <v>44</v>
      </c>
      <c r="K194" s="37">
        <v>44</v>
      </c>
      <c r="L194" s="37">
        <v>44</v>
      </c>
      <c r="M194" s="37">
        <v>44</v>
      </c>
      <c r="N194" s="37">
        <v>44</v>
      </c>
      <c r="O194" s="37">
        <v>44</v>
      </c>
      <c r="P194" s="37">
        <v>44</v>
      </c>
      <c r="Q194" s="37">
        <v>44</v>
      </c>
      <c r="R194" s="37">
        <v>44</v>
      </c>
      <c r="S194" s="44">
        <v>44</v>
      </c>
      <c r="T194" s="37">
        <v>44</v>
      </c>
      <c r="U194" s="37">
        <v>44</v>
      </c>
      <c r="V194" s="37">
        <v>44</v>
      </c>
      <c r="W194" s="29"/>
      <c r="X194" s="37">
        <v>44</v>
      </c>
      <c r="Y194" s="37">
        <v>44</v>
      </c>
      <c r="Z194" s="37">
        <v>44</v>
      </c>
      <c r="AA194" s="37">
        <v>44</v>
      </c>
    </row>
    <row r="195" spans="2:27" x14ac:dyDescent="0.3">
      <c r="B195" s="105" t="s">
        <v>121</v>
      </c>
      <c r="C195" s="103"/>
      <c r="D195" s="103"/>
      <c r="E195" s="103"/>
      <c r="F195" s="36" t="s">
        <v>2</v>
      </c>
      <c r="G195" s="37">
        <v>1</v>
      </c>
      <c r="H195" s="37">
        <v>1</v>
      </c>
      <c r="I195" s="37">
        <v>1</v>
      </c>
      <c r="J195" s="37">
        <v>0</v>
      </c>
      <c r="K195" s="37">
        <v>0</v>
      </c>
      <c r="L195" s="37">
        <v>0</v>
      </c>
      <c r="M195" s="37">
        <v>0</v>
      </c>
      <c r="N195" s="37">
        <v>0</v>
      </c>
      <c r="O195" s="37">
        <v>1</v>
      </c>
      <c r="P195" s="37">
        <v>1</v>
      </c>
      <c r="Q195" s="37">
        <v>1</v>
      </c>
      <c r="R195" s="37">
        <v>1</v>
      </c>
      <c r="S195" s="44">
        <v>0.58333333333333337</v>
      </c>
      <c r="T195" s="37">
        <v>1</v>
      </c>
      <c r="U195" s="37">
        <v>1</v>
      </c>
      <c r="V195" s="37">
        <v>1</v>
      </c>
      <c r="W195" s="29"/>
      <c r="X195" s="37">
        <v>1</v>
      </c>
      <c r="Y195" s="37">
        <v>0</v>
      </c>
      <c r="Z195" s="37">
        <v>1</v>
      </c>
      <c r="AA195" s="37">
        <v>1</v>
      </c>
    </row>
    <row r="196" spans="2:27" x14ac:dyDescent="0.3">
      <c r="B196" s="106"/>
      <c r="C196" s="100"/>
      <c r="D196" s="100"/>
      <c r="E196" s="100"/>
      <c r="F196" s="36" t="s">
        <v>3</v>
      </c>
      <c r="G196" s="37">
        <v>1</v>
      </c>
      <c r="H196" s="37">
        <v>1</v>
      </c>
      <c r="I196" s="37">
        <v>1</v>
      </c>
      <c r="J196" s="37">
        <v>1</v>
      </c>
      <c r="K196" s="37">
        <v>1</v>
      </c>
      <c r="L196" s="37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44">
        <v>0.41666666666666669</v>
      </c>
      <c r="T196" s="37">
        <v>0</v>
      </c>
      <c r="U196" s="37">
        <v>1</v>
      </c>
      <c r="V196" s="37">
        <v>1</v>
      </c>
      <c r="W196" s="29"/>
      <c r="X196" s="37">
        <v>1</v>
      </c>
      <c r="Y196" s="37">
        <v>1</v>
      </c>
      <c r="Z196" s="37">
        <v>0</v>
      </c>
      <c r="AA196" s="37">
        <v>0</v>
      </c>
    </row>
    <row r="197" spans="2:27" x14ac:dyDescent="0.3">
      <c r="B197" s="105" t="s">
        <v>58</v>
      </c>
      <c r="C197" s="103"/>
      <c r="D197" s="103"/>
      <c r="E197" s="103"/>
      <c r="F197" s="36" t="s">
        <v>2</v>
      </c>
      <c r="G197" s="37">
        <v>4</v>
      </c>
      <c r="H197" s="37">
        <v>5</v>
      </c>
      <c r="I197" s="37">
        <v>5</v>
      </c>
      <c r="J197" s="37">
        <v>5</v>
      </c>
      <c r="K197" s="37">
        <v>5</v>
      </c>
      <c r="L197" s="37">
        <v>5</v>
      </c>
      <c r="M197" s="37">
        <v>6</v>
      </c>
      <c r="N197" s="37">
        <v>6</v>
      </c>
      <c r="O197" s="37">
        <v>4</v>
      </c>
      <c r="P197" s="37">
        <v>4</v>
      </c>
      <c r="Q197" s="37">
        <v>4</v>
      </c>
      <c r="R197" s="37">
        <v>4</v>
      </c>
      <c r="S197" s="44">
        <v>4.75</v>
      </c>
      <c r="T197" s="37">
        <v>4</v>
      </c>
      <c r="U197" s="37">
        <v>5</v>
      </c>
      <c r="V197" s="37">
        <v>5</v>
      </c>
      <c r="W197" s="29"/>
      <c r="X197" s="37">
        <v>5</v>
      </c>
      <c r="Y197" s="37">
        <v>5</v>
      </c>
      <c r="Z197" s="37">
        <v>5</v>
      </c>
      <c r="AA197" s="37">
        <v>4</v>
      </c>
    </row>
    <row r="198" spans="2:27" x14ac:dyDescent="0.3">
      <c r="B198" s="106"/>
      <c r="C198" s="100"/>
      <c r="D198" s="100"/>
      <c r="E198" s="100"/>
      <c r="F198" s="36" t="s">
        <v>3</v>
      </c>
      <c r="G198" s="37">
        <v>4</v>
      </c>
      <c r="H198" s="37">
        <v>4</v>
      </c>
      <c r="I198" s="37">
        <v>4</v>
      </c>
      <c r="J198" s="37">
        <v>4</v>
      </c>
      <c r="K198" s="37">
        <v>4</v>
      </c>
      <c r="L198" s="37">
        <v>4</v>
      </c>
      <c r="M198" s="37">
        <v>4</v>
      </c>
      <c r="N198" s="37">
        <v>4</v>
      </c>
      <c r="O198" s="37">
        <v>4</v>
      </c>
      <c r="P198" s="37">
        <v>4</v>
      </c>
      <c r="Q198" s="37">
        <v>4</v>
      </c>
      <c r="R198" s="37">
        <v>4</v>
      </c>
      <c r="S198" s="44">
        <v>4</v>
      </c>
      <c r="T198" s="37">
        <v>4</v>
      </c>
      <c r="U198" s="37">
        <v>4</v>
      </c>
      <c r="V198" s="37">
        <v>4</v>
      </c>
      <c r="W198" s="29"/>
      <c r="X198" s="37">
        <v>4</v>
      </c>
      <c r="Y198" s="37">
        <v>4</v>
      </c>
      <c r="Z198" s="37">
        <v>4</v>
      </c>
      <c r="AA198" s="37">
        <v>4</v>
      </c>
    </row>
    <row r="199" spans="2:27" x14ac:dyDescent="0.3"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44" t="e">
        <v>#DIV/0!</v>
      </c>
      <c r="T199" s="29"/>
      <c r="U199" s="29"/>
      <c r="V199" s="29"/>
      <c r="W199" s="29"/>
      <c r="X199" s="29"/>
      <c r="Y199" s="29"/>
      <c r="Z199" s="29"/>
      <c r="AA199" s="29"/>
    </row>
    <row r="200" spans="2:27" x14ac:dyDescent="0.3">
      <c r="B200" s="101" t="s">
        <v>85</v>
      </c>
      <c r="C200" s="100"/>
      <c r="D200" s="100"/>
      <c r="E200" s="100"/>
      <c r="F200" s="30" t="s">
        <v>2</v>
      </c>
      <c r="G200" s="31">
        <v>5819</v>
      </c>
      <c r="H200" s="31">
        <v>5684.82</v>
      </c>
      <c r="I200" s="31">
        <v>5990.08</v>
      </c>
      <c r="J200" s="31">
        <v>5222.03</v>
      </c>
      <c r="K200" s="31">
        <v>5263.83</v>
      </c>
      <c r="L200" s="31">
        <v>4798.1099999999997</v>
      </c>
      <c r="M200" s="31">
        <v>4906.74</v>
      </c>
      <c r="N200" s="31">
        <v>4525.3599999999997</v>
      </c>
      <c r="O200" s="31">
        <v>3645.74</v>
      </c>
      <c r="P200" s="31">
        <v>2556.08</v>
      </c>
      <c r="Q200" s="31">
        <v>2088.79</v>
      </c>
      <c r="R200" s="31">
        <v>1833.28</v>
      </c>
      <c r="S200" s="44">
        <v>4361.1549999999997</v>
      </c>
      <c r="T200" s="31">
        <v>1833</v>
      </c>
      <c r="U200" s="31">
        <v>4362</v>
      </c>
      <c r="V200" s="31">
        <v>4362</v>
      </c>
      <c r="W200" s="29"/>
      <c r="X200" s="31">
        <v>5831</v>
      </c>
      <c r="Y200" s="31">
        <v>5094</v>
      </c>
      <c r="Z200" s="31">
        <v>4360</v>
      </c>
      <c r="AA200" s="31">
        <v>2160</v>
      </c>
    </row>
    <row r="201" spans="2:27" x14ac:dyDescent="0.3">
      <c r="B201" s="29"/>
      <c r="C201" s="29"/>
      <c r="D201" s="29"/>
      <c r="E201" s="29"/>
      <c r="F201" s="30" t="s">
        <v>3</v>
      </c>
      <c r="G201" s="31">
        <v>3402.58</v>
      </c>
      <c r="H201" s="31">
        <v>3164.93</v>
      </c>
      <c r="I201" s="31">
        <v>2884.78</v>
      </c>
      <c r="J201" s="31">
        <v>3051.08</v>
      </c>
      <c r="K201" s="31">
        <v>3134.67</v>
      </c>
      <c r="L201" s="31">
        <v>3474.82</v>
      </c>
      <c r="M201" s="31">
        <v>3741.37</v>
      </c>
      <c r="N201" s="31">
        <v>4194.25</v>
      </c>
      <c r="O201" s="31">
        <v>4894.91</v>
      </c>
      <c r="P201" s="31">
        <v>5154.6899999999996</v>
      </c>
      <c r="Q201" s="31">
        <v>5933.85</v>
      </c>
      <c r="R201" s="31">
        <v>6067.03</v>
      </c>
      <c r="S201" s="44">
        <v>4091.58</v>
      </c>
      <c r="T201" s="31">
        <v>6067</v>
      </c>
      <c r="U201" s="31">
        <v>4091</v>
      </c>
      <c r="V201" s="31">
        <v>4091</v>
      </c>
      <c r="W201" s="29"/>
      <c r="X201" s="31">
        <v>3150</v>
      </c>
      <c r="Y201" s="31">
        <v>3220</v>
      </c>
      <c r="Z201" s="31">
        <v>4276</v>
      </c>
      <c r="AA201" s="31">
        <v>5718</v>
      </c>
    </row>
    <row r="202" spans="2:27" x14ac:dyDescent="0.3"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44" t="e">
        <v>#DIV/0!</v>
      </c>
      <c r="T202" s="29"/>
      <c r="U202" s="29"/>
      <c r="V202" s="29"/>
      <c r="W202" s="29"/>
      <c r="X202" s="29"/>
      <c r="Y202" s="29"/>
      <c r="Z202" s="29"/>
      <c r="AA202" s="29"/>
    </row>
    <row r="203" spans="2:27" x14ac:dyDescent="0.3">
      <c r="B203" s="101" t="s">
        <v>5</v>
      </c>
      <c r="C203" s="100"/>
      <c r="D203" s="100"/>
      <c r="E203" s="100"/>
      <c r="F203" s="34" t="s">
        <v>6</v>
      </c>
      <c r="G203" s="35" t="s">
        <v>160</v>
      </c>
      <c r="H203" s="35" t="s">
        <v>161</v>
      </c>
      <c r="I203" s="35" t="s">
        <v>162</v>
      </c>
      <c r="J203" s="35" t="s">
        <v>163</v>
      </c>
      <c r="K203" s="35" t="s">
        <v>164</v>
      </c>
      <c r="L203" s="35" t="s">
        <v>165</v>
      </c>
      <c r="M203" s="35" t="s">
        <v>166</v>
      </c>
      <c r="N203" s="35" t="s">
        <v>167</v>
      </c>
      <c r="O203" s="35" t="s">
        <v>168</v>
      </c>
      <c r="P203" s="35" t="s">
        <v>169</v>
      </c>
      <c r="Q203" s="35" t="s">
        <v>170</v>
      </c>
      <c r="R203" s="35" t="s">
        <v>171</v>
      </c>
      <c r="S203" s="44" t="e">
        <v>#DIV/0!</v>
      </c>
      <c r="T203" s="35" t="s">
        <v>24</v>
      </c>
      <c r="U203" s="35" t="s">
        <v>25</v>
      </c>
      <c r="V203" s="35" t="s">
        <v>19</v>
      </c>
      <c r="W203" s="29"/>
      <c r="X203" s="35" t="s">
        <v>20</v>
      </c>
      <c r="Y203" s="35" t="s">
        <v>21</v>
      </c>
      <c r="Z203" s="35" t="s">
        <v>22</v>
      </c>
      <c r="AA203" s="35" t="s">
        <v>23</v>
      </c>
    </row>
    <row r="204" spans="2:27" x14ac:dyDescent="0.3">
      <c r="B204" s="105" t="s">
        <v>38</v>
      </c>
      <c r="C204" s="103"/>
      <c r="D204" s="105" t="s">
        <v>83</v>
      </c>
      <c r="E204" s="103"/>
      <c r="F204" s="36" t="s">
        <v>2</v>
      </c>
      <c r="G204" s="37">
        <v>700.36</v>
      </c>
      <c r="H204" s="37">
        <v>678.42</v>
      </c>
      <c r="I204" s="37">
        <v>533.54999999999995</v>
      </c>
      <c r="J204" s="37">
        <v>394.51</v>
      </c>
      <c r="K204" s="37">
        <v>385.71</v>
      </c>
      <c r="L204" s="37">
        <v>354.63</v>
      </c>
      <c r="M204" s="37">
        <v>488.57</v>
      </c>
      <c r="N204" s="37">
        <v>485.36</v>
      </c>
      <c r="O204" s="37">
        <v>391.27</v>
      </c>
      <c r="P204" s="37">
        <v>392.69</v>
      </c>
      <c r="Q204" s="37">
        <v>419.58</v>
      </c>
      <c r="R204" s="37">
        <v>844</v>
      </c>
      <c r="S204" s="50">
        <v>505.72083333333336</v>
      </c>
      <c r="T204" s="37">
        <v>844</v>
      </c>
      <c r="U204" s="37">
        <v>506</v>
      </c>
      <c r="V204" s="37">
        <v>506</v>
      </c>
      <c r="W204" s="29"/>
      <c r="X204" s="37">
        <v>637</v>
      </c>
      <c r="Y204" s="37">
        <v>378</v>
      </c>
      <c r="Z204" s="37">
        <v>455</v>
      </c>
      <c r="AA204" s="37">
        <v>552</v>
      </c>
    </row>
    <row r="205" spans="2:27" x14ac:dyDescent="0.3">
      <c r="B205" s="108"/>
      <c r="C205" s="103"/>
      <c r="D205" s="106"/>
      <c r="E205" s="100"/>
      <c r="F205" s="36" t="s">
        <v>3</v>
      </c>
      <c r="G205" s="37">
        <v>721</v>
      </c>
      <c r="H205" s="37">
        <v>1271.1099999999999</v>
      </c>
      <c r="I205" s="37">
        <v>1657.15</v>
      </c>
      <c r="J205" s="37">
        <v>2037.91</v>
      </c>
      <c r="K205" s="37">
        <v>2423.42</v>
      </c>
      <c r="L205" s="37">
        <v>2937.7</v>
      </c>
      <c r="M205" s="37">
        <v>3242.76</v>
      </c>
      <c r="N205" s="37">
        <v>3648</v>
      </c>
      <c r="O205" s="37">
        <v>4297.66</v>
      </c>
      <c r="P205" s="37">
        <v>4351.4399999999996</v>
      </c>
      <c r="Q205" s="37">
        <v>5093.24</v>
      </c>
      <c r="R205" s="37">
        <v>5198.78</v>
      </c>
      <c r="S205" s="44">
        <v>3073.3474999999999</v>
      </c>
      <c r="T205" s="37">
        <v>5199</v>
      </c>
      <c r="U205" s="37">
        <v>3073</v>
      </c>
      <c r="V205" s="37">
        <v>3073</v>
      </c>
      <c r="W205" s="29"/>
      <c r="X205" s="37">
        <v>1216</v>
      </c>
      <c r="Y205" s="37">
        <v>2466</v>
      </c>
      <c r="Z205" s="37">
        <v>3729</v>
      </c>
      <c r="AA205" s="37">
        <v>4881</v>
      </c>
    </row>
    <row r="206" spans="2:27" x14ac:dyDescent="0.3">
      <c r="B206" s="108"/>
      <c r="C206" s="103"/>
      <c r="D206" s="105" t="s">
        <v>82</v>
      </c>
      <c r="E206" s="103"/>
      <c r="F206" s="36" t="s">
        <v>2</v>
      </c>
      <c r="G206" s="37">
        <v>4799.6400000000003</v>
      </c>
      <c r="H206" s="37">
        <v>4700.3999999999996</v>
      </c>
      <c r="I206" s="37">
        <v>5113.53</v>
      </c>
      <c r="J206" s="37">
        <v>4510.5200000000004</v>
      </c>
      <c r="K206" s="37">
        <v>4541.12</v>
      </c>
      <c r="L206" s="37">
        <v>4130.4799999999996</v>
      </c>
      <c r="M206" s="37">
        <v>4123.17</v>
      </c>
      <c r="N206" s="37">
        <v>3797</v>
      </c>
      <c r="O206" s="37">
        <v>2997.47</v>
      </c>
      <c r="P206" s="37">
        <v>1904.39</v>
      </c>
      <c r="Q206" s="37">
        <v>1366.21</v>
      </c>
      <c r="R206" s="37">
        <v>703.28</v>
      </c>
      <c r="S206" s="50">
        <v>3557.2674999999999</v>
      </c>
      <c r="T206" s="37">
        <v>703</v>
      </c>
      <c r="U206" s="37">
        <v>3558</v>
      </c>
      <c r="V206" s="37">
        <v>3558</v>
      </c>
      <c r="W206" s="29"/>
      <c r="X206" s="37">
        <v>4871</v>
      </c>
      <c r="Y206" s="37">
        <v>4394</v>
      </c>
      <c r="Z206" s="37">
        <v>3640</v>
      </c>
      <c r="AA206" s="37">
        <v>1325</v>
      </c>
    </row>
    <row r="207" spans="2:27" x14ac:dyDescent="0.3">
      <c r="B207" s="106"/>
      <c r="C207" s="100"/>
      <c r="D207" s="106"/>
      <c r="E207" s="100"/>
      <c r="F207" s="36" t="s">
        <v>3</v>
      </c>
      <c r="G207" s="37">
        <v>2271.58</v>
      </c>
      <c r="H207" s="37">
        <v>1483.82</v>
      </c>
      <c r="I207" s="37">
        <v>803.63</v>
      </c>
      <c r="J207" s="37">
        <v>589.16999999999996</v>
      </c>
      <c r="K207" s="37">
        <v>295.25</v>
      </c>
      <c r="L207" s="37">
        <v>267.12</v>
      </c>
      <c r="M207" s="37">
        <v>262.61</v>
      </c>
      <c r="N207" s="37">
        <v>303.25</v>
      </c>
      <c r="O207" s="37">
        <v>340.25</v>
      </c>
      <c r="P207" s="37">
        <v>395.25</v>
      </c>
      <c r="Q207" s="37">
        <v>432.61</v>
      </c>
      <c r="R207" s="37">
        <v>460.25</v>
      </c>
      <c r="S207" s="44">
        <v>658.73249999999996</v>
      </c>
      <c r="T207" s="37">
        <v>460</v>
      </c>
      <c r="U207" s="37">
        <v>658</v>
      </c>
      <c r="V207" s="37">
        <v>658</v>
      </c>
      <c r="W207" s="29"/>
      <c r="X207" s="37">
        <v>1519</v>
      </c>
      <c r="Y207" s="37">
        <v>384</v>
      </c>
      <c r="Z207" s="37">
        <v>302</v>
      </c>
      <c r="AA207" s="37">
        <v>429</v>
      </c>
    </row>
    <row r="208" spans="2:27" x14ac:dyDescent="0.3">
      <c r="B208" s="105" t="s">
        <v>42</v>
      </c>
      <c r="C208" s="103"/>
      <c r="D208" s="105" t="s">
        <v>83</v>
      </c>
      <c r="E208" s="103"/>
      <c r="F208" s="36" t="s">
        <v>2</v>
      </c>
      <c r="G208" s="37">
        <v>319</v>
      </c>
      <c r="H208" s="37">
        <v>306</v>
      </c>
      <c r="I208" s="37">
        <v>343</v>
      </c>
      <c r="J208" s="37">
        <v>317</v>
      </c>
      <c r="K208" s="37">
        <v>337</v>
      </c>
      <c r="L208" s="37">
        <v>313</v>
      </c>
      <c r="M208" s="37">
        <v>295</v>
      </c>
      <c r="N208" s="37">
        <v>243</v>
      </c>
      <c r="O208" s="37">
        <v>257</v>
      </c>
      <c r="P208" s="37">
        <v>259</v>
      </c>
      <c r="Q208" s="37">
        <v>303</v>
      </c>
      <c r="R208" s="37">
        <v>286</v>
      </c>
      <c r="S208" s="50">
        <v>298.16666666666669</v>
      </c>
      <c r="T208" s="37">
        <v>286</v>
      </c>
      <c r="U208" s="37">
        <v>298</v>
      </c>
      <c r="V208" s="37">
        <v>298</v>
      </c>
      <c r="W208" s="29"/>
      <c r="X208" s="37">
        <v>323</v>
      </c>
      <c r="Y208" s="37">
        <v>322</v>
      </c>
      <c r="Z208" s="37">
        <v>265</v>
      </c>
      <c r="AA208" s="37">
        <v>283</v>
      </c>
    </row>
    <row r="209" spans="2:27" x14ac:dyDescent="0.3">
      <c r="B209" s="108"/>
      <c r="C209" s="103"/>
      <c r="D209" s="106"/>
      <c r="E209" s="100"/>
      <c r="F209" s="36" t="s">
        <v>3</v>
      </c>
      <c r="G209" s="37">
        <v>410</v>
      </c>
      <c r="H209" s="37">
        <v>410</v>
      </c>
      <c r="I209" s="37">
        <v>424</v>
      </c>
      <c r="J209" s="37">
        <v>424</v>
      </c>
      <c r="K209" s="37">
        <v>416</v>
      </c>
      <c r="L209" s="37">
        <v>270</v>
      </c>
      <c r="M209" s="37">
        <v>236</v>
      </c>
      <c r="N209" s="37">
        <v>243</v>
      </c>
      <c r="O209" s="37">
        <v>257</v>
      </c>
      <c r="P209" s="37">
        <v>408</v>
      </c>
      <c r="Q209" s="37">
        <v>408</v>
      </c>
      <c r="R209" s="37">
        <v>408</v>
      </c>
      <c r="S209" s="44">
        <v>359.5</v>
      </c>
      <c r="T209" s="37">
        <v>408</v>
      </c>
      <c r="U209" s="37">
        <v>360</v>
      </c>
      <c r="V209" s="37">
        <v>360</v>
      </c>
      <c r="W209" s="29"/>
      <c r="X209" s="37">
        <v>415</v>
      </c>
      <c r="Y209" s="37">
        <v>370</v>
      </c>
      <c r="Z209" s="37">
        <v>245</v>
      </c>
      <c r="AA209" s="37">
        <v>408</v>
      </c>
    </row>
    <row r="210" spans="2:27" x14ac:dyDescent="0.3">
      <c r="B210" s="108"/>
      <c r="C210" s="103"/>
      <c r="D210" s="105" t="s">
        <v>82</v>
      </c>
      <c r="E210" s="103"/>
      <c r="F210" s="36" t="s">
        <v>2</v>
      </c>
      <c r="G210" s="37">
        <v>0</v>
      </c>
      <c r="H210" s="37">
        <v>0</v>
      </c>
      <c r="I210" s="37">
        <v>0</v>
      </c>
      <c r="J210" s="37">
        <v>0</v>
      </c>
      <c r="K210" s="37">
        <v>0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44">
        <v>0</v>
      </c>
      <c r="T210" s="37">
        <v>0</v>
      </c>
      <c r="U210" s="37">
        <v>0</v>
      </c>
      <c r="V210" s="37">
        <v>0</v>
      </c>
      <c r="W210" s="29"/>
      <c r="X210" s="37">
        <v>0</v>
      </c>
      <c r="Y210" s="37">
        <v>0</v>
      </c>
      <c r="Z210" s="37">
        <v>0</v>
      </c>
      <c r="AA210" s="37">
        <v>0</v>
      </c>
    </row>
    <row r="211" spans="2:27" x14ac:dyDescent="0.3">
      <c r="B211" s="106"/>
      <c r="C211" s="100"/>
      <c r="D211" s="106"/>
      <c r="E211" s="100"/>
      <c r="F211" s="36" t="s">
        <v>3</v>
      </c>
      <c r="G211" s="37">
        <v>0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44">
        <v>0</v>
      </c>
      <c r="T211" s="37">
        <v>0</v>
      </c>
      <c r="U211" s="37">
        <v>0</v>
      </c>
      <c r="V211" s="37">
        <v>0</v>
      </c>
      <c r="W211" s="29"/>
      <c r="X211" s="37">
        <v>0</v>
      </c>
      <c r="Y211" s="37">
        <v>0</v>
      </c>
      <c r="Z211" s="37">
        <v>0</v>
      </c>
      <c r="AA211" s="37">
        <v>0</v>
      </c>
    </row>
    <row r="212" spans="2:27" x14ac:dyDescent="0.3"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44" t="e">
        <v>#DIV/0!</v>
      </c>
      <c r="T212" s="29"/>
      <c r="U212" s="29"/>
      <c r="V212" s="29"/>
      <c r="W212" s="29"/>
      <c r="X212" s="29"/>
      <c r="Y212" s="29"/>
      <c r="Z212" s="29"/>
      <c r="AA212" s="29"/>
    </row>
    <row r="213" spans="2:27" x14ac:dyDescent="0.3">
      <c r="B213" s="109" t="s">
        <v>86</v>
      </c>
      <c r="C213" s="100"/>
      <c r="D213" s="100"/>
      <c r="E213" s="100"/>
      <c r="F213" s="30" t="s">
        <v>2</v>
      </c>
      <c r="G213" s="43">
        <v>31</v>
      </c>
      <c r="H213" s="31">
        <v>31</v>
      </c>
      <c r="I213" s="31">
        <v>33</v>
      </c>
      <c r="J213" s="31">
        <v>34</v>
      </c>
      <c r="K213" s="31">
        <v>34</v>
      </c>
      <c r="L213" s="31">
        <v>32</v>
      </c>
      <c r="M213" s="31">
        <v>33</v>
      </c>
      <c r="N213" s="31">
        <v>33</v>
      </c>
      <c r="O213" s="31">
        <v>33</v>
      </c>
      <c r="P213" s="31">
        <v>33</v>
      </c>
      <c r="Q213" s="31">
        <v>33</v>
      </c>
      <c r="R213" s="43">
        <v>31</v>
      </c>
      <c r="S213" s="45">
        <v>32.583333333333336</v>
      </c>
      <c r="T213" s="31">
        <v>31</v>
      </c>
      <c r="U213" s="31">
        <v>48</v>
      </c>
      <c r="V213" s="31">
        <v>48</v>
      </c>
      <c r="W213" s="29"/>
      <c r="X213" s="31">
        <v>31</v>
      </c>
      <c r="Y213" s="31">
        <v>34</v>
      </c>
      <c r="Z213" s="31">
        <v>34</v>
      </c>
      <c r="AA213" s="31">
        <v>34</v>
      </c>
    </row>
    <row r="214" spans="2:27" x14ac:dyDescent="0.3">
      <c r="B214" s="29" t="s">
        <v>174</v>
      </c>
      <c r="C214" s="29"/>
      <c r="D214" s="29"/>
      <c r="E214" s="29"/>
      <c r="F214" s="30" t="s">
        <v>3</v>
      </c>
      <c r="G214" s="31">
        <v>25</v>
      </c>
      <c r="H214" s="31">
        <v>25</v>
      </c>
      <c r="I214" s="31">
        <v>24</v>
      </c>
      <c r="J214" s="31">
        <v>24</v>
      </c>
      <c r="K214" s="31">
        <v>24</v>
      </c>
      <c r="L214" s="31">
        <v>24</v>
      </c>
      <c r="M214" s="31">
        <v>24</v>
      </c>
      <c r="N214" s="31">
        <v>24</v>
      </c>
      <c r="O214" s="31">
        <v>24</v>
      </c>
      <c r="P214" s="31">
        <v>24</v>
      </c>
      <c r="Q214" s="31">
        <v>24</v>
      </c>
      <c r="R214" s="31">
        <v>24</v>
      </c>
      <c r="S214" s="44">
        <v>24.166666666666668</v>
      </c>
      <c r="T214" s="31">
        <v>24</v>
      </c>
      <c r="U214" s="31">
        <v>26</v>
      </c>
      <c r="V214" s="31">
        <v>26</v>
      </c>
      <c r="W214" s="29"/>
      <c r="X214" s="31">
        <v>25</v>
      </c>
      <c r="Y214" s="31">
        <v>24</v>
      </c>
      <c r="Z214" s="31">
        <v>25</v>
      </c>
      <c r="AA214" s="31">
        <v>24</v>
      </c>
    </row>
    <row r="215" spans="2:27" x14ac:dyDescent="0.3"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44" t="e">
        <v>#DIV/0!</v>
      </c>
      <c r="T215" s="29"/>
      <c r="U215" s="29"/>
      <c r="V215" s="29"/>
      <c r="W215" s="29"/>
      <c r="X215" s="29"/>
      <c r="Y215" s="29"/>
      <c r="Z215" s="29"/>
      <c r="AA215" s="29"/>
    </row>
    <row r="216" spans="2:27" x14ac:dyDescent="0.3">
      <c r="B216" s="101" t="s">
        <v>5</v>
      </c>
      <c r="C216" s="100"/>
      <c r="D216" s="100"/>
      <c r="E216" s="100"/>
      <c r="F216" s="34" t="s">
        <v>6</v>
      </c>
      <c r="G216" s="35" t="s">
        <v>160</v>
      </c>
      <c r="H216" s="35" t="s">
        <v>161</v>
      </c>
      <c r="I216" s="35" t="s">
        <v>162</v>
      </c>
      <c r="J216" s="35" t="s">
        <v>163</v>
      </c>
      <c r="K216" s="35" t="s">
        <v>164</v>
      </c>
      <c r="L216" s="35" t="s">
        <v>165</v>
      </c>
      <c r="M216" s="35" t="s">
        <v>166</v>
      </c>
      <c r="N216" s="35" t="s">
        <v>167</v>
      </c>
      <c r="O216" s="35" t="s">
        <v>168</v>
      </c>
      <c r="P216" s="35" t="s">
        <v>169</v>
      </c>
      <c r="Q216" s="35" t="s">
        <v>170</v>
      </c>
      <c r="R216" s="35" t="s">
        <v>171</v>
      </c>
      <c r="S216" s="44" t="e">
        <v>#DIV/0!</v>
      </c>
      <c r="T216" s="35" t="s">
        <v>24</v>
      </c>
      <c r="U216" s="35" t="s">
        <v>25</v>
      </c>
      <c r="V216" s="35" t="s">
        <v>19</v>
      </c>
      <c r="W216" s="29"/>
      <c r="X216" s="35" t="s">
        <v>20</v>
      </c>
      <c r="Y216" s="35" t="s">
        <v>21</v>
      </c>
      <c r="Z216" s="35" t="s">
        <v>22</v>
      </c>
      <c r="AA216" s="35" t="s">
        <v>23</v>
      </c>
    </row>
    <row r="217" spans="2:27" x14ac:dyDescent="0.3">
      <c r="B217" s="105" t="s">
        <v>87</v>
      </c>
      <c r="C217" s="103"/>
      <c r="D217" s="105" t="s">
        <v>117</v>
      </c>
      <c r="E217" s="103"/>
      <c r="F217" s="38" t="s">
        <v>2</v>
      </c>
      <c r="G217" s="39">
        <v>4</v>
      </c>
      <c r="H217" s="39">
        <v>4</v>
      </c>
      <c r="I217" s="39">
        <v>4</v>
      </c>
      <c r="J217" s="39">
        <v>4</v>
      </c>
      <c r="K217" s="39">
        <v>4</v>
      </c>
      <c r="L217" s="39">
        <v>4</v>
      </c>
      <c r="M217" s="39">
        <v>4</v>
      </c>
      <c r="N217" s="39">
        <v>4</v>
      </c>
      <c r="O217" s="39">
        <v>4</v>
      </c>
      <c r="P217" s="39">
        <v>4</v>
      </c>
      <c r="Q217" s="39">
        <v>4</v>
      </c>
      <c r="R217" s="39">
        <v>4</v>
      </c>
      <c r="S217" s="47">
        <v>4</v>
      </c>
      <c r="T217" s="37">
        <v>2</v>
      </c>
      <c r="U217" s="37">
        <v>2</v>
      </c>
      <c r="V217" s="37">
        <v>2</v>
      </c>
      <c r="W217" s="29"/>
      <c r="X217" s="37">
        <v>1</v>
      </c>
      <c r="Y217" s="37">
        <v>1</v>
      </c>
      <c r="Z217" s="37">
        <v>2</v>
      </c>
      <c r="AA217" s="37">
        <v>2</v>
      </c>
    </row>
    <row r="218" spans="2:27" x14ac:dyDescent="0.3">
      <c r="B218" s="108"/>
      <c r="C218" s="103"/>
      <c r="D218" s="106"/>
      <c r="E218" s="100"/>
      <c r="F218" s="38" t="s">
        <v>3</v>
      </c>
      <c r="G218" s="39">
        <v>4</v>
      </c>
      <c r="H218" s="39">
        <v>4</v>
      </c>
      <c r="I218" s="39">
        <v>4</v>
      </c>
      <c r="J218" s="39">
        <v>4</v>
      </c>
      <c r="K218" s="39">
        <v>4</v>
      </c>
      <c r="L218" s="39">
        <v>4</v>
      </c>
      <c r="M218" s="39">
        <v>4</v>
      </c>
      <c r="N218" s="39">
        <v>4</v>
      </c>
      <c r="O218" s="39">
        <v>4</v>
      </c>
      <c r="P218" s="39">
        <v>4</v>
      </c>
      <c r="Q218" s="39">
        <v>4</v>
      </c>
      <c r="R218" s="39">
        <v>4</v>
      </c>
      <c r="S218" s="44">
        <v>4</v>
      </c>
      <c r="T218" s="37">
        <v>0</v>
      </c>
      <c r="U218" s="37">
        <v>0</v>
      </c>
      <c r="V218" s="37">
        <v>0</v>
      </c>
      <c r="W218" s="29"/>
      <c r="X218" s="37">
        <v>0</v>
      </c>
      <c r="Y218" s="37">
        <v>0</v>
      </c>
      <c r="Z218" s="37">
        <v>0</v>
      </c>
      <c r="AA218" s="37">
        <v>0</v>
      </c>
    </row>
    <row r="219" spans="2:27" x14ac:dyDescent="0.3">
      <c r="B219" s="108"/>
      <c r="C219" s="103"/>
      <c r="D219" s="105" t="s">
        <v>38</v>
      </c>
      <c r="E219" s="103"/>
      <c r="F219" s="38" t="s">
        <v>2</v>
      </c>
      <c r="G219" s="39">
        <v>1</v>
      </c>
      <c r="H219" s="39">
        <v>1</v>
      </c>
      <c r="I219" s="39">
        <v>1</v>
      </c>
      <c r="J219" s="39">
        <v>1</v>
      </c>
      <c r="K219" s="39">
        <v>1</v>
      </c>
      <c r="L219" s="39">
        <v>1</v>
      </c>
      <c r="M219" s="39">
        <v>1</v>
      </c>
      <c r="N219" s="39">
        <v>1</v>
      </c>
      <c r="O219" s="39">
        <v>1</v>
      </c>
      <c r="P219" s="39">
        <v>1</v>
      </c>
      <c r="Q219" s="39">
        <v>1</v>
      </c>
      <c r="R219" s="39">
        <v>1</v>
      </c>
      <c r="S219" s="47">
        <v>1</v>
      </c>
      <c r="T219" s="37">
        <v>4</v>
      </c>
      <c r="U219" s="37">
        <v>4</v>
      </c>
      <c r="V219" s="37">
        <v>4</v>
      </c>
      <c r="W219" s="29"/>
      <c r="X219" s="37">
        <v>4</v>
      </c>
      <c r="Y219" s="37">
        <v>4</v>
      </c>
      <c r="Z219" s="37">
        <v>4</v>
      </c>
      <c r="AA219" s="37">
        <v>4</v>
      </c>
    </row>
    <row r="220" spans="2:27" x14ac:dyDescent="0.3">
      <c r="B220" s="108"/>
      <c r="C220" s="103"/>
      <c r="D220" s="106"/>
      <c r="E220" s="100"/>
      <c r="F220" s="38" t="s">
        <v>3</v>
      </c>
      <c r="G220" s="39">
        <v>1</v>
      </c>
      <c r="H220" s="39">
        <v>1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44">
        <v>0.16666666666666666</v>
      </c>
      <c r="T220" s="37">
        <v>1</v>
      </c>
      <c r="U220" s="37">
        <v>1</v>
      </c>
      <c r="V220" s="37">
        <v>1</v>
      </c>
      <c r="W220" s="29"/>
      <c r="X220" s="37">
        <v>1</v>
      </c>
      <c r="Y220" s="37">
        <v>1</v>
      </c>
      <c r="Z220" s="37">
        <v>1</v>
      </c>
      <c r="AA220" s="37">
        <v>1</v>
      </c>
    </row>
    <row r="221" spans="2:27" x14ac:dyDescent="0.3">
      <c r="B221" s="108"/>
      <c r="C221" s="103"/>
      <c r="D221" s="105" t="s">
        <v>42</v>
      </c>
      <c r="E221" s="103"/>
      <c r="F221" s="38" t="s">
        <v>2</v>
      </c>
      <c r="G221" s="39">
        <v>7</v>
      </c>
      <c r="H221" s="39">
        <v>7</v>
      </c>
      <c r="I221" s="39">
        <v>8</v>
      </c>
      <c r="J221" s="39">
        <v>8</v>
      </c>
      <c r="K221" s="39">
        <v>8</v>
      </c>
      <c r="L221" s="39">
        <v>8</v>
      </c>
      <c r="M221" s="39">
        <v>8</v>
      </c>
      <c r="N221" s="39">
        <v>8</v>
      </c>
      <c r="O221" s="39">
        <v>8</v>
      </c>
      <c r="P221" s="39">
        <v>8</v>
      </c>
      <c r="Q221" s="39">
        <v>8</v>
      </c>
      <c r="R221" s="39">
        <v>7</v>
      </c>
      <c r="S221" s="47">
        <v>7.75</v>
      </c>
      <c r="T221" s="37">
        <v>4</v>
      </c>
      <c r="U221" s="37">
        <v>4</v>
      </c>
      <c r="V221" s="37">
        <v>4</v>
      </c>
      <c r="W221" s="29"/>
      <c r="X221" s="37">
        <v>4</v>
      </c>
      <c r="Y221" s="37">
        <v>4</v>
      </c>
      <c r="Z221" s="37">
        <v>4</v>
      </c>
      <c r="AA221" s="37">
        <v>4</v>
      </c>
    </row>
    <row r="222" spans="2:27" x14ac:dyDescent="0.3">
      <c r="B222" s="108"/>
      <c r="C222" s="103"/>
      <c r="D222" s="106"/>
      <c r="E222" s="100"/>
      <c r="F222" s="38" t="s">
        <v>3</v>
      </c>
      <c r="G222" s="39">
        <v>3</v>
      </c>
      <c r="H222" s="39">
        <v>3</v>
      </c>
      <c r="I222" s="39">
        <v>3</v>
      </c>
      <c r="J222" s="39">
        <v>3</v>
      </c>
      <c r="K222" s="39">
        <v>3</v>
      </c>
      <c r="L222" s="39">
        <v>3</v>
      </c>
      <c r="M222" s="39">
        <v>3</v>
      </c>
      <c r="N222" s="39">
        <v>3</v>
      </c>
      <c r="O222" s="39">
        <v>3</v>
      </c>
      <c r="P222" s="39">
        <v>3</v>
      </c>
      <c r="Q222" s="39">
        <v>3</v>
      </c>
      <c r="R222" s="39">
        <v>3</v>
      </c>
      <c r="S222" s="44">
        <v>3</v>
      </c>
      <c r="T222" s="37">
        <v>1</v>
      </c>
      <c r="U222" s="37">
        <v>1</v>
      </c>
      <c r="V222" s="37">
        <v>1</v>
      </c>
      <c r="W222" s="29"/>
      <c r="X222" s="37">
        <v>1</v>
      </c>
      <c r="Y222" s="37">
        <v>1</v>
      </c>
      <c r="Z222" s="37">
        <v>1</v>
      </c>
      <c r="AA222" s="37">
        <v>1</v>
      </c>
    </row>
    <row r="223" spans="2:27" x14ac:dyDescent="0.3">
      <c r="B223" s="108"/>
      <c r="C223" s="103"/>
      <c r="D223" s="105" t="s">
        <v>50</v>
      </c>
      <c r="E223" s="103"/>
      <c r="F223" s="38" t="s">
        <v>2</v>
      </c>
      <c r="G223" s="39">
        <v>4</v>
      </c>
      <c r="H223" s="39">
        <v>4</v>
      </c>
      <c r="I223" s="39">
        <v>4</v>
      </c>
      <c r="J223" s="39">
        <v>4</v>
      </c>
      <c r="K223" s="39">
        <v>4</v>
      </c>
      <c r="L223" s="39">
        <v>4</v>
      </c>
      <c r="M223" s="39">
        <v>4</v>
      </c>
      <c r="N223" s="39">
        <v>4</v>
      </c>
      <c r="O223" s="39">
        <v>4</v>
      </c>
      <c r="P223" s="39">
        <v>4</v>
      </c>
      <c r="Q223" s="39">
        <v>4</v>
      </c>
      <c r="R223" s="39">
        <v>4</v>
      </c>
      <c r="S223" s="47">
        <v>4</v>
      </c>
      <c r="T223" s="37">
        <v>1</v>
      </c>
      <c r="U223" s="37">
        <v>1</v>
      </c>
      <c r="V223" s="37">
        <v>1</v>
      </c>
      <c r="W223" s="29"/>
      <c r="X223" s="37">
        <v>1</v>
      </c>
      <c r="Y223" s="37">
        <v>1</v>
      </c>
      <c r="Z223" s="37">
        <v>1</v>
      </c>
      <c r="AA223" s="37">
        <v>1</v>
      </c>
    </row>
    <row r="224" spans="2:27" x14ac:dyDescent="0.3">
      <c r="B224" s="108"/>
      <c r="C224" s="103"/>
      <c r="D224" s="106"/>
      <c r="E224" s="100"/>
      <c r="F224" s="38" t="s">
        <v>3</v>
      </c>
      <c r="G224" s="39">
        <v>4</v>
      </c>
      <c r="H224" s="39">
        <v>4</v>
      </c>
      <c r="I224" s="39">
        <v>4</v>
      </c>
      <c r="J224" s="39">
        <v>4</v>
      </c>
      <c r="K224" s="39">
        <v>4</v>
      </c>
      <c r="L224" s="39">
        <v>4</v>
      </c>
      <c r="M224" s="39">
        <v>4</v>
      </c>
      <c r="N224" s="39">
        <v>4</v>
      </c>
      <c r="O224" s="39">
        <v>4</v>
      </c>
      <c r="P224" s="39">
        <v>4</v>
      </c>
      <c r="Q224" s="39">
        <v>4</v>
      </c>
      <c r="R224" s="39">
        <v>4</v>
      </c>
      <c r="S224" s="44">
        <v>4</v>
      </c>
      <c r="T224" s="37">
        <v>1</v>
      </c>
      <c r="U224" s="37">
        <v>1</v>
      </c>
      <c r="V224" s="37">
        <v>2</v>
      </c>
      <c r="W224" s="29"/>
      <c r="X224" s="37">
        <v>1</v>
      </c>
      <c r="Y224" s="37">
        <v>1</v>
      </c>
      <c r="Z224" s="37">
        <v>1</v>
      </c>
      <c r="AA224" s="37">
        <v>1</v>
      </c>
    </row>
    <row r="225" spans="2:27" x14ac:dyDescent="0.3">
      <c r="B225" s="108"/>
      <c r="C225" s="103"/>
      <c r="D225" s="105" t="s">
        <v>58</v>
      </c>
      <c r="E225" s="103"/>
      <c r="F225" s="38" t="s">
        <v>2</v>
      </c>
      <c r="G225" s="39">
        <v>1</v>
      </c>
      <c r="H225" s="39">
        <v>1</v>
      </c>
      <c r="I225" s="39">
        <v>1</v>
      </c>
      <c r="J225" s="39">
        <v>1</v>
      </c>
      <c r="K225" s="39">
        <v>1</v>
      </c>
      <c r="L225" s="39">
        <v>1</v>
      </c>
      <c r="M225" s="39">
        <v>1</v>
      </c>
      <c r="N225" s="39">
        <v>1</v>
      </c>
      <c r="O225" s="39">
        <v>1</v>
      </c>
      <c r="P225" s="39">
        <v>1</v>
      </c>
      <c r="Q225" s="39">
        <v>1</v>
      </c>
      <c r="R225" s="39">
        <v>1</v>
      </c>
      <c r="S225" s="47">
        <v>1</v>
      </c>
      <c r="T225" s="37">
        <v>1</v>
      </c>
      <c r="U225" s="37">
        <v>1</v>
      </c>
      <c r="V225" s="37">
        <v>1</v>
      </c>
      <c r="W225" s="29"/>
      <c r="X225" s="37">
        <v>1</v>
      </c>
      <c r="Y225" s="37">
        <v>1</v>
      </c>
      <c r="Z225" s="37">
        <v>1</v>
      </c>
      <c r="AA225" s="37">
        <v>1</v>
      </c>
    </row>
    <row r="226" spans="2:27" x14ac:dyDescent="0.3">
      <c r="B226" s="106"/>
      <c r="C226" s="100"/>
      <c r="D226" s="106"/>
      <c r="E226" s="100"/>
      <c r="F226" s="38" t="s">
        <v>3</v>
      </c>
      <c r="G226" s="39">
        <v>1</v>
      </c>
      <c r="H226" s="39">
        <v>1</v>
      </c>
      <c r="I226" s="39">
        <v>1</v>
      </c>
      <c r="J226" s="39">
        <v>1</v>
      </c>
      <c r="K226" s="39">
        <v>1</v>
      </c>
      <c r="L226" s="39">
        <v>1</v>
      </c>
      <c r="M226" s="39">
        <v>1</v>
      </c>
      <c r="N226" s="39">
        <v>1</v>
      </c>
      <c r="O226" s="39">
        <v>1</v>
      </c>
      <c r="P226" s="39">
        <v>1</v>
      </c>
      <c r="Q226" s="39">
        <v>1</v>
      </c>
      <c r="R226" s="39">
        <v>1</v>
      </c>
      <c r="S226" s="44">
        <v>1</v>
      </c>
      <c r="T226" s="37">
        <v>0</v>
      </c>
      <c r="U226" s="37">
        <v>1</v>
      </c>
      <c r="V226" s="37">
        <v>1</v>
      </c>
      <c r="W226" s="29"/>
      <c r="X226" s="37">
        <v>1</v>
      </c>
      <c r="Y226" s="37">
        <v>0</v>
      </c>
      <c r="Z226" s="37">
        <v>0</v>
      </c>
      <c r="AA226" s="37">
        <v>0</v>
      </c>
    </row>
    <row r="227" spans="2:27" x14ac:dyDescent="0.3">
      <c r="B227" s="105" t="s">
        <v>88</v>
      </c>
      <c r="C227" s="103"/>
      <c r="D227" s="105" t="s">
        <v>113</v>
      </c>
      <c r="E227" s="103"/>
      <c r="F227" s="38" t="s">
        <v>2</v>
      </c>
      <c r="G227" s="39">
        <v>1</v>
      </c>
      <c r="H227" s="39">
        <v>1</v>
      </c>
      <c r="I227" s="39">
        <v>1</v>
      </c>
      <c r="J227" s="39">
        <v>1</v>
      </c>
      <c r="K227" s="39">
        <v>1</v>
      </c>
      <c r="L227" s="39">
        <v>1</v>
      </c>
      <c r="M227" s="39">
        <v>2</v>
      </c>
      <c r="N227" s="39">
        <v>2</v>
      </c>
      <c r="O227" s="39">
        <v>2</v>
      </c>
      <c r="P227" s="39">
        <v>2</v>
      </c>
      <c r="Q227" s="39">
        <v>2</v>
      </c>
      <c r="R227" s="39">
        <v>2</v>
      </c>
      <c r="S227" s="47">
        <v>1.5</v>
      </c>
      <c r="T227" s="37">
        <v>7</v>
      </c>
      <c r="U227" s="37">
        <v>11</v>
      </c>
      <c r="V227" s="37">
        <v>11</v>
      </c>
      <c r="W227" s="29"/>
      <c r="X227" s="37">
        <v>7</v>
      </c>
      <c r="Y227" s="37">
        <v>8</v>
      </c>
      <c r="Z227" s="37">
        <v>8</v>
      </c>
      <c r="AA227" s="37">
        <v>8</v>
      </c>
    </row>
    <row r="228" spans="2:27" x14ac:dyDescent="0.3">
      <c r="B228" s="108"/>
      <c r="C228" s="103"/>
      <c r="D228" s="106"/>
      <c r="E228" s="100"/>
      <c r="F228" s="38" t="s">
        <v>3</v>
      </c>
      <c r="G228" s="39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0</v>
      </c>
      <c r="S228" s="44">
        <v>0</v>
      </c>
      <c r="T228" s="37">
        <v>3</v>
      </c>
      <c r="U228" s="37">
        <v>3</v>
      </c>
      <c r="V228" s="37">
        <v>3</v>
      </c>
      <c r="W228" s="29"/>
      <c r="X228" s="37">
        <v>3</v>
      </c>
      <c r="Y228" s="37">
        <v>3</v>
      </c>
      <c r="Z228" s="37">
        <v>3</v>
      </c>
      <c r="AA228" s="37">
        <v>3</v>
      </c>
    </row>
    <row r="229" spans="2:27" x14ac:dyDescent="0.3">
      <c r="B229" s="108"/>
      <c r="C229" s="103"/>
      <c r="D229" s="105" t="s">
        <v>117</v>
      </c>
      <c r="E229" s="103"/>
      <c r="F229" s="38" t="s">
        <v>2</v>
      </c>
      <c r="G229" s="39">
        <v>1</v>
      </c>
      <c r="H229" s="39">
        <v>1</v>
      </c>
      <c r="I229" s="39">
        <v>1</v>
      </c>
      <c r="J229" s="39">
        <v>1</v>
      </c>
      <c r="K229" s="39">
        <v>1</v>
      </c>
      <c r="L229" s="39">
        <v>1</v>
      </c>
      <c r="M229" s="39">
        <v>1</v>
      </c>
      <c r="N229" s="39">
        <v>1</v>
      </c>
      <c r="O229" s="39">
        <v>1</v>
      </c>
      <c r="P229" s="39">
        <v>1</v>
      </c>
      <c r="Q229" s="39">
        <v>1</v>
      </c>
      <c r="R229" s="39">
        <v>1</v>
      </c>
      <c r="S229" s="47">
        <v>1</v>
      </c>
      <c r="T229" s="37">
        <v>0</v>
      </c>
      <c r="U229" s="37">
        <v>2</v>
      </c>
      <c r="V229" s="37">
        <v>2</v>
      </c>
      <c r="W229" s="29"/>
      <c r="X229" s="37">
        <v>2</v>
      </c>
      <c r="Y229" s="37">
        <v>2</v>
      </c>
      <c r="Z229" s="37">
        <v>1</v>
      </c>
      <c r="AA229" s="37">
        <v>1</v>
      </c>
    </row>
    <row r="230" spans="2:27" x14ac:dyDescent="0.3">
      <c r="B230" s="108"/>
      <c r="C230" s="103"/>
      <c r="D230" s="106"/>
      <c r="E230" s="100"/>
      <c r="F230" s="38" t="s">
        <v>3</v>
      </c>
      <c r="G230" s="39">
        <v>1</v>
      </c>
      <c r="H230" s="39">
        <v>1</v>
      </c>
      <c r="I230" s="39">
        <v>1</v>
      </c>
      <c r="J230" s="39">
        <v>1</v>
      </c>
      <c r="K230" s="39">
        <v>1</v>
      </c>
      <c r="L230" s="39">
        <v>1</v>
      </c>
      <c r="M230" s="39">
        <v>1</v>
      </c>
      <c r="N230" s="39">
        <v>1</v>
      </c>
      <c r="O230" s="39">
        <v>1</v>
      </c>
      <c r="P230" s="39">
        <v>1</v>
      </c>
      <c r="Q230" s="39">
        <v>1</v>
      </c>
      <c r="R230" s="39">
        <v>1</v>
      </c>
      <c r="S230" s="44">
        <v>1</v>
      </c>
      <c r="T230" s="37">
        <v>2</v>
      </c>
      <c r="U230" s="37">
        <v>2</v>
      </c>
      <c r="V230" s="37">
        <v>2</v>
      </c>
      <c r="W230" s="29"/>
      <c r="X230" s="37">
        <v>2</v>
      </c>
      <c r="Y230" s="37">
        <v>2</v>
      </c>
      <c r="Z230" s="37">
        <v>2</v>
      </c>
      <c r="AA230" s="37">
        <v>2</v>
      </c>
    </row>
    <row r="231" spans="2:27" x14ac:dyDescent="0.3">
      <c r="B231" s="108"/>
      <c r="C231" s="103"/>
      <c r="D231" s="105" t="s">
        <v>38</v>
      </c>
      <c r="E231" s="103"/>
      <c r="F231" s="38" t="s">
        <v>2</v>
      </c>
      <c r="G231" s="39">
        <v>1</v>
      </c>
      <c r="H231" s="39">
        <v>1</v>
      </c>
      <c r="I231" s="39">
        <v>1</v>
      </c>
      <c r="J231" s="39">
        <v>1</v>
      </c>
      <c r="K231" s="39">
        <v>1</v>
      </c>
      <c r="L231" s="39">
        <v>1</v>
      </c>
      <c r="M231" s="39">
        <v>1</v>
      </c>
      <c r="N231" s="39">
        <v>1</v>
      </c>
      <c r="O231" s="39">
        <v>1</v>
      </c>
      <c r="P231" s="39">
        <v>1</v>
      </c>
      <c r="Q231" s="39">
        <v>1</v>
      </c>
      <c r="R231" s="39">
        <v>1</v>
      </c>
      <c r="S231" s="47">
        <v>1</v>
      </c>
      <c r="T231" s="37">
        <v>2</v>
      </c>
      <c r="U231" s="37">
        <v>3</v>
      </c>
      <c r="V231" s="37">
        <v>3</v>
      </c>
      <c r="W231" s="29"/>
      <c r="X231" s="37">
        <v>2</v>
      </c>
      <c r="Y231" s="37">
        <v>2</v>
      </c>
      <c r="Z231" s="37">
        <v>2</v>
      </c>
      <c r="AA231" s="37">
        <v>3</v>
      </c>
    </row>
    <row r="232" spans="2:27" x14ac:dyDescent="0.3">
      <c r="B232" s="108"/>
      <c r="C232" s="103"/>
      <c r="D232" s="106"/>
      <c r="E232" s="100"/>
      <c r="F232" s="38" t="s">
        <v>3</v>
      </c>
      <c r="G232" s="39">
        <v>1</v>
      </c>
      <c r="H232" s="39">
        <v>1</v>
      </c>
      <c r="I232" s="39">
        <v>1</v>
      </c>
      <c r="J232" s="39">
        <v>1</v>
      </c>
      <c r="K232" s="39">
        <v>1</v>
      </c>
      <c r="L232" s="39">
        <v>1</v>
      </c>
      <c r="M232" s="39">
        <v>1</v>
      </c>
      <c r="N232" s="39">
        <v>1</v>
      </c>
      <c r="O232" s="39">
        <v>1</v>
      </c>
      <c r="P232" s="39">
        <v>1</v>
      </c>
      <c r="Q232" s="39">
        <v>1</v>
      </c>
      <c r="R232" s="39">
        <v>1</v>
      </c>
      <c r="S232" s="44">
        <v>1</v>
      </c>
      <c r="T232" s="37">
        <v>4</v>
      </c>
      <c r="U232" s="37">
        <v>4</v>
      </c>
      <c r="V232" s="37">
        <v>4</v>
      </c>
      <c r="W232" s="29"/>
      <c r="X232" s="37">
        <v>4</v>
      </c>
      <c r="Y232" s="37">
        <v>4</v>
      </c>
      <c r="Z232" s="37">
        <v>4</v>
      </c>
      <c r="AA232" s="37">
        <v>4</v>
      </c>
    </row>
    <row r="233" spans="2:27" x14ac:dyDescent="0.3">
      <c r="B233" s="108"/>
      <c r="C233" s="103"/>
      <c r="D233" s="105" t="s">
        <v>121</v>
      </c>
      <c r="E233" s="103"/>
      <c r="F233" s="38" t="s">
        <v>2</v>
      </c>
      <c r="G233" s="39">
        <v>2</v>
      </c>
      <c r="H233" s="39">
        <v>2</v>
      </c>
      <c r="I233" s="39">
        <v>2</v>
      </c>
      <c r="J233" s="39">
        <v>2</v>
      </c>
      <c r="K233" s="39">
        <v>2</v>
      </c>
      <c r="L233" s="39">
        <v>1</v>
      </c>
      <c r="M233" s="39">
        <v>1</v>
      </c>
      <c r="N233" s="39">
        <v>1</v>
      </c>
      <c r="O233" s="39">
        <v>1</v>
      </c>
      <c r="P233" s="39">
        <v>1</v>
      </c>
      <c r="Q233" s="39">
        <v>1</v>
      </c>
      <c r="R233" s="39">
        <v>0</v>
      </c>
      <c r="S233" s="47">
        <v>1.3333333333333333</v>
      </c>
      <c r="T233" s="37">
        <v>2</v>
      </c>
      <c r="U233" s="37">
        <v>2</v>
      </c>
      <c r="V233" s="37">
        <v>2</v>
      </c>
      <c r="W233" s="29"/>
      <c r="X233" s="37">
        <v>4</v>
      </c>
      <c r="Y233" s="37">
        <v>4</v>
      </c>
      <c r="Z233" s="37">
        <v>4</v>
      </c>
      <c r="AA233" s="37">
        <v>4</v>
      </c>
    </row>
    <row r="234" spans="2:27" x14ac:dyDescent="0.3">
      <c r="B234" s="108"/>
      <c r="C234" s="103"/>
      <c r="D234" s="106"/>
      <c r="E234" s="100"/>
      <c r="F234" s="38" t="s">
        <v>3</v>
      </c>
      <c r="G234" s="39">
        <v>2</v>
      </c>
      <c r="H234" s="39">
        <v>2</v>
      </c>
      <c r="I234" s="39">
        <v>2</v>
      </c>
      <c r="J234" s="39">
        <v>2</v>
      </c>
      <c r="K234" s="39">
        <v>2</v>
      </c>
      <c r="L234" s="39">
        <v>2</v>
      </c>
      <c r="M234" s="39">
        <v>2</v>
      </c>
      <c r="N234" s="39">
        <v>2</v>
      </c>
      <c r="O234" s="39">
        <v>2</v>
      </c>
      <c r="P234" s="39">
        <v>2</v>
      </c>
      <c r="Q234" s="39">
        <v>2</v>
      </c>
      <c r="R234" s="39">
        <v>2</v>
      </c>
      <c r="S234" s="44">
        <v>2</v>
      </c>
      <c r="T234" s="37">
        <v>4</v>
      </c>
      <c r="U234" s="37">
        <v>4</v>
      </c>
      <c r="V234" s="37">
        <v>4</v>
      </c>
      <c r="W234" s="29"/>
      <c r="X234" s="37">
        <v>2</v>
      </c>
      <c r="Y234" s="37">
        <v>2</v>
      </c>
      <c r="Z234" s="37">
        <v>2</v>
      </c>
      <c r="AA234" s="37">
        <v>2</v>
      </c>
    </row>
    <row r="235" spans="2:27" x14ac:dyDescent="0.3">
      <c r="B235" s="108"/>
      <c r="C235" s="103"/>
      <c r="D235" s="105" t="s">
        <v>50</v>
      </c>
      <c r="E235" s="103"/>
      <c r="F235" s="38" t="s">
        <v>2</v>
      </c>
      <c r="G235" s="39">
        <v>2</v>
      </c>
      <c r="H235" s="39">
        <v>2</v>
      </c>
      <c r="I235" s="39">
        <v>2</v>
      </c>
      <c r="J235" s="39">
        <v>2</v>
      </c>
      <c r="K235" s="39">
        <v>2</v>
      </c>
      <c r="L235" s="39">
        <v>2</v>
      </c>
      <c r="M235" s="39">
        <v>2</v>
      </c>
      <c r="N235" s="39">
        <v>2</v>
      </c>
      <c r="O235" s="39">
        <v>2</v>
      </c>
      <c r="P235" s="39">
        <v>2</v>
      </c>
      <c r="Q235" s="39">
        <v>2</v>
      </c>
      <c r="R235" s="39">
        <v>2</v>
      </c>
      <c r="S235" s="47">
        <v>2</v>
      </c>
      <c r="T235" s="37">
        <v>1</v>
      </c>
      <c r="U235" s="37">
        <v>1</v>
      </c>
      <c r="V235" s="37">
        <v>1</v>
      </c>
      <c r="W235" s="29"/>
      <c r="X235" s="37">
        <v>1</v>
      </c>
      <c r="Y235" s="37">
        <v>1</v>
      </c>
      <c r="Z235" s="37">
        <v>1</v>
      </c>
      <c r="AA235" s="37">
        <v>1</v>
      </c>
    </row>
    <row r="236" spans="2:27" x14ac:dyDescent="0.3">
      <c r="B236" s="108"/>
      <c r="C236" s="103"/>
      <c r="D236" s="106"/>
      <c r="E236" s="100"/>
      <c r="F236" s="38" t="s">
        <v>3</v>
      </c>
      <c r="G236" s="39">
        <v>2</v>
      </c>
      <c r="H236" s="39">
        <v>2</v>
      </c>
      <c r="I236" s="39">
        <v>2</v>
      </c>
      <c r="J236" s="39">
        <v>2</v>
      </c>
      <c r="K236" s="39">
        <v>2</v>
      </c>
      <c r="L236" s="39">
        <v>2</v>
      </c>
      <c r="M236" s="39">
        <v>2</v>
      </c>
      <c r="N236" s="39">
        <v>2</v>
      </c>
      <c r="O236" s="39">
        <v>2</v>
      </c>
      <c r="P236" s="39">
        <v>2</v>
      </c>
      <c r="Q236" s="39">
        <v>2</v>
      </c>
      <c r="R236" s="39">
        <v>2</v>
      </c>
      <c r="S236" s="44">
        <v>2</v>
      </c>
      <c r="T236" s="37">
        <v>1</v>
      </c>
      <c r="U236" s="37">
        <v>1</v>
      </c>
      <c r="V236" s="37">
        <v>1</v>
      </c>
      <c r="W236" s="29"/>
      <c r="X236" s="37">
        <v>1</v>
      </c>
      <c r="Y236" s="37">
        <v>1</v>
      </c>
      <c r="Z236" s="37">
        <v>1</v>
      </c>
      <c r="AA236" s="37">
        <v>1</v>
      </c>
    </row>
    <row r="237" spans="2:27" x14ac:dyDescent="0.3">
      <c r="B237" s="108"/>
      <c r="C237" s="103"/>
      <c r="D237" s="105" t="s">
        <v>61</v>
      </c>
      <c r="E237" s="103"/>
      <c r="F237" s="38" t="s">
        <v>2</v>
      </c>
      <c r="G237" s="39">
        <v>5</v>
      </c>
      <c r="H237" s="39">
        <v>5</v>
      </c>
      <c r="I237" s="39">
        <v>6</v>
      </c>
      <c r="J237" s="39">
        <v>6</v>
      </c>
      <c r="K237" s="39">
        <v>6</v>
      </c>
      <c r="L237" s="39">
        <v>6</v>
      </c>
      <c r="M237" s="39">
        <v>0</v>
      </c>
      <c r="N237" s="39">
        <v>0</v>
      </c>
      <c r="O237" s="39">
        <v>0</v>
      </c>
      <c r="P237" s="39">
        <v>0</v>
      </c>
      <c r="Q237" s="39">
        <v>0</v>
      </c>
      <c r="R237" s="39">
        <v>0</v>
      </c>
      <c r="S237" s="47">
        <v>2.8333333333333335</v>
      </c>
      <c r="T237" s="37">
        <v>0</v>
      </c>
      <c r="U237" s="37">
        <v>6</v>
      </c>
      <c r="V237" s="37">
        <v>5</v>
      </c>
      <c r="W237" s="29"/>
      <c r="X237" s="37">
        <v>5</v>
      </c>
      <c r="Y237" s="37">
        <v>6</v>
      </c>
      <c r="Z237" s="37">
        <v>0</v>
      </c>
      <c r="AA237" s="37">
        <v>0</v>
      </c>
    </row>
    <row r="238" spans="2:27" x14ac:dyDescent="0.3">
      <c r="B238" s="108"/>
      <c r="C238" s="103"/>
      <c r="D238" s="106"/>
      <c r="E238" s="100"/>
      <c r="F238" s="38" t="s">
        <v>3</v>
      </c>
      <c r="G238" s="39">
        <v>5</v>
      </c>
      <c r="H238" s="39">
        <v>5</v>
      </c>
      <c r="I238" s="39">
        <v>5</v>
      </c>
      <c r="J238" s="39">
        <v>5</v>
      </c>
      <c r="K238" s="39">
        <v>5</v>
      </c>
      <c r="L238" s="39">
        <v>5</v>
      </c>
      <c r="M238" s="39">
        <v>5</v>
      </c>
      <c r="N238" s="39">
        <v>5</v>
      </c>
      <c r="O238" s="39">
        <v>5</v>
      </c>
      <c r="P238" s="39">
        <v>5</v>
      </c>
      <c r="Q238" s="39">
        <v>5</v>
      </c>
      <c r="R238" s="39">
        <v>5</v>
      </c>
      <c r="S238" s="44">
        <v>5</v>
      </c>
      <c r="T238" s="37">
        <v>5</v>
      </c>
      <c r="U238" s="37">
        <v>5</v>
      </c>
      <c r="V238" s="37">
        <v>5</v>
      </c>
      <c r="W238" s="29"/>
      <c r="X238" s="37">
        <v>5</v>
      </c>
      <c r="Y238" s="37">
        <v>5</v>
      </c>
      <c r="Z238" s="37">
        <v>5</v>
      </c>
      <c r="AA238" s="37">
        <v>5</v>
      </c>
    </row>
    <row r="239" spans="2:27" x14ac:dyDescent="0.3">
      <c r="B239" s="108"/>
      <c r="C239" s="103"/>
      <c r="D239" s="105" t="s">
        <v>154</v>
      </c>
      <c r="E239" s="103"/>
      <c r="F239" s="38" t="s">
        <v>2</v>
      </c>
      <c r="G239" s="39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1</v>
      </c>
      <c r="O239" s="39">
        <v>1</v>
      </c>
      <c r="P239" s="39">
        <v>0</v>
      </c>
      <c r="Q239" s="39">
        <v>0</v>
      </c>
      <c r="R239" s="39">
        <v>0</v>
      </c>
      <c r="S239" s="47">
        <v>0.16666666666666666</v>
      </c>
      <c r="T239" s="37">
        <v>0</v>
      </c>
      <c r="U239" s="37">
        <v>1</v>
      </c>
      <c r="V239" s="37">
        <v>1</v>
      </c>
      <c r="W239" s="29"/>
      <c r="X239" s="37">
        <v>0</v>
      </c>
      <c r="Y239" s="37">
        <v>0</v>
      </c>
      <c r="Z239" s="37">
        <v>1</v>
      </c>
      <c r="AA239" s="37">
        <v>0</v>
      </c>
    </row>
    <row r="240" spans="2:27" x14ac:dyDescent="0.3">
      <c r="B240" s="108"/>
      <c r="C240" s="103"/>
      <c r="D240" s="106"/>
      <c r="E240" s="100"/>
      <c r="F240" s="38" t="s">
        <v>3</v>
      </c>
      <c r="G240" s="39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1</v>
      </c>
      <c r="O240" s="39">
        <v>1</v>
      </c>
      <c r="P240" s="39">
        <v>1</v>
      </c>
      <c r="Q240" s="39">
        <v>1</v>
      </c>
      <c r="R240" s="39">
        <v>1</v>
      </c>
      <c r="S240" s="44">
        <v>0.41666666666666669</v>
      </c>
      <c r="T240" s="37">
        <v>1</v>
      </c>
      <c r="U240" s="37">
        <v>1</v>
      </c>
      <c r="V240" s="37">
        <v>1</v>
      </c>
      <c r="W240" s="29"/>
      <c r="X240" s="37">
        <v>0</v>
      </c>
      <c r="Y240" s="37">
        <v>0</v>
      </c>
      <c r="Z240" s="37">
        <v>1</v>
      </c>
      <c r="AA240" s="37">
        <v>1</v>
      </c>
    </row>
    <row r="241" spans="2:27" x14ac:dyDescent="0.3">
      <c r="B241" s="108"/>
      <c r="C241" s="103"/>
      <c r="D241" s="105" t="s">
        <v>155</v>
      </c>
      <c r="E241" s="103"/>
      <c r="F241" s="38" t="s">
        <v>2</v>
      </c>
      <c r="G241" s="39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6</v>
      </c>
      <c r="N241" s="39">
        <v>6</v>
      </c>
      <c r="O241" s="39">
        <v>6</v>
      </c>
      <c r="P241" s="39">
        <v>6</v>
      </c>
      <c r="Q241" s="39">
        <v>6</v>
      </c>
      <c r="R241" s="39">
        <v>6</v>
      </c>
      <c r="S241" s="47">
        <v>3</v>
      </c>
      <c r="T241" s="37">
        <v>6</v>
      </c>
      <c r="U241" s="37">
        <v>6</v>
      </c>
      <c r="V241" s="37">
        <v>6</v>
      </c>
      <c r="W241" s="29"/>
      <c r="X241" s="37">
        <v>0</v>
      </c>
      <c r="Y241" s="37">
        <v>0</v>
      </c>
      <c r="Z241" s="37">
        <v>6</v>
      </c>
      <c r="AA241" s="37">
        <v>6</v>
      </c>
    </row>
    <row r="242" spans="2:27" x14ac:dyDescent="0.3">
      <c r="B242" s="108"/>
      <c r="C242" s="103"/>
      <c r="D242" s="106"/>
      <c r="E242" s="100"/>
      <c r="F242" s="38" t="s">
        <v>3</v>
      </c>
      <c r="G242" s="39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44">
        <v>0</v>
      </c>
      <c r="T242" s="37">
        <v>0</v>
      </c>
      <c r="U242" s="37">
        <v>0</v>
      </c>
      <c r="V242" s="37">
        <v>0</v>
      </c>
      <c r="W242" s="29"/>
      <c r="X242" s="37">
        <v>0</v>
      </c>
      <c r="Y242" s="37">
        <v>0</v>
      </c>
      <c r="Z242" s="37">
        <v>0</v>
      </c>
      <c r="AA242" s="37">
        <v>0</v>
      </c>
    </row>
    <row r="243" spans="2:27" x14ac:dyDescent="0.3">
      <c r="B243" s="108"/>
      <c r="C243" s="103"/>
      <c r="D243" s="105" t="s">
        <v>130</v>
      </c>
      <c r="E243" s="103"/>
      <c r="F243" s="38" t="s">
        <v>2</v>
      </c>
      <c r="G243" s="39">
        <v>0</v>
      </c>
      <c r="H243" s="39">
        <v>0</v>
      </c>
      <c r="I243" s="39">
        <v>0</v>
      </c>
      <c r="J243" s="39">
        <v>1</v>
      </c>
      <c r="K243" s="39">
        <v>1</v>
      </c>
      <c r="L243" s="39">
        <v>1</v>
      </c>
      <c r="M243" s="39">
        <v>1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47">
        <v>0.33333333333333331</v>
      </c>
      <c r="T243" s="37">
        <v>0</v>
      </c>
      <c r="U243" s="37">
        <v>1</v>
      </c>
      <c r="V243" s="37">
        <v>1</v>
      </c>
      <c r="W243" s="29"/>
      <c r="X243" s="37">
        <v>0</v>
      </c>
      <c r="Y243" s="37">
        <v>1</v>
      </c>
      <c r="Z243" s="37">
        <v>1</v>
      </c>
      <c r="AA243" s="37">
        <v>0</v>
      </c>
    </row>
    <row r="244" spans="2:27" x14ac:dyDescent="0.3">
      <c r="B244" s="106"/>
      <c r="C244" s="100"/>
      <c r="D244" s="106"/>
      <c r="E244" s="100"/>
      <c r="F244" s="38" t="s">
        <v>3</v>
      </c>
      <c r="G244" s="39">
        <v>1</v>
      </c>
      <c r="H244" s="39">
        <v>1</v>
      </c>
      <c r="I244" s="39">
        <v>1</v>
      </c>
      <c r="J244" s="39">
        <v>1</v>
      </c>
      <c r="K244" s="39">
        <v>1</v>
      </c>
      <c r="L244" s="39">
        <v>1</v>
      </c>
      <c r="M244" s="39">
        <v>1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44">
        <v>0.58333333333333337</v>
      </c>
      <c r="T244" s="37">
        <v>0</v>
      </c>
      <c r="U244" s="37">
        <v>1</v>
      </c>
      <c r="V244" s="37">
        <v>1</v>
      </c>
      <c r="W244" s="29"/>
      <c r="X244" s="37">
        <v>1</v>
      </c>
      <c r="Y244" s="37">
        <v>1</v>
      </c>
      <c r="Z244" s="37">
        <v>1</v>
      </c>
      <c r="AA244" s="37">
        <v>0</v>
      </c>
    </row>
    <row r="245" spans="2:27" x14ac:dyDescent="0.3">
      <c r="B245" s="105" t="s">
        <v>136</v>
      </c>
      <c r="C245" s="103"/>
      <c r="D245" s="105" t="s">
        <v>137</v>
      </c>
      <c r="E245" s="103"/>
      <c r="F245" s="38" t="s">
        <v>2</v>
      </c>
      <c r="G245" s="39">
        <v>2</v>
      </c>
      <c r="H245" s="39">
        <v>2</v>
      </c>
      <c r="I245" s="39">
        <v>2</v>
      </c>
      <c r="J245" s="39">
        <v>2</v>
      </c>
      <c r="K245" s="39">
        <v>2</v>
      </c>
      <c r="L245" s="39">
        <v>1</v>
      </c>
      <c r="M245" s="39">
        <v>1</v>
      </c>
      <c r="N245" s="39">
        <v>1</v>
      </c>
      <c r="O245" s="39">
        <v>1</v>
      </c>
      <c r="P245" s="39">
        <v>2</v>
      </c>
      <c r="Q245" s="39">
        <v>2</v>
      </c>
      <c r="R245" s="39">
        <v>2</v>
      </c>
      <c r="S245" s="47">
        <v>1.6666666666666667</v>
      </c>
      <c r="T245" s="37">
        <v>2</v>
      </c>
      <c r="U245" s="37">
        <v>4</v>
      </c>
      <c r="V245" s="37">
        <v>4</v>
      </c>
      <c r="W245" s="29"/>
      <c r="X245" s="37">
        <v>2</v>
      </c>
      <c r="Y245" s="37">
        <v>2</v>
      </c>
      <c r="Z245" s="37">
        <v>1</v>
      </c>
      <c r="AA245" s="37">
        <v>2</v>
      </c>
    </row>
    <row r="246" spans="2:27" x14ac:dyDescent="0.3">
      <c r="B246" s="106"/>
      <c r="C246" s="100"/>
      <c r="D246" s="106"/>
      <c r="E246" s="100"/>
      <c r="F246" s="38" t="s">
        <v>3</v>
      </c>
      <c r="G246" s="39">
        <v>0</v>
      </c>
      <c r="H246" s="39">
        <v>0</v>
      </c>
      <c r="I246" s="39">
        <v>0</v>
      </c>
      <c r="J246" s="39">
        <v>0</v>
      </c>
      <c r="K246" s="39">
        <v>0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44">
        <v>0</v>
      </c>
      <c r="T246" s="37">
        <v>0</v>
      </c>
      <c r="U246" s="37">
        <v>0</v>
      </c>
      <c r="V246" s="37">
        <v>0</v>
      </c>
      <c r="W246" s="29"/>
      <c r="X246" s="37">
        <v>0</v>
      </c>
      <c r="Y246" s="37">
        <v>0</v>
      </c>
      <c r="Z246" s="37">
        <v>0</v>
      </c>
      <c r="AA246" s="37">
        <v>0</v>
      </c>
    </row>
    <row r="247" spans="2:27" x14ac:dyDescent="0.3"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44" t="e">
        <v>#DIV/0!</v>
      </c>
      <c r="T247" s="29"/>
      <c r="U247" s="29"/>
      <c r="V247" s="29"/>
      <c r="W247" s="29"/>
      <c r="X247" s="29"/>
      <c r="Y247" s="29"/>
      <c r="Z247" s="29"/>
      <c r="AA247" s="29"/>
    </row>
    <row r="248" spans="2:27" x14ac:dyDescent="0.3">
      <c r="B248" s="101" t="s">
        <v>89</v>
      </c>
      <c r="C248" s="100"/>
      <c r="D248" s="100"/>
      <c r="E248" s="100"/>
      <c r="F248" s="30" t="s">
        <v>2</v>
      </c>
      <c r="G248" s="31">
        <v>646</v>
      </c>
      <c r="H248" s="31">
        <v>646</v>
      </c>
      <c r="I248" s="31">
        <v>631</v>
      </c>
      <c r="J248" s="31">
        <v>628</v>
      </c>
      <c r="K248" s="31">
        <v>630</v>
      </c>
      <c r="L248" s="31">
        <v>639</v>
      </c>
      <c r="M248" s="31">
        <v>644</v>
      </c>
      <c r="N248" s="31">
        <v>648</v>
      </c>
      <c r="O248" s="31">
        <v>649</v>
      </c>
      <c r="P248" s="31">
        <v>662</v>
      </c>
      <c r="Q248" s="31">
        <v>665</v>
      </c>
      <c r="R248" s="31">
        <v>675</v>
      </c>
      <c r="S248" s="44">
        <v>646.91666666666663</v>
      </c>
      <c r="T248" s="31">
        <v>675</v>
      </c>
      <c r="U248" s="31">
        <v>647</v>
      </c>
      <c r="V248" s="31">
        <v>647</v>
      </c>
      <c r="W248" s="29"/>
      <c r="X248" s="31">
        <v>641</v>
      </c>
      <c r="Y248" s="31">
        <v>632</v>
      </c>
      <c r="Z248" s="31">
        <v>647</v>
      </c>
      <c r="AA248" s="31">
        <v>667</v>
      </c>
    </row>
    <row r="249" spans="2:27" x14ac:dyDescent="0.3">
      <c r="B249" s="29"/>
      <c r="C249" s="29"/>
      <c r="D249" s="29"/>
      <c r="E249" s="29"/>
      <c r="F249" s="30" t="s">
        <v>3</v>
      </c>
      <c r="G249" s="31">
        <v>737</v>
      </c>
      <c r="H249" s="31">
        <v>751</v>
      </c>
      <c r="I249" s="31">
        <v>741</v>
      </c>
      <c r="J249" s="31">
        <v>728</v>
      </c>
      <c r="K249" s="31">
        <v>735</v>
      </c>
      <c r="L249" s="31">
        <v>734</v>
      </c>
      <c r="M249" s="31">
        <v>730</v>
      </c>
      <c r="N249" s="31">
        <v>731</v>
      </c>
      <c r="O249" s="31">
        <v>732</v>
      </c>
      <c r="P249" s="31">
        <v>736</v>
      </c>
      <c r="Q249" s="31">
        <v>746</v>
      </c>
      <c r="R249" s="31">
        <v>746</v>
      </c>
      <c r="S249" s="44">
        <v>737.25</v>
      </c>
      <c r="T249" s="31">
        <v>746</v>
      </c>
      <c r="U249" s="31">
        <v>737</v>
      </c>
      <c r="V249" s="31">
        <v>737</v>
      </c>
      <c r="W249" s="29"/>
      <c r="X249" s="31">
        <v>743</v>
      </c>
      <c r="Y249" s="31">
        <v>732</v>
      </c>
      <c r="Z249" s="31">
        <v>731</v>
      </c>
      <c r="AA249" s="31">
        <v>743</v>
      </c>
    </row>
    <row r="250" spans="2:27" ht="15" thickBot="1" x14ac:dyDescent="0.35"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44" t="e">
        <v>#DIV/0!</v>
      </c>
      <c r="T250" s="29"/>
      <c r="U250" s="29"/>
      <c r="V250" s="29"/>
      <c r="W250" s="29"/>
      <c r="X250" s="29"/>
      <c r="Y250" s="29"/>
      <c r="Z250" s="29"/>
      <c r="AA250" s="29"/>
    </row>
    <row r="251" spans="2:27" ht="15" thickBot="1" x14ac:dyDescent="0.35">
      <c r="B251" s="101" t="s">
        <v>90</v>
      </c>
      <c r="C251" s="100"/>
      <c r="D251" s="100"/>
      <c r="E251" s="100"/>
      <c r="F251" s="30" t="s">
        <v>2</v>
      </c>
      <c r="G251" s="31">
        <v>5970</v>
      </c>
      <c r="H251" s="31">
        <v>5840</v>
      </c>
      <c r="I251" s="31">
        <v>6140</v>
      </c>
      <c r="J251" s="31">
        <v>5371</v>
      </c>
      <c r="K251" s="31">
        <v>5407</v>
      </c>
      <c r="L251" s="31">
        <v>4946</v>
      </c>
      <c r="M251" s="31">
        <v>5054</v>
      </c>
      <c r="N251" s="31">
        <v>4672</v>
      </c>
      <c r="O251" s="31">
        <v>3793</v>
      </c>
      <c r="P251" s="31">
        <v>2705</v>
      </c>
      <c r="Q251" s="31">
        <v>2239</v>
      </c>
      <c r="R251" s="31">
        <v>1982</v>
      </c>
      <c r="S251" s="52">
        <v>4509.916666666667</v>
      </c>
      <c r="T251" s="31">
        <v>1982</v>
      </c>
      <c r="U251" s="31">
        <v>4510</v>
      </c>
      <c r="V251" s="31">
        <v>4510</v>
      </c>
      <c r="W251" s="29"/>
      <c r="X251" s="31">
        <v>5983</v>
      </c>
      <c r="Y251" s="31">
        <v>5241</v>
      </c>
      <c r="Z251" s="31">
        <v>4506</v>
      </c>
      <c r="AA251" s="31">
        <v>2309</v>
      </c>
    </row>
    <row r="252" spans="2:27" x14ac:dyDescent="0.3">
      <c r="B252" s="29"/>
      <c r="C252" s="29"/>
      <c r="D252" s="29"/>
      <c r="E252" s="29"/>
      <c r="F252" s="30" t="s">
        <v>3</v>
      </c>
      <c r="G252" s="31">
        <v>3554</v>
      </c>
      <c r="H252" s="31">
        <v>3316</v>
      </c>
      <c r="I252" s="31">
        <v>3036</v>
      </c>
      <c r="J252" s="31">
        <v>3202</v>
      </c>
      <c r="K252" s="31">
        <v>3286</v>
      </c>
      <c r="L252" s="31">
        <v>3626</v>
      </c>
      <c r="M252" s="31">
        <v>3892</v>
      </c>
      <c r="N252" s="31">
        <v>4345</v>
      </c>
      <c r="O252" s="31">
        <v>5046</v>
      </c>
      <c r="P252" s="31">
        <v>5305</v>
      </c>
      <c r="Q252" s="31">
        <v>6084</v>
      </c>
      <c r="R252" s="31">
        <v>6217</v>
      </c>
      <c r="S252" s="44">
        <v>4242.416666666667</v>
      </c>
      <c r="T252" s="31">
        <v>6217</v>
      </c>
      <c r="U252" s="31">
        <v>4242</v>
      </c>
      <c r="V252" s="31">
        <v>4242</v>
      </c>
      <c r="W252" s="29"/>
      <c r="X252" s="31">
        <v>3302</v>
      </c>
      <c r="Y252" s="31">
        <v>3371</v>
      </c>
      <c r="Z252" s="31">
        <v>4428</v>
      </c>
      <c r="AA252" s="31">
        <v>5869</v>
      </c>
    </row>
    <row r="253" spans="2:27" x14ac:dyDescent="0.3"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44" t="e">
        <v>#DIV/0!</v>
      </c>
      <c r="T253" s="29"/>
      <c r="U253" s="29"/>
      <c r="V253" s="29"/>
      <c r="W253" s="29"/>
      <c r="X253" s="29"/>
      <c r="Y253" s="29"/>
      <c r="Z253" s="29"/>
      <c r="AA253" s="29"/>
    </row>
    <row r="254" spans="2:27" x14ac:dyDescent="0.3">
      <c r="B254" s="101" t="s">
        <v>91</v>
      </c>
      <c r="C254" s="100"/>
      <c r="D254" s="100"/>
      <c r="E254" s="100"/>
      <c r="F254" s="30" t="s">
        <v>2</v>
      </c>
      <c r="G254" s="31">
        <v>6616</v>
      </c>
      <c r="H254" s="31">
        <v>6486</v>
      </c>
      <c r="I254" s="31">
        <v>6771</v>
      </c>
      <c r="J254" s="31">
        <v>5999</v>
      </c>
      <c r="K254" s="31">
        <v>6037</v>
      </c>
      <c r="L254" s="31">
        <v>5585</v>
      </c>
      <c r="M254" s="31">
        <v>5698</v>
      </c>
      <c r="N254" s="31">
        <v>5320</v>
      </c>
      <c r="O254" s="31">
        <v>4442</v>
      </c>
      <c r="P254" s="31">
        <v>3367</v>
      </c>
      <c r="Q254" s="31">
        <v>2904</v>
      </c>
      <c r="R254" s="31">
        <v>2657</v>
      </c>
      <c r="S254" s="44">
        <v>5156.833333333333</v>
      </c>
      <c r="T254" s="31">
        <v>2657</v>
      </c>
      <c r="U254" s="31">
        <v>5157</v>
      </c>
      <c r="V254" s="31">
        <v>5157</v>
      </c>
      <c r="W254" s="29"/>
      <c r="X254" s="31">
        <v>6624</v>
      </c>
      <c r="Y254" s="31">
        <v>5874</v>
      </c>
      <c r="Z254" s="31">
        <v>5153</v>
      </c>
      <c r="AA254" s="31">
        <v>2976</v>
      </c>
    </row>
    <row r="255" spans="2:27" x14ac:dyDescent="0.3">
      <c r="B255" s="29"/>
      <c r="C255" s="29"/>
      <c r="D255" s="29"/>
      <c r="E255" s="29"/>
      <c r="F255" s="30" t="s">
        <v>3</v>
      </c>
      <c r="G255" s="31">
        <v>4291</v>
      </c>
      <c r="H255" s="31">
        <v>4067</v>
      </c>
      <c r="I255" s="31">
        <v>3777</v>
      </c>
      <c r="J255" s="31">
        <v>3930</v>
      </c>
      <c r="K255" s="31">
        <v>4021</v>
      </c>
      <c r="L255" s="31">
        <v>4360</v>
      </c>
      <c r="M255" s="31">
        <v>4622</v>
      </c>
      <c r="N255" s="31">
        <v>5076</v>
      </c>
      <c r="O255" s="31">
        <v>5778</v>
      </c>
      <c r="P255" s="31">
        <v>6041</v>
      </c>
      <c r="Q255" s="31">
        <v>6830</v>
      </c>
      <c r="R255" s="31">
        <v>6963</v>
      </c>
      <c r="S255" s="44">
        <v>4979.666666666667</v>
      </c>
      <c r="T255" s="31">
        <v>6963</v>
      </c>
      <c r="U255" s="31">
        <v>4980</v>
      </c>
      <c r="V255" s="31">
        <v>4980</v>
      </c>
      <c r="W255" s="29"/>
      <c r="X255" s="31">
        <v>4045</v>
      </c>
      <c r="Y255" s="31">
        <v>4104</v>
      </c>
      <c r="Z255" s="31">
        <v>5159</v>
      </c>
      <c r="AA255" s="31">
        <v>6611</v>
      </c>
    </row>
    <row r="256" spans="2:27" x14ac:dyDescent="0.3"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44" t="e">
        <v>#DIV/0!</v>
      </c>
      <c r="T256" s="29"/>
      <c r="U256" s="29"/>
      <c r="V256" s="29"/>
      <c r="W256" s="29"/>
      <c r="X256" s="29"/>
      <c r="Y256" s="29"/>
      <c r="Z256" s="29"/>
      <c r="AA256" s="29"/>
    </row>
    <row r="257" spans="2:27" x14ac:dyDescent="0.3">
      <c r="B257" s="101" t="s">
        <v>92</v>
      </c>
      <c r="C257" s="100"/>
      <c r="D257" s="100"/>
      <c r="E257" s="100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44" t="e">
        <v>#DIV/0!</v>
      </c>
      <c r="T257" s="29"/>
      <c r="U257" s="29"/>
      <c r="V257" s="29"/>
      <c r="W257" s="29"/>
      <c r="X257" s="29"/>
      <c r="Y257" s="29"/>
      <c r="Z257" s="29"/>
      <c r="AA257" s="29"/>
    </row>
    <row r="258" spans="2:27" x14ac:dyDescent="0.3"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44" t="e">
        <v>#DIV/0!</v>
      </c>
      <c r="T258" s="29"/>
      <c r="U258" s="29"/>
      <c r="V258" s="29"/>
      <c r="W258" s="29"/>
      <c r="X258" s="29"/>
      <c r="Y258" s="29"/>
      <c r="Z258" s="29"/>
      <c r="AA258" s="29"/>
    </row>
    <row r="259" spans="2:27" ht="15" thickBot="1" x14ac:dyDescent="0.35">
      <c r="B259" s="104" t="s">
        <v>93</v>
      </c>
      <c r="C259" s="100"/>
      <c r="D259" s="100"/>
      <c r="E259" s="100"/>
      <c r="F259" s="34" t="s">
        <v>6</v>
      </c>
      <c r="G259" s="35" t="s">
        <v>160</v>
      </c>
      <c r="H259" s="35" t="s">
        <v>161</v>
      </c>
      <c r="I259" s="35" t="s">
        <v>162</v>
      </c>
      <c r="J259" s="35" t="s">
        <v>163</v>
      </c>
      <c r="K259" s="35" t="s">
        <v>164</v>
      </c>
      <c r="L259" s="35" t="s">
        <v>165</v>
      </c>
      <c r="M259" s="35" t="s">
        <v>166</v>
      </c>
      <c r="N259" s="35" t="s">
        <v>167</v>
      </c>
      <c r="O259" s="35" t="s">
        <v>168</v>
      </c>
      <c r="P259" s="35" t="s">
        <v>169</v>
      </c>
      <c r="Q259" s="35" t="s">
        <v>170</v>
      </c>
      <c r="R259" s="35" t="s">
        <v>171</v>
      </c>
      <c r="S259" s="44" t="e">
        <v>#DIV/0!</v>
      </c>
      <c r="T259" s="35" t="s">
        <v>24</v>
      </c>
      <c r="U259" s="35" t="s">
        <v>25</v>
      </c>
      <c r="V259" s="35" t="s">
        <v>19</v>
      </c>
      <c r="W259" s="29"/>
      <c r="X259" s="35" t="s">
        <v>20</v>
      </c>
      <c r="Y259" s="35" t="s">
        <v>21</v>
      </c>
      <c r="Z259" s="35" t="s">
        <v>22</v>
      </c>
      <c r="AA259" s="35" t="s">
        <v>23</v>
      </c>
    </row>
    <row r="260" spans="2:27" ht="15" thickBot="1" x14ac:dyDescent="0.35">
      <c r="B260" s="105" t="s">
        <v>38</v>
      </c>
      <c r="C260" s="103"/>
      <c r="D260" s="103"/>
      <c r="E260" s="103"/>
      <c r="F260" s="38" t="s">
        <v>2</v>
      </c>
      <c r="G260" s="39">
        <v>2</v>
      </c>
      <c r="H260" s="39">
        <v>2</v>
      </c>
      <c r="I260" s="39">
        <v>2</v>
      </c>
      <c r="J260" s="39">
        <v>2</v>
      </c>
      <c r="K260" s="39">
        <v>2</v>
      </c>
      <c r="L260" s="39">
        <v>2</v>
      </c>
      <c r="M260" s="39">
        <v>2</v>
      </c>
      <c r="N260" s="39">
        <v>2</v>
      </c>
      <c r="O260" s="39">
        <v>2</v>
      </c>
      <c r="P260" s="39">
        <v>2</v>
      </c>
      <c r="Q260" s="39">
        <v>2</v>
      </c>
      <c r="R260" s="39">
        <v>2</v>
      </c>
      <c r="S260" s="52">
        <v>2</v>
      </c>
      <c r="T260" s="39">
        <v>2</v>
      </c>
      <c r="U260" s="39">
        <v>2</v>
      </c>
      <c r="V260" s="39">
        <v>2</v>
      </c>
      <c r="W260" s="29"/>
      <c r="X260" s="39">
        <v>2</v>
      </c>
      <c r="Y260" s="39">
        <v>2</v>
      </c>
      <c r="Z260" s="39">
        <v>2</v>
      </c>
      <c r="AA260" s="39">
        <v>2</v>
      </c>
    </row>
    <row r="261" spans="2:27" ht="15" thickBot="1" x14ac:dyDescent="0.35">
      <c r="B261" s="106"/>
      <c r="C261" s="100"/>
      <c r="D261" s="100"/>
      <c r="E261" s="100"/>
      <c r="F261" s="38" t="s">
        <v>3</v>
      </c>
      <c r="G261" s="39">
        <v>2</v>
      </c>
      <c r="H261" s="39">
        <v>2</v>
      </c>
      <c r="I261" s="39">
        <v>2</v>
      </c>
      <c r="J261" s="39">
        <v>2</v>
      </c>
      <c r="K261" s="39">
        <v>2</v>
      </c>
      <c r="L261" s="39">
        <v>2</v>
      </c>
      <c r="M261" s="39">
        <v>2</v>
      </c>
      <c r="N261" s="39">
        <v>2</v>
      </c>
      <c r="O261" s="39">
        <v>2</v>
      </c>
      <c r="P261" s="39">
        <v>2</v>
      </c>
      <c r="Q261" s="39">
        <v>2</v>
      </c>
      <c r="R261" s="39">
        <v>2</v>
      </c>
      <c r="S261" s="44">
        <v>2</v>
      </c>
      <c r="T261" s="39">
        <v>2</v>
      </c>
      <c r="U261" s="39">
        <v>2</v>
      </c>
      <c r="V261" s="39">
        <v>2</v>
      </c>
      <c r="W261" s="29"/>
      <c r="X261" s="39">
        <v>2</v>
      </c>
      <c r="Y261" s="39">
        <v>2</v>
      </c>
      <c r="Z261" s="39">
        <v>2</v>
      </c>
      <c r="AA261" s="39">
        <v>2</v>
      </c>
    </row>
    <row r="262" spans="2:27" ht="15" thickBot="1" x14ac:dyDescent="0.35">
      <c r="B262" s="105" t="s">
        <v>121</v>
      </c>
      <c r="C262" s="103"/>
      <c r="D262" s="103"/>
      <c r="E262" s="103"/>
      <c r="F262" s="38" t="s">
        <v>2</v>
      </c>
      <c r="G262" s="39">
        <v>41</v>
      </c>
      <c r="H262" s="39">
        <v>41</v>
      </c>
      <c r="I262" s="39">
        <v>41</v>
      </c>
      <c r="J262" s="39">
        <v>41</v>
      </c>
      <c r="K262" s="39">
        <v>42</v>
      </c>
      <c r="L262" s="39">
        <v>41</v>
      </c>
      <c r="M262" s="39">
        <v>41</v>
      </c>
      <c r="N262" s="39">
        <v>41</v>
      </c>
      <c r="O262" s="39">
        <v>41</v>
      </c>
      <c r="P262" s="39">
        <v>39</v>
      </c>
      <c r="Q262" s="39">
        <v>40</v>
      </c>
      <c r="R262" s="39">
        <v>40</v>
      </c>
      <c r="S262" s="52">
        <v>40.75</v>
      </c>
      <c r="T262" s="39">
        <v>40</v>
      </c>
      <c r="U262" s="39">
        <v>41</v>
      </c>
      <c r="V262" s="39">
        <v>41</v>
      </c>
      <c r="W262" s="29"/>
      <c r="X262" s="39">
        <v>41</v>
      </c>
      <c r="Y262" s="39">
        <v>41</v>
      </c>
      <c r="Z262" s="39">
        <v>41</v>
      </c>
      <c r="AA262" s="39">
        <v>40</v>
      </c>
    </row>
    <row r="263" spans="2:27" ht="15" thickBot="1" x14ac:dyDescent="0.35">
      <c r="B263" s="106"/>
      <c r="C263" s="100"/>
      <c r="D263" s="100"/>
      <c r="E263" s="100"/>
      <c r="F263" s="38" t="s">
        <v>3</v>
      </c>
      <c r="G263" s="39">
        <v>42</v>
      </c>
      <c r="H263" s="39">
        <v>42</v>
      </c>
      <c r="I263" s="39">
        <v>42</v>
      </c>
      <c r="J263" s="39">
        <v>42</v>
      </c>
      <c r="K263" s="39">
        <v>42</v>
      </c>
      <c r="L263" s="39">
        <v>42</v>
      </c>
      <c r="M263" s="39">
        <v>42</v>
      </c>
      <c r="N263" s="39">
        <v>42</v>
      </c>
      <c r="O263" s="39">
        <v>42</v>
      </c>
      <c r="P263" s="39">
        <v>42</v>
      </c>
      <c r="Q263" s="39">
        <v>42</v>
      </c>
      <c r="R263" s="39">
        <v>42</v>
      </c>
      <c r="S263" s="44">
        <v>42</v>
      </c>
      <c r="T263" s="39">
        <v>42</v>
      </c>
      <c r="U263" s="39">
        <v>42</v>
      </c>
      <c r="V263" s="39">
        <v>42</v>
      </c>
      <c r="W263" s="29"/>
      <c r="X263" s="39">
        <v>42</v>
      </c>
      <c r="Y263" s="39">
        <v>42</v>
      </c>
      <c r="Z263" s="39">
        <v>42</v>
      </c>
      <c r="AA263" s="39">
        <v>42</v>
      </c>
    </row>
    <row r="264" spans="2:27" ht="15" thickBot="1" x14ac:dyDescent="0.35">
      <c r="B264" s="105" t="s">
        <v>154</v>
      </c>
      <c r="C264" s="103"/>
      <c r="D264" s="103"/>
      <c r="E264" s="103"/>
      <c r="F264" s="38" t="s">
        <v>2</v>
      </c>
      <c r="G264" s="39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1</v>
      </c>
      <c r="O264" s="39">
        <v>1</v>
      </c>
      <c r="P264" s="39">
        <v>1</v>
      </c>
      <c r="Q264" s="39">
        <v>1</v>
      </c>
      <c r="R264" s="39">
        <v>1</v>
      </c>
      <c r="S264" s="52">
        <v>0.41666666666666669</v>
      </c>
      <c r="T264" s="39">
        <v>1</v>
      </c>
      <c r="U264" s="39">
        <v>1</v>
      </c>
      <c r="V264" s="39">
        <v>1</v>
      </c>
      <c r="W264" s="29"/>
      <c r="X264" s="39">
        <v>0</v>
      </c>
      <c r="Y264" s="39">
        <v>0</v>
      </c>
      <c r="Z264" s="39">
        <v>1</v>
      </c>
      <c r="AA264" s="39">
        <v>1</v>
      </c>
    </row>
    <row r="265" spans="2:27" ht="15" thickBot="1" x14ac:dyDescent="0.35">
      <c r="B265" s="106"/>
      <c r="C265" s="100"/>
      <c r="D265" s="100"/>
      <c r="E265" s="100"/>
      <c r="F265" s="38" t="s">
        <v>3</v>
      </c>
      <c r="G265" s="39">
        <v>0</v>
      </c>
      <c r="H265" s="39">
        <v>0</v>
      </c>
      <c r="I265" s="39">
        <v>0</v>
      </c>
      <c r="J265" s="39">
        <v>0</v>
      </c>
      <c r="K265" s="39">
        <v>0</v>
      </c>
      <c r="L265" s="39">
        <v>0</v>
      </c>
      <c r="M265" s="39">
        <v>0</v>
      </c>
      <c r="N265" s="39">
        <v>1</v>
      </c>
      <c r="O265" s="39">
        <v>1</v>
      </c>
      <c r="P265" s="39">
        <v>1</v>
      </c>
      <c r="Q265" s="39">
        <v>1</v>
      </c>
      <c r="R265" s="39">
        <v>1</v>
      </c>
      <c r="S265" s="44">
        <v>0.41666666666666669</v>
      </c>
      <c r="T265" s="39">
        <v>1</v>
      </c>
      <c r="U265" s="39">
        <v>1</v>
      </c>
      <c r="V265" s="39">
        <v>1</v>
      </c>
      <c r="W265" s="29"/>
      <c r="X265" s="39">
        <v>0</v>
      </c>
      <c r="Y265" s="39">
        <v>0</v>
      </c>
      <c r="Z265" s="39">
        <v>1</v>
      </c>
      <c r="AA265" s="39">
        <v>1</v>
      </c>
    </row>
    <row r="266" spans="2:27" ht="15" thickBot="1" x14ac:dyDescent="0.35">
      <c r="B266" s="105" t="s">
        <v>130</v>
      </c>
      <c r="C266" s="103"/>
      <c r="D266" s="103"/>
      <c r="E266" s="103"/>
      <c r="F266" s="38" t="s">
        <v>2</v>
      </c>
      <c r="G266" s="39">
        <v>1</v>
      </c>
      <c r="H266" s="39">
        <v>1</v>
      </c>
      <c r="I266" s="39">
        <v>1</v>
      </c>
      <c r="J266" s="39">
        <v>1</v>
      </c>
      <c r="K266" s="39">
        <v>1</v>
      </c>
      <c r="L266" s="39">
        <v>1</v>
      </c>
      <c r="M266" s="39">
        <v>1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52">
        <v>0.58333333333333337</v>
      </c>
      <c r="T266" s="39">
        <v>0</v>
      </c>
      <c r="U266" s="39">
        <v>1</v>
      </c>
      <c r="V266" s="39">
        <v>1</v>
      </c>
      <c r="W266" s="29"/>
      <c r="X266" s="39">
        <v>1</v>
      </c>
      <c r="Y266" s="39">
        <v>1</v>
      </c>
      <c r="Z266" s="39">
        <v>1</v>
      </c>
      <c r="AA266" s="39">
        <v>0</v>
      </c>
    </row>
    <row r="267" spans="2:27" x14ac:dyDescent="0.3">
      <c r="B267" s="106"/>
      <c r="C267" s="100"/>
      <c r="D267" s="100"/>
      <c r="E267" s="100"/>
      <c r="F267" s="38" t="s">
        <v>3</v>
      </c>
      <c r="G267" s="39">
        <v>1</v>
      </c>
      <c r="H267" s="39">
        <v>1</v>
      </c>
      <c r="I267" s="39">
        <v>1</v>
      </c>
      <c r="J267" s="39">
        <v>1</v>
      </c>
      <c r="K267" s="39">
        <v>1</v>
      </c>
      <c r="L267" s="39">
        <v>1</v>
      </c>
      <c r="M267" s="39">
        <v>1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44">
        <v>0.58333333333333337</v>
      </c>
      <c r="T267" s="39">
        <v>0</v>
      </c>
      <c r="U267" s="39">
        <v>1</v>
      </c>
      <c r="V267" s="39">
        <v>1</v>
      </c>
      <c r="W267" s="29"/>
      <c r="X267" s="39">
        <v>1</v>
      </c>
      <c r="Y267" s="39">
        <v>1</v>
      </c>
      <c r="Z267" s="39">
        <v>1</v>
      </c>
      <c r="AA267" s="39">
        <v>0</v>
      </c>
    </row>
    <row r="268" spans="2:27" x14ac:dyDescent="0.3"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44" t="e">
        <v>#DIV/0!</v>
      </c>
      <c r="T268" s="29"/>
      <c r="U268" s="29"/>
      <c r="V268" s="29"/>
      <c r="W268" s="29"/>
      <c r="X268" s="29"/>
      <c r="Y268" s="29"/>
      <c r="Z268" s="29"/>
      <c r="AA268" s="29"/>
    </row>
    <row r="269" spans="2:27" x14ac:dyDescent="0.3">
      <c r="B269" s="104" t="s">
        <v>94</v>
      </c>
      <c r="C269" s="100"/>
      <c r="D269" s="100"/>
      <c r="E269" s="100"/>
      <c r="F269" s="34" t="s">
        <v>6</v>
      </c>
      <c r="G269" s="35" t="s">
        <v>160</v>
      </c>
      <c r="H269" s="35" t="s">
        <v>161</v>
      </c>
      <c r="I269" s="35" t="s">
        <v>162</v>
      </c>
      <c r="J269" s="35" t="s">
        <v>163</v>
      </c>
      <c r="K269" s="35" t="s">
        <v>164</v>
      </c>
      <c r="L269" s="35" t="s">
        <v>165</v>
      </c>
      <c r="M269" s="35" t="s">
        <v>166</v>
      </c>
      <c r="N269" s="35" t="s">
        <v>167</v>
      </c>
      <c r="O269" s="35" t="s">
        <v>168</v>
      </c>
      <c r="P269" s="35" t="s">
        <v>169</v>
      </c>
      <c r="Q269" s="35" t="s">
        <v>170</v>
      </c>
      <c r="R269" s="35" t="s">
        <v>171</v>
      </c>
      <c r="S269" s="44" t="e">
        <v>#DIV/0!</v>
      </c>
      <c r="T269" s="35" t="s">
        <v>24</v>
      </c>
      <c r="U269" s="35" t="s">
        <v>25</v>
      </c>
      <c r="V269" s="35" t="s">
        <v>19</v>
      </c>
      <c r="W269" s="29"/>
      <c r="X269" s="35" t="s">
        <v>20</v>
      </c>
      <c r="Y269" s="35" t="s">
        <v>21</v>
      </c>
      <c r="Z269" s="35" t="s">
        <v>22</v>
      </c>
      <c r="AA269" s="35" t="s">
        <v>23</v>
      </c>
    </row>
    <row r="270" spans="2:27" x14ac:dyDescent="0.3">
      <c r="B270" s="105" t="s">
        <v>38</v>
      </c>
      <c r="C270" s="103"/>
      <c r="D270" s="103"/>
      <c r="E270" s="103"/>
      <c r="F270" s="38" t="s">
        <v>2</v>
      </c>
      <c r="G270" s="39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0</v>
      </c>
      <c r="Q270" s="39">
        <v>0</v>
      </c>
      <c r="R270" s="39">
        <v>0</v>
      </c>
      <c r="S270" s="44">
        <v>0</v>
      </c>
      <c r="T270" s="39">
        <v>0</v>
      </c>
      <c r="U270" s="39">
        <v>0</v>
      </c>
      <c r="V270" s="39">
        <v>0</v>
      </c>
      <c r="W270" s="29"/>
      <c r="X270" s="39">
        <v>0</v>
      </c>
      <c r="Y270" s="39">
        <v>0</v>
      </c>
      <c r="Z270" s="39">
        <v>0</v>
      </c>
      <c r="AA270" s="39">
        <v>0</v>
      </c>
    </row>
    <row r="271" spans="2:27" x14ac:dyDescent="0.3">
      <c r="B271" s="106"/>
      <c r="C271" s="100"/>
      <c r="D271" s="100"/>
      <c r="E271" s="100"/>
      <c r="F271" s="38" t="s">
        <v>3</v>
      </c>
      <c r="G271" s="39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44">
        <v>0</v>
      </c>
      <c r="T271" s="39">
        <v>0</v>
      </c>
      <c r="U271" s="39">
        <v>0</v>
      </c>
      <c r="V271" s="39">
        <v>0</v>
      </c>
      <c r="W271" s="29"/>
      <c r="X271" s="39">
        <v>0</v>
      </c>
      <c r="Y271" s="39">
        <v>0</v>
      </c>
      <c r="Z271" s="39">
        <v>0</v>
      </c>
      <c r="AA271" s="39">
        <v>0</v>
      </c>
    </row>
    <row r="272" spans="2:27" x14ac:dyDescent="0.3">
      <c r="B272" s="105" t="s">
        <v>121</v>
      </c>
      <c r="C272" s="103"/>
      <c r="D272" s="103"/>
      <c r="E272" s="103"/>
      <c r="F272" s="38" t="s">
        <v>2</v>
      </c>
      <c r="G272" s="39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44">
        <v>0</v>
      </c>
      <c r="T272" s="39">
        <v>0</v>
      </c>
      <c r="U272" s="39">
        <v>0</v>
      </c>
      <c r="V272" s="39">
        <v>0</v>
      </c>
      <c r="W272" s="29"/>
      <c r="X272" s="39">
        <v>0</v>
      </c>
      <c r="Y272" s="39">
        <v>0</v>
      </c>
      <c r="Z272" s="39">
        <v>0</v>
      </c>
      <c r="AA272" s="39">
        <v>0</v>
      </c>
    </row>
    <row r="273" spans="2:27" x14ac:dyDescent="0.3">
      <c r="B273" s="106"/>
      <c r="C273" s="100"/>
      <c r="D273" s="100"/>
      <c r="E273" s="100"/>
      <c r="F273" s="38" t="s">
        <v>3</v>
      </c>
      <c r="G273" s="39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0</v>
      </c>
      <c r="P273" s="39">
        <v>0</v>
      </c>
      <c r="Q273" s="39">
        <v>0</v>
      </c>
      <c r="R273" s="39">
        <v>0</v>
      </c>
      <c r="S273" s="44">
        <v>0</v>
      </c>
      <c r="T273" s="39">
        <v>0</v>
      </c>
      <c r="U273" s="39">
        <v>0</v>
      </c>
      <c r="V273" s="39">
        <v>0</v>
      </c>
      <c r="W273" s="29"/>
      <c r="X273" s="39">
        <v>0</v>
      </c>
      <c r="Y273" s="39">
        <v>0</v>
      </c>
      <c r="Z273" s="39">
        <v>0</v>
      </c>
      <c r="AA273" s="39">
        <v>0</v>
      </c>
    </row>
    <row r="274" spans="2:27" x14ac:dyDescent="0.3">
      <c r="B274" s="105" t="s">
        <v>130</v>
      </c>
      <c r="C274" s="103"/>
      <c r="D274" s="103"/>
      <c r="E274" s="103"/>
      <c r="F274" s="38" t="s">
        <v>2</v>
      </c>
      <c r="G274" s="39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44">
        <v>0</v>
      </c>
      <c r="T274" s="39">
        <v>0</v>
      </c>
      <c r="U274" s="39">
        <v>0</v>
      </c>
      <c r="V274" s="39">
        <v>0</v>
      </c>
      <c r="W274" s="29"/>
      <c r="X274" s="39">
        <v>0</v>
      </c>
      <c r="Y274" s="39">
        <v>0</v>
      </c>
      <c r="Z274" s="39">
        <v>0</v>
      </c>
      <c r="AA274" s="39">
        <v>0</v>
      </c>
    </row>
    <row r="275" spans="2:27" x14ac:dyDescent="0.3">
      <c r="B275" s="106"/>
      <c r="C275" s="100"/>
      <c r="D275" s="100"/>
      <c r="E275" s="100"/>
      <c r="F275" s="38" t="s">
        <v>3</v>
      </c>
      <c r="G275" s="39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44">
        <v>0</v>
      </c>
      <c r="T275" s="39">
        <v>0</v>
      </c>
      <c r="U275" s="39">
        <v>0</v>
      </c>
      <c r="V275" s="39">
        <v>0</v>
      </c>
      <c r="W275" s="29"/>
      <c r="X275" s="39">
        <v>0</v>
      </c>
      <c r="Y275" s="39">
        <v>0</v>
      </c>
      <c r="Z275" s="39">
        <v>0</v>
      </c>
      <c r="AA275" s="39">
        <v>0</v>
      </c>
    </row>
    <row r="276" spans="2:27" x14ac:dyDescent="0.3"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44" t="e">
        <v>#DIV/0!</v>
      </c>
      <c r="T276" s="29"/>
      <c r="U276" s="29"/>
      <c r="V276" s="29"/>
      <c r="W276" s="29"/>
      <c r="X276" s="29"/>
      <c r="Y276" s="29"/>
      <c r="Z276" s="29"/>
      <c r="AA276" s="29"/>
    </row>
    <row r="277" spans="2:27" x14ac:dyDescent="0.3">
      <c r="B277" s="101" t="s">
        <v>95</v>
      </c>
      <c r="C277" s="100"/>
      <c r="D277" s="100"/>
      <c r="E277" s="100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44" t="e">
        <v>#DIV/0!</v>
      </c>
      <c r="T277" s="29"/>
      <c r="U277" s="29"/>
      <c r="V277" s="29"/>
      <c r="W277" s="29"/>
      <c r="X277" s="29"/>
      <c r="Y277" s="29"/>
      <c r="Z277" s="29"/>
      <c r="AA277" s="29"/>
    </row>
    <row r="278" spans="2:27" x14ac:dyDescent="0.3"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44" t="e">
        <v>#DIV/0!</v>
      </c>
      <c r="T278" s="29"/>
      <c r="U278" s="29"/>
      <c r="V278" s="29"/>
      <c r="W278" s="29"/>
      <c r="X278" s="29"/>
      <c r="Y278" s="29"/>
      <c r="Z278" s="29"/>
      <c r="AA278" s="29"/>
    </row>
    <row r="279" spans="2:27" ht="15" thickBot="1" x14ac:dyDescent="0.35">
      <c r="B279" s="104" t="s">
        <v>93</v>
      </c>
      <c r="C279" s="100"/>
      <c r="D279" s="100"/>
      <c r="E279" s="100"/>
      <c r="F279" s="34" t="s">
        <v>6</v>
      </c>
      <c r="G279" s="35" t="s">
        <v>160</v>
      </c>
      <c r="H279" s="35" t="s">
        <v>161</v>
      </c>
      <c r="I279" s="35" t="s">
        <v>162</v>
      </c>
      <c r="J279" s="35" t="s">
        <v>163</v>
      </c>
      <c r="K279" s="35" t="s">
        <v>164</v>
      </c>
      <c r="L279" s="35" t="s">
        <v>165</v>
      </c>
      <c r="M279" s="35" t="s">
        <v>166</v>
      </c>
      <c r="N279" s="35" t="s">
        <v>167</v>
      </c>
      <c r="O279" s="35" t="s">
        <v>168</v>
      </c>
      <c r="P279" s="35" t="s">
        <v>169</v>
      </c>
      <c r="Q279" s="35" t="s">
        <v>170</v>
      </c>
      <c r="R279" s="35" t="s">
        <v>171</v>
      </c>
      <c r="S279" s="44" t="e">
        <v>#DIV/0!</v>
      </c>
      <c r="T279" s="35" t="s">
        <v>24</v>
      </c>
      <c r="U279" s="35" t="s">
        <v>25</v>
      </c>
      <c r="V279" s="35" t="s">
        <v>19</v>
      </c>
      <c r="W279" s="29"/>
      <c r="X279" s="35" t="s">
        <v>20</v>
      </c>
      <c r="Y279" s="35" t="s">
        <v>21</v>
      </c>
      <c r="Z279" s="35" t="s">
        <v>22</v>
      </c>
      <c r="AA279" s="35" t="s">
        <v>23</v>
      </c>
    </row>
    <row r="280" spans="2:27" ht="15" thickBot="1" x14ac:dyDescent="0.35">
      <c r="B280" s="105" t="s">
        <v>38</v>
      </c>
      <c r="C280" s="103"/>
      <c r="D280" s="103"/>
      <c r="E280" s="103"/>
      <c r="F280" s="38" t="s">
        <v>2</v>
      </c>
      <c r="G280" s="39">
        <v>38.28</v>
      </c>
      <c r="H280" s="39">
        <v>38.369999999999997</v>
      </c>
      <c r="I280" s="39">
        <v>30.8</v>
      </c>
      <c r="J280" s="39">
        <v>39.200000000000003</v>
      </c>
      <c r="K280" s="39">
        <v>69.8</v>
      </c>
      <c r="L280" s="39">
        <v>70.8</v>
      </c>
      <c r="M280" s="39">
        <v>90.1</v>
      </c>
      <c r="N280" s="39">
        <v>92.18</v>
      </c>
      <c r="O280" s="39">
        <v>130.78</v>
      </c>
      <c r="P280" s="39">
        <v>84.78</v>
      </c>
      <c r="Q280" s="39">
        <v>199.3</v>
      </c>
      <c r="R280" s="39">
        <v>94.3</v>
      </c>
      <c r="S280" s="52">
        <v>81.557500000000005</v>
      </c>
      <c r="T280" s="39">
        <v>94</v>
      </c>
      <c r="U280" s="39">
        <v>82</v>
      </c>
      <c r="V280" s="39">
        <v>82</v>
      </c>
      <c r="W280" s="29"/>
      <c r="X280" s="39">
        <v>36</v>
      </c>
      <c r="Y280" s="39">
        <v>60</v>
      </c>
      <c r="Z280" s="39">
        <v>104</v>
      </c>
      <c r="AA280" s="39">
        <v>126</v>
      </c>
    </row>
    <row r="281" spans="2:27" x14ac:dyDescent="0.3">
      <c r="B281" s="106"/>
      <c r="C281" s="100"/>
      <c r="D281" s="100"/>
      <c r="E281" s="100"/>
      <c r="F281" s="38" t="s">
        <v>3</v>
      </c>
      <c r="G281" s="39">
        <v>123.66</v>
      </c>
      <c r="H281" s="39">
        <v>134.80000000000001</v>
      </c>
      <c r="I281" s="39">
        <v>182.11</v>
      </c>
      <c r="J281" s="39">
        <v>175.07</v>
      </c>
      <c r="K281" s="39">
        <v>207.53</v>
      </c>
      <c r="L281" s="39">
        <v>150.87</v>
      </c>
      <c r="M281" s="39">
        <v>141.65</v>
      </c>
      <c r="N281" s="39">
        <v>109.45</v>
      </c>
      <c r="O281" s="39">
        <v>103.76</v>
      </c>
      <c r="P281" s="39">
        <v>113.28</v>
      </c>
      <c r="Q281" s="39">
        <v>137.88999999999999</v>
      </c>
      <c r="R281" s="39">
        <v>141.85</v>
      </c>
      <c r="S281" s="44">
        <v>143.49333333333334</v>
      </c>
      <c r="T281" s="39">
        <v>142</v>
      </c>
      <c r="U281" s="39">
        <v>144</v>
      </c>
      <c r="V281" s="39">
        <v>144</v>
      </c>
      <c r="W281" s="29"/>
      <c r="X281" s="39">
        <v>147</v>
      </c>
      <c r="Y281" s="39">
        <v>178</v>
      </c>
      <c r="Z281" s="39">
        <v>118</v>
      </c>
      <c r="AA281" s="39">
        <v>131</v>
      </c>
    </row>
    <row r="282" spans="2:27" x14ac:dyDescent="0.3">
      <c r="B282" s="105" t="s">
        <v>121</v>
      </c>
      <c r="C282" s="103"/>
      <c r="D282" s="103"/>
      <c r="E282" s="103"/>
      <c r="F282" s="38" t="s">
        <v>2</v>
      </c>
      <c r="G282" s="39">
        <v>0</v>
      </c>
      <c r="H282" s="39">
        <v>0</v>
      </c>
      <c r="I282" s="39">
        <v>0</v>
      </c>
      <c r="J282" s="39">
        <v>0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39">
        <v>0</v>
      </c>
      <c r="R282" s="39">
        <v>0</v>
      </c>
      <c r="S282" s="44">
        <v>0</v>
      </c>
      <c r="T282" s="39">
        <v>0</v>
      </c>
      <c r="U282" s="39">
        <v>0</v>
      </c>
      <c r="V282" s="39">
        <v>0</v>
      </c>
      <c r="W282" s="29"/>
      <c r="X282" s="39">
        <v>0</v>
      </c>
      <c r="Y282" s="39">
        <v>0</v>
      </c>
      <c r="Z282" s="39">
        <v>0</v>
      </c>
      <c r="AA282" s="39">
        <v>0</v>
      </c>
    </row>
    <row r="283" spans="2:27" x14ac:dyDescent="0.3">
      <c r="B283" s="106"/>
      <c r="C283" s="100"/>
      <c r="D283" s="100"/>
      <c r="E283" s="100"/>
      <c r="F283" s="38" t="s">
        <v>3</v>
      </c>
      <c r="G283" s="39">
        <v>0</v>
      </c>
      <c r="H283" s="39">
        <v>0</v>
      </c>
      <c r="I283" s="39">
        <v>0</v>
      </c>
      <c r="J283" s="39">
        <v>0</v>
      </c>
      <c r="K283" s="39">
        <v>0</v>
      </c>
      <c r="L283" s="39">
        <v>0</v>
      </c>
      <c r="M283" s="39">
        <v>0</v>
      </c>
      <c r="N283" s="39">
        <v>0</v>
      </c>
      <c r="O283" s="39">
        <v>0</v>
      </c>
      <c r="P283" s="39">
        <v>0</v>
      </c>
      <c r="Q283" s="39">
        <v>0</v>
      </c>
      <c r="R283" s="39">
        <v>0</v>
      </c>
      <c r="S283" s="44">
        <v>0</v>
      </c>
      <c r="T283" s="39">
        <v>0</v>
      </c>
      <c r="U283" s="39">
        <v>0</v>
      </c>
      <c r="V283" s="39">
        <v>0</v>
      </c>
      <c r="W283" s="29"/>
      <c r="X283" s="39">
        <v>0</v>
      </c>
      <c r="Y283" s="39">
        <v>0</v>
      </c>
      <c r="Z283" s="39">
        <v>0</v>
      </c>
      <c r="AA283" s="39">
        <v>0</v>
      </c>
    </row>
    <row r="284" spans="2:27" x14ac:dyDescent="0.3">
      <c r="B284" s="105" t="s">
        <v>130</v>
      </c>
      <c r="C284" s="103"/>
      <c r="D284" s="103"/>
      <c r="E284" s="103"/>
      <c r="F284" s="38" t="s">
        <v>2</v>
      </c>
      <c r="G284" s="39">
        <v>0</v>
      </c>
      <c r="H284" s="39">
        <v>0</v>
      </c>
      <c r="I284" s="39">
        <v>0</v>
      </c>
      <c r="J284" s="39">
        <v>0</v>
      </c>
      <c r="K284" s="39">
        <v>0</v>
      </c>
      <c r="L284" s="39">
        <v>0</v>
      </c>
      <c r="M284" s="39">
        <v>0</v>
      </c>
      <c r="N284" s="39">
        <v>0</v>
      </c>
      <c r="O284" s="39">
        <v>0</v>
      </c>
      <c r="P284" s="39">
        <v>0</v>
      </c>
      <c r="Q284" s="39">
        <v>0</v>
      </c>
      <c r="R284" s="39">
        <v>0</v>
      </c>
      <c r="S284" s="44">
        <v>0</v>
      </c>
      <c r="T284" s="39">
        <v>0</v>
      </c>
      <c r="U284" s="39">
        <v>0</v>
      </c>
      <c r="V284" s="39">
        <v>0</v>
      </c>
      <c r="W284" s="29"/>
      <c r="X284" s="39">
        <v>0</v>
      </c>
      <c r="Y284" s="39">
        <v>0</v>
      </c>
      <c r="Z284" s="39">
        <v>0</v>
      </c>
      <c r="AA284" s="39">
        <v>0</v>
      </c>
    </row>
    <row r="285" spans="2:27" x14ac:dyDescent="0.3">
      <c r="B285" s="106"/>
      <c r="C285" s="100"/>
      <c r="D285" s="100"/>
      <c r="E285" s="100"/>
      <c r="F285" s="38" t="s">
        <v>3</v>
      </c>
      <c r="G285" s="39">
        <v>0</v>
      </c>
      <c r="H285" s="39">
        <v>0</v>
      </c>
      <c r="I285" s="39">
        <v>0</v>
      </c>
      <c r="J285" s="39">
        <v>0</v>
      </c>
      <c r="K285" s="39">
        <v>0</v>
      </c>
      <c r="L285" s="39">
        <v>0</v>
      </c>
      <c r="M285" s="39">
        <v>0</v>
      </c>
      <c r="N285" s="39">
        <v>0</v>
      </c>
      <c r="O285" s="39">
        <v>0</v>
      </c>
      <c r="P285" s="39">
        <v>0</v>
      </c>
      <c r="Q285" s="39">
        <v>0</v>
      </c>
      <c r="R285" s="39">
        <v>0</v>
      </c>
      <c r="S285" s="44">
        <v>0</v>
      </c>
      <c r="T285" s="39">
        <v>0</v>
      </c>
      <c r="U285" s="39">
        <v>0</v>
      </c>
      <c r="V285" s="39">
        <v>0</v>
      </c>
      <c r="W285" s="29"/>
      <c r="X285" s="39">
        <v>0</v>
      </c>
      <c r="Y285" s="39">
        <v>0</v>
      </c>
      <c r="Z285" s="39">
        <v>0</v>
      </c>
      <c r="AA285" s="39">
        <v>0</v>
      </c>
    </row>
    <row r="286" spans="2:27" x14ac:dyDescent="0.3"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44" t="e">
        <v>#DIV/0!</v>
      </c>
      <c r="T286" s="29"/>
      <c r="U286" s="29"/>
      <c r="V286" s="29"/>
      <c r="W286" s="29"/>
      <c r="X286" s="29"/>
      <c r="Y286" s="29"/>
      <c r="Z286" s="29"/>
      <c r="AA286" s="29"/>
    </row>
    <row r="287" spans="2:27" ht="15" thickBot="1" x14ac:dyDescent="0.35">
      <c r="B287" s="104" t="s">
        <v>94</v>
      </c>
      <c r="C287" s="100"/>
      <c r="D287" s="100"/>
      <c r="E287" s="100"/>
      <c r="F287" s="34" t="s">
        <v>6</v>
      </c>
      <c r="G287" s="35" t="s">
        <v>160</v>
      </c>
      <c r="H287" s="35" t="s">
        <v>161</v>
      </c>
      <c r="I287" s="35" t="s">
        <v>162</v>
      </c>
      <c r="J287" s="35" t="s">
        <v>163</v>
      </c>
      <c r="K287" s="35" t="s">
        <v>164</v>
      </c>
      <c r="L287" s="35" t="s">
        <v>165</v>
      </c>
      <c r="M287" s="35" t="s">
        <v>166</v>
      </c>
      <c r="N287" s="35" t="s">
        <v>167</v>
      </c>
      <c r="O287" s="35" t="s">
        <v>168</v>
      </c>
      <c r="P287" s="35" t="s">
        <v>169</v>
      </c>
      <c r="Q287" s="35" t="s">
        <v>170</v>
      </c>
      <c r="R287" s="35" t="s">
        <v>171</v>
      </c>
      <c r="S287" s="44" t="e">
        <v>#DIV/0!</v>
      </c>
      <c r="T287" s="35" t="s">
        <v>24</v>
      </c>
      <c r="U287" s="35" t="s">
        <v>25</v>
      </c>
      <c r="V287" s="35" t="s">
        <v>19</v>
      </c>
      <c r="W287" s="29"/>
      <c r="X287" s="35" t="s">
        <v>20</v>
      </c>
      <c r="Y287" s="35" t="s">
        <v>21</v>
      </c>
      <c r="Z287" s="35" t="s">
        <v>22</v>
      </c>
      <c r="AA287" s="35" t="s">
        <v>23</v>
      </c>
    </row>
    <row r="288" spans="2:27" ht="15" thickBot="1" x14ac:dyDescent="0.35">
      <c r="B288" s="105" t="s">
        <v>38</v>
      </c>
      <c r="C288" s="103"/>
      <c r="D288" s="103"/>
      <c r="E288" s="103"/>
      <c r="F288" s="38" t="s">
        <v>2</v>
      </c>
      <c r="G288" s="39">
        <v>0</v>
      </c>
      <c r="H288" s="39">
        <v>0</v>
      </c>
      <c r="I288" s="39">
        <v>0</v>
      </c>
      <c r="J288" s="39">
        <v>0</v>
      </c>
      <c r="K288" s="39">
        <v>1.5</v>
      </c>
      <c r="L288" s="39">
        <v>1.5</v>
      </c>
      <c r="M288" s="39">
        <v>0</v>
      </c>
      <c r="N288" s="39">
        <v>0</v>
      </c>
      <c r="O288" s="39">
        <v>0.54</v>
      </c>
      <c r="P288" s="39">
        <v>0.04</v>
      </c>
      <c r="Q288" s="39">
        <v>0</v>
      </c>
      <c r="R288" s="39">
        <v>4</v>
      </c>
      <c r="S288" s="52">
        <v>0.63166666666666671</v>
      </c>
      <c r="T288" s="39">
        <v>4</v>
      </c>
      <c r="U288" s="39">
        <v>1</v>
      </c>
      <c r="V288" s="39">
        <v>5</v>
      </c>
      <c r="W288" s="29"/>
      <c r="X288" s="39">
        <v>0</v>
      </c>
      <c r="Y288" s="39">
        <v>1</v>
      </c>
      <c r="Z288" s="39">
        <v>0</v>
      </c>
      <c r="AA288" s="39">
        <v>1</v>
      </c>
    </row>
    <row r="289" spans="2:27" x14ac:dyDescent="0.3">
      <c r="B289" s="106"/>
      <c r="C289" s="100"/>
      <c r="D289" s="100"/>
      <c r="E289" s="100"/>
      <c r="F289" s="38" t="s">
        <v>3</v>
      </c>
      <c r="G289" s="39">
        <v>0</v>
      </c>
      <c r="H289" s="39">
        <v>0</v>
      </c>
      <c r="I289" s="39">
        <v>0</v>
      </c>
      <c r="J289" s="39">
        <v>7.14</v>
      </c>
      <c r="K289" s="39">
        <v>7.14</v>
      </c>
      <c r="L289" s="39">
        <v>9.5399999999999991</v>
      </c>
      <c r="M289" s="39">
        <v>10.54</v>
      </c>
      <c r="N289" s="39">
        <v>15.94</v>
      </c>
      <c r="O289" s="39">
        <v>20.11</v>
      </c>
      <c r="P289" s="39">
        <v>9.26</v>
      </c>
      <c r="Q289" s="39">
        <v>3</v>
      </c>
      <c r="R289" s="39">
        <v>3</v>
      </c>
      <c r="S289" s="44">
        <v>7.1391666666666671</v>
      </c>
      <c r="T289" s="39">
        <v>3</v>
      </c>
      <c r="U289" s="39">
        <v>10</v>
      </c>
      <c r="V289" s="39">
        <v>10</v>
      </c>
      <c r="W289" s="29"/>
      <c r="X289" s="39">
        <v>0</v>
      </c>
      <c r="Y289" s="39">
        <v>8</v>
      </c>
      <c r="Z289" s="39">
        <v>16</v>
      </c>
      <c r="AA289" s="39">
        <v>5</v>
      </c>
    </row>
    <row r="290" spans="2:27" x14ac:dyDescent="0.3">
      <c r="B290" s="105" t="s">
        <v>121</v>
      </c>
      <c r="C290" s="103"/>
      <c r="D290" s="103"/>
      <c r="E290" s="103"/>
      <c r="F290" s="38" t="s">
        <v>2</v>
      </c>
      <c r="G290" s="39">
        <v>0</v>
      </c>
      <c r="H290" s="39">
        <v>0</v>
      </c>
      <c r="I290" s="39">
        <v>0</v>
      </c>
      <c r="J290" s="39">
        <v>0</v>
      </c>
      <c r="K290" s="39">
        <v>0</v>
      </c>
      <c r="L290" s="39">
        <v>0</v>
      </c>
      <c r="M290" s="39">
        <v>0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44">
        <v>0</v>
      </c>
      <c r="T290" s="39">
        <v>0</v>
      </c>
      <c r="U290" s="39">
        <v>0</v>
      </c>
      <c r="V290" s="39">
        <v>0</v>
      </c>
      <c r="W290" s="29"/>
      <c r="X290" s="39">
        <v>0</v>
      </c>
      <c r="Y290" s="39">
        <v>0</v>
      </c>
      <c r="Z290" s="39">
        <v>0</v>
      </c>
      <c r="AA290" s="39">
        <v>0</v>
      </c>
    </row>
    <row r="291" spans="2:27" x14ac:dyDescent="0.3">
      <c r="B291" s="106"/>
      <c r="C291" s="100"/>
      <c r="D291" s="100"/>
      <c r="E291" s="100"/>
      <c r="F291" s="38" t="s">
        <v>3</v>
      </c>
      <c r="G291" s="39">
        <v>0</v>
      </c>
      <c r="H291" s="39">
        <v>0</v>
      </c>
      <c r="I291" s="39">
        <v>0</v>
      </c>
      <c r="J291" s="39">
        <v>0</v>
      </c>
      <c r="K291" s="39">
        <v>0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44">
        <v>0</v>
      </c>
      <c r="T291" s="39">
        <v>0</v>
      </c>
      <c r="U291" s="39">
        <v>0</v>
      </c>
      <c r="V291" s="39">
        <v>0</v>
      </c>
      <c r="W291" s="29"/>
      <c r="X291" s="39">
        <v>0</v>
      </c>
      <c r="Y291" s="39">
        <v>0</v>
      </c>
      <c r="Z291" s="39">
        <v>0</v>
      </c>
      <c r="AA291" s="39">
        <v>0</v>
      </c>
    </row>
    <row r="292" spans="2:27" x14ac:dyDescent="0.3">
      <c r="B292" s="105" t="s">
        <v>130</v>
      </c>
      <c r="C292" s="103"/>
      <c r="D292" s="103"/>
      <c r="E292" s="103"/>
      <c r="F292" s="38" t="s">
        <v>2</v>
      </c>
      <c r="G292" s="39">
        <v>0</v>
      </c>
      <c r="H292" s="39">
        <v>0</v>
      </c>
      <c r="I292" s="39">
        <v>0</v>
      </c>
      <c r="J292" s="39">
        <v>0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39">
        <v>0</v>
      </c>
      <c r="R292" s="39">
        <v>0</v>
      </c>
      <c r="S292" s="44">
        <v>0</v>
      </c>
      <c r="T292" s="39">
        <v>0</v>
      </c>
      <c r="U292" s="39">
        <v>0</v>
      </c>
      <c r="V292" s="39">
        <v>0</v>
      </c>
      <c r="W292" s="29"/>
      <c r="X292" s="39">
        <v>0</v>
      </c>
      <c r="Y292" s="39">
        <v>0</v>
      </c>
      <c r="Z292" s="39">
        <v>0</v>
      </c>
      <c r="AA292" s="39">
        <v>0</v>
      </c>
    </row>
    <row r="293" spans="2:27" x14ac:dyDescent="0.3">
      <c r="B293" s="106"/>
      <c r="C293" s="100"/>
      <c r="D293" s="100"/>
      <c r="E293" s="100"/>
      <c r="F293" s="38" t="s">
        <v>3</v>
      </c>
      <c r="G293" s="39">
        <v>0</v>
      </c>
      <c r="H293" s="39">
        <v>0</v>
      </c>
      <c r="I293" s="39">
        <v>0</v>
      </c>
      <c r="J293" s="39">
        <v>0</v>
      </c>
      <c r="K293" s="39">
        <v>0</v>
      </c>
      <c r="L293" s="39">
        <v>0</v>
      </c>
      <c r="M293" s="39">
        <v>0</v>
      </c>
      <c r="N293" s="39">
        <v>0</v>
      </c>
      <c r="O293" s="39">
        <v>0</v>
      </c>
      <c r="P293" s="39">
        <v>0</v>
      </c>
      <c r="Q293" s="39">
        <v>0</v>
      </c>
      <c r="R293" s="39">
        <v>0</v>
      </c>
      <c r="S293" s="44">
        <v>0</v>
      </c>
      <c r="T293" s="39">
        <v>0</v>
      </c>
      <c r="U293" s="39">
        <v>0</v>
      </c>
      <c r="V293" s="39">
        <v>0</v>
      </c>
      <c r="W293" s="29"/>
      <c r="X293" s="39">
        <v>0</v>
      </c>
      <c r="Y293" s="39">
        <v>0</v>
      </c>
      <c r="Z293" s="39">
        <v>0</v>
      </c>
      <c r="AA293" s="39">
        <v>0</v>
      </c>
    </row>
    <row r="294" spans="2:27" x14ac:dyDescent="0.3"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44" t="e">
        <v>#DIV/0!</v>
      </c>
      <c r="T294" s="29"/>
      <c r="U294" s="29"/>
      <c r="V294" s="29"/>
      <c r="W294" s="29"/>
      <c r="X294" s="29"/>
      <c r="Y294" s="29"/>
      <c r="Z294" s="29"/>
      <c r="AA294" s="29"/>
    </row>
    <row r="295" spans="2:27" x14ac:dyDescent="0.3">
      <c r="B295" s="107" t="s">
        <v>5</v>
      </c>
      <c r="C295" s="100"/>
      <c r="D295" s="100"/>
      <c r="E295" s="100"/>
      <c r="F295" s="34" t="s">
        <v>6</v>
      </c>
      <c r="G295" s="35" t="s">
        <v>160</v>
      </c>
      <c r="H295" s="35" t="s">
        <v>161</v>
      </c>
      <c r="I295" s="35" t="s">
        <v>162</v>
      </c>
      <c r="J295" s="35" t="s">
        <v>163</v>
      </c>
      <c r="K295" s="35" t="s">
        <v>164</v>
      </c>
      <c r="L295" s="35" t="s">
        <v>165</v>
      </c>
      <c r="M295" s="35" t="s">
        <v>166</v>
      </c>
      <c r="N295" s="35" t="s">
        <v>167</v>
      </c>
      <c r="O295" s="35" t="s">
        <v>168</v>
      </c>
      <c r="P295" s="35" t="s">
        <v>169</v>
      </c>
      <c r="Q295" s="35" t="s">
        <v>170</v>
      </c>
      <c r="R295" s="35" t="s">
        <v>171</v>
      </c>
      <c r="S295" s="44" t="e">
        <v>#DIV/0!</v>
      </c>
      <c r="T295" s="35" t="s">
        <v>24</v>
      </c>
      <c r="U295" s="35" t="s">
        <v>25</v>
      </c>
      <c r="V295" s="35" t="s">
        <v>19</v>
      </c>
      <c r="W295" s="29"/>
      <c r="X295" s="35" t="s">
        <v>20</v>
      </c>
      <c r="Y295" s="35" t="s">
        <v>21</v>
      </c>
      <c r="Z295" s="35" t="s">
        <v>22</v>
      </c>
      <c r="AA295" s="35" t="s">
        <v>23</v>
      </c>
    </row>
    <row r="296" spans="2:27" x14ac:dyDescent="0.3">
      <c r="B296" s="102" t="s">
        <v>96</v>
      </c>
      <c r="C296" s="103"/>
      <c r="D296" s="103"/>
      <c r="E296" s="103"/>
      <c r="F296" s="38" t="s">
        <v>2</v>
      </c>
      <c r="G296" s="39">
        <v>646</v>
      </c>
      <c r="H296" s="39">
        <v>646</v>
      </c>
      <c r="I296" s="39">
        <v>631</v>
      </c>
      <c r="J296" s="39">
        <v>628</v>
      </c>
      <c r="K296" s="39">
        <v>630</v>
      </c>
      <c r="L296" s="39">
        <v>639</v>
      </c>
      <c r="M296" s="39">
        <v>644</v>
      </c>
      <c r="N296" s="39">
        <v>648</v>
      </c>
      <c r="O296" s="39">
        <v>649</v>
      </c>
      <c r="P296" s="39">
        <v>662</v>
      </c>
      <c r="Q296" s="39">
        <v>665</v>
      </c>
      <c r="R296" s="39">
        <v>675</v>
      </c>
      <c r="S296" s="48">
        <v>646.91666666666663</v>
      </c>
      <c r="T296" s="39">
        <v>675</v>
      </c>
      <c r="U296" s="39">
        <v>647</v>
      </c>
      <c r="V296" s="39">
        <v>647</v>
      </c>
      <c r="W296" s="29"/>
      <c r="X296" s="39">
        <v>641</v>
      </c>
      <c r="Y296" s="39">
        <v>633</v>
      </c>
      <c r="Z296" s="39">
        <v>647</v>
      </c>
      <c r="AA296" s="39">
        <v>667</v>
      </c>
    </row>
    <row r="297" spans="2:27" x14ac:dyDescent="0.3">
      <c r="B297" s="100"/>
      <c r="C297" s="100"/>
      <c r="D297" s="100"/>
      <c r="E297" s="100"/>
      <c r="F297" s="38" t="s">
        <v>3</v>
      </c>
      <c r="G297" s="39">
        <v>737</v>
      </c>
      <c r="H297" s="39">
        <v>751</v>
      </c>
      <c r="I297" s="39">
        <v>741</v>
      </c>
      <c r="J297" s="39">
        <v>728</v>
      </c>
      <c r="K297" s="39">
        <v>735</v>
      </c>
      <c r="L297" s="39">
        <v>734</v>
      </c>
      <c r="M297" s="39">
        <v>730</v>
      </c>
      <c r="N297" s="39">
        <v>731</v>
      </c>
      <c r="O297" s="39">
        <v>732</v>
      </c>
      <c r="P297" s="39">
        <v>736</v>
      </c>
      <c r="Q297" s="39">
        <v>746</v>
      </c>
      <c r="R297" s="39">
        <v>746</v>
      </c>
      <c r="S297" s="44">
        <v>737.25</v>
      </c>
      <c r="T297" s="39">
        <v>746</v>
      </c>
      <c r="U297" s="39">
        <v>737</v>
      </c>
      <c r="V297" s="39">
        <v>737</v>
      </c>
      <c r="W297" s="29"/>
      <c r="X297" s="39">
        <v>743</v>
      </c>
      <c r="Y297" s="39">
        <v>732</v>
      </c>
      <c r="Z297" s="39">
        <v>731</v>
      </c>
      <c r="AA297" s="39">
        <v>743</v>
      </c>
    </row>
    <row r="298" spans="2:27" x14ac:dyDescent="0.3">
      <c r="B298" s="102" t="s">
        <v>97</v>
      </c>
      <c r="C298" s="103"/>
      <c r="D298" s="103"/>
      <c r="E298" s="103"/>
      <c r="F298" s="38" t="s">
        <v>2</v>
      </c>
      <c r="G298" s="39">
        <v>145</v>
      </c>
      <c r="H298" s="39">
        <v>146</v>
      </c>
      <c r="I298" s="39">
        <v>146</v>
      </c>
      <c r="J298" s="39">
        <v>147</v>
      </c>
      <c r="K298" s="39">
        <v>147</v>
      </c>
      <c r="L298" s="39">
        <v>151</v>
      </c>
      <c r="M298" s="39">
        <v>155</v>
      </c>
      <c r="N298" s="39">
        <v>156</v>
      </c>
      <c r="O298" s="39">
        <v>159</v>
      </c>
      <c r="P298" s="39">
        <v>158</v>
      </c>
      <c r="Q298" s="39">
        <v>159</v>
      </c>
      <c r="R298" s="39">
        <v>160</v>
      </c>
      <c r="S298" s="44">
        <v>152.41666666666666</v>
      </c>
      <c r="T298" s="39">
        <v>160</v>
      </c>
      <c r="U298" s="39">
        <v>153</v>
      </c>
      <c r="V298" s="39">
        <v>153</v>
      </c>
      <c r="W298" s="29"/>
      <c r="X298" s="39">
        <v>145</v>
      </c>
      <c r="Y298" s="39">
        <v>149</v>
      </c>
      <c r="Z298" s="39">
        <v>157</v>
      </c>
      <c r="AA298" s="39">
        <v>159</v>
      </c>
    </row>
    <row r="299" spans="2:27" x14ac:dyDescent="0.3">
      <c r="B299" s="100"/>
      <c r="C299" s="100"/>
      <c r="D299" s="100"/>
      <c r="E299" s="100"/>
      <c r="F299" s="38" t="s">
        <v>3</v>
      </c>
      <c r="G299" s="39">
        <v>157</v>
      </c>
      <c r="H299" s="39">
        <v>161</v>
      </c>
      <c r="I299" s="39">
        <v>160</v>
      </c>
      <c r="J299" s="39">
        <v>160</v>
      </c>
      <c r="K299" s="39">
        <v>160</v>
      </c>
      <c r="L299" s="39">
        <v>157</v>
      </c>
      <c r="M299" s="39">
        <v>153</v>
      </c>
      <c r="N299" s="39">
        <v>153</v>
      </c>
      <c r="O299" s="39">
        <v>154</v>
      </c>
      <c r="P299" s="39">
        <v>154</v>
      </c>
      <c r="Q299" s="39">
        <v>154</v>
      </c>
      <c r="R299" s="39">
        <v>154</v>
      </c>
      <c r="S299" s="44">
        <v>156.41666666666666</v>
      </c>
      <c r="T299" s="39">
        <v>154</v>
      </c>
      <c r="U299" s="39">
        <v>156</v>
      </c>
      <c r="V299" s="39">
        <v>156</v>
      </c>
      <c r="W299" s="29"/>
      <c r="X299" s="39">
        <v>159</v>
      </c>
      <c r="Y299" s="39">
        <v>159</v>
      </c>
      <c r="Z299" s="39">
        <v>153</v>
      </c>
      <c r="AA299" s="39">
        <v>154</v>
      </c>
    </row>
    <row r="300" spans="2:27" x14ac:dyDescent="0.3">
      <c r="B300" s="102" t="s">
        <v>98</v>
      </c>
      <c r="C300" s="103"/>
      <c r="D300" s="103"/>
      <c r="E300" s="103"/>
      <c r="F300" s="38" t="s">
        <v>2</v>
      </c>
      <c r="G300" s="39">
        <v>4</v>
      </c>
      <c r="H300" s="39">
        <v>4</v>
      </c>
      <c r="I300" s="39">
        <v>4</v>
      </c>
      <c r="J300" s="39">
        <v>4</v>
      </c>
      <c r="K300" s="39">
        <v>4</v>
      </c>
      <c r="L300" s="39">
        <v>4</v>
      </c>
      <c r="M300" s="39">
        <v>4</v>
      </c>
      <c r="N300" s="39">
        <v>4</v>
      </c>
      <c r="O300" s="39">
        <v>4</v>
      </c>
      <c r="P300" s="39">
        <v>4</v>
      </c>
      <c r="Q300" s="39">
        <v>4</v>
      </c>
      <c r="R300" s="39">
        <v>4</v>
      </c>
      <c r="S300" s="44">
        <v>4</v>
      </c>
      <c r="T300" s="39">
        <v>4</v>
      </c>
      <c r="U300" s="39">
        <v>4</v>
      </c>
      <c r="V300" s="39">
        <v>4</v>
      </c>
      <c r="W300" s="29"/>
      <c r="X300" s="39">
        <v>4</v>
      </c>
      <c r="Y300" s="39">
        <v>4</v>
      </c>
      <c r="Z300" s="39">
        <v>4</v>
      </c>
      <c r="AA300" s="39">
        <v>4</v>
      </c>
    </row>
    <row r="301" spans="2:27" x14ac:dyDescent="0.3">
      <c r="B301" s="100"/>
      <c r="C301" s="100"/>
      <c r="D301" s="100"/>
      <c r="E301" s="100"/>
      <c r="F301" s="38" t="s">
        <v>3</v>
      </c>
      <c r="G301" s="39">
        <v>4</v>
      </c>
      <c r="H301" s="39">
        <v>4</v>
      </c>
      <c r="I301" s="39">
        <v>4</v>
      </c>
      <c r="J301" s="39">
        <v>4</v>
      </c>
      <c r="K301" s="39">
        <v>4</v>
      </c>
      <c r="L301" s="39">
        <v>4</v>
      </c>
      <c r="M301" s="39">
        <v>4</v>
      </c>
      <c r="N301" s="39">
        <v>4</v>
      </c>
      <c r="O301" s="39">
        <v>4</v>
      </c>
      <c r="P301" s="39">
        <v>4</v>
      </c>
      <c r="Q301" s="39">
        <v>4</v>
      </c>
      <c r="R301" s="39">
        <v>4</v>
      </c>
      <c r="S301" s="44">
        <v>4</v>
      </c>
      <c r="T301" s="39">
        <v>4</v>
      </c>
      <c r="U301" s="39">
        <v>4</v>
      </c>
      <c r="V301" s="39">
        <v>4</v>
      </c>
      <c r="W301" s="29"/>
      <c r="X301" s="39">
        <v>4</v>
      </c>
      <c r="Y301" s="39">
        <v>4</v>
      </c>
      <c r="Z301" s="39">
        <v>4</v>
      </c>
      <c r="AA301" s="39">
        <v>4</v>
      </c>
    </row>
    <row r="302" spans="2:27" x14ac:dyDescent="0.3">
      <c r="B302" s="102" t="s">
        <v>99</v>
      </c>
      <c r="C302" s="103"/>
      <c r="D302" s="103"/>
      <c r="E302" s="103"/>
      <c r="F302" s="38" t="s">
        <v>2</v>
      </c>
      <c r="G302" s="39">
        <v>497</v>
      </c>
      <c r="H302" s="39">
        <v>496</v>
      </c>
      <c r="I302" s="39">
        <v>481</v>
      </c>
      <c r="J302" s="39">
        <v>477</v>
      </c>
      <c r="K302" s="39">
        <v>479</v>
      </c>
      <c r="L302" s="39">
        <v>484</v>
      </c>
      <c r="M302" s="39">
        <v>485</v>
      </c>
      <c r="N302" s="39">
        <v>488</v>
      </c>
      <c r="O302" s="39">
        <v>486</v>
      </c>
      <c r="P302" s="39">
        <v>500</v>
      </c>
      <c r="Q302" s="39">
        <v>502</v>
      </c>
      <c r="R302" s="39">
        <v>511</v>
      </c>
      <c r="S302" s="44">
        <v>490.5</v>
      </c>
      <c r="T302" s="39">
        <v>511</v>
      </c>
      <c r="U302" s="39">
        <v>490</v>
      </c>
      <c r="V302" s="39">
        <v>490</v>
      </c>
      <c r="W302" s="29"/>
      <c r="X302" s="39">
        <v>491</v>
      </c>
      <c r="Y302" s="39">
        <v>480</v>
      </c>
      <c r="Z302" s="39">
        <v>486</v>
      </c>
      <c r="AA302" s="39">
        <v>504</v>
      </c>
    </row>
    <row r="303" spans="2:27" x14ac:dyDescent="0.3">
      <c r="B303" s="100"/>
      <c r="C303" s="100"/>
      <c r="D303" s="100"/>
      <c r="E303" s="100"/>
      <c r="F303" s="38" t="s">
        <v>3</v>
      </c>
      <c r="G303" s="39">
        <v>576</v>
      </c>
      <c r="H303" s="39">
        <v>586</v>
      </c>
      <c r="I303" s="39">
        <v>577</v>
      </c>
      <c r="J303" s="39">
        <v>564</v>
      </c>
      <c r="K303" s="39">
        <v>571</v>
      </c>
      <c r="L303" s="39">
        <v>573</v>
      </c>
      <c r="M303" s="39">
        <v>573</v>
      </c>
      <c r="N303" s="39">
        <v>574</v>
      </c>
      <c r="O303" s="39">
        <v>574</v>
      </c>
      <c r="P303" s="39">
        <v>578</v>
      </c>
      <c r="Q303" s="39">
        <v>588</v>
      </c>
      <c r="R303" s="39">
        <v>588</v>
      </c>
      <c r="S303" s="44">
        <v>576.83333333333337</v>
      </c>
      <c r="T303" s="39">
        <v>588</v>
      </c>
      <c r="U303" s="39">
        <v>577</v>
      </c>
      <c r="V303" s="39">
        <v>577</v>
      </c>
      <c r="W303" s="29"/>
      <c r="X303" s="39">
        <v>580</v>
      </c>
      <c r="Y303" s="39">
        <v>569</v>
      </c>
      <c r="Z303" s="39">
        <v>574</v>
      </c>
      <c r="AA303" s="39">
        <v>585</v>
      </c>
    </row>
    <row r="304" spans="2:27" x14ac:dyDescent="0.3"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44" t="e">
        <v>#DIV/0!</v>
      </c>
      <c r="T304" s="29"/>
      <c r="U304" s="29"/>
      <c r="V304" s="29"/>
      <c r="W304" s="29"/>
      <c r="X304" s="29"/>
      <c r="Y304" s="29"/>
      <c r="Z304" s="29"/>
      <c r="AA304" s="29"/>
    </row>
    <row r="305" spans="2:27" x14ac:dyDescent="0.3">
      <c r="B305" s="99" t="s">
        <v>100</v>
      </c>
      <c r="C305" s="100"/>
      <c r="D305" s="100"/>
      <c r="E305" s="100"/>
      <c r="F305" s="30" t="s">
        <v>2</v>
      </c>
      <c r="G305" s="31">
        <v>69</v>
      </c>
      <c r="H305" s="31">
        <v>69</v>
      </c>
      <c r="I305" s="31">
        <v>70</v>
      </c>
      <c r="J305" s="31">
        <v>70</v>
      </c>
      <c r="K305" s="31">
        <v>71</v>
      </c>
      <c r="L305" s="31">
        <v>68</v>
      </c>
      <c r="M305" s="31">
        <v>72</v>
      </c>
      <c r="N305" s="31">
        <v>72</v>
      </c>
      <c r="O305" s="31">
        <v>72</v>
      </c>
      <c r="P305" s="31">
        <v>74</v>
      </c>
      <c r="Q305" s="31">
        <v>74</v>
      </c>
      <c r="R305" s="31">
        <v>72</v>
      </c>
      <c r="S305" s="44">
        <v>71.083333333333329</v>
      </c>
      <c r="T305" s="31">
        <v>72</v>
      </c>
      <c r="U305" s="31">
        <v>71</v>
      </c>
      <c r="V305" s="31">
        <v>71</v>
      </c>
      <c r="W305" s="29"/>
      <c r="X305" s="31">
        <v>69</v>
      </c>
      <c r="Y305" s="31">
        <v>70</v>
      </c>
      <c r="Z305" s="31">
        <v>72</v>
      </c>
      <c r="AA305" s="31">
        <v>73</v>
      </c>
    </row>
    <row r="306" spans="2:27" x14ac:dyDescent="0.3">
      <c r="B306" s="29"/>
      <c r="C306" s="29"/>
      <c r="D306" s="29"/>
      <c r="E306" s="29"/>
      <c r="F306" s="30" t="s">
        <v>3</v>
      </c>
      <c r="G306" s="31">
        <v>69</v>
      </c>
      <c r="H306" s="31">
        <v>69</v>
      </c>
      <c r="I306" s="31">
        <v>68</v>
      </c>
      <c r="J306" s="31">
        <v>68</v>
      </c>
      <c r="K306" s="31">
        <v>68</v>
      </c>
      <c r="L306" s="31">
        <v>68</v>
      </c>
      <c r="M306" s="31">
        <v>68</v>
      </c>
      <c r="N306" s="31">
        <v>68</v>
      </c>
      <c r="O306" s="31">
        <v>68</v>
      </c>
      <c r="P306" s="31">
        <v>68</v>
      </c>
      <c r="Q306" s="31">
        <v>68</v>
      </c>
      <c r="R306" s="31">
        <v>68</v>
      </c>
      <c r="S306" s="44">
        <v>68.166666666666671</v>
      </c>
      <c r="T306" s="31">
        <v>68</v>
      </c>
      <c r="U306" s="31">
        <v>68</v>
      </c>
      <c r="V306" s="31">
        <v>68</v>
      </c>
      <c r="W306" s="29"/>
      <c r="X306" s="31">
        <v>69</v>
      </c>
      <c r="Y306" s="31">
        <v>68</v>
      </c>
      <c r="Z306" s="31">
        <v>68</v>
      </c>
      <c r="AA306" s="31">
        <v>68</v>
      </c>
    </row>
    <row r="307" spans="2:27" x14ac:dyDescent="0.3"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44" t="e">
        <v>#DIV/0!</v>
      </c>
      <c r="T307" s="29"/>
      <c r="U307" s="29"/>
      <c r="V307" s="29"/>
      <c r="W307" s="29"/>
      <c r="X307" s="29"/>
      <c r="Y307" s="29"/>
      <c r="Z307" s="29"/>
      <c r="AA307" s="29"/>
    </row>
    <row r="312" spans="2:27" x14ac:dyDescent="0.3"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53" t="s">
        <v>175</v>
      </c>
      <c r="S312" s="44">
        <v>4635.855833333334</v>
      </c>
      <c r="T312" s="29"/>
      <c r="U312" s="29"/>
      <c r="V312" s="29"/>
      <c r="W312" s="29"/>
      <c r="X312" s="29"/>
      <c r="Y312" s="29"/>
      <c r="Z312" s="29"/>
      <c r="AA312" s="29"/>
    </row>
    <row r="313" spans="2:27" x14ac:dyDescent="0.3"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53" t="s">
        <v>176</v>
      </c>
      <c r="S313" s="44">
        <v>4438.0491666666667</v>
      </c>
      <c r="T313" s="29"/>
      <c r="U313" s="29"/>
      <c r="V313" s="29"/>
      <c r="W313" s="29"/>
      <c r="X313" s="29"/>
      <c r="Y313" s="29"/>
      <c r="Z313" s="29"/>
      <c r="AA313" s="29"/>
    </row>
    <row r="315" spans="2:27" x14ac:dyDescent="0.3"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44">
        <v>103.66666666666666</v>
      </c>
      <c r="T315" s="29"/>
      <c r="U315" s="29"/>
      <c r="V315" s="29"/>
      <c r="W315" s="29"/>
      <c r="X315" s="29"/>
      <c r="Y315" s="29"/>
      <c r="Z315" s="29"/>
      <c r="AA315" s="29"/>
    </row>
    <row r="316" spans="2:27" x14ac:dyDescent="0.3"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44">
        <v>92.333333333333343</v>
      </c>
      <c r="T316" s="29"/>
      <c r="U316" s="29"/>
      <c r="V316" s="29"/>
      <c r="W316" s="29"/>
      <c r="X316" s="29"/>
      <c r="Y316" s="29"/>
      <c r="Z316" s="29"/>
      <c r="AA316" s="29"/>
    </row>
    <row r="320" spans="2:27" x14ac:dyDescent="0.3">
      <c r="B320" s="99" t="s">
        <v>1</v>
      </c>
      <c r="C320" s="100"/>
      <c r="D320" s="100"/>
      <c r="E320" s="100"/>
      <c r="F320" s="29"/>
      <c r="G320" s="44">
        <v>387</v>
      </c>
      <c r="H320" s="44">
        <v>387</v>
      </c>
      <c r="I320" s="44">
        <v>387</v>
      </c>
      <c r="J320" s="44">
        <v>385</v>
      </c>
      <c r="K320" s="44">
        <v>386</v>
      </c>
      <c r="L320" s="44">
        <v>393</v>
      </c>
      <c r="M320" s="44">
        <v>391</v>
      </c>
      <c r="N320" s="44">
        <v>394</v>
      </c>
      <c r="O320" s="44">
        <v>397</v>
      </c>
      <c r="P320" s="44">
        <v>397</v>
      </c>
      <c r="Q320" s="44">
        <v>393</v>
      </c>
      <c r="R320" s="44">
        <v>398</v>
      </c>
      <c r="S320" s="44">
        <v>391.25</v>
      </c>
      <c r="T320" s="29"/>
      <c r="U320" s="54">
        <v>646.91666666666674</v>
      </c>
      <c r="V320" s="29"/>
      <c r="W320" s="29"/>
      <c r="X320" s="54">
        <v>718.00000000000011</v>
      </c>
      <c r="Y320" s="29"/>
      <c r="Z320" s="29"/>
      <c r="AA320" s="29"/>
    </row>
    <row r="321" spans="2:24" x14ac:dyDescent="0.3">
      <c r="B321" s="29"/>
      <c r="C321" s="29"/>
      <c r="D321" s="29"/>
      <c r="E321" s="29"/>
      <c r="F321" s="29"/>
      <c r="G321" s="44">
        <v>420</v>
      </c>
      <c r="H321" s="44">
        <v>420</v>
      </c>
      <c r="I321" s="44">
        <v>420</v>
      </c>
      <c r="J321" s="44">
        <v>415</v>
      </c>
      <c r="K321" s="44">
        <v>415</v>
      </c>
      <c r="L321" s="44">
        <v>415</v>
      </c>
      <c r="M321" s="44">
        <v>414</v>
      </c>
      <c r="N321" s="44">
        <v>414</v>
      </c>
      <c r="O321" s="44">
        <v>414</v>
      </c>
      <c r="P321" s="44">
        <v>414</v>
      </c>
      <c r="Q321" s="44">
        <v>414</v>
      </c>
      <c r="R321" s="44">
        <v>414</v>
      </c>
      <c r="S321" s="44">
        <v>415.75</v>
      </c>
      <c r="T321" s="29"/>
      <c r="U321" s="54">
        <v>737.24999999999989</v>
      </c>
      <c r="V321" s="29"/>
      <c r="W321" s="29"/>
      <c r="X321" s="54">
        <v>805.41666666666652</v>
      </c>
    </row>
    <row r="322" spans="2:24" x14ac:dyDescent="0.3">
      <c r="B322" s="101" t="s">
        <v>135</v>
      </c>
      <c r="C322" s="100"/>
      <c r="D322" s="100"/>
      <c r="E322" s="100"/>
      <c r="F322" s="29"/>
      <c r="G322" s="47">
        <v>228</v>
      </c>
      <c r="H322" s="47">
        <v>228</v>
      </c>
      <c r="I322" s="47">
        <v>211</v>
      </c>
      <c r="J322" s="47">
        <v>209</v>
      </c>
      <c r="K322" s="47">
        <v>210</v>
      </c>
      <c r="L322" s="47">
        <v>214</v>
      </c>
      <c r="M322" s="47">
        <v>220</v>
      </c>
      <c r="N322" s="47">
        <v>221</v>
      </c>
      <c r="O322" s="47">
        <v>219</v>
      </c>
      <c r="P322" s="47">
        <v>232</v>
      </c>
      <c r="Q322" s="47">
        <v>239</v>
      </c>
      <c r="R322" s="47">
        <v>246</v>
      </c>
      <c r="S322" s="47">
        <v>223.08333333333334</v>
      </c>
      <c r="T322" s="29"/>
      <c r="U322" s="29"/>
      <c r="V322" s="29"/>
      <c r="W322" s="29"/>
      <c r="X322" s="29"/>
    </row>
    <row r="323" spans="2:24" x14ac:dyDescent="0.3">
      <c r="B323" s="29"/>
      <c r="C323" s="41"/>
      <c r="D323" s="41"/>
      <c r="E323" s="41"/>
      <c r="F323" s="29"/>
      <c r="G323" s="44">
        <v>292</v>
      </c>
      <c r="H323" s="44">
        <v>306</v>
      </c>
      <c r="I323" s="44">
        <v>297</v>
      </c>
      <c r="J323" s="44">
        <v>289</v>
      </c>
      <c r="K323" s="44">
        <v>296</v>
      </c>
      <c r="L323" s="44">
        <v>295</v>
      </c>
      <c r="M323" s="44">
        <v>292</v>
      </c>
      <c r="N323" s="44">
        <v>293</v>
      </c>
      <c r="O323" s="44">
        <v>294</v>
      </c>
      <c r="P323" s="44">
        <v>298</v>
      </c>
      <c r="Q323" s="44">
        <v>308</v>
      </c>
      <c r="R323" s="44">
        <v>308</v>
      </c>
      <c r="S323" s="44">
        <v>297.33333333333331</v>
      </c>
      <c r="T323" s="29"/>
      <c r="U323" s="29"/>
      <c r="V323" s="29"/>
      <c r="W323" s="29"/>
      <c r="X323" s="29"/>
    </row>
    <row r="324" spans="2:24" x14ac:dyDescent="0.3">
      <c r="B324" s="42" t="s">
        <v>86</v>
      </c>
      <c r="C324" s="29"/>
      <c r="D324" s="29"/>
      <c r="E324" s="29"/>
      <c r="F324" s="29"/>
      <c r="G324" s="47">
        <v>31</v>
      </c>
      <c r="H324" s="47">
        <v>31</v>
      </c>
      <c r="I324" s="47">
        <v>33</v>
      </c>
      <c r="J324" s="47">
        <v>34</v>
      </c>
      <c r="K324" s="47">
        <v>34</v>
      </c>
      <c r="L324" s="47">
        <v>32</v>
      </c>
      <c r="M324" s="47">
        <v>33</v>
      </c>
      <c r="N324" s="47">
        <v>33</v>
      </c>
      <c r="O324" s="47">
        <v>33</v>
      </c>
      <c r="P324" s="47">
        <v>33</v>
      </c>
      <c r="Q324" s="47">
        <v>33</v>
      </c>
      <c r="R324" s="47">
        <v>31</v>
      </c>
      <c r="S324" s="47">
        <v>32.583333333333336</v>
      </c>
      <c r="T324" s="29"/>
      <c r="U324" s="29"/>
      <c r="V324" s="29"/>
      <c r="W324" s="29"/>
      <c r="X324" s="29"/>
    </row>
    <row r="325" spans="2:24" x14ac:dyDescent="0.3">
      <c r="B325" s="29"/>
      <c r="C325" s="29"/>
      <c r="D325" s="29"/>
      <c r="E325" s="29"/>
      <c r="F325" s="29"/>
      <c r="G325" s="44">
        <v>25</v>
      </c>
      <c r="H325" s="44">
        <v>25</v>
      </c>
      <c r="I325" s="44">
        <v>24</v>
      </c>
      <c r="J325" s="44">
        <v>24</v>
      </c>
      <c r="K325" s="44">
        <v>24</v>
      </c>
      <c r="L325" s="44">
        <v>24</v>
      </c>
      <c r="M325" s="44">
        <v>24</v>
      </c>
      <c r="N325" s="44">
        <v>24</v>
      </c>
      <c r="O325" s="44">
        <v>24</v>
      </c>
      <c r="P325" s="44">
        <v>24</v>
      </c>
      <c r="Q325" s="44">
        <v>24</v>
      </c>
      <c r="R325" s="44">
        <v>24</v>
      </c>
      <c r="S325" s="44">
        <v>24.166666666666668</v>
      </c>
      <c r="T325" s="29"/>
      <c r="U325" s="29"/>
      <c r="V325" s="29"/>
      <c r="W325" s="29"/>
      <c r="X325" s="29"/>
    </row>
    <row r="328" spans="2:24" x14ac:dyDescent="0.3">
      <c r="B328" s="99" t="s">
        <v>100</v>
      </c>
      <c r="C328" s="100"/>
      <c r="D328" s="100"/>
      <c r="E328" s="100"/>
      <c r="F328" s="29"/>
      <c r="G328" s="44">
        <v>69</v>
      </c>
      <c r="H328" s="44">
        <v>69</v>
      </c>
      <c r="I328" s="44">
        <v>70</v>
      </c>
      <c r="J328" s="44">
        <v>70</v>
      </c>
      <c r="K328" s="44">
        <v>71</v>
      </c>
      <c r="L328" s="44">
        <v>68</v>
      </c>
      <c r="M328" s="44">
        <v>72</v>
      </c>
      <c r="N328" s="44">
        <v>72</v>
      </c>
      <c r="O328" s="44">
        <v>72</v>
      </c>
      <c r="P328" s="44">
        <v>74</v>
      </c>
      <c r="Q328" s="44">
        <v>74</v>
      </c>
      <c r="R328" s="44">
        <v>72</v>
      </c>
      <c r="S328" s="44">
        <v>71.083333333333329</v>
      </c>
      <c r="T328" s="29"/>
      <c r="U328" s="29"/>
      <c r="V328" s="29"/>
      <c r="W328" s="29"/>
      <c r="X328" s="29"/>
    </row>
    <row r="329" spans="2:24" x14ac:dyDescent="0.3">
      <c r="B329" s="29"/>
      <c r="C329" s="29"/>
      <c r="D329" s="29"/>
      <c r="E329" s="29"/>
      <c r="F329" s="29"/>
      <c r="G329" s="44">
        <v>69</v>
      </c>
      <c r="H329" s="44">
        <v>69</v>
      </c>
      <c r="I329" s="44">
        <v>68</v>
      </c>
      <c r="J329" s="44">
        <v>68</v>
      </c>
      <c r="K329" s="44">
        <v>68</v>
      </c>
      <c r="L329" s="44">
        <v>68</v>
      </c>
      <c r="M329" s="44">
        <v>68</v>
      </c>
      <c r="N329" s="44">
        <v>68</v>
      </c>
      <c r="O329" s="44">
        <v>68</v>
      </c>
      <c r="P329" s="44">
        <v>68</v>
      </c>
      <c r="Q329" s="44">
        <v>68</v>
      </c>
      <c r="R329" s="44">
        <v>68</v>
      </c>
      <c r="S329" s="44">
        <v>68.166666666666671</v>
      </c>
      <c r="T329" s="29"/>
      <c r="U329" s="29"/>
      <c r="V329" s="29"/>
      <c r="W329" s="29"/>
      <c r="X329" s="29"/>
    </row>
  </sheetData>
  <mergeCells count="189">
    <mergeCell ref="B3:E3"/>
    <mergeCell ref="B6:C6"/>
    <mergeCell ref="D6:E6"/>
    <mergeCell ref="B7:C8"/>
    <mergeCell ref="D7:E8"/>
    <mergeCell ref="B9:C10"/>
    <mergeCell ref="D9:E10"/>
    <mergeCell ref="B11:C12"/>
    <mergeCell ref="D11:E12"/>
    <mergeCell ref="B13:C26"/>
    <mergeCell ref="D13:E14"/>
    <mergeCell ref="D15:E16"/>
    <mergeCell ref="D17:E18"/>
    <mergeCell ref="D19:E20"/>
    <mergeCell ref="D21:E22"/>
    <mergeCell ref="D23:E24"/>
    <mergeCell ref="D25:E26"/>
    <mergeCell ref="B39:C48"/>
    <mergeCell ref="D39:E40"/>
    <mergeCell ref="D41:E42"/>
    <mergeCell ref="D43:E44"/>
    <mergeCell ref="D45:E46"/>
    <mergeCell ref="D47:E48"/>
    <mergeCell ref="B27:C32"/>
    <mergeCell ref="D27:E28"/>
    <mergeCell ref="D29:E30"/>
    <mergeCell ref="D31:E32"/>
    <mergeCell ref="B33:C38"/>
    <mergeCell ref="D33:E34"/>
    <mergeCell ref="D35:E36"/>
    <mergeCell ref="D37:E38"/>
    <mergeCell ref="B59:C72"/>
    <mergeCell ref="D59:E60"/>
    <mergeCell ref="D61:E62"/>
    <mergeCell ref="D63:E64"/>
    <mergeCell ref="D65:E66"/>
    <mergeCell ref="D67:E68"/>
    <mergeCell ref="D69:E70"/>
    <mergeCell ref="D71:E72"/>
    <mergeCell ref="B49:C58"/>
    <mergeCell ref="D49:E50"/>
    <mergeCell ref="D51:E52"/>
    <mergeCell ref="D53:E54"/>
    <mergeCell ref="D55:E56"/>
    <mergeCell ref="D57:E58"/>
    <mergeCell ref="B87:C94"/>
    <mergeCell ref="D87:E88"/>
    <mergeCell ref="D89:E90"/>
    <mergeCell ref="D91:E92"/>
    <mergeCell ref="D93:E94"/>
    <mergeCell ref="B73:C78"/>
    <mergeCell ref="D73:E74"/>
    <mergeCell ref="D75:E76"/>
    <mergeCell ref="D77:E78"/>
    <mergeCell ref="B79:C86"/>
    <mergeCell ref="D79:E80"/>
    <mergeCell ref="D81:E82"/>
    <mergeCell ref="D83:E84"/>
    <mergeCell ref="D85:E86"/>
    <mergeCell ref="B107:C116"/>
    <mergeCell ref="D107:E108"/>
    <mergeCell ref="D109:E110"/>
    <mergeCell ref="D111:E112"/>
    <mergeCell ref="D113:E114"/>
    <mergeCell ref="D115:E116"/>
    <mergeCell ref="B95:C106"/>
    <mergeCell ref="D95:E96"/>
    <mergeCell ref="D97:E98"/>
    <mergeCell ref="D99:E100"/>
    <mergeCell ref="D101:E102"/>
    <mergeCell ref="D103:E104"/>
    <mergeCell ref="D105:E106"/>
    <mergeCell ref="E144:E145"/>
    <mergeCell ref="C146:D149"/>
    <mergeCell ref="E146:E147"/>
    <mergeCell ref="E148:E149"/>
    <mergeCell ref="B150:B153"/>
    <mergeCell ref="C150:D153"/>
    <mergeCell ref="E150:E151"/>
    <mergeCell ref="E152:E153"/>
    <mergeCell ref="B120:E120"/>
    <mergeCell ref="B123:E123"/>
    <mergeCell ref="B126:E126"/>
    <mergeCell ref="C129:D129"/>
    <mergeCell ref="B130:B149"/>
    <mergeCell ref="C130:D133"/>
    <mergeCell ref="E130:E131"/>
    <mergeCell ref="E132:E133"/>
    <mergeCell ref="C134:D137"/>
    <mergeCell ref="E134:E135"/>
    <mergeCell ref="E136:E137"/>
    <mergeCell ref="C138:D141"/>
    <mergeCell ref="E138:E139"/>
    <mergeCell ref="E140:E141"/>
    <mergeCell ref="C142:D145"/>
    <mergeCell ref="E142:E143"/>
    <mergeCell ref="B154:B169"/>
    <mergeCell ref="C154:D157"/>
    <mergeCell ref="E154:E155"/>
    <mergeCell ref="E156:E157"/>
    <mergeCell ref="C158:D161"/>
    <mergeCell ref="E158:E159"/>
    <mergeCell ref="E160:E161"/>
    <mergeCell ref="C162:D165"/>
    <mergeCell ref="E162:E163"/>
    <mergeCell ref="E164:E165"/>
    <mergeCell ref="C166:D169"/>
    <mergeCell ref="E166:E167"/>
    <mergeCell ref="E168:E169"/>
    <mergeCell ref="B176:B183"/>
    <mergeCell ref="C176:D179"/>
    <mergeCell ref="E176:E177"/>
    <mergeCell ref="E178:E179"/>
    <mergeCell ref="C180:D183"/>
    <mergeCell ref="E180:E181"/>
    <mergeCell ref="E182:E183"/>
    <mergeCell ref="B170:B173"/>
    <mergeCell ref="C170:D173"/>
    <mergeCell ref="E170:E171"/>
    <mergeCell ref="E172:E173"/>
    <mergeCell ref="B174:B175"/>
    <mergeCell ref="C174:D175"/>
    <mergeCell ref="E174:E175"/>
    <mergeCell ref="B195:E196"/>
    <mergeCell ref="B197:E198"/>
    <mergeCell ref="B200:E200"/>
    <mergeCell ref="B203:E203"/>
    <mergeCell ref="B204:C207"/>
    <mergeCell ref="D204:E205"/>
    <mergeCell ref="D206:E207"/>
    <mergeCell ref="B185:E185"/>
    <mergeCell ref="B188:E188"/>
    <mergeCell ref="B189:E190"/>
    <mergeCell ref="B191:E192"/>
    <mergeCell ref="B193:E194"/>
    <mergeCell ref="B217:C226"/>
    <mergeCell ref="D217:E218"/>
    <mergeCell ref="D219:E220"/>
    <mergeCell ref="D221:E222"/>
    <mergeCell ref="D223:E224"/>
    <mergeCell ref="D225:E226"/>
    <mergeCell ref="B208:C211"/>
    <mergeCell ref="D208:E209"/>
    <mergeCell ref="D210:E211"/>
    <mergeCell ref="B213:E213"/>
    <mergeCell ref="B216:E216"/>
    <mergeCell ref="B227:C244"/>
    <mergeCell ref="D227:E228"/>
    <mergeCell ref="D229:E230"/>
    <mergeCell ref="D231:E232"/>
    <mergeCell ref="D233:E234"/>
    <mergeCell ref="D235:E236"/>
    <mergeCell ref="D237:E238"/>
    <mergeCell ref="D239:E240"/>
    <mergeCell ref="D241:E242"/>
    <mergeCell ref="D243:E244"/>
    <mergeCell ref="B257:E257"/>
    <mergeCell ref="B259:E259"/>
    <mergeCell ref="B260:E261"/>
    <mergeCell ref="B262:E263"/>
    <mergeCell ref="B264:E265"/>
    <mergeCell ref="B245:C246"/>
    <mergeCell ref="D245:E246"/>
    <mergeCell ref="B248:E248"/>
    <mergeCell ref="B251:E251"/>
    <mergeCell ref="B254:E254"/>
    <mergeCell ref="B277:E277"/>
    <mergeCell ref="B279:E279"/>
    <mergeCell ref="B280:E281"/>
    <mergeCell ref="B282:E283"/>
    <mergeCell ref="B284:E285"/>
    <mergeCell ref="B266:E267"/>
    <mergeCell ref="B269:E269"/>
    <mergeCell ref="B270:E271"/>
    <mergeCell ref="B272:E273"/>
    <mergeCell ref="B274:E275"/>
    <mergeCell ref="B320:E320"/>
    <mergeCell ref="B322:E322"/>
    <mergeCell ref="B328:E328"/>
    <mergeCell ref="B296:E297"/>
    <mergeCell ref="B298:E299"/>
    <mergeCell ref="B300:E301"/>
    <mergeCell ref="B302:E303"/>
    <mergeCell ref="B305:E305"/>
    <mergeCell ref="B287:E287"/>
    <mergeCell ref="B288:E289"/>
    <mergeCell ref="B290:E291"/>
    <mergeCell ref="B292:E293"/>
    <mergeCell ref="B295:E2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83F0-308B-43A7-95E4-294E44BF7623}">
  <dimension ref="B1:AB226"/>
  <sheetViews>
    <sheetView topLeftCell="G4" workbookViewId="0">
      <selection activeCell="A16" sqref="A16:XFD16"/>
    </sheetView>
  </sheetViews>
  <sheetFormatPr baseColWidth="10" defaultRowHeight="14.4" x14ac:dyDescent="0.3"/>
  <cols>
    <col min="1" max="1" width="3.77734375" style="14" customWidth="1"/>
    <col min="2" max="2" width="13.77734375" style="14" customWidth="1"/>
    <col min="3" max="3" width="4.5546875" style="14" customWidth="1"/>
    <col min="4" max="4" width="9.21875" style="14" customWidth="1"/>
    <col min="5" max="5" width="12.21875" style="14" customWidth="1"/>
    <col min="6" max="19" width="13.77734375" style="14" customWidth="1"/>
    <col min="20" max="20" width="14.21875" style="14" customWidth="1"/>
    <col min="21" max="23" width="9.44140625" style="14" customWidth="1"/>
    <col min="24" max="24" width="2.5546875" style="14" customWidth="1"/>
    <col min="25" max="28" width="9.44140625" style="14" customWidth="1"/>
    <col min="29" max="29" width="13.77734375" style="14" customWidth="1"/>
    <col min="30" max="16384" width="11.5546875" style="14"/>
  </cols>
  <sheetData>
    <row r="1" spans="2:28" ht="36" customHeight="1" x14ac:dyDescent="0.3">
      <c r="B1" s="85" t="s">
        <v>0</v>
      </c>
      <c r="C1" s="72"/>
      <c r="D1" s="72"/>
      <c r="E1" s="72"/>
      <c r="F1" s="72"/>
      <c r="G1" s="72"/>
      <c r="H1" s="72"/>
    </row>
    <row r="2" spans="2:28" ht="36" customHeight="1" x14ac:dyDescent="0.3">
      <c r="B2" s="13"/>
      <c r="H2" s="15">
        <f>+H4+H126+H152</f>
        <v>643</v>
      </c>
      <c r="I2" s="15">
        <f t="shared" ref="I2:S2" si="0">+I4+I126+I152</f>
        <v>635</v>
      </c>
      <c r="J2" s="15">
        <f t="shared" si="0"/>
        <v>637</v>
      </c>
      <c r="K2" s="15">
        <f t="shared" si="0"/>
        <v>632</v>
      </c>
      <c r="L2" s="15">
        <f t="shared" si="0"/>
        <v>638</v>
      </c>
      <c r="M2" s="15">
        <f t="shared" si="0"/>
        <v>630</v>
      </c>
      <c r="N2" s="15">
        <f t="shared" si="0"/>
        <v>637</v>
      </c>
      <c r="O2" s="15">
        <f t="shared" si="0"/>
        <v>642</v>
      </c>
      <c r="P2" s="15">
        <f t="shared" si="0"/>
        <v>636</v>
      </c>
      <c r="Q2" s="15">
        <f t="shared" si="0"/>
        <v>635</v>
      </c>
      <c r="R2" s="15">
        <f t="shared" si="0"/>
        <v>631</v>
      </c>
      <c r="S2" s="15">
        <f t="shared" si="0"/>
        <v>630</v>
      </c>
    </row>
    <row r="3" spans="2:28" x14ac:dyDescent="0.3">
      <c r="H3" s="15">
        <f>+H2-H173</f>
        <v>0</v>
      </c>
      <c r="I3" s="15">
        <f t="shared" ref="I3:S3" si="1">+I2-I173</f>
        <v>0</v>
      </c>
      <c r="J3" s="15">
        <f t="shared" si="1"/>
        <v>0</v>
      </c>
      <c r="K3" s="15">
        <f t="shared" si="1"/>
        <v>0</v>
      </c>
      <c r="L3" s="15">
        <f t="shared" si="1"/>
        <v>0</v>
      </c>
      <c r="M3" s="15">
        <f t="shared" si="1"/>
        <v>0</v>
      </c>
      <c r="N3" s="15">
        <f t="shared" si="1"/>
        <v>0</v>
      </c>
      <c r="O3" s="15">
        <f t="shared" si="1"/>
        <v>0</v>
      </c>
      <c r="P3" s="15">
        <f t="shared" si="1"/>
        <v>0</v>
      </c>
      <c r="Q3" s="15">
        <f t="shared" si="1"/>
        <v>0</v>
      </c>
      <c r="R3" s="15">
        <f t="shared" si="1"/>
        <v>0</v>
      </c>
      <c r="S3" s="15">
        <f t="shared" si="1"/>
        <v>0</v>
      </c>
    </row>
    <row r="4" spans="2:28" x14ac:dyDescent="0.3">
      <c r="B4" s="83" t="s">
        <v>1</v>
      </c>
      <c r="C4" s="73"/>
      <c r="D4" s="73"/>
      <c r="E4" s="73"/>
      <c r="F4" s="16" t="s">
        <v>2</v>
      </c>
      <c r="G4" s="17"/>
      <c r="H4" s="17">
        <v>385</v>
      </c>
      <c r="I4" s="17">
        <v>384</v>
      </c>
      <c r="J4" s="17">
        <v>387</v>
      </c>
      <c r="K4" s="17">
        <v>383</v>
      </c>
      <c r="L4" s="17">
        <v>389</v>
      </c>
      <c r="M4" s="17">
        <v>383</v>
      </c>
      <c r="N4" s="17">
        <v>389</v>
      </c>
      <c r="O4" s="17">
        <v>390</v>
      </c>
      <c r="P4" s="17">
        <v>389</v>
      </c>
      <c r="Q4" s="17">
        <v>390</v>
      </c>
      <c r="R4" s="17">
        <v>386</v>
      </c>
      <c r="S4" s="17">
        <v>385</v>
      </c>
      <c r="U4" s="17">
        <v>385</v>
      </c>
      <c r="V4" s="17">
        <v>395</v>
      </c>
      <c r="W4" s="17">
        <v>394</v>
      </c>
      <c r="Y4" s="17">
        <v>387</v>
      </c>
      <c r="Z4" s="17">
        <v>387</v>
      </c>
      <c r="AA4" s="17">
        <v>390</v>
      </c>
      <c r="AB4" s="17">
        <v>396</v>
      </c>
    </row>
    <row r="5" spans="2:28" x14ac:dyDescent="0.3">
      <c r="F5" s="16" t="s">
        <v>3</v>
      </c>
      <c r="G5" s="17"/>
      <c r="H5" s="17">
        <v>417</v>
      </c>
      <c r="I5" s="17">
        <v>417</v>
      </c>
      <c r="J5" s="17">
        <v>416</v>
      </c>
      <c r="K5" s="17">
        <v>409</v>
      </c>
      <c r="L5" s="17">
        <v>407</v>
      </c>
      <c r="M5" s="17">
        <v>407</v>
      </c>
      <c r="N5" s="17">
        <v>406</v>
      </c>
      <c r="O5" s="17">
        <v>406</v>
      </c>
      <c r="P5" s="17">
        <v>406</v>
      </c>
      <c r="Q5" s="17">
        <v>406</v>
      </c>
      <c r="R5" s="17">
        <v>406</v>
      </c>
      <c r="S5" s="17">
        <v>406</v>
      </c>
      <c r="U5" s="17">
        <v>406</v>
      </c>
      <c r="V5" s="17">
        <v>409</v>
      </c>
      <c r="W5" s="17">
        <v>409</v>
      </c>
      <c r="Y5" s="17">
        <v>417</v>
      </c>
      <c r="Z5" s="17">
        <v>408</v>
      </c>
      <c r="AA5" s="17">
        <v>406</v>
      </c>
      <c r="AB5" s="17">
        <v>406</v>
      </c>
    </row>
    <row r="6" spans="2:28" ht="5.0999999999999996" customHeight="1" x14ac:dyDescent="0.3"/>
    <row r="7" spans="2:28" x14ac:dyDescent="0.3">
      <c r="B7" s="78" t="s">
        <v>4</v>
      </c>
      <c r="C7" s="73"/>
      <c r="D7" s="84" t="s">
        <v>5</v>
      </c>
      <c r="E7" s="73"/>
      <c r="F7" s="20" t="s">
        <v>6</v>
      </c>
      <c r="G7" s="20"/>
      <c r="H7" s="21" t="s">
        <v>101</v>
      </c>
      <c r="I7" s="21" t="s">
        <v>102</v>
      </c>
      <c r="J7" s="21" t="s">
        <v>103</v>
      </c>
      <c r="K7" s="21" t="s">
        <v>104</v>
      </c>
      <c r="L7" s="21" t="s">
        <v>105</v>
      </c>
      <c r="M7" s="21" t="s">
        <v>106</v>
      </c>
      <c r="N7" s="21" t="s">
        <v>107</v>
      </c>
      <c r="O7" s="21" t="s">
        <v>108</v>
      </c>
      <c r="P7" s="21" t="s">
        <v>109</v>
      </c>
      <c r="Q7" s="21" t="s">
        <v>110</v>
      </c>
      <c r="R7" s="21" t="s">
        <v>111</v>
      </c>
      <c r="S7" s="21" t="s">
        <v>112</v>
      </c>
      <c r="U7" s="21" t="s">
        <v>24</v>
      </c>
      <c r="V7" s="21" t="s">
        <v>25</v>
      </c>
      <c r="W7" s="21" t="s">
        <v>19</v>
      </c>
      <c r="Y7" s="21" t="s">
        <v>20</v>
      </c>
      <c r="Z7" s="21" t="s">
        <v>21</v>
      </c>
      <c r="AA7" s="21" t="s">
        <v>22</v>
      </c>
      <c r="AB7" s="21" t="s">
        <v>23</v>
      </c>
    </row>
    <row r="8" spans="2:28" x14ac:dyDescent="0.3">
      <c r="B8" s="75" t="s">
        <v>26</v>
      </c>
      <c r="C8" s="72"/>
      <c r="D8" s="75" t="s">
        <v>26</v>
      </c>
      <c r="E8" s="72"/>
      <c r="F8" s="22" t="s">
        <v>2</v>
      </c>
      <c r="G8" s="23"/>
      <c r="H8" s="23">
        <v>11</v>
      </c>
      <c r="I8" s="23">
        <v>11</v>
      </c>
      <c r="J8" s="23">
        <v>11</v>
      </c>
      <c r="K8" s="23">
        <v>11</v>
      </c>
      <c r="L8" s="23">
        <v>12</v>
      </c>
      <c r="M8" s="23">
        <v>12</v>
      </c>
      <c r="N8" s="23">
        <v>12</v>
      </c>
      <c r="O8" s="23">
        <v>12</v>
      </c>
      <c r="P8" s="23">
        <v>12</v>
      </c>
      <c r="Q8" s="23">
        <v>12</v>
      </c>
      <c r="R8" s="23">
        <v>12</v>
      </c>
      <c r="S8" s="23">
        <v>12</v>
      </c>
      <c r="U8" s="23">
        <v>12</v>
      </c>
      <c r="V8" s="23">
        <v>12</v>
      </c>
      <c r="W8" s="23">
        <v>12</v>
      </c>
      <c r="Y8" s="23">
        <v>11</v>
      </c>
      <c r="Z8" s="23">
        <v>12</v>
      </c>
      <c r="AA8" s="23">
        <v>12</v>
      </c>
      <c r="AB8" s="23">
        <v>12</v>
      </c>
    </row>
    <row r="9" spans="2:28" x14ac:dyDescent="0.3">
      <c r="B9" s="76"/>
      <c r="C9" s="73"/>
      <c r="D9" s="76"/>
      <c r="E9" s="73"/>
      <c r="F9" s="22" t="s">
        <v>3</v>
      </c>
      <c r="G9" s="23"/>
      <c r="H9" s="23">
        <v>12</v>
      </c>
      <c r="I9" s="23">
        <v>12</v>
      </c>
      <c r="J9" s="23">
        <v>12</v>
      </c>
      <c r="K9" s="23">
        <v>12</v>
      </c>
      <c r="L9" s="23">
        <v>12</v>
      </c>
      <c r="M9" s="23">
        <v>12</v>
      </c>
      <c r="N9" s="23">
        <v>12</v>
      </c>
      <c r="O9" s="23">
        <v>12</v>
      </c>
      <c r="P9" s="23">
        <v>12</v>
      </c>
      <c r="Q9" s="23">
        <v>12</v>
      </c>
      <c r="R9" s="23">
        <v>12</v>
      </c>
      <c r="S9" s="23">
        <v>12</v>
      </c>
      <c r="U9" s="23">
        <v>12</v>
      </c>
      <c r="V9" s="23">
        <v>12</v>
      </c>
      <c r="W9" s="23">
        <v>12</v>
      </c>
      <c r="Y9" s="23">
        <v>12</v>
      </c>
      <c r="Z9" s="23">
        <v>12</v>
      </c>
      <c r="AA9" s="23">
        <v>12</v>
      </c>
      <c r="AB9" s="23">
        <v>12</v>
      </c>
    </row>
    <row r="10" spans="2:28" x14ac:dyDescent="0.3">
      <c r="B10" s="75" t="s">
        <v>27</v>
      </c>
      <c r="C10" s="72"/>
      <c r="D10" s="75" t="s">
        <v>27</v>
      </c>
      <c r="E10" s="72"/>
      <c r="F10" s="22" t="s">
        <v>2</v>
      </c>
      <c r="G10" s="23"/>
      <c r="H10" s="23">
        <v>3</v>
      </c>
      <c r="I10" s="23">
        <v>3</v>
      </c>
      <c r="J10" s="23">
        <v>3</v>
      </c>
      <c r="K10" s="23">
        <v>3</v>
      </c>
      <c r="L10" s="23">
        <v>3</v>
      </c>
      <c r="M10" s="23">
        <v>3</v>
      </c>
      <c r="N10" s="23">
        <v>3</v>
      </c>
      <c r="O10" s="23">
        <v>3</v>
      </c>
      <c r="P10" s="23">
        <v>3</v>
      </c>
      <c r="Q10" s="23">
        <v>3</v>
      </c>
      <c r="R10" s="23">
        <v>3</v>
      </c>
      <c r="S10" s="23">
        <v>3</v>
      </c>
      <c r="U10" s="23">
        <v>3</v>
      </c>
      <c r="V10" s="23">
        <v>3</v>
      </c>
      <c r="W10" s="23">
        <v>3</v>
      </c>
      <c r="Y10" s="23">
        <v>3</v>
      </c>
      <c r="Z10" s="23">
        <v>3</v>
      </c>
      <c r="AA10" s="23">
        <v>3</v>
      </c>
      <c r="AB10" s="23">
        <v>3</v>
      </c>
    </row>
    <row r="11" spans="2:28" x14ac:dyDescent="0.3">
      <c r="B11" s="76"/>
      <c r="C11" s="73"/>
      <c r="D11" s="76"/>
      <c r="E11" s="73"/>
      <c r="F11" s="22" t="s">
        <v>3</v>
      </c>
      <c r="G11" s="23"/>
      <c r="H11" s="23">
        <v>3</v>
      </c>
      <c r="I11" s="23">
        <v>3</v>
      </c>
      <c r="J11" s="23">
        <v>3</v>
      </c>
      <c r="K11" s="23">
        <v>3</v>
      </c>
      <c r="L11" s="23">
        <v>3</v>
      </c>
      <c r="M11" s="23">
        <v>3</v>
      </c>
      <c r="N11" s="23">
        <v>3</v>
      </c>
      <c r="O11" s="23">
        <v>3</v>
      </c>
      <c r="P11" s="23">
        <v>3</v>
      </c>
      <c r="Q11" s="23">
        <v>3</v>
      </c>
      <c r="R11" s="23">
        <v>3</v>
      </c>
      <c r="S11" s="23">
        <v>3</v>
      </c>
      <c r="U11" s="23">
        <v>3</v>
      </c>
      <c r="V11" s="23">
        <v>3</v>
      </c>
      <c r="W11" s="23">
        <v>3</v>
      </c>
      <c r="Y11" s="23">
        <v>3</v>
      </c>
      <c r="Z11" s="23">
        <v>3</v>
      </c>
      <c r="AA11" s="23">
        <v>3</v>
      </c>
      <c r="AB11" s="23">
        <v>3</v>
      </c>
    </row>
    <row r="12" spans="2:28" x14ac:dyDescent="0.3">
      <c r="B12" s="75" t="s">
        <v>28</v>
      </c>
      <c r="C12" s="72"/>
      <c r="D12" s="75" t="s">
        <v>28</v>
      </c>
      <c r="E12" s="72"/>
      <c r="F12" s="22" t="s">
        <v>2</v>
      </c>
      <c r="G12" s="23"/>
      <c r="H12" s="23">
        <v>1</v>
      </c>
      <c r="I12" s="23">
        <v>1</v>
      </c>
      <c r="J12" s="23">
        <v>2</v>
      </c>
      <c r="K12" s="23">
        <v>2</v>
      </c>
      <c r="L12" s="23">
        <v>2</v>
      </c>
      <c r="M12" s="23">
        <v>2</v>
      </c>
      <c r="N12" s="23">
        <v>2</v>
      </c>
      <c r="O12" s="23">
        <v>2</v>
      </c>
      <c r="P12" s="23">
        <v>2</v>
      </c>
      <c r="Q12" s="23">
        <v>2</v>
      </c>
      <c r="R12" s="23">
        <v>2</v>
      </c>
      <c r="S12" s="23">
        <v>2</v>
      </c>
      <c r="U12" s="23">
        <v>2</v>
      </c>
      <c r="V12" s="23">
        <v>2</v>
      </c>
      <c r="W12" s="23">
        <v>2</v>
      </c>
      <c r="Y12" s="23">
        <v>1</v>
      </c>
      <c r="Z12" s="23">
        <v>2</v>
      </c>
      <c r="AA12" s="23">
        <v>2</v>
      </c>
      <c r="AB12" s="23">
        <v>2</v>
      </c>
    </row>
    <row r="13" spans="2:28" x14ac:dyDescent="0.3">
      <c r="B13" s="76"/>
      <c r="C13" s="73"/>
      <c r="D13" s="76"/>
      <c r="E13" s="73"/>
      <c r="F13" s="22" t="s">
        <v>3</v>
      </c>
      <c r="G13" s="23"/>
      <c r="H13" s="23">
        <v>2</v>
      </c>
      <c r="I13" s="23">
        <v>2</v>
      </c>
      <c r="J13" s="23">
        <v>2</v>
      </c>
      <c r="K13" s="23">
        <v>2</v>
      </c>
      <c r="L13" s="23">
        <v>2</v>
      </c>
      <c r="M13" s="23">
        <v>2</v>
      </c>
      <c r="N13" s="23">
        <v>2</v>
      </c>
      <c r="O13" s="23">
        <v>2</v>
      </c>
      <c r="P13" s="23">
        <v>2</v>
      </c>
      <c r="Q13" s="23">
        <v>2</v>
      </c>
      <c r="R13" s="23">
        <v>2</v>
      </c>
      <c r="S13" s="23">
        <v>2</v>
      </c>
      <c r="U13" s="23">
        <v>2</v>
      </c>
      <c r="V13" s="23">
        <v>2</v>
      </c>
      <c r="W13" s="23">
        <v>2</v>
      </c>
      <c r="Y13" s="23">
        <v>2</v>
      </c>
      <c r="Z13" s="23">
        <v>2</v>
      </c>
      <c r="AA13" s="23">
        <v>2</v>
      </c>
      <c r="AB13" s="23">
        <v>2</v>
      </c>
    </row>
    <row r="14" spans="2:28" x14ac:dyDescent="0.3">
      <c r="B14" s="75" t="s">
        <v>113</v>
      </c>
      <c r="C14" s="72"/>
      <c r="D14" s="75" t="s">
        <v>114</v>
      </c>
      <c r="E14" s="72"/>
      <c r="F14" s="22" t="s">
        <v>2</v>
      </c>
      <c r="G14" s="23"/>
      <c r="H14" s="23">
        <v>7</v>
      </c>
      <c r="I14" s="23">
        <v>7</v>
      </c>
      <c r="J14" s="23">
        <v>7</v>
      </c>
      <c r="K14" s="23">
        <v>7</v>
      </c>
      <c r="L14" s="23">
        <v>7</v>
      </c>
      <c r="M14" s="23">
        <v>7</v>
      </c>
      <c r="N14" s="23">
        <v>7</v>
      </c>
      <c r="O14" s="23">
        <v>7</v>
      </c>
      <c r="P14" s="23">
        <v>7</v>
      </c>
      <c r="Q14" s="23">
        <v>7</v>
      </c>
      <c r="R14" s="23">
        <v>7</v>
      </c>
      <c r="S14" s="23">
        <v>7</v>
      </c>
      <c r="U14" s="23">
        <v>7</v>
      </c>
      <c r="V14" s="23">
        <v>7</v>
      </c>
      <c r="W14" s="23">
        <v>7</v>
      </c>
      <c r="Y14" s="23">
        <v>7</v>
      </c>
      <c r="Z14" s="23">
        <v>7</v>
      </c>
      <c r="AA14" s="23">
        <v>7</v>
      </c>
      <c r="AB14" s="23">
        <v>7</v>
      </c>
    </row>
    <row r="15" spans="2:28" x14ac:dyDescent="0.3">
      <c r="B15" s="81"/>
      <c r="C15" s="72"/>
      <c r="D15" s="76"/>
      <c r="E15" s="73"/>
      <c r="F15" s="22" t="s">
        <v>3</v>
      </c>
      <c r="G15" s="23"/>
      <c r="H15" s="23">
        <v>14</v>
      </c>
      <c r="I15" s="23">
        <v>14</v>
      </c>
      <c r="J15" s="23">
        <v>14</v>
      </c>
      <c r="K15" s="23">
        <v>14</v>
      </c>
      <c r="L15" s="23">
        <v>14</v>
      </c>
      <c r="M15" s="23">
        <v>14</v>
      </c>
      <c r="N15" s="23">
        <v>13</v>
      </c>
      <c r="O15" s="23">
        <v>13</v>
      </c>
      <c r="P15" s="23">
        <v>13</v>
      </c>
      <c r="Q15" s="23">
        <v>13</v>
      </c>
      <c r="R15" s="23">
        <v>13</v>
      </c>
      <c r="S15" s="23">
        <v>13</v>
      </c>
      <c r="U15" s="23">
        <v>13</v>
      </c>
      <c r="V15" s="23">
        <v>14</v>
      </c>
      <c r="W15" s="23">
        <v>14</v>
      </c>
      <c r="Y15" s="23">
        <v>14</v>
      </c>
      <c r="Z15" s="23">
        <v>14</v>
      </c>
      <c r="AA15" s="23">
        <v>13</v>
      </c>
      <c r="AB15" s="23">
        <v>13</v>
      </c>
    </row>
    <row r="16" spans="2:28" x14ac:dyDescent="0.3">
      <c r="B16" s="81"/>
      <c r="C16" s="72"/>
      <c r="D16" s="75" t="s">
        <v>35</v>
      </c>
      <c r="E16" s="72"/>
      <c r="F16" s="22" t="s">
        <v>2</v>
      </c>
      <c r="G16" s="23"/>
      <c r="H16" s="23">
        <v>21</v>
      </c>
      <c r="I16" s="23">
        <v>20</v>
      </c>
      <c r="J16" s="23">
        <v>21</v>
      </c>
      <c r="K16" s="23">
        <v>21</v>
      </c>
      <c r="L16" s="23">
        <v>20</v>
      </c>
      <c r="M16" s="23">
        <v>20</v>
      </c>
      <c r="N16" s="23">
        <v>20</v>
      </c>
      <c r="O16" s="23">
        <v>20</v>
      </c>
      <c r="P16" s="23">
        <v>20</v>
      </c>
      <c r="Q16" s="23">
        <v>20</v>
      </c>
      <c r="R16" s="23">
        <v>18</v>
      </c>
      <c r="S16" s="23">
        <v>18</v>
      </c>
      <c r="U16" s="23">
        <v>18</v>
      </c>
      <c r="V16" s="23">
        <v>20</v>
      </c>
      <c r="W16" s="23">
        <v>20</v>
      </c>
      <c r="Y16" s="23">
        <v>21</v>
      </c>
      <c r="Z16" s="23">
        <v>20</v>
      </c>
      <c r="AA16" s="23">
        <v>20</v>
      </c>
      <c r="AB16" s="23">
        <v>19</v>
      </c>
    </row>
    <row r="17" spans="2:28" x14ac:dyDescent="0.3">
      <c r="B17" s="81"/>
      <c r="C17" s="72"/>
      <c r="D17" s="76"/>
      <c r="E17" s="73"/>
      <c r="F17" s="22" t="s">
        <v>3</v>
      </c>
      <c r="G17" s="23"/>
      <c r="H17" s="23">
        <v>21</v>
      </c>
      <c r="I17" s="23">
        <v>21</v>
      </c>
      <c r="J17" s="23">
        <v>21</v>
      </c>
      <c r="K17" s="23">
        <v>21</v>
      </c>
      <c r="L17" s="23">
        <v>21</v>
      </c>
      <c r="M17" s="23">
        <v>21</v>
      </c>
      <c r="N17" s="23">
        <v>21</v>
      </c>
      <c r="O17" s="23">
        <v>21</v>
      </c>
      <c r="P17" s="23">
        <v>21</v>
      </c>
      <c r="Q17" s="23">
        <v>21</v>
      </c>
      <c r="R17" s="23">
        <v>21</v>
      </c>
      <c r="S17" s="23">
        <v>21</v>
      </c>
      <c r="U17" s="23">
        <v>21</v>
      </c>
      <c r="V17" s="23">
        <v>21</v>
      </c>
      <c r="W17" s="23">
        <v>21</v>
      </c>
      <c r="Y17" s="23">
        <v>21</v>
      </c>
      <c r="Z17" s="23">
        <v>21</v>
      </c>
      <c r="AA17" s="23">
        <v>21</v>
      </c>
      <c r="AB17" s="23">
        <v>21</v>
      </c>
    </row>
    <row r="18" spans="2:28" x14ac:dyDescent="0.3">
      <c r="B18" s="81"/>
      <c r="C18" s="72"/>
      <c r="D18" s="75" t="s">
        <v>115</v>
      </c>
      <c r="E18" s="72"/>
      <c r="F18" s="22" t="s">
        <v>2</v>
      </c>
      <c r="G18" s="23"/>
      <c r="H18" s="23">
        <v>12</v>
      </c>
      <c r="I18" s="23">
        <v>11</v>
      </c>
      <c r="J18" s="23">
        <v>13</v>
      </c>
      <c r="K18" s="23">
        <v>13</v>
      </c>
      <c r="L18" s="23">
        <v>14</v>
      </c>
      <c r="M18" s="23">
        <v>14</v>
      </c>
      <c r="N18" s="23">
        <v>14</v>
      </c>
      <c r="O18" s="23">
        <v>14</v>
      </c>
      <c r="P18" s="23">
        <v>14</v>
      </c>
      <c r="Q18" s="23">
        <v>14</v>
      </c>
      <c r="R18" s="23">
        <v>14</v>
      </c>
      <c r="S18" s="23">
        <v>14</v>
      </c>
      <c r="U18" s="23">
        <v>14</v>
      </c>
      <c r="V18" s="23">
        <v>13</v>
      </c>
      <c r="W18" s="23">
        <v>13</v>
      </c>
      <c r="Y18" s="23">
        <v>12</v>
      </c>
      <c r="Z18" s="23">
        <v>14</v>
      </c>
      <c r="AA18" s="23">
        <v>14</v>
      </c>
      <c r="AB18" s="23">
        <v>14</v>
      </c>
    </row>
    <row r="19" spans="2:28" x14ac:dyDescent="0.3">
      <c r="B19" s="81"/>
      <c r="C19" s="72"/>
      <c r="D19" s="76"/>
      <c r="E19" s="73"/>
      <c r="F19" s="22" t="s">
        <v>3</v>
      </c>
      <c r="G19" s="23"/>
      <c r="H19" s="23">
        <v>8</v>
      </c>
      <c r="I19" s="23">
        <v>8</v>
      </c>
      <c r="J19" s="23">
        <v>8</v>
      </c>
      <c r="K19" s="23">
        <v>8</v>
      </c>
      <c r="L19" s="23">
        <v>8</v>
      </c>
      <c r="M19" s="23">
        <v>8</v>
      </c>
      <c r="N19" s="23">
        <v>8</v>
      </c>
      <c r="O19" s="23">
        <v>8</v>
      </c>
      <c r="P19" s="23">
        <v>8</v>
      </c>
      <c r="Q19" s="23">
        <v>8</v>
      </c>
      <c r="R19" s="23">
        <v>8</v>
      </c>
      <c r="S19" s="23">
        <v>8</v>
      </c>
      <c r="U19" s="23">
        <v>8</v>
      </c>
      <c r="V19" s="23">
        <v>8</v>
      </c>
      <c r="W19" s="23">
        <v>8</v>
      </c>
      <c r="Y19" s="23">
        <v>8</v>
      </c>
      <c r="Z19" s="23">
        <v>8</v>
      </c>
      <c r="AA19" s="23">
        <v>8</v>
      </c>
      <c r="AB19" s="23">
        <v>8</v>
      </c>
    </row>
    <row r="20" spans="2:28" x14ac:dyDescent="0.3">
      <c r="B20" s="81"/>
      <c r="C20" s="72"/>
      <c r="D20" s="75" t="s">
        <v>36</v>
      </c>
      <c r="E20" s="72"/>
      <c r="F20" s="22" t="s">
        <v>2</v>
      </c>
      <c r="G20" s="23"/>
      <c r="H20" s="23">
        <v>4</v>
      </c>
      <c r="I20" s="23">
        <v>4</v>
      </c>
      <c r="J20" s="23">
        <v>4</v>
      </c>
      <c r="K20" s="23">
        <v>5</v>
      </c>
      <c r="L20" s="23">
        <v>5</v>
      </c>
      <c r="M20" s="23">
        <v>5</v>
      </c>
      <c r="N20" s="23">
        <v>6</v>
      </c>
      <c r="O20" s="23">
        <v>6</v>
      </c>
      <c r="P20" s="23">
        <v>6</v>
      </c>
      <c r="Q20" s="23">
        <v>7</v>
      </c>
      <c r="R20" s="23">
        <v>7</v>
      </c>
      <c r="S20" s="23">
        <v>7</v>
      </c>
      <c r="U20" s="23">
        <v>7</v>
      </c>
      <c r="V20" s="23">
        <v>6</v>
      </c>
      <c r="W20" s="23">
        <v>6</v>
      </c>
      <c r="Y20" s="23">
        <v>4</v>
      </c>
      <c r="Z20" s="23">
        <v>5</v>
      </c>
      <c r="AA20" s="23">
        <v>6</v>
      </c>
      <c r="AB20" s="23">
        <v>7</v>
      </c>
    </row>
    <row r="21" spans="2:28" x14ac:dyDescent="0.3">
      <c r="B21" s="81"/>
      <c r="C21" s="72"/>
      <c r="D21" s="76"/>
      <c r="E21" s="73"/>
      <c r="F21" s="22" t="s">
        <v>3</v>
      </c>
      <c r="G21" s="23"/>
      <c r="H21" s="23">
        <v>7</v>
      </c>
      <c r="I21" s="23">
        <v>7</v>
      </c>
      <c r="J21" s="23">
        <v>7</v>
      </c>
      <c r="K21" s="23">
        <v>7</v>
      </c>
      <c r="L21" s="23">
        <v>7</v>
      </c>
      <c r="M21" s="23">
        <v>7</v>
      </c>
      <c r="N21" s="23">
        <v>7</v>
      </c>
      <c r="O21" s="23">
        <v>7</v>
      </c>
      <c r="P21" s="23">
        <v>7</v>
      </c>
      <c r="Q21" s="23">
        <v>7</v>
      </c>
      <c r="R21" s="23">
        <v>7</v>
      </c>
      <c r="S21" s="23">
        <v>7</v>
      </c>
      <c r="U21" s="23">
        <v>7</v>
      </c>
      <c r="V21" s="23">
        <v>7</v>
      </c>
      <c r="W21" s="23">
        <v>7</v>
      </c>
      <c r="Y21" s="23">
        <v>7</v>
      </c>
      <c r="Z21" s="23">
        <v>7</v>
      </c>
      <c r="AA21" s="23">
        <v>7</v>
      </c>
      <c r="AB21" s="23">
        <v>7</v>
      </c>
    </row>
    <row r="22" spans="2:28" x14ac:dyDescent="0.3">
      <c r="B22" s="81"/>
      <c r="C22" s="72"/>
      <c r="D22" s="75" t="s">
        <v>76</v>
      </c>
      <c r="E22" s="72"/>
      <c r="F22" s="22" t="s">
        <v>2</v>
      </c>
      <c r="G22" s="23"/>
      <c r="H22" s="23">
        <v>7</v>
      </c>
      <c r="I22" s="23">
        <v>7</v>
      </c>
      <c r="J22" s="23">
        <v>7</v>
      </c>
      <c r="K22" s="23">
        <v>7</v>
      </c>
      <c r="L22" s="23">
        <v>7</v>
      </c>
      <c r="M22" s="23">
        <v>7</v>
      </c>
      <c r="N22" s="23">
        <v>7</v>
      </c>
      <c r="O22" s="23">
        <v>7</v>
      </c>
      <c r="P22" s="23">
        <v>7</v>
      </c>
      <c r="Q22" s="23">
        <v>7</v>
      </c>
      <c r="R22" s="23">
        <v>7</v>
      </c>
      <c r="S22" s="23">
        <v>7</v>
      </c>
      <c r="U22" s="23">
        <v>7</v>
      </c>
      <c r="V22" s="23">
        <v>7</v>
      </c>
      <c r="W22" s="23">
        <v>7</v>
      </c>
      <c r="Y22" s="23">
        <v>7</v>
      </c>
      <c r="Z22" s="23">
        <v>7</v>
      </c>
      <c r="AA22" s="23">
        <v>7</v>
      </c>
      <c r="AB22" s="23">
        <v>7</v>
      </c>
    </row>
    <row r="23" spans="2:28" x14ac:dyDescent="0.3">
      <c r="B23" s="81"/>
      <c r="C23" s="72"/>
      <c r="D23" s="76"/>
      <c r="E23" s="73"/>
      <c r="F23" s="22" t="s">
        <v>3</v>
      </c>
      <c r="G23" s="23"/>
      <c r="H23" s="23">
        <v>8</v>
      </c>
      <c r="I23" s="23">
        <v>8</v>
      </c>
      <c r="J23" s="23">
        <v>8</v>
      </c>
      <c r="K23" s="23">
        <v>8</v>
      </c>
      <c r="L23" s="23">
        <v>8</v>
      </c>
      <c r="M23" s="23">
        <v>8</v>
      </c>
      <c r="N23" s="23">
        <v>8</v>
      </c>
      <c r="O23" s="23">
        <v>8</v>
      </c>
      <c r="P23" s="23">
        <v>8</v>
      </c>
      <c r="Q23" s="23">
        <v>8</v>
      </c>
      <c r="R23" s="23">
        <v>8</v>
      </c>
      <c r="S23" s="23">
        <v>8</v>
      </c>
      <c r="U23" s="23">
        <v>8</v>
      </c>
      <c r="V23" s="23">
        <v>8</v>
      </c>
      <c r="W23" s="23">
        <v>8</v>
      </c>
      <c r="Y23" s="23">
        <v>8</v>
      </c>
      <c r="Z23" s="23">
        <v>8</v>
      </c>
      <c r="AA23" s="23">
        <v>8</v>
      </c>
      <c r="AB23" s="23">
        <v>8</v>
      </c>
    </row>
    <row r="24" spans="2:28" x14ac:dyDescent="0.3">
      <c r="B24" s="81"/>
      <c r="C24" s="72"/>
      <c r="D24" s="75" t="s">
        <v>116</v>
      </c>
      <c r="E24" s="72"/>
      <c r="F24" s="22" t="s">
        <v>2</v>
      </c>
      <c r="G24" s="23"/>
      <c r="H24" s="23">
        <v>4</v>
      </c>
      <c r="I24" s="23">
        <v>4</v>
      </c>
      <c r="J24" s="23">
        <v>4</v>
      </c>
      <c r="K24" s="23">
        <v>4</v>
      </c>
      <c r="L24" s="23">
        <v>5</v>
      </c>
      <c r="M24" s="23">
        <v>5</v>
      </c>
      <c r="N24" s="23">
        <v>5</v>
      </c>
      <c r="O24" s="23">
        <v>6</v>
      </c>
      <c r="P24" s="23">
        <v>4</v>
      </c>
      <c r="Q24" s="23">
        <v>5</v>
      </c>
      <c r="R24" s="23">
        <v>5</v>
      </c>
      <c r="S24" s="23">
        <v>5</v>
      </c>
      <c r="U24" s="23">
        <v>5</v>
      </c>
      <c r="V24" s="23">
        <v>5</v>
      </c>
      <c r="W24" s="23">
        <v>5</v>
      </c>
      <c r="Y24" s="23">
        <v>4</v>
      </c>
      <c r="Z24" s="23">
        <v>5</v>
      </c>
      <c r="AA24" s="23">
        <v>5</v>
      </c>
      <c r="AB24" s="23">
        <v>5</v>
      </c>
    </row>
    <row r="25" spans="2:28" x14ac:dyDescent="0.3">
      <c r="B25" s="81"/>
      <c r="C25" s="72"/>
      <c r="D25" s="76"/>
      <c r="E25" s="73"/>
      <c r="F25" s="22" t="s">
        <v>3</v>
      </c>
      <c r="G25" s="23"/>
      <c r="H25" s="23">
        <v>5</v>
      </c>
      <c r="I25" s="23">
        <v>5</v>
      </c>
      <c r="J25" s="23">
        <v>5</v>
      </c>
      <c r="K25" s="23">
        <v>5</v>
      </c>
      <c r="L25" s="23">
        <v>5</v>
      </c>
      <c r="M25" s="23">
        <v>5</v>
      </c>
      <c r="N25" s="23">
        <v>5</v>
      </c>
      <c r="O25" s="23">
        <v>5</v>
      </c>
      <c r="P25" s="23">
        <v>5</v>
      </c>
      <c r="Q25" s="23">
        <v>5</v>
      </c>
      <c r="R25" s="23">
        <v>5</v>
      </c>
      <c r="S25" s="23">
        <v>5</v>
      </c>
      <c r="U25" s="23">
        <v>5</v>
      </c>
      <c r="V25" s="23">
        <v>5</v>
      </c>
      <c r="W25" s="23">
        <v>5</v>
      </c>
      <c r="Y25" s="23">
        <v>5</v>
      </c>
      <c r="Z25" s="23">
        <v>5</v>
      </c>
      <c r="AA25" s="23">
        <v>5</v>
      </c>
      <c r="AB25" s="23">
        <v>5</v>
      </c>
    </row>
    <row r="26" spans="2:28" x14ac:dyDescent="0.3">
      <c r="B26" s="81"/>
      <c r="C26" s="72"/>
      <c r="D26" s="75" t="s">
        <v>113</v>
      </c>
      <c r="E26" s="72"/>
      <c r="F26" s="22" t="s">
        <v>2</v>
      </c>
      <c r="G26" s="23"/>
      <c r="H26" s="23">
        <v>3</v>
      </c>
      <c r="I26" s="23">
        <v>3</v>
      </c>
      <c r="J26" s="23">
        <v>3</v>
      </c>
      <c r="K26" s="23">
        <v>3</v>
      </c>
      <c r="L26" s="23">
        <v>4</v>
      </c>
      <c r="M26" s="23">
        <v>4</v>
      </c>
      <c r="N26" s="23">
        <v>5</v>
      </c>
      <c r="O26" s="23">
        <v>5</v>
      </c>
      <c r="P26" s="23">
        <v>5</v>
      </c>
      <c r="Q26" s="23">
        <v>5</v>
      </c>
      <c r="R26" s="23">
        <v>5</v>
      </c>
      <c r="S26" s="23">
        <v>5</v>
      </c>
      <c r="U26" s="23">
        <v>5</v>
      </c>
      <c r="V26" s="23">
        <v>4</v>
      </c>
      <c r="W26" s="23">
        <v>4</v>
      </c>
      <c r="Y26" s="23">
        <v>3</v>
      </c>
      <c r="Z26" s="23">
        <v>4</v>
      </c>
      <c r="AA26" s="23">
        <v>5</v>
      </c>
      <c r="AB26" s="23">
        <v>5</v>
      </c>
    </row>
    <row r="27" spans="2:28" x14ac:dyDescent="0.3">
      <c r="B27" s="76"/>
      <c r="C27" s="73"/>
      <c r="D27" s="76"/>
      <c r="E27" s="73"/>
      <c r="F27" s="22" t="s">
        <v>3</v>
      </c>
      <c r="G27" s="23"/>
      <c r="H27" s="23">
        <v>4</v>
      </c>
      <c r="I27" s="23">
        <v>4</v>
      </c>
      <c r="J27" s="23">
        <v>4</v>
      </c>
      <c r="K27" s="23">
        <v>4</v>
      </c>
      <c r="L27" s="23">
        <v>4</v>
      </c>
      <c r="M27" s="23">
        <v>4</v>
      </c>
      <c r="N27" s="23">
        <v>4</v>
      </c>
      <c r="O27" s="23">
        <v>4</v>
      </c>
      <c r="P27" s="23">
        <v>4</v>
      </c>
      <c r="Q27" s="23">
        <v>4</v>
      </c>
      <c r="R27" s="23">
        <v>4</v>
      </c>
      <c r="S27" s="23">
        <v>4</v>
      </c>
      <c r="U27" s="23">
        <v>4</v>
      </c>
      <c r="V27" s="23">
        <v>4</v>
      </c>
      <c r="W27" s="23">
        <v>4</v>
      </c>
      <c r="Y27" s="23">
        <v>4</v>
      </c>
      <c r="Z27" s="23">
        <v>4</v>
      </c>
      <c r="AA27" s="23">
        <v>4</v>
      </c>
      <c r="AB27" s="23">
        <v>4</v>
      </c>
    </row>
    <row r="28" spans="2:28" x14ac:dyDescent="0.3">
      <c r="B28" s="75" t="s">
        <v>117</v>
      </c>
      <c r="C28" s="72"/>
      <c r="D28" s="75" t="s">
        <v>118</v>
      </c>
      <c r="E28" s="72"/>
      <c r="F28" s="22" t="s">
        <v>2</v>
      </c>
      <c r="G28" s="23"/>
      <c r="H28" s="23">
        <v>6</v>
      </c>
      <c r="I28" s="23">
        <v>6</v>
      </c>
      <c r="J28" s="23">
        <v>6</v>
      </c>
      <c r="K28" s="23">
        <v>5</v>
      </c>
      <c r="L28" s="23">
        <v>5</v>
      </c>
      <c r="M28" s="23">
        <v>5</v>
      </c>
      <c r="N28" s="23">
        <v>5</v>
      </c>
      <c r="O28" s="23">
        <v>5</v>
      </c>
      <c r="P28" s="23">
        <v>5</v>
      </c>
      <c r="Q28" s="23">
        <v>5</v>
      </c>
      <c r="R28" s="23">
        <v>5</v>
      </c>
      <c r="S28" s="23">
        <v>5</v>
      </c>
      <c r="U28" s="23">
        <v>5</v>
      </c>
      <c r="V28" s="23">
        <v>5</v>
      </c>
      <c r="W28" s="23">
        <v>5</v>
      </c>
      <c r="Y28" s="23">
        <v>6</v>
      </c>
      <c r="Z28" s="23">
        <v>5</v>
      </c>
      <c r="AA28" s="23">
        <v>5</v>
      </c>
      <c r="AB28" s="23">
        <v>5</v>
      </c>
    </row>
    <row r="29" spans="2:28" x14ac:dyDescent="0.3">
      <c r="B29" s="81"/>
      <c r="C29" s="72"/>
      <c r="D29" s="76"/>
      <c r="E29" s="73"/>
      <c r="F29" s="22" t="s">
        <v>3</v>
      </c>
      <c r="G29" s="23"/>
      <c r="H29" s="23">
        <v>6</v>
      </c>
      <c r="I29" s="23">
        <v>6</v>
      </c>
      <c r="J29" s="23">
        <v>6</v>
      </c>
      <c r="K29" s="23">
        <v>6</v>
      </c>
      <c r="L29" s="23">
        <v>6</v>
      </c>
      <c r="M29" s="23">
        <v>6</v>
      </c>
      <c r="N29" s="23">
        <v>6</v>
      </c>
      <c r="O29" s="23">
        <v>6</v>
      </c>
      <c r="P29" s="23">
        <v>6</v>
      </c>
      <c r="Q29" s="23">
        <v>6</v>
      </c>
      <c r="R29" s="23">
        <v>6</v>
      </c>
      <c r="S29" s="23">
        <v>6</v>
      </c>
      <c r="U29" s="23">
        <v>6</v>
      </c>
      <c r="V29" s="23">
        <v>6</v>
      </c>
      <c r="W29" s="23">
        <v>6</v>
      </c>
      <c r="Y29" s="23">
        <v>6</v>
      </c>
      <c r="Z29" s="23">
        <v>6</v>
      </c>
      <c r="AA29" s="23">
        <v>6</v>
      </c>
      <c r="AB29" s="23">
        <v>6</v>
      </c>
    </row>
    <row r="30" spans="2:28" x14ac:dyDescent="0.3">
      <c r="B30" s="81"/>
      <c r="C30" s="72"/>
      <c r="D30" s="75" t="s">
        <v>31</v>
      </c>
      <c r="E30" s="72"/>
      <c r="F30" s="22" t="s">
        <v>2</v>
      </c>
      <c r="G30" s="23"/>
      <c r="H30" s="23">
        <v>4</v>
      </c>
      <c r="I30" s="23">
        <v>4</v>
      </c>
      <c r="J30" s="23">
        <v>4</v>
      </c>
      <c r="K30" s="23">
        <v>4</v>
      </c>
      <c r="L30" s="23">
        <v>4</v>
      </c>
      <c r="M30" s="23">
        <v>4</v>
      </c>
      <c r="N30" s="23">
        <v>4</v>
      </c>
      <c r="O30" s="23">
        <v>4</v>
      </c>
      <c r="P30" s="23">
        <v>4</v>
      </c>
      <c r="Q30" s="23">
        <v>4</v>
      </c>
      <c r="R30" s="23">
        <v>4</v>
      </c>
      <c r="S30" s="23">
        <v>4</v>
      </c>
      <c r="U30" s="23">
        <v>4</v>
      </c>
      <c r="V30" s="23">
        <v>4</v>
      </c>
      <c r="W30" s="23">
        <v>4</v>
      </c>
      <c r="Y30" s="23">
        <v>4</v>
      </c>
      <c r="Z30" s="23">
        <v>4</v>
      </c>
      <c r="AA30" s="23">
        <v>4</v>
      </c>
      <c r="AB30" s="23">
        <v>4</v>
      </c>
    </row>
    <row r="31" spans="2:28" x14ac:dyDescent="0.3">
      <c r="B31" s="81"/>
      <c r="C31" s="72"/>
      <c r="D31" s="76"/>
      <c r="E31" s="73"/>
      <c r="F31" s="22" t="s">
        <v>3</v>
      </c>
      <c r="G31" s="23"/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3</v>
      </c>
      <c r="N31" s="23">
        <v>3</v>
      </c>
      <c r="O31" s="23">
        <v>3</v>
      </c>
      <c r="P31" s="23">
        <v>3</v>
      </c>
      <c r="Q31" s="23">
        <v>3</v>
      </c>
      <c r="R31" s="23">
        <v>3</v>
      </c>
      <c r="S31" s="23">
        <v>3</v>
      </c>
      <c r="U31" s="23">
        <v>3</v>
      </c>
      <c r="V31" s="23">
        <v>3</v>
      </c>
      <c r="W31" s="23">
        <v>3</v>
      </c>
      <c r="Y31" s="23">
        <v>3</v>
      </c>
      <c r="Z31" s="23">
        <v>3</v>
      </c>
      <c r="AA31" s="23">
        <v>3</v>
      </c>
      <c r="AB31" s="23">
        <v>3</v>
      </c>
    </row>
    <row r="32" spans="2:28" x14ac:dyDescent="0.3">
      <c r="B32" s="81"/>
      <c r="C32" s="72"/>
      <c r="D32" s="75" t="s">
        <v>117</v>
      </c>
      <c r="E32" s="72"/>
      <c r="F32" s="22" t="s">
        <v>2</v>
      </c>
      <c r="G32" s="23"/>
      <c r="H32" s="23">
        <v>9</v>
      </c>
      <c r="I32" s="23">
        <v>9</v>
      </c>
      <c r="J32" s="23">
        <v>9</v>
      </c>
      <c r="K32" s="23">
        <v>10</v>
      </c>
      <c r="L32" s="23">
        <v>10</v>
      </c>
      <c r="M32" s="23">
        <v>10</v>
      </c>
      <c r="N32" s="23">
        <v>10</v>
      </c>
      <c r="O32" s="23">
        <v>10</v>
      </c>
      <c r="P32" s="23">
        <v>10</v>
      </c>
      <c r="Q32" s="23">
        <v>10</v>
      </c>
      <c r="R32" s="23">
        <v>10</v>
      </c>
      <c r="S32" s="23">
        <v>10</v>
      </c>
      <c r="U32" s="23">
        <v>10</v>
      </c>
      <c r="V32" s="23">
        <v>10</v>
      </c>
      <c r="W32" s="23">
        <v>10</v>
      </c>
      <c r="Y32" s="23">
        <v>9</v>
      </c>
      <c r="Z32" s="23">
        <v>10</v>
      </c>
      <c r="AA32" s="23">
        <v>10</v>
      </c>
      <c r="AB32" s="23">
        <v>10</v>
      </c>
    </row>
    <row r="33" spans="2:28" x14ac:dyDescent="0.3">
      <c r="B33" s="76"/>
      <c r="C33" s="73"/>
      <c r="D33" s="76"/>
      <c r="E33" s="73"/>
      <c r="F33" s="22" t="s">
        <v>3</v>
      </c>
      <c r="G33" s="23"/>
      <c r="H33" s="23">
        <v>10</v>
      </c>
      <c r="I33" s="23">
        <v>10</v>
      </c>
      <c r="J33" s="23">
        <v>10</v>
      </c>
      <c r="K33" s="23">
        <v>10</v>
      </c>
      <c r="L33" s="23">
        <v>10</v>
      </c>
      <c r="M33" s="23">
        <v>10</v>
      </c>
      <c r="N33" s="23">
        <v>10</v>
      </c>
      <c r="O33" s="23">
        <v>10</v>
      </c>
      <c r="P33" s="23">
        <v>10</v>
      </c>
      <c r="Q33" s="23">
        <v>10</v>
      </c>
      <c r="R33" s="23">
        <v>10</v>
      </c>
      <c r="S33" s="23">
        <v>10</v>
      </c>
      <c r="U33" s="23">
        <v>10</v>
      </c>
      <c r="V33" s="23">
        <v>10</v>
      </c>
      <c r="W33" s="23">
        <v>10</v>
      </c>
      <c r="Y33" s="23">
        <v>10</v>
      </c>
      <c r="Z33" s="23">
        <v>10</v>
      </c>
      <c r="AA33" s="23">
        <v>10</v>
      </c>
      <c r="AB33" s="23">
        <v>10</v>
      </c>
    </row>
    <row r="34" spans="2:28" x14ac:dyDescent="0.3">
      <c r="B34" s="75" t="s">
        <v>38</v>
      </c>
      <c r="C34" s="72"/>
      <c r="D34" s="75" t="s">
        <v>39</v>
      </c>
      <c r="E34" s="72"/>
      <c r="F34" s="22" t="s">
        <v>2</v>
      </c>
      <c r="G34" s="23"/>
      <c r="H34" s="23">
        <v>7</v>
      </c>
      <c r="I34" s="23">
        <v>7</v>
      </c>
      <c r="J34" s="23">
        <v>7</v>
      </c>
      <c r="K34" s="23">
        <v>7</v>
      </c>
      <c r="L34" s="23">
        <v>7</v>
      </c>
      <c r="M34" s="23">
        <v>7</v>
      </c>
      <c r="N34" s="23">
        <v>7</v>
      </c>
      <c r="O34" s="23">
        <v>7</v>
      </c>
      <c r="P34" s="23">
        <v>7</v>
      </c>
      <c r="Q34" s="23">
        <v>7</v>
      </c>
      <c r="R34" s="23">
        <v>7</v>
      </c>
      <c r="S34" s="23">
        <v>7</v>
      </c>
      <c r="U34" s="23">
        <v>7</v>
      </c>
      <c r="V34" s="23">
        <v>7</v>
      </c>
      <c r="W34" s="23">
        <v>7</v>
      </c>
      <c r="Y34" s="23">
        <v>7</v>
      </c>
      <c r="Z34" s="23">
        <v>7</v>
      </c>
      <c r="AA34" s="23">
        <v>7</v>
      </c>
      <c r="AB34" s="23">
        <v>7</v>
      </c>
    </row>
    <row r="35" spans="2:28" x14ac:dyDescent="0.3">
      <c r="B35" s="81"/>
      <c r="C35" s="72"/>
      <c r="D35" s="76"/>
      <c r="E35" s="73"/>
      <c r="F35" s="22" t="s">
        <v>3</v>
      </c>
      <c r="G35" s="23"/>
      <c r="H35" s="23">
        <v>8</v>
      </c>
      <c r="I35" s="23">
        <v>8</v>
      </c>
      <c r="J35" s="23">
        <v>8</v>
      </c>
      <c r="K35" s="23">
        <v>8</v>
      </c>
      <c r="L35" s="23">
        <v>8</v>
      </c>
      <c r="M35" s="23">
        <v>8</v>
      </c>
      <c r="N35" s="23">
        <v>8</v>
      </c>
      <c r="O35" s="23">
        <v>8</v>
      </c>
      <c r="P35" s="23">
        <v>8</v>
      </c>
      <c r="Q35" s="23">
        <v>8</v>
      </c>
      <c r="R35" s="23">
        <v>8</v>
      </c>
      <c r="S35" s="23">
        <v>8</v>
      </c>
      <c r="U35" s="23">
        <v>8</v>
      </c>
      <c r="V35" s="23">
        <v>8</v>
      </c>
      <c r="W35" s="23">
        <v>8</v>
      </c>
      <c r="Y35" s="23">
        <v>8</v>
      </c>
      <c r="Z35" s="23">
        <v>8</v>
      </c>
      <c r="AA35" s="23">
        <v>8</v>
      </c>
      <c r="AB35" s="23">
        <v>8</v>
      </c>
    </row>
    <row r="36" spans="2:28" x14ac:dyDescent="0.3">
      <c r="B36" s="81"/>
      <c r="C36" s="72"/>
      <c r="D36" s="75" t="s">
        <v>40</v>
      </c>
      <c r="E36" s="72"/>
      <c r="F36" s="22" t="s">
        <v>2</v>
      </c>
      <c r="G36" s="23"/>
      <c r="H36" s="23">
        <v>4</v>
      </c>
      <c r="I36" s="23">
        <v>4</v>
      </c>
      <c r="J36" s="23">
        <v>4</v>
      </c>
      <c r="K36" s="23">
        <v>4</v>
      </c>
      <c r="L36" s="23">
        <v>4</v>
      </c>
      <c r="M36" s="23">
        <v>4</v>
      </c>
      <c r="N36" s="23">
        <v>4</v>
      </c>
      <c r="O36" s="23">
        <v>4</v>
      </c>
      <c r="P36" s="23">
        <v>4</v>
      </c>
      <c r="Q36" s="23">
        <v>4</v>
      </c>
      <c r="R36" s="23">
        <v>4</v>
      </c>
      <c r="S36" s="23">
        <v>4</v>
      </c>
      <c r="U36" s="23">
        <v>4</v>
      </c>
      <c r="V36" s="23">
        <v>4</v>
      </c>
      <c r="W36" s="23">
        <v>4</v>
      </c>
      <c r="Y36" s="23">
        <v>4</v>
      </c>
      <c r="Z36" s="23">
        <v>4</v>
      </c>
      <c r="AA36" s="23">
        <v>4</v>
      </c>
      <c r="AB36" s="23">
        <v>4</v>
      </c>
    </row>
    <row r="37" spans="2:28" x14ac:dyDescent="0.3">
      <c r="B37" s="81"/>
      <c r="C37" s="72"/>
      <c r="D37" s="76"/>
      <c r="E37" s="73"/>
      <c r="F37" s="22" t="s">
        <v>3</v>
      </c>
      <c r="G37" s="23"/>
      <c r="H37" s="23">
        <v>5</v>
      </c>
      <c r="I37" s="23">
        <v>5</v>
      </c>
      <c r="J37" s="23">
        <v>5</v>
      </c>
      <c r="K37" s="23">
        <v>5</v>
      </c>
      <c r="L37" s="23">
        <v>5</v>
      </c>
      <c r="M37" s="23">
        <v>5</v>
      </c>
      <c r="N37" s="23">
        <v>5</v>
      </c>
      <c r="O37" s="23">
        <v>5</v>
      </c>
      <c r="P37" s="23">
        <v>5</v>
      </c>
      <c r="Q37" s="23">
        <v>5</v>
      </c>
      <c r="R37" s="23">
        <v>5</v>
      </c>
      <c r="S37" s="23">
        <v>5</v>
      </c>
      <c r="U37" s="23">
        <v>5</v>
      </c>
      <c r="V37" s="23">
        <v>5</v>
      </c>
      <c r="W37" s="23">
        <v>5</v>
      </c>
      <c r="Y37" s="23">
        <v>5</v>
      </c>
      <c r="Z37" s="23">
        <v>5</v>
      </c>
      <c r="AA37" s="23">
        <v>5</v>
      </c>
      <c r="AB37" s="23">
        <v>5</v>
      </c>
    </row>
    <row r="38" spans="2:28" x14ac:dyDescent="0.3">
      <c r="B38" s="81"/>
      <c r="C38" s="72"/>
      <c r="D38" s="75" t="s">
        <v>119</v>
      </c>
      <c r="E38" s="72"/>
      <c r="F38" s="22" t="s">
        <v>2</v>
      </c>
      <c r="G38" s="23"/>
      <c r="H38" s="23">
        <v>2</v>
      </c>
      <c r="I38" s="23">
        <v>2</v>
      </c>
      <c r="J38" s="23">
        <v>2</v>
      </c>
      <c r="K38" s="23">
        <v>2</v>
      </c>
      <c r="L38" s="23">
        <v>2</v>
      </c>
      <c r="M38" s="23">
        <v>3</v>
      </c>
      <c r="N38" s="23">
        <v>3</v>
      </c>
      <c r="O38" s="23">
        <v>3</v>
      </c>
      <c r="P38" s="23">
        <v>2</v>
      </c>
      <c r="Q38" s="23">
        <v>2</v>
      </c>
      <c r="R38" s="23">
        <v>2</v>
      </c>
      <c r="S38" s="23">
        <v>2</v>
      </c>
      <c r="U38" s="23">
        <v>2</v>
      </c>
      <c r="V38" s="23">
        <v>2</v>
      </c>
      <c r="W38" s="23">
        <v>2</v>
      </c>
      <c r="Y38" s="23">
        <v>2</v>
      </c>
      <c r="Z38" s="23">
        <v>2</v>
      </c>
      <c r="AA38" s="23">
        <v>3</v>
      </c>
      <c r="AB38" s="23">
        <v>2</v>
      </c>
    </row>
    <row r="39" spans="2:28" x14ac:dyDescent="0.3">
      <c r="B39" s="76"/>
      <c r="C39" s="73"/>
      <c r="D39" s="76"/>
      <c r="E39" s="73"/>
      <c r="F39" s="22" t="s">
        <v>3</v>
      </c>
      <c r="G39" s="23"/>
      <c r="H39" s="23">
        <v>2</v>
      </c>
      <c r="I39" s="23">
        <v>2</v>
      </c>
      <c r="J39" s="23">
        <v>2</v>
      </c>
      <c r="K39" s="23">
        <v>2</v>
      </c>
      <c r="L39" s="23">
        <v>2</v>
      </c>
      <c r="M39" s="23">
        <v>2</v>
      </c>
      <c r="N39" s="23">
        <v>2</v>
      </c>
      <c r="O39" s="23">
        <v>2</v>
      </c>
      <c r="P39" s="23">
        <v>2</v>
      </c>
      <c r="Q39" s="23">
        <v>2</v>
      </c>
      <c r="R39" s="23">
        <v>2</v>
      </c>
      <c r="S39" s="23">
        <v>2</v>
      </c>
      <c r="U39" s="23">
        <v>2</v>
      </c>
      <c r="V39" s="23">
        <v>2</v>
      </c>
      <c r="W39" s="23">
        <v>2</v>
      </c>
      <c r="Y39" s="23">
        <v>2</v>
      </c>
      <c r="Z39" s="23">
        <v>2</v>
      </c>
      <c r="AA39" s="23">
        <v>2</v>
      </c>
      <c r="AB39" s="23">
        <v>2</v>
      </c>
    </row>
    <row r="40" spans="2:28" x14ac:dyDescent="0.3">
      <c r="B40" s="75" t="s">
        <v>42</v>
      </c>
      <c r="C40" s="72"/>
      <c r="D40" s="75" t="s">
        <v>120</v>
      </c>
      <c r="E40" s="72"/>
      <c r="F40" s="22" t="s">
        <v>2</v>
      </c>
      <c r="G40" s="23"/>
      <c r="H40" s="23">
        <v>5</v>
      </c>
      <c r="I40" s="23">
        <v>5</v>
      </c>
      <c r="J40" s="23">
        <v>5</v>
      </c>
      <c r="K40" s="23">
        <v>4</v>
      </c>
      <c r="L40" s="23">
        <v>4</v>
      </c>
      <c r="M40" s="23">
        <v>4</v>
      </c>
      <c r="N40" s="23">
        <v>5</v>
      </c>
      <c r="O40" s="23">
        <v>5</v>
      </c>
      <c r="P40" s="23">
        <v>5</v>
      </c>
      <c r="Q40" s="23">
        <v>5</v>
      </c>
      <c r="R40" s="23">
        <v>5</v>
      </c>
      <c r="S40" s="23">
        <v>4</v>
      </c>
      <c r="U40" s="23">
        <v>4</v>
      </c>
      <c r="V40" s="23">
        <v>5</v>
      </c>
      <c r="W40" s="23">
        <v>5</v>
      </c>
      <c r="Y40" s="23">
        <v>5</v>
      </c>
      <c r="Z40" s="23">
        <v>4</v>
      </c>
      <c r="AA40" s="23">
        <v>5</v>
      </c>
      <c r="AB40" s="23">
        <v>5</v>
      </c>
    </row>
    <row r="41" spans="2:28" x14ac:dyDescent="0.3">
      <c r="B41" s="81"/>
      <c r="C41" s="72"/>
      <c r="D41" s="76"/>
      <c r="E41" s="73"/>
      <c r="F41" s="22" t="s">
        <v>3</v>
      </c>
      <c r="G41" s="23"/>
      <c r="H41" s="23">
        <v>5</v>
      </c>
      <c r="I41" s="23">
        <v>5</v>
      </c>
      <c r="J41" s="23">
        <v>5</v>
      </c>
      <c r="K41" s="23">
        <v>5</v>
      </c>
      <c r="L41" s="23">
        <v>3</v>
      </c>
      <c r="M41" s="23">
        <v>3</v>
      </c>
      <c r="N41" s="23">
        <v>3</v>
      </c>
      <c r="O41" s="23">
        <v>3</v>
      </c>
      <c r="P41" s="23">
        <v>3</v>
      </c>
      <c r="Q41" s="23">
        <v>3</v>
      </c>
      <c r="R41" s="23">
        <v>3</v>
      </c>
      <c r="S41" s="23">
        <v>3</v>
      </c>
      <c r="U41" s="23">
        <v>3</v>
      </c>
      <c r="V41" s="23">
        <v>4</v>
      </c>
      <c r="W41" s="23">
        <v>4</v>
      </c>
      <c r="Y41" s="23">
        <v>5</v>
      </c>
      <c r="Z41" s="23">
        <v>4</v>
      </c>
      <c r="AA41" s="23">
        <v>3</v>
      </c>
      <c r="AB41" s="23">
        <v>3</v>
      </c>
    </row>
    <row r="42" spans="2:28" x14ac:dyDescent="0.3">
      <c r="B42" s="81"/>
      <c r="C42" s="72"/>
      <c r="D42" s="75" t="s">
        <v>44</v>
      </c>
      <c r="E42" s="72"/>
      <c r="F42" s="22" t="s">
        <v>2</v>
      </c>
      <c r="G42" s="23"/>
      <c r="H42" s="23">
        <v>8</v>
      </c>
      <c r="I42" s="23">
        <v>8</v>
      </c>
      <c r="J42" s="23">
        <v>7</v>
      </c>
      <c r="K42" s="23">
        <v>7</v>
      </c>
      <c r="L42" s="23">
        <v>7</v>
      </c>
      <c r="M42" s="23">
        <v>7</v>
      </c>
      <c r="N42" s="23">
        <v>8</v>
      </c>
      <c r="O42" s="23">
        <v>8</v>
      </c>
      <c r="P42" s="23">
        <v>9</v>
      </c>
      <c r="Q42" s="23">
        <v>9</v>
      </c>
      <c r="R42" s="23">
        <v>9</v>
      </c>
      <c r="S42" s="23">
        <v>9</v>
      </c>
      <c r="U42" s="23">
        <v>9</v>
      </c>
      <c r="V42" s="23">
        <v>8</v>
      </c>
      <c r="W42" s="23">
        <v>8</v>
      </c>
      <c r="Y42" s="23">
        <v>8</v>
      </c>
      <c r="Z42" s="23">
        <v>7</v>
      </c>
      <c r="AA42" s="23">
        <v>8</v>
      </c>
      <c r="AB42" s="23">
        <v>9</v>
      </c>
    </row>
    <row r="43" spans="2:28" x14ac:dyDescent="0.3">
      <c r="B43" s="81"/>
      <c r="C43" s="72"/>
      <c r="D43" s="76"/>
      <c r="E43" s="73"/>
      <c r="F43" s="22" t="s">
        <v>3</v>
      </c>
      <c r="G43" s="23"/>
      <c r="H43" s="23">
        <v>9</v>
      </c>
      <c r="I43" s="23">
        <v>9</v>
      </c>
      <c r="J43" s="23">
        <v>9</v>
      </c>
      <c r="K43" s="23">
        <v>9</v>
      </c>
      <c r="L43" s="23">
        <v>9</v>
      </c>
      <c r="M43" s="23">
        <v>9</v>
      </c>
      <c r="N43" s="23">
        <v>9</v>
      </c>
      <c r="O43" s="23">
        <v>9</v>
      </c>
      <c r="P43" s="23">
        <v>9</v>
      </c>
      <c r="Q43" s="23">
        <v>9</v>
      </c>
      <c r="R43" s="23">
        <v>9</v>
      </c>
      <c r="S43" s="23">
        <v>9</v>
      </c>
      <c r="U43" s="23">
        <v>9</v>
      </c>
      <c r="V43" s="23">
        <v>9</v>
      </c>
      <c r="W43" s="23">
        <v>9</v>
      </c>
      <c r="Y43" s="23">
        <v>9</v>
      </c>
      <c r="Z43" s="23">
        <v>9</v>
      </c>
      <c r="AA43" s="23">
        <v>9</v>
      </c>
      <c r="AB43" s="23">
        <v>9</v>
      </c>
    </row>
    <row r="44" spans="2:28" x14ac:dyDescent="0.3">
      <c r="B44" s="81"/>
      <c r="C44" s="72"/>
      <c r="D44" s="75" t="s">
        <v>42</v>
      </c>
      <c r="E44" s="72"/>
      <c r="F44" s="22" t="s">
        <v>2</v>
      </c>
      <c r="G44" s="23"/>
      <c r="H44" s="23">
        <v>4</v>
      </c>
      <c r="I44" s="23">
        <v>4</v>
      </c>
      <c r="J44" s="23">
        <v>4</v>
      </c>
      <c r="K44" s="23">
        <v>4</v>
      </c>
      <c r="L44" s="23">
        <v>4</v>
      </c>
      <c r="M44" s="23">
        <v>4</v>
      </c>
      <c r="N44" s="23">
        <v>4</v>
      </c>
      <c r="O44" s="23">
        <v>4</v>
      </c>
      <c r="P44" s="23">
        <v>4</v>
      </c>
      <c r="Q44" s="23">
        <v>5</v>
      </c>
      <c r="R44" s="23">
        <v>5</v>
      </c>
      <c r="S44" s="23">
        <v>5</v>
      </c>
      <c r="U44" s="23">
        <v>5</v>
      </c>
      <c r="V44" s="23">
        <v>4</v>
      </c>
      <c r="W44" s="23">
        <v>4</v>
      </c>
      <c r="Y44" s="23">
        <v>4</v>
      </c>
      <c r="Z44" s="23">
        <v>4</v>
      </c>
      <c r="AA44" s="23">
        <v>4</v>
      </c>
      <c r="AB44" s="23">
        <v>5</v>
      </c>
    </row>
    <row r="45" spans="2:28" x14ac:dyDescent="0.3">
      <c r="B45" s="76"/>
      <c r="C45" s="73"/>
      <c r="D45" s="76"/>
      <c r="E45" s="73"/>
      <c r="F45" s="22" t="s">
        <v>3</v>
      </c>
      <c r="G45" s="23"/>
      <c r="H45" s="23">
        <v>5</v>
      </c>
      <c r="I45" s="23">
        <v>5</v>
      </c>
      <c r="J45" s="23">
        <v>5</v>
      </c>
      <c r="K45" s="23">
        <v>5</v>
      </c>
      <c r="L45" s="23">
        <v>5</v>
      </c>
      <c r="M45" s="23">
        <v>5</v>
      </c>
      <c r="N45" s="23">
        <v>5</v>
      </c>
      <c r="O45" s="23">
        <v>5</v>
      </c>
      <c r="P45" s="23">
        <v>5</v>
      </c>
      <c r="Q45" s="23">
        <v>5</v>
      </c>
      <c r="R45" s="23">
        <v>5</v>
      </c>
      <c r="S45" s="23">
        <v>5</v>
      </c>
      <c r="U45" s="23">
        <v>5</v>
      </c>
      <c r="V45" s="23">
        <v>5</v>
      </c>
      <c r="W45" s="23">
        <v>5</v>
      </c>
      <c r="Y45" s="23">
        <v>5</v>
      </c>
      <c r="Z45" s="23">
        <v>5</v>
      </c>
      <c r="AA45" s="23">
        <v>5</v>
      </c>
      <c r="AB45" s="23">
        <v>5</v>
      </c>
    </row>
    <row r="46" spans="2:28" x14ac:dyDescent="0.3">
      <c r="B46" s="75" t="s">
        <v>121</v>
      </c>
      <c r="C46" s="72"/>
      <c r="D46" s="75" t="s">
        <v>122</v>
      </c>
      <c r="E46" s="72"/>
      <c r="F46" s="22" t="s">
        <v>2</v>
      </c>
      <c r="G46" s="23"/>
      <c r="H46" s="23">
        <v>5</v>
      </c>
      <c r="I46" s="23">
        <v>5</v>
      </c>
      <c r="J46" s="23">
        <v>5</v>
      </c>
      <c r="K46" s="23">
        <v>6</v>
      </c>
      <c r="L46" s="23">
        <v>6</v>
      </c>
      <c r="M46" s="23">
        <v>5</v>
      </c>
      <c r="N46" s="23">
        <v>5</v>
      </c>
      <c r="O46" s="23">
        <v>5</v>
      </c>
      <c r="P46" s="23">
        <v>5</v>
      </c>
      <c r="Q46" s="23">
        <v>5</v>
      </c>
      <c r="R46" s="23">
        <v>5</v>
      </c>
      <c r="S46" s="23">
        <v>5</v>
      </c>
      <c r="U46" s="23">
        <v>5</v>
      </c>
      <c r="V46" s="23">
        <v>5</v>
      </c>
      <c r="W46" s="23">
        <v>5</v>
      </c>
      <c r="Y46" s="23">
        <v>5</v>
      </c>
      <c r="Z46" s="23">
        <v>6</v>
      </c>
      <c r="AA46" s="23">
        <v>5</v>
      </c>
      <c r="AB46" s="23">
        <v>5</v>
      </c>
    </row>
    <row r="47" spans="2:28" x14ac:dyDescent="0.3">
      <c r="B47" s="81"/>
      <c r="C47" s="72"/>
      <c r="D47" s="76"/>
      <c r="E47" s="73"/>
      <c r="F47" s="22" t="s">
        <v>3</v>
      </c>
      <c r="G47" s="23"/>
      <c r="H47" s="23">
        <v>6</v>
      </c>
      <c r="I47" s="23">
        <v>6</v>
      </c>
      <c r="J47" s="23">
        <v>6</v>
      </c>
      <c r="K47" s="23">
        <v>5</v>
      </c>
      <c r="L47" s="23">
        <v>5</v>
      </c>
      <c r="M47" s="23">
        <v>5</v>
      </c>
      <c r="N47" s="23">
        <v>5</v>
      </c>
      <c r="O47" s="23">
        <v>5</v>
      </c>
      <c r="P47" s="23">
        <v>5</v>
      </c>
      <c r="Q47" s="23">
        <v>5</v>
      </c>
      <c r="R47" s="23">
        <v>5</v>
      </c>
      <c r="S47" s="23">
        <v>5</v>
      </c>
      <c r="U47" s="23">
        <v>5</v>
      </c>
      <c r="V47" s="23">
        <v>5</v>
      </c>
      <c r="W47" s="23">
        <v>5</v>
      </c>
      <c r="Y47" s="23">
        <v>6</v>
      </c>
      <c r="Z47" s="23">
        <v>5</v>
      </c>
      <c r="AA47" s="23">
        <v>5</v>
      </c>
      <c r="AB47" s="23">
        <v>5</v>
      </c>
    </row>
    <row r="48" spans="2:28" x14ac:dyDescent="0.3">
      <c r="B48" s="81"/>
      <c r="C48" s="72"/>
      <c r="D48" s="75" t="s">
        <v>123</v>
      </c>
      <c r="E48" s="72"/>
      <c r="F48" s="22" t="s">
        <v>2</v>
      </c>
      <c r="G48" s="23"/>
      <c r="H48" s="23">
        <v>4</v>
      </c>
      <c r="I48" s="23">
        <v>4</v>
      </c>
      <c r="J48" s="23">
        <v>4</v>
      </c>
      <c r="K48" s="23">
        <v>4</v>
      </c>
      <c r="L48" s="23">
        <v>4</v>
      </c>
      <c r="M48" s="23">
        <v>3</v>
      </c>
      <c r="N48" s="23">
        <v>4</v>
      </c>
      <c r="O48" s="23">
        <v>4</v>
      </c>
      <c r="P48" s="23">
        <v>4</v>
      </c>
      <c r="Q48" s="23">
        <v>4</v>
      </c>
      <c r="R48" s="23">
        <v>4</v>
      </c>
      <c r="S48" s="23">
        <v>4</v>
      </c>
      <c r="U48" s="23">
        <v>4</v>
      </c>
      <c r="V48" s="23">
        <v>4</v>
      </c>
      <c r="W48" s="23">
        <v>4</v>
      </c>
      <c r="Y48" s="23">
        <v>4</v>
      </c>
      <c r="Z48" s="23">
        <v>4</v>
      </c>
      <c r="AA48" s="23">
        <v>4</v>
      </c>
      <c r="AB48" s="23">
        <v>4</v>
      </c>
    </row>
    <row r="49" spans="2:28" x14ac:dyDescent="0.3">
      <c r="B49" s="81"/>
      <c r="C49" s="72"/>
      <c r="D49" s="76"/>
      <c r="E49" s="73"/>
      <c r="F49" s="22" t="s">
        <v>3</v>
      </c>
      <c r="G49" s="23"/>
      <c r="H49" s="23">
        <v>4</v>
      </c>
      <c r="I49" s="23">
        <v>4</v>
      </c>
      <c r="J49" s="23">
        <v>4</v>
      </c>
      <c r="K49" s="23">
        <v>4</v>
      </c>
      <c r="L49" s="23">
        <v>4</v>
      </c>
      <c r="M49" s="23">
        <v>4</v>
      </c>
      <c r="N49" s="23">
        <v>4</v>
      </c>
      <c r="O49" s="23">
        <v>4</v>
      </c>
      <c r="P49" s="23">
        <v>4</v>
      </c>
      <c r="Q49" s="23">
        <v>4</v>
      </c>
      <c r="R49" s="23">
        <v>4</v>
      </c>
      <c r="S49" s="23">
        <v>4</v>
      </c>
      <c r="U49" s="23">
        <v>4</v>
      </c>
      <c r="V49" s="23">
        <v>4</v>
      </c>
      <c r="W49" s="23">
        <v>4</v>
      </c>
      <c r="Y49" s="23">
        <v>4</v>
      </c>
      <c r="Z49" s="23">
        <v>4</v>
      </c>
      <c r="AA49" s="23">
        <v>4</v>
      </c>
      <c r="AB49" s="23">
        <v>4</v>
      </c>
    </row>
    <row r="50" spans="2:28" x14ac:dyDescent="0.3">
      <c r="B50" s="81"/>
      <c r="C50" s="72"/>
      <c r="D50" s="75" t="s">
        <v>124</v>
      </c>
      <c r="E50" s="72"/>
      <c r="F50" s="22" t="s">
        <v>2</v>
      </c>
      <c r="G50" s="23"/>
      <c r="H50" s="23">
        <v>11</v>
      </c>
      <c r="I50" s="23">
        <v>11</v>
      </c>
      <c r="J50" s="23">
        <v>10</v>
      </c>
      <c r="K50" s="23">
        <v>9</v>
      </c>
      <c r="L50" s="23">
        <v>9</v>
      </c>
      <c r="M50" s="23">
        <v>9</v>
      </c>
      <c r="N50" s="23">
        <v>10</v>
      </c>
      <c r="O50" s="23">
        <v>11</v>
      </c>
      <c r="P50" s="23">
        <v>11</v>
      </c>
      <c r="Q50" s="23">
        <v>11</v>
      </c>
      <c r="R50" s="23">
        <v>11</v>
      </c>
      <c r="S50" s="23">
        <v>9</v>
      </c>
      <c r="U50" s="23">
        <v>9</v>
      </c>
      <c r="V50" s="23">
        <v>10</v>
      </c>
      <c r="W50" s="23">
        <v>10</v>
      </c>
      <c r="Y50" s="23">
        <v>11</v>
      </c>
      <c r="Z50" s="23">
        <v>9</v>
      </c>
      <c r="AA50" s="23">
        <v>11</v>
      </c>
      <c r="AB50" s="23">
        <v>10</v>
      </c>
    </row>
    <row r="51" spans="2:28" x14ac:dyDescent="0.3">
      <c r="B51" s="81"/>
      <c r="C51" s="72"/>
      <c r="D51" s="76"/>
      <c r="E51" s="73"/>
      <c r="F51" s="22" t="s">
        <v>3</v>
      </c>
      <c r="G51" s="23"/>
      <c r="H51" s="23">
        <v>12</v>
      </c>
      <c r="I51" s="23">
        <v>12</v>
      </c>
      <c r="J51" s="23">
        <v>12</v>
      </c>
      <c r="K51" s="23">
        <v>12</v>
      </c>
      <c r="L51" s="23">
        <v>12</v>
      </c>
      <c r="M51" s="23">
        <v>12</v>
      </c>
      <c r="N51" s="23">
        <v>12</v>
      </c>
      <c r="O51" s="23">
        <v>12</v>
      </c>
      <c r="P51" s="23">
        <v>12</v>
      </c>
      <c r="Q51" s="23">
        <v>12</v>
      </c>
      <c r="R51" s="23">
        <v>12</v>
      </c>
      <c r="S51" s="23">
        <v>12</v>
      </c>
      <c r="U51" s="23">
        <v>12</v>
      </c>
      <c r="V51" s="23">
        <v>12</v>
      </c>
      <c r="W51" s="23">
        <v>12</v>
      </c>
      <c r="Y51" s="23">
        <v>12</v>
      </c>
      <c r="Z51" s="23">
        <v>12</v>
      </c>
      <c r="AA51" s="23">
        <v>12</v>
      </c>
      <c r="AB51" s="23">
        <v>12</v>
      </c>
    </row>
    <row r="52" spans="2:28" x14ac:dyDescent="0.3">
      <c r="B52" s="81"/>
      <c r="C52" s="72"/>
      <c r="D52" s="75" t="s">
        <v>125</v>
      </c>
      <c r="E52" s="72"/>
      <c r="F52" s="22" t="s">
        <v>2</v>
      </c>
      <c r="G52" s="23"/>
      <c r="H52" s="23">
        <v>55</v>
      </c>
      <c r="I52" s="23">
        <v>54</v>
      </c>
      <c r="J52" s="23">
        <v>54</v>
      </c>
      <c r="K52" s="23">
        <v>54</v>
      </c>
      <c r="L52" s="23">
        <v>55</v>
      </c>
      <c r="M52" s="23">
        <v>54</v>
      </c>
      <c r="N52" s="23">
        <v>53</v>
      </c>
      <c r="O52" s="23">
        <v>53</v>
      </c>
      <c r="P52" s="23">
        <v>54</v>
      </c>
      <c r="Q52" s="23">
        <v>54</v>
      </c>
      <c r="R52" s="23">
        <v>53</v>
      </c>
      <c r="S52" s="23">
        <v>54</v>
      </c>
      <c r="U52" s="23">
        <v>54</v>
      </c>
      <c r="V52" s="23">
        <v>54</v>
      </c>
      <c r="W52" s="23">
        <v>54</v>
      </c>
      <c r="Y52" s="23">
        <v>54</v>
      </c>
      <c r="Z52" s="23">
        <v>54</v>
      </c>
      <c r="AA52" s="23">
        <v>53</v>
      </c>
      <c r="AB52" s="23">
        <v>54</v>
      </c>
    </row>
    <row r="53" spans="2:28" x14ac:dyDescent="0.3">
      <c r="B53" s="81"/>
      <c r="C53" s="72"/>
      <c r="D53" s="76"/>
      <c r="E53" s="73"/>
      <c r="F53" s="22" t="s">
        <v>3</v>
      </c>
      <c r="G53" s="23"/>
      <c r="H53" s="23">
        <v>55</v>
      </c>
      <c r="I53" s="23">
        <v>55</v>
      </c>
      <c r="J53" s="23">
        <v>55</v>
      </c>
      <c r="K53" s="23">
        <v>55</v>
      </c>
      <c r="L53" s="23">
        <v>55</v>
      </c>
      <c r="M53" s="23">
        <v>55</v>
      </c>
      <c r="N53" s="23">
        <v>55</v>
      </c>
      <c r="O53" s="23">
        <v>55</v>
      </c>
      <c r="P53" s="23">
        <v>55</v>
      </c>
      <c r="Q53" s="23">
        <v>55</v>
      </c>
      <c r="R53" s="23">
        <v>55</v>
      </c>
      <c r="S53" s="23">
        <v>55</v>
      </c>
      <c r="U53" s="23">
        <v>55</v>
      </c>
      <c r="V53" s="23">
        <v>55</v>
      </c>
      <c r="W53" s="23">
        <v>55</v>
      </c>
      <c r="Y53" s="23">
        <v>55</v>
      </c>
      <c r="Z53" s="23">
        <v>55</v>
      </c>
      <c r="AA53" s="23">
        <v>55</v>
      </c>
      <c r="AB53" s="23">
        <v>55</v>
      </c>
    </row>
    <row r="54" spans="2:28" x14ac:dyDescent="0.3">
      <c r="B54" s="81"/>
      <c r="C54" s="72"/>
      <c r="D54" s="75" t="s">
        <v>121</v>
      </c>
      <c r="E54" s="72"/>
      <c r="F54" s="22" t="s">
        <v>2</v>
      </c>
      <c r="G54" s="23"/>
      <c r="H54" s="23">
        <v>5</v>
      </c>
      <c r="I54" s="23">
        <v>6</v>
      </c>
      <c r="J54" s="23">
        <v>6</v>
      </c>
      <c r="K54" s="23">
        <v>6</v>
      </c>
      <c r="L54" s="23">
        <v>6</v>
      </c>
      <c r="M54" s="23">
        <v>6</v>
      </c>
      <c r="N54" s="23">
        <v>6</v>
      </c>
      <c r="O54" s="23">
        <v>6</v>
      </c>
      <c r="P54" s="23">
        <v>6</v>
      </c>
      <c r="Q54" s="23">
        <v>6</v>
      </c>
      <c r="R54" s="23">
        <v>6</v>
      </c>
      <c r="S54" s="23">
        <v>6</v>
      </c>
      <c r="U54" s="23">
        <v>6</v>
      </c>
      <c r="V54" s="23">
        <v>6</v>
      </c>
      <c r="W54" s="23">
        <v>6</v>
      </c>
      <c r="Y54" s="23">
        <v>6</v>
      </c>
      <c r="Z54" s="23">
        <v>6</v>
      </c>
      <c r="AA54" s="23">
        <v>6</v>
      </c>
      <c r="AB54" s="23">
        <v>6</v>
      </c>
    </row>
    <row r="55" spans="2:28" x14ac:dyDescent="0.3">
      <c r="B55" s="76"/>
      <c r="C55" s="73"/>
      <c r="D55" s="76"/>
      <c r="E55" s="73"/>
      <c r="F55" s="22" t="s">
        <v>3</v>
      </c>
      <c r="G55" s="23"/>
      <c r="H55" s="23">
        <v>7</v>
      </c>
      <c r="I55" s="23">
        <v>7</v>
      </c>
      <c r="J55" s="23">
        <v>7</v>
      </c>
      <c r="K55" s="23">
        <v>7</v>
      </c>
      <c r="L55" s="23">
        <v>7</v>
      </c>
      <c r="M55" s="23">
        <v>7</v>
      </c>
      <c r="N55" s="23">
        <v>7</v>
      </c>
      <c r="O55" s="23">
        <v>7</v>
      </c>
      <c r="P55" s="23">
        <v>7</v>
      </c>
      <c r="Q55" s="23">
        <v>7</v>
      </c>
      <c r="R55" s="23">
        <v>7</v>
      </c>
      <c r="S55" s="23">
        <v>7</v>
      </c>
      <c r="U55" s="23">
        <v>7</v>
      </c>
      <c r="V55" s="23">
        <v>7</v>
      </c>
      <c r="W55" s="23">
        <v>7</v>
      </c>
      <c r="Y55" s="23">
        <v>7</v>
      </c>
      <c r="Z55" s="23">
        <v>7</v>
      </c>
      <c r="AA55" s="23">
        <v>7</v>
      </c>
      <c r="AB55" s="23">
        <v>7</v>
      </c>
    </row>
    <row r="56" spans="2:28" x14ac:dyDescent="0.3">
      <c r="B56" s="75" t="s">
        <v>50</v>
      </c>
      <c r="C56" s="72"/>
      <c r="D56" s="75" t="s">
        <v>51</v>
      </c>
      <c r="E56" s="72"/>
      <c r="F56" s="22" t="s">
        <v>2</v>
      </c>
      <c r="G56" s="23"/>
      <c r="H56" s="23">
        <v>37</v>
      </c>
      <c r="I56" s="23">
        <v>37</v>
      </c>
      <c r="J56" s="23">
        <v>34</v>
      </c>
      <c r="K56" s="23">
        <v>33</v>
      </c>
      <c r="L56" s="23">
        <v>33</v>
      </c>
      <c r="M56" s="23">
        <v>33</v>
      </c>
      <c r="N56" s="23">
        <v>34</v>
      </c>
      <c r="O56" s="23">
        <v>34</v>
      </c>
      <c r="P56" s="23">
        <v>34</v>
      </c>
      <c r="Q56" s="23">
        <v>34</v>
      </c>
      <c r="R56" s="23">
        <v>33</v>
      </c>
      <c r="S56" s="23">
        <v>33</v>
      </c>
      <c r="U56" s="23">
        <v>33</v>
      </c>
      <c r="V56" s="23">
        <v>34</v>
      </c>
      <c r="W56" s="23">
        <v>34</v>
      </c>
      <c r="Y56" s="23">
        <v>36</v>
      </c>
      <c r="Z56" s="23">
        <v>33</v>
      </c>
      <c r="AA56" s="23">
        <v>34</v>
      </c>
      <c r="AB56" s="23">
        <v>33</v>
      </c>
    </row>
    <row r="57" spans="2:28" x14ac:dyDescent="0.3">
      <c r="B57" s="81"/>
      <c r="C57" s="72"/>
      <c r="D57" s="76"/>
      <c r="E57" s="73"/>
      <c r="F57" s="22" t="s">
        <v>3</v>
      </c>
      <c r="G57" s="23"/>
      <c r="H57" s="23">
        <v>39</v>
      </c>
      <c r="I57" s="23">
        <v>39</v>
      </c>
      <c r="J57" s="23">
        <v>38</v>
      </c>
      <c r="K57" s="23">
        <v>37</v>
      </c>
      <c r="L57" s="23">
        <v>37</v>
      </c>
      <c r="M57" s="23">
        <v>37</v>
      </c>
      <c r="N57" s="23">
        <v>37</v>
      </c>
      <c r="O57" s="23">
        <v>37</v>
      </c>
      <c r="P57" s="23">
        <v>37</v>
      </c>
      <c r="Q57" s="23">
        <v>37</v>
      </c>
      <c r="R57" s="23">
        <v>37</v>
      </c>
      <c r="S57" s="23">
        <v>37</v>
      </c>
      <c r="U57" s="23">
        <v>37</v>
      </c>
      <c r="V57" s="23">
        <v>37</v>
      </c>
      <c r="W57" s="23">
        <v>37</v>
      </c>
      <c r="Y57" s="23">
        <v>39</v>
      </c>
      <c r="Z57" s="23">
        <v>37</v>
      </c>
      <c r="AA57" s="23">
        <v>37</v>
      </c>
      <c r="AB57" s="23">
        <v>37</v>
      </c>
    </row>
    <row r="58" spans="2:28" x14ac:dyDescent="0.3">
      <c r="B58" s="81"/>
      <c r="C58" s="72"/>
      <c r="D58" s="75" t="s">
        <v>52</v>
      </c>
      <c r="E58" s="72"/>
      <c r="F58" s="22" t="s">
        <v>2</v>
      </c>
      <c r="G58" s="23"/>
      <c r="H58" s="23">
        <v>29</v>
      </c>
      <c r="I58" s="23">
        <v>29</v>
      </c>
      <c r="J58" s="23">
        <v>31</v>
      </c>
      <c r="K58" s="23">
        <v>30</v>
      </c>
      <c r="L58" s="23">
        <v>31</v>
      </c>
      <c r="M58" s="23">
        <v>31</v>
      </c>
      <c r="N58" s="23">
        <v>33</v>
      </c>
      <c r="O58" s="23">
        <v>33</v>
      </c>
      <c r="P58" s="23">
        <v>33</v>
      </c>
      <c r="Q58" s="23">
        <v>33</v>
      </c>
      <c r="R58" s="23">
        <v>33</v>
      </c>
      <c r="S58" s="23">
        <v>33</v>
      </c>
      <c r="U58" s="23">
        <v>33</v>
      </c>
      <c r="V58" s="23">
        <v>32</v>
      </c>
      <c r="W58" s="23">
        <v>32</v>
      </c>
      <c r="Y58" s="23">
        <v>30</v>
      </c>
      <c r="Z58" s="23">
        <v>31</v>
      </c>
      <c r="AA58" s="23">
        <v>33</v>
      </c>
      <c r="AB58" s="23">
        <v>33</v>
      </c>
    </row>
    <row r="59" spans="2:28" x14ac:dyDescent="0.3">
      <c r="B59" s="81"/>
      <c r="C59" s="72"/>
      <c r="D59" s="76"/>
      <c r="E59" s="73"/>
      <c r="F59" s="22" t="s">
        <v>3</v>
      </c>
      <c r="G59" s="23"/>
      <c r="H59" s="23">
        <v>30</v>
      </c>
      <c r="I59" s="23">
        <v>30</v>
      </c>
      <c r="J59" s="23">
        <v>30</v>
      </c>
      <c r="K59" s="23">
        <v>30</v>
      </c>
      <c r="L59" s="23">
        <v>30</v>
      </c>
      <c r="M59" s="23">
        <v>30</v>
      </c>
      <c r="N59" s="23">
        <v>30</v>
      </c>
      <c r="O59" s="23">
        <v>30</v>
      </c>
      <c r="P59" s="23">
        <v>30</v>
      </c>
      <c r="Q59" s="23">
        <v>30</v>
      </c>
      <c r="R59" s="23">
        <v>30</v>
      </c>
      <c r="S59" s="23">
        <v>30</v>
      </c>
      <c r="U59" s="23">
        <v>30</v>
      </c>
      <c r="V59" s="23">
        <v>30</v>
      </c>
      <c r="W59" s="23">
        <v>30</v>
      </c>
      <c r="Y59" s="23">
        <v>30</v>
      </c>
      <c r="Z59" s="23">
        <v>30</v>
      </c>
      <c r="AA59" s="23">
        <v>30</v>
      </c>
      <c r="AB59" s="23">
        <v>30</v>
      </c>
    </row>
    <row r="60" spans="2:28" x14ac:dyDescent="0.3">
      <c r="B60" s="81"/>
      <c r="C60" s="72"/>
      <c r="D60" s="75" t="s">
        <v>126</v>
      </c>
      <c r="E60" s="72"/>
      <c r="F60" s="22" t="s">
        <v>2</v>
      </c>
      <c r="G60" s="23"/>
      <c r="H60" s="23">
        <v>24</v>
      </c>
      <c r="I60" s="23">
        <v>22</v>
      </c>
      <c r="J60" s="23">
        <v>26</v>
      </c>
      <c r="K60" s="23">
        <v>26</v>
      </c>
      <c r="L60" s="23">
        <v>26</v>
      </c>
      <c r="M60" s="23">
        <v>26</v>
      </c>
      <c r="N60" s="23">
        <v>26</v>
      </c>
      <c r="O60" s="23">
        <v>26</v>
      </c>
      <c r="P60" s="23">
        <v>26</v>
      </c>
      <c r="Q60" s="23">
        <v>26</v>
      </c>
      <c r="R60" s="23">
        <v>26</v>
      </c>
      <c r="S60" s="23">
        <v>26</v>
      </c>
      <c r="U60" s="23">
        <v>26</v>
      </c>
      <c r="V60" s="23">
        <v>26</v>
      </c>
      <c r="W60" s="23">
        <v>26</v>
      </c>
      <c r="Y60" s="23">
        <v>24</v>
      </c>
      <c r="Z60" s="23">
        <v>26</v>
      </c>
      <c r="AA60" s="23">
        <v>26</v>
      </c>
      <c r="AB60" s="23">
        <v>26</v>
      </c>
    </row>
    <row r="61" spans="2:28" x14ac:dyDescent="0.3">
      <c r="B61" s="81"/>
      <c r="C61" s="72"/>
      <c r="D61" s="76"/>
      <c r="E61" s="73"/>
      <c r="F61" s="22" t="s">
        <v>3</v>
      </c>
      <c r="G61" s="23"/>
      <c r="H61" s="23">
        <v>28</v>
      </c>
      <c r="I61" s="23">
        <v>28</v>
      </c>
      <c r="J61" s="23">
        <v>28</v>
      </c>
      <c r="K61" s="23">
        <v>26</v>
      </c>
      <c r="L61" s="23">
        <v>26</v>
      </c>
      <c r="M61" s="23">
        <v>26</v>
      </c>
      <c r="N61" s="23">
        <v>26</v>
      </c>
      <c r="O61" s="23">
        <v>26</v>
      </c>
      <c r="P61" s="23">
        <v>26</v>
      </c>
      <c r="Q61" s="23">
        <v>26</v>
      </c>
      <c r="R61" s="23">
        <v>26</v>
      </c>
      <c r="S61" s="23">
        <v>26</v>
      </c>
      <c r="U61" s="23">
        <v>26</v>
      </c>
      <c r="V61" s="23">
        <v>27</v>
      </c>
      <c r="W61" s="23">
        <v>27</v>
      </c>
      <c r="Y61" s="23">
        <v>28</v>
      </c>
      <c r="Z61" s="23">
        <v>26</v>
      </c>
      <c r="AA61" s="23">
        <v>26</v>
      </c>
      <c r="AB61" s="23">
        <v>26</v>
      </c>
    </row>
    <row r="62" spans="2:28" x14ac:dyDescent="0.3">
      <c r="B62" s="81"/>
      <c r="C62" s="72"/>
      <c r="D62" s="75" t="s">
        <v>56</v>
      </c>
      <c r="E62" s="72"/>
      <c r="F62" s="22" t="s">
        <v>2</v>
      </c>
      <c r="G62" s="23"/>
      <c r="H62" s="23">
        <v>10</v>
      </c>
      <c r="I62" s="23">
        <v>11</v>
      </c>
      <c r="J62" s="23">
        <v>11</v>
      </c>
      <c r="K62" s="23">
        <v>10</v>
      </c>
      <c r="L62" s="23">
        <v>10</v>
      </c>
      <c r="M62" s="23">
        <v>9</v>
      </c>
      <c r="N62" s="23">
        <v>9</v>
      </c>
      <c r="O62" s="23">
        <v>9</v>
      </c>
      <c r="P62" s="23">
        <v>9</v>
      </c>
      <c r="Q62" s="23">
        <v>9</v>
      </c>
      <c r="R62" s="23">
        <v>10</v>
      </c>
      <c r="S62" s="23">
        <v>10</v>
      </c>
      <c r="U62" s="23">
        <v>10</v>
      </c>
      <c r="V62" s="23">
        <v>10</v>
      </c>
      <c r="W62" s="23">
        <v>10</v>
      </c>
      <c r="Y62" s="23">
        <v>11</v>
      </c>
      <c r="Z62" s="23">
        <v>10</v>
      </c>
      <c r="AA62" s="23">
        <v>9</v>
      </c>
      <c r="AB62" s="23">
        <v>10</v>
      </c>
    </row>
    <row r="63" spans="2:28" x14ac:dyDescent="0.3">
      <c r="B63" s="81"/>
      <c r="C63" s="72"/>
      <c r="D63" s="76"/>
      <c r="E63" s="73"/>
      <c r="F63" s="22" t="s">
        <v>3</v>
      </c>
      <c r="G63" s="23"/>
      <c r="H63" s="23">
        <v>11</v>
      </c>
      <c r="I63" s="23">
        <v>11</v>
      </c>
      <c r="J63" s="23">
        <v>11</v>
      </c>
      <c r="K63" s="23">
        <v>10</v>
      </c>
      <c r="L63" s="23">
        <v>10</v>
      </c>
      <c r="M63" s="23">
        <v>10</v>
      </c>
      <c r="N63" s="23">
        <v>10</v>
      </c>
      <c r="O63" s="23">
        <v>10</v>
      </c>
      <c r="P63" s="23">
        <v>10</v>
      </c>
      <c r="Q63" s="23">
        <v>10</v>
      </c>
      <c r="R63" s="23">
        <v>10</v>
      </c>
      <c r="S63" s="23">
        <v>10</v>
      </c>
      <c r="U63" s="23">
        <v>10</v>
      </c>
      <c r="V63" s="23">
        <v>10</v>
      </c>
      <c r="W63" s="23">
        <v>10</v>
      </c>
      <c r="Y63" s="23">
        <v>11</v>
      </c>
      <c r="Z63" s="23">
        <v>10</v>
      </c>
      <c r="AA63" s="23">
        <v>10</v>
      </c>
      <c r="AB63" s="23">
        <v>10</v>
      </c>
    </row>
    <row r="64" spans="2:28" x14ac:dyDescent="0.3">
      <c r="B64" s="81"/>
      <c r="C64" s="72"/>
      <c r="D64" s="75" t="s">
        <v>57</v>
      </c>
      <c r="E64" s="72"/>
      <c r="F64" s="22" t="s">
        <v>2</v>
      </c>
      <c r="G64" s="23"/>
      <c r="H64" s="23">
        <v>6</v>
      </c>
      <c r="I64" s="23">
        <v>7</v>
      </c>
      <c r="J64" s="23">
        <v>8</v>
      </c>
      <c r="K64" s="23">
        <v>8</v>
      </c>
      <c r="L64" s="23">
        <v>8</v>
      </c>
      <c r="M64" s="23">
        <v>8</v>
      </c>
      <c r="N64" s="23">
        <v>8</v>
      </c>
      <c r="O64" s="23">
        <v>7</v>
      </c>
      <c r="P64" s="23">
        <v>7</v>
      </c>
      <c r="Q64" s="23">
        <v>7</v>
      </c>
      <c r="R64" s="23">
        <v>7</v>
      </c>
      <c r="S64" s="23">
        <v>7</v>
      </c>
      <c r="U64" s="23">
        <v>7</v>
      </c>
      <c r="V64" s="23">
        <v>7</v>
      </c>
      <c r="W64" s="23">
        <v>7</v>
      </c>
      <c r="Y64" s="23">
        <v>7</v>
      </c>
      <c r="Z64" s="23">
        <v>8</v>
      </c>
      <c r="AA64" s="23">
        <v>7</v>
      </c>
      <c r="AB64" s="23">
        <v>7</v>
      </c>
    </row>
    <row r="65" spans="2:28" x14ac:dyDescent="0.3">
      <c r="B65" s="81"/>
      <c r="C65" s="72"/>
      <c r="D65" s="76"/>
      <c r="E65" s="73"/>
      <c r="F65" s="22" t="s">
        <v>3</v>
      </c>
      <c r="G65" s="23"/>
      <c r="H65" s="23">
        <v>8</v>
      </c>
      <c r="I65" s="23">
        <v>8</v>
      </c>
      <c r="J65" s="23">
        <v>8</v>
      </c>
      <c r="K65" s="23">
        <v>8</v>
      </c>
      <c r="L65" s="23">
        <v>8</v>
      </c>
      <c r="M65" s="23">
        <v>8</v>
      </c>
      <c r="N65" s="23">
        <v>8</v>
      </c>
      <c r="O65" s="23">
        <v>8</v>
      </c>
      <c r="P65" s="23">
        <v>8</v>
      </c>
      <c r="Q65" s="23">
        <v>8</v>
      </c>
      <c r="R65" s="23">
        <v>8</v>
      </c>
      <c r="S65" s="23">
        <v>8</v>
      </c>
      <c r="U65" s="23">
        <v>8</v>
      </c>
      <c r="V65" s="23">
        <v>8</v>
      </c>
      <c r="W65" s="23">
        <v>8</v>
      </c>
      <c r="Y65" s="23">
        <v>8</v>
      </c>
      <c r="Z65" s="23">
        <v>8</v>
      </c>
      <c r="AA65" s="23">
        <v>8</v>
      </c>
      <c r="AB65" s="23">
        <v>8</v>
      </c>
    </row>
    <row r="66" spans="2:28" x14ac:dyDescent="0.3">
      <c r="B66" s="81"/>
      <c r="C66" s="72"/>
      <c r="D66" s="75" t="s">
        <v>50</v>
      </c>
      <c r="E66" s="72"/>
      <c r="F66" s="22" t="s">
        <v>2</v>
      </c>
      <c r="G66" s="23"/>
      <c r="H66" s="23">
        <v>4</v>
      </c>
      <c r="I66" s="23">
        <v>5</v>
      </c>
      <c r="J66" s="23">
        <v>2</v>
      </c>
      <c r="K66" s="23">
        <v>2</v>
      </c>
      <c r="L66" s="23">
        <v>2</v>
      </c>
      <c r="M66" s="23">
        <v>2</v>
      </c>
      <c r="N66" s="23">
        <v>2</v>
      </c>
      <c r="O66" s="23">
        <v>2</v>
      </c>
      <c r="P66" s="23">
        <v>2</v>
      </c>
      <c r="Q66" s="23">
        <v>2</v>
      </c>
      <c r="R66" s="23">
        <v>2</v>
      </c>
      <c r="S66" s="23">
        <v>2</v>
      </c>
      <c r="U66" s="23">
        <v>2</v>
      </c>
      <c r="V66" s="23">
        <v>2</v>
      </c>
      <c r="W66" s="23">
        <v>2</v>
      </c>
      <c r="Y66" s="23">
        <v>4</v>
      </c>
      <c r="Z66" s="23">
        <v>2</v>
      </c>
      <c r="AA66" s="23">
        <v>2</v>
      </c>
      <c r="AB66" s="23">
        <v>2</v>
      </c>
    </row>
    <row r="67" spans="2:28" x14ac:dyDescent="0.3">
      <c r="B67" s="76"/>
      <c r="C67" s="73"/>
      <c r="D67" s="76"/>
      <c r="E67" s="73"/>
      <c r="F67" s="22" t="s">
        <v>3</v>
      </c>
      <c r="G67" s="23"/>
      <c r="H67" s="23">
        <v>2</v>
      </c>
      <c r="I67" s="23">
        <v>2</v>
      </c>
      <c r="J67" s="23">
        <v>2</v>
      </c>
      <c r="K67" s="23">
        <v>2</v>
      </c>
      <c r="L67" s="23">
        <v>2</v>
      </c>
      <c r="M67" s="23">
        <v>2</v>
      </c>
      <c r="N67" s="23">
        <v>2</v>
      </c>
      <c r="O67" s="23">
        <v>2</v>
      </c>
      <c r="P67" s="23">
        <v>2</v>
      </c>
      <c r="Q67" s="23">
        <v>2</v>
      </c>
      <c r="R67" s="23">
        <v>2</v>
      </c>
      <c r="S67" s="23">
        <v>2</v>
      </c>
      <c r="U67" s="23">
        <v>2</v>
      </c>
      <c r="V67" s="23">
        <v>2</v>
      </c>
      <c r="W67" s="23">
        <v>2</v>
      </c>
      <c r="Y67" s="23">
        <v>2</v>
      </c>
      <c r="Z67" s="23">
        <v>2</v>
      </c>
      <c r="AA67" s="23">
        <v>2</v>
      </c>
      <c r="AB67" s="23">
        <v>2</v>
      </c>
    </row>
    <row r="68" spans="2:28" x14ac:dyDescent="0.3">
      <c r="B68" s="75" t="s">
        <v>58</v>
      </c>
      <c r="C68" s="72"/>
      <c r="D68" s="75" t="s">
        <v>59</v>
      </c>
      <c r="E68" s="72"/>
      <c r="F68" s="22" t="s">
        <v>2</v>
      </c>
      <c r="G68" s="23"/>
      <c r="H68" s="23">
        <v>7</v>
      </c>
      <c r="I68" s="23">
        <v>7</v>
      </c>
      <c r="J68" s="23">
        <v>7</v>
      </c>
      <c r="K68" s="23">
        <v>7</v>
      </c>
      <c r="L68" s="23">
        <v>7</v>
      </c>
      <c r="M68" s="23">
        <v>7</v>
      </c>
      <c r="N68" s="23">
        <v>7</v>
      </c>
      <c r="O68" s="23">
        <v>7</v>
      </c>
      <c r="P68" s="23">
        <v>7</v>
      </c>
      <c r="Q68" s="23">
        <v>7</v>
      </c>
      <c r="R68" s="23">
        <v>7</v>
      </c>
      <c r="S68" s="23">
        <v>7</v>
      </c>
      <c r="U68" s="23">
        <v>7</v>
      </c>
      <c r="V68" s="23">
        <v>7</v>
      </c>
      <c r="W68" s="23">
        <v>7</v>
      </c>
      <c r="Y68" s="23">
        <v>7</v>
      </c>
      <c r="Z68" s="23">
        <v>7</v>
      </c>
      <c r="AA68" s="23">
        <v>7</v>
      </c>
      <c r="AB68" s="23">
        <v>7</v>
      </c>
    </row>
    <row r="69" spans="2:28" x14ac:dyDescent="0.3">
      <c r="B69" s="81"/>
      <c r="C69" s="72"/>
      <c r="D69" s="76"/>
      <c r="E69" s="73"/>
      <c r="F69" s="22" t="s">
        <v>3</v>
      </c>
      <c r="G69" s="23"/>
      <c r="H69" s="23">
        <v>8</v>
      </c>
      <c r="I69" s="23">
        <v>8</v>
      </c>
      <c r="J69" s="23">
        <v>8</v>
      </c>
      <c r="K69" s="23">
        <v>8</v>
      </c>
      <c r="L69" s="23">
        <v>8</v>
      </c>
      <c r="M69" s="23">
        <v>8</v>
      </c>
      <c r="N69" s="23">
        <v>8</v>
      </c>
      <c r="O69" s="23">
        <v>8</v>
      </c>
      <c r="P69" s="23">
        <v>8</v>
      </c>
      <c r="Q69" s="23">
        <v>8</v>
      </c>
      <c r="R69" s="23">
        <v>8</v>
      </c>
      <c r="S69" s="23">
        <v>8</v>
      </c>
      <c r="U69" s="23">
        <v>8</v>
      </c>
      <c r="V69" s="23">
        <v>8</v>
      </c>
      <c r="W69" s="23">
        <v>8</v>
      </c>
      <c r="Y69" s="23">
        <v>8</v>
      </c>
      <c r="Z69" s="23">
        <v>8</v>
      </c>
      <c r="AA69" s="23">
        <v>8</v>
      </c>
      <c r="AB69" s="23">
        <v>8</v>
      </c>
    </row>
    <row r="70" spans="2:28" x14ac:dyDescent="0.3">
      <c r="B70" s="81"/>
      <c r="C70" s="72"/>
      <c r="D70" s="75" t="s">
        <v>60</v>
      </c>
      <c r="E70" s="72"/>
      <c r="F70" s="22" t="s">
        <v>2</v>
      </c>
      <c r="G70" s="23"/>
      <c r="H70" s="23">
        <v>8</v>
      </c>
      <c r="I70" s="23">
        <v>8</v>
      </c>
      <c r="J70" s="23">
        <v>8</v>
      </c>
      <c r="K70" s="23">
        <v>8</v>
      </c>
      <c r="L70" s="23">
        <v>8</v>
      </c>
      <c r="M70" s="23">
        <v>8</v>
      </c>
      <c r="N70" s="23">
        <v>8</v>
      </c>
      <c r="O70" s="23">
        <v>8</v>
      </c>
      <c r="P70" s="23">
        <v>8</v>
      </c>
      <c r="Q70" s="23">
        <v>8</v>
      </c>
      <c r="R70" s="23">
        <v>8</v>
      </c>
      <c r="S70" s="23">
        <v>8</v>
      </c>
      <c r="U70" s="23">
        <v>8</v>
      </c>
      <c r="V70" s="23">
        <v>8</v>
      </c>
      <c r="W70" s="23">
        <v>8</v>
      </c>
      <c r="Y70" s="23">
        <v>8</v>
      </c>
      <c r="Z70" s="23">
        <v>8</v>
      </c>
      <c r="AA70" s="23">
        <v>8</v>
      </c>
      <c r="AB70" s="23">
        <v>8</v>
      </c>
    </row>
    <row r="71" spans="2:28" x14ac:dyDescent="0.3">
      <c r="B71" s="81"/>
      <c r="C71" s="72"/>
      <c r="D71" s="76"/>
      <c r="E71" s="73"/>
      <c r="F71" s="22" t="s">
        <v>3</v>
      </c>
      <c r="G71" s="23"/>
      <c r="H71" s="23">
        <v>9</v>
      </c>
      <c r="I71" s="23">
        <v>9</v>
      </c>
      <c r="J71" s="23">
        <v>9</v>
      </c>
      <c r="K71" s="23">
        <v>9</v>
      </c>
      <c r="L71" s="23">
        <v>9</v>
      </c>
      <c r="M71" s="23">
        <v>9</v>
      </c>
      <c r="N71" s="23">
        <v>9</v>
      </c>
      <c r="O71" s="23">
        <v>9</v>
      </c>
      <c r="P71" s="23">
        <v>9</v>
      </c>
      <c r="Q71" s="23">
        <v>9</v>
      </c>
      <c r="R71" s="23">
        <v>9</v>
      </c>
      <c r="S71" s="23">
        <v>9</v>
      </c>
      <c r="U71" s="23">
        <v>9</v>
      </c>
      <c r="V71" s="23">
        <v>9</v>
      </c>
      <c r="W71" s="23">
        <v>9</v>
      </c>
      <c r="Y71" s="23">
        <v>9</v>
      </c>
      <c r="Z71" s="23">
        <v>9</v>
      </c>
      <c r="AA71" s="23">
        <v>9</v>
      </c>
      <c r="AB71" s="23">
        <v>9</v>
      </c>
    </row>
    <row r="72" spans="2:28" x14ac:dyDescent="0.3">
      <c r="B72" s="81"/>
      <c r="C72" s="72"/>
      <c r="D72" s="75" t="s">
        <v>58</v>
      </c>
      <c r="E72" s="72"/>
      <c r="F72" s="22" t="s">
        <v>2</v>
      </c>
      <c r="G72" s="23"/>
      <c r="H72" s="23">
        <v>2</v>
      </c>
      <c r="I72" s="23">
        <v>2</v>
      </c>
      <c r="J72" s="23">
        <v>2</v>
      </c>
      <c r="K72" s="23">
        <v>2</v>
      </c>
      <c r="L72" s="23">
        <v>2</v>
      </c>
      <c r="M72" s="23">
        <v>2</v>
      </c>
      <c r="N72" s="23">
        <v>2</v>
      </c>
      <c r="O72" s="23">
        <v>2</v>
      </c>
      <c r="P72" s="23">
        <v>2</v>
      </c>
      <c r="Q72" s="23">
        <v>2</v>
      </c>
      <c r="R72" s="23">
        <v>2</v>
      </c>
      <c r="S72" s="23">
        <v>2</v>
      </c>
      <c r="U72" s="23">
        <v>2</v>
      </c>
      <c r="V72" s="23">
        <v>2</v>
      </c>
      <c r="W72" s="23">
        <v>2</v>
      </c>
      <c r="Y72" s="23">
        <v>2</v>
      </c>
      <c r="Z72" s="23">
        <v>2</v>
      </c>
      <c r="AA72" s="23">
        <v>2</v>
      </c>
      <c r="AB72" s="23">
        <v>2</v>
      </c>
    </row>
    <row r="73" spans="2:28" x14ac:dyDescent="0.3">
      <c r="B73" s="76"/>
      <c r="C73" s="73"/>
      <c r="D73" s="76"/>
      <c r="E73" s="73"/>
      <c r="F73" s="22" t="s">
        <v>3</v>
      </c>
      <c r="G73" s="23"/>
      <c r="H73" s="23">
        <v>2</v>
      </c>
      <c r="I73" s="23">
        <v>2</v>
      </c>
      <c r="J73" s="23">
        <v>2</v>
      </c>
      <c r="K73" s="23">
        <v>2</v>
      </c>
      <c r="L73" s="23">
        <v>2</v>
      </c>
      <c r="M73" s="23">
        <v>2</v>
      </c>
      <c r="N73" s="23">
        <v>2</v>
      </c>
      <c r="O73" s="23">
        <v>2</v>
      </c>
      <c r="P73" s="23">
        <v>2</v>
      </c>
      <c r="Q73" s="23">
        <v>2</v>
      </c>
      <c r="R73" s="23">
        <v>2</v>
      </c>
      <c r="S73" s="23">
        <v>2</v>
      </c>
      <c r="U73" s="23">
        <v>2</v>
      </c>
      <c r="V73" s="23">
        <v>2</v>
      </c>
      <c r="W73" s="23">
        <v>2</v>
      </c>
      <c r="Y73" s="23">
        <v>2</v>
      </c>
      <c r="Z73" s="23">
        <v>2</v>
      </c>
      <c r="AA73" s="23">
        <v>2</v>
      </c>
      <c r="AB73" s="23">
        <v>2</v>
      </c>
    </row>
    <row r="74" spans="2:28" x14ac:dyDescent="0.3">
      <c r="B74" s="75" t="s">
        <v>61</v>
      </c>
      <c r="C74" s="72"/>
      <c r="D74" s="75" t="s">
        <v>127</v>
      </c>
      <c r="E74" s="72"/>
      <c r="F74" s="22" t="s">
        <v>2</v>
      </c>
      <c r="G74" s="23"/>
      <c r="H74" s="23">
        <v>5</v>
      </c>
      <c r="I74" s="23">
        <v>5</v>
      </c>
      <c r="J74" s="23">
        <v>5</v>
      </c>
      <c r="K74" s="23">
        <v>6</v>
      </c>
      <c r="L74" s="23">
        <v>6</v>
      </c>
      <c r="M74" s="23">
        <v>6</v>
      </c>
      <c r="N74" s="23">
        <v>6</v>
      </c>
      <c r="O74" s="23">
        <v>6</v>
      </c>
      <c r="P74" s="23">
        <v>6</v>
      </c>
      <c r="Q74" s="23">
        <v>6</v>
      </c>
      <c r="R74" s="23">
        <v>6</v>
      </c>
      <c r="S74" s="23">
        <v>6</v>
      </c>
      <c r="U74" s="23">
        <v>6</v>
      </c>
      <c r="V74" s="23">
        <v>6</v>
      </c>
      <c r="W74" s="23">
        <v>6</v>
      </c>
      <c r="Y74" s="23">
        <v>5</v>
      </c>
      <c r="Z74" s="23">
        <v>6</v>
      </c>
      <c r="AA74" s="23">
        <v>6</v>
      </c>
      <c r="AB74" s="23">
        <v>6</v>
      </c>
    </row>
    <row r="75" spans="2:28" x14ac:dyDescent="0.3">
      <c r="B75" s="81"/>
      <c r="C75" s="72"/>
      <c r="D75" s="76"/>
      <c r="E75" s="73"/>
      <c r="F75" s="22" t="s">
        <v>3</v>
      </c>
      <c r="G75" s="23"/>
      <c r="H75" s="23">
        <v>6</v>
      </c>
      <c r="I75" s="23">
        <v>6</v>
      </c>
      <c r="J75" s="23">
        <v>6</v>
      </c>
      <c r="K75" s="23">
        <v>6</v>
      </c>
      <c r="L75" s="23">
        <v>6</v>
      </c>
      <c r="M75" s="23">
        <v>6</v>
      </c>
      <c r="N75" s="23">
        <v>6</v>
      </c>
      <c r="O75" s="23">
        <v>6</v>
      </c>
      <c r="P75" s="23">
        <v>6</v>
      </c>
      <c r="Q75" s="23">
        <v>6</v>
      </c>
      <c r="R75" s="23">
        <v>6</v>
      </c>
      <c r="S75" s="23">
        <v>6</v>
      </c>
      <c r="U75" s="23">
        <v>6</v>
      </c>
      <c r="V75" s="23">
        <v>6</v>
      </c>
      <c r="W75" s="23">
        <v>6</v>
      </c>
      <c r="Y75" s="23">
        <v>6</v>
      </c>
      <c r="Z75" s="23">
        <v>6</v>
      </c>
      <c r="AA75" s="23">
        <v>6</v>
      </c>
      <c r="AB75" s="23">
        <v>6</v>
      </c>
    </row>
    <row r="76" spans="2:28" x14ac:dyDescent="0.3">
      <c r="B76" s="81"/>
      <c r="C76" s="72"/>
      <c r="D76" s="75" t="s">
        <v>128</v>
      </c>
      <c r="E76" s="72"/>
      <c r="F76" s="22" t="s">
        <v>2</v>
      </c>
      <c r="G76" s="23"/>
      <c r="H76" s="23">
        <v>4</v>
      </c>
      <c r="I76" s="23">
        <v>4</v>
      </c>
      <c r="J76" s="23">
        <v>4</v>
      </c>
      <c r="K76" s="23">
        <v>4</v>
      </c>
      <c r="L76" s="23">
        <v>4</v>
      </c>
      <c r="M76" s="23">
        <v>3</v>
      </c>
      <c r="N76" s="23">
        <v>3</v>
      </c>
      <c r="O76" s="23">
        <v>3</v>
      </c>
      <c r="P76" s="23">
        <v>3</v>
      </c>
      <c r="Q76" s="23">
        <v>3</v>
      </c>
      <c r="R76" s="23">
        <v>3</v>
      </c>
      <c r="S76" s="23">
        <v>3</v>
      </c>
      <c r="U76" s="23">
        <v>3</v>
      </c>
      <c r="V76" s="23">
        <v>3</v>
      </c>
      <c r="W76" s="23">
        <v>3</v>
      </c>
      <c r="Y76" s="23">
        <v>4</v>
      </c>
      <c r="Z76" s="23">
        <v>4</v>
      </c>
      <c r="AA76" s="23">
        <v>3</v>
      </c>
      <c r="AB76" s="23">
        <v>3</v>
      </c>
    </row>
    <row r="77" spans="2:28" x14ac:dyDescent="0.3">
      <c r="B77" s="81"/>
      <c r="C77" s="72"/>
      <c r="D77" s="76"/>
      <c r="E77" s="73"/>
      <c r="F77" s="22" t="s">
        <v>3</v>
      </c>
      <c r="G77" s="23"/>
      <c r="H77" s="23">
        <v>4</v>
      </c>
      <c r="I77" s="23">
        <v>4</v>
      </c>
      <c r="J77" s="23">
        <v>4</v>
      </c>
      <c r="K77" s="23">
        <v>3</v>
      </c>
      <c r="L77" s="23">
        <v>3</v>
      </c>
      <c r="M77" s="23">
        <v>3</v>
      </c>
      <c r="N77" s="23">
        <v>3</v>
      </c>
      <c r="O77" s="23">
        <v>3</v>
      </c>
      <c r="P77" s="23">
        <v>3</v>
      </c>
      <c r="Q77" s="23">
        <v>3</v>
      </c>
      <c r="R77" s="23">
        <v>3</v>
      </c>
      <c r="S77" s="23">
        <v>3</v>
      </c>
      <c r="U77" s="23">
        <v>3</v>
      </c>
      <c r="V77" s="23">
        <v>3</v>
      </c>
      <c r="W77" s="23">
        <v>3</v>
      </c>
      <c r="Y77" s="23">
        <v>4</v>
      </c>
      <c r="Z77" s="23">
        <v>3</v>
      </c>
      <c r="AA77" s="23">
        <v>3</v>
      </c>
      <c r="AB77" s="23">
        <v>3</v>
      </c>
    </row>
    <row r="78" spans="2:28" x14ac:dyDescent="0.3">
      <c r="B78" s="81"/>
      <c r="C78" s="72"/>
      <c r="D78" s="75" t="s">
        <v>129</v>
      </c>
      <c r="E78" s="72"/>
      <c r="F78" s="22" t="s">
        <v>2</v>
      </c>
      <c r="G78" s="23"/>
      <c r="H78" s="23">
        <v>5</v>
      </c>
      <c r="I78" s="23">
        <v>5</v>
      </c>
      <c r="J78" s="23">
        <v>5</v>
      </c>
      <c r="K78" s="23">
        <v>5</v>
      </c>
      <c r="L78" s="23">
        <v>5</v>
      </c>
      <c r="M78" s="23">
        <v>5</v>
      </c>
      <c r="N78" s="23">
        <v>4</v>
      </c>
      <c r="O78" s="23">
        <v>4</v>
      </c>
      <c r="P78" s="23">
        <v>4</v>
      </c>
      <c r="Q78" s="23">
        <v>4</v>
      </c>
      <c r="R78" s="23">
        <v>4</v>
      </c>
      <c r="S78" s="23">
        <v>4</v>
      </c>
      <c r="U78" s="23">
        <v>4</v>
      </c>
      <c r="V78" s="23">
        <v>5</v>
      </c>
      <c r="W78" s="23">
        <v>5</v>
      </c>
      <c r="Y78" s="23">
        <v>5</v>
      </c>
      <c r="Z78" s="23">
        <v>5</v>
      </c>
      <c r="AA78" s="23">
        <v>4</v>
      </c>
      <c r="AB78" s="23">
        <v>4</v>
      </c>
    </row>
    <row r="79" spans="2:28" x14ac:dyDescent="0.3">
      <c r="B79" s="81"/>
      <c r="C79" s="72"/>
      <c r="D79" s="76"/>
      <c r="E79" s="73"/>
      <c r="F79" s="22" t="s">
        <v>3</v>
      </c>
      <c r="G79" s="23"/>
      <c r="H79" s="23">
        <v>6</v>
      </c>
      <c r="I79" s="23">
        <v>6</v>
      </c>
      <c r="J79" s="23">
        <v>6</v>
      </c>
      <c r="K79" s="23">
        <v>6</v>
      </c>
      <c r="L79" s="23">
        <v>6</v>
      </c>
      <c r="M79" s="23">
        <v>6</v>
      </c>
      <c r="N79" s="23">
        <v>6</v>
      </c>
      <c r="O79" s="23">
        <v>6</v>
      </c>
      <c r="P79" s="23">
        <v>6</v>
      </c>
      <c r="Q79" s="23">
        <v>6</v>
      </c>
      <c r="R79" s="23">
        <v>6</v>
      </c>
      <c r="S79" s="23">
        <v>6</v>
      </c>
      <c r="U79" s="23">
        <v>6</v>
      </c>
      <c r="V79" s="23">
        <v>6</v>
      </c>
      <c r="W79" s="23">
        <v>6</v>
      </c>
      <c r="Y79" s="23">
        <v>6</v>
      </c>
      <c r="Z79" s="23">
        <v>6</v>
      </c>
      <c r="AA79" s="23">
        <v>6</v>
      </c>
      <c r="AB79" s="23">
        <v>6</v>
      </c>
    </row>
    <row r="80" spans="2:28" x14ac:dyDescent="0.3">
      <c r="B80" s="81"/>
      <c r="C80" s="72"/>
      <c r="D80" s="75" t="s">
        <v>61</v>
      </c>
      <c r="E80" s="72"/>
      <c r="F80" s="22" t="s">
        <v>2</v>
      </c>
      <c r="G80" s="23"/>
      <c r="H80" s="23">
        <v>3</v>
      </c>
      <c r="I80" s="23">
        <v>3</v>
      </c>
      <c r="J80" s="23">
        <v>4</v>
      </c>
      <c r="K80" s="23">
        <v>3</v>
      </c>
      <c r="L80" s="23">
        <v>3</v>
      </c>
      <c r="M80" s="23">
        <v>3</v>
      </c>
      <c r="N80" s="23">
        <v>3</v>
      </c>
      <c r="O80" s="23">
        <v>3</v>
      </c>
      <c r="P80" s="23">
        <v>3</v>
      </c>
      <c r="Q80" s="23">
        <v>3</v>
      </c>
      <c r="R80" s="23">
        <v>3</v>
      </c>
      <c r="S80" s="23">
        <v>3</v>
      </c>
      <c r="U80" s="23">
        <v>3</v>
      </c>
      <c r="V80" s="23">
        <v>3</v>
      </c>
      <c r="W80" s="23">
        <v>3</v>
      </c>
      <c r="Y80" s="23">
        <v>3</v>
      </c>
      <c r="Z80" s="23">
        <v>3</v>
      </c>
      <c r="AA80" s="23">
        <v>3</v>
      </c>
      <c r="AB80" s="23">
        <v>3</v>
      </c>
    </row>
    <row r="81" spans="2:28" x14ac:dyDescent="0.3">
      <c r="B81" s="76"/>
      <c r="C81" s="73"/>
      <c r="D81" s="76"/>
      <c r="E81" s="73"/>
      <c r="F81" s="22" t="s">
        <v>3</v>
      </c>
      <c r="G81" s="23"/>
      <c r="H81" s="23">
        <v>2</v>
      </c>
      <c r="I81" s="23">
        <v>2</v>
      </c>
      <c r="J81" s="23">
        <v>2</v>
      </c>
      <c r="K81" s="23">
        <v>2</v>
      </c>
      <c r="L81" s="23">
        <v>2</v>
      </c>
      <c r="M81" s="23">
        <v>2</v>
      </c>
      <c r="N81" s="23">
        <v>2</v>
      </c>
      <c r="O81" s="23">
        <v>2</v>
      </c>
      <c r="P81" s="23">
        <v>2</v>
      </c>
      <c r="Q81" s="23">
        <v>2</v>
      </c>
      <c r="R81" s="23">
        <v>2</v>
      </c>
      <c r="S81" s="23">
        <v>2</v>
      </c>
      <c r="U81" s="23">
        <v>2</v>
      </c>
      <c r="V81" s="23">
        <v>2</v>
      </c>
      <c r="W81" s="23">
        <v>2</v>
      </c>
      <c r="Y81" s="23">
        <v>2</v>
      </c>
      <c r="Z81" s="23">
        <v>2</v>
      </c>
      <c r="AA81" s="23">
        <v>2</v>
      </c>
      <c r="AB81" s="23">
        <v>2</v>
      </c>
    </row>
    <row r="82" spans="2:28" x14ac:dyDescent="0.3">
      <c r="B82" s="75" t="s">
        <v>130</v>
      </c>
      <c r="C82" s="72"/>
      <c r="D82" s="75" t="s">
        <v>131</v>
      </c>
      <c r="E82" s="72"/>
      <c r="F82" s="22" t="s">
        <v>2</v>
      </c>
      <c r="G82" s="23"/>
      <c r="H82" s="23">
        <v>3</v>
      </c>
      <c r="I82" s="23">
        <v>3</v>
      </c>
      <c r="J82" s="23">
        <v>3</v>
      </c>
      <c r="K82" s="23">
        <v>3</v>
      </c>
      <c r="L82" s="23">
        <v>3</v>
      </c>
      <c r="M82" s="23">
        <v>3</v>
      </c>
      <c r="N82" s="23">
        <v>3</v>
      </c>
      <c r="O82" s="23">
        <v>3</v>
      </c>
      <c r="P82" s="23">
        <v>3</v>
      </c>
      <c r="Q82" s="23">
        <v>3</v>
      </c>
      <c r="R82" s="23">
        <v>0</v>
      </c>
      <c r="S82" s="23">
        <v>0</v>
      </c>
      <c r="U82" s="23">
        <v>0</v>
      </c>
      <c r="V82" s="23">
        <v>3</v>
      </c>
      <c r="W82" s="23">
        <v>3</v>
      </c>
      <c r="Y82" s="23">
        <v>3</v>
      </c>
      <c r="Z82" s="23">
        <v>3</v>
      </c>
      <c r="AA82" s="23">
        <v>3</v>
      </c>
      <c r="AB82" s="23">
        <v>3</v>
      </c>
    </row>
    <row r="83" spans="2:28" x14ac:dyDescent="0.3">
      <c r="B83" s="81"/>
      <c r="C83" s="72"/>
      <c r="D83" s="76"/>
      <c r="E83" s="73"/>
      <c r="F83" s="22" t="s">
        <v>3</v>
      </c>
      <c r="G83" s="23"/>
      <c r="H83" s="23">
        <v>3</v>
      </c>
      <c r="I83" s="23">
        <v>3</v>
      </c>
      <c r="J83" s="23">
        <v>3</v>
      </c>
      <c r="K83" s="23">
        <v>3</v>
      </c>
      <c r="L83" s="23">
        <v>3</v>
      </c>
      <c r="M83" s="23">
        <v>3</v>
      </c>
      <c r="N83" s="23">
        <v>3</v>
      </c>
      <c r="O83" s="23">
        <v>3</v>
      </c>
      <c r="P83" s="23">
        <v>3</v>
      </c>
      <c r="Q83" s="23">
        <v>3</v>
      </c>
      <c r="R83" s="23">
        <v>3</v>
      </c>
      <c r="S83" s="23">
        <v>3</v>
      </c>
      <c r="U83" s="23">
        <v>3</v>
      </c>
      <c r="V83" s="23">
        <v>3</v>
      </c>
      <c r="W83" s="23">
        <v>3</v>
      </c>
      <c r="Y83" s="23">
        <v>3</v>
      </c>
      <c r="Z83" s="23">
        <v>3</v>
      </c>
      <c r="AA83" s="23">
        <v>3</v>
      </c>
      <c r="AB83" s="23">
        <v>3</v>
      </c>
    </row>
    <row r="84" spans="2:28" x14ac:dyDescent="0.3">
      <c r="B84" s="81"/>
      <c r="C84" s="72"/>
      <c r="D84" s="75" t="s">
        <v>132</v>
      </c>
      <c r="E84" s="72"/>
      <c r="F84" s="22" t="s">
        <v>2</v>
      </c>
      <c r="G84" s="23"/>
      <c r="H84" s="23">
        <v>14</v>
      </c>
      <c r="I84" s="23">
        <v>14</v>
      </c>
      <c r="J84" s="23">
        <v>14</v>
      </c>
      <c r="K84" s="23">
        <v>14</v>
      </c>
      <c r="L84" s="23">
        <v>15</v>
      </c>
      <c r="M84" s="23">
        <v>14</v>
      </c>
      <c r="N84" s="23">
        <v>13</v>
      </c>
      <c r="O84" s="23">
        <v>9</v>
      </c>
      <c r="P84" s="23">
        <v>8</v>
      </c>
      <c r="Q84" s="23">
        <v>8</v>
      </c>
      <c r="R84" s="23">
        <v>0</v>
      </c>
      <c r="S84" s="23">
        <v>0</v>
      </c>
      <c r="U84" s="23">
        <v>0</v>
      </c>
      <c r="V84" s="23">
        <v>12</v>
      </c>
      <c r="W84" s="23">
        <v>13</v>
      </c>
      <c r="Y84" s="23">
        <v>14</v>
      </c>
      <c r="Z84" s="23">
        <v>14</v>
      </c>
      <c r="AA84" s="23">
        <v>10</v>
      </c>
      <c r="AB84" s="23">
        <v>8</v>
      </c>
    </row>
    <row r="85" spans="2:28" x14ac:dyDescent="0.3">
      <c r="B85" s="81"/>
      <c r="C85" s="72"/>
      <c r="D85" s="76"/>
      <c r="E85" s="73"/>
      <c r="F85" s="22" t="s">
        <v>3</v>
      </c>
      <c r="G85" s="23"/>
      <c r="H85" s="23">
        <v>15</v>
      </c>
      <c r="I85" s="23">
        <v>15</v>
      </c>
      <c r="J85" s="23">
        <v>15</v>
      </c>
      <c r="K85" s="23">
        <v>14</v>
      </c>
      <c r="L85" s="23">
        <v>14</v>
      </c>
      <c r="M85" s="23">
        <v>14</v>
      </c>
      <c r="N85" s="23">
        <v>14</v>
      </c>
      <c r="O85" s="23">
        <v>14</v>
      </c>
      <c r="P85" s="23">
        <v>14</v>
      </c>
      <c r="Q85" s="23">
        <v>14</v>
      </c>
      <c r="R85" s="23">
        <v>14</v>
      </c>
      <c r="S85" s="23">
        <v>14</v>
      </c>
      <c r="U85" s="23">
        <v>14</v>
      </c>
      <c r="V85" s="23">
        <v>14</v>
      </c>
      <c r="W85" s="23">
        <v>14</v>
      </c>
      <c r="Y85" s="23">
        <v>15</v>
      </c>
      <c r="Z85" s="23">
        <v>14</v>
      </c>
      <c r="AA85" s="23">
        <v>14</v>
      </c>
      <c r="AB85" s="23">
        <v>14</v>
      </c>
    </row>
    <row r="86" spans="2:28" x14ac:dyDescent="0.3">
      <c r="B86" s="81"/>
      <c r="C86" s="72"/>
      <c r="D86" s="75" t="s">
        <v>63</v>
      </c>
      <c r="E86" s="72"/>
      <c r="F86" s="22" t="s">
        <v>2</v>
      </c>
      <c r="G86" s="23"/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1</v>
      </c>
      <c r="P86" s="23">
        <v>1</v>
      </c>
      <c r="Q86" s="23">
        <v>1</v>
      </c>
      <c r="R86" s="23">
        <v>11</v>
      </c>
      <c r="S86" s="23">
        <v>12</v>
      </c>
      <c r="U86" s="23">
        <v>12</v>
      </c>
      <c r="V86" s="23">
        <v>5</v>
      </c>
      <c r="W86" s="23">
        <v>4</v>
      </c>
      <c r="Y86" s="23">
        <v>0</v>
      </c>
      <c r="Z86" s="23">
        <v>0</v>
      </c>
      <c r="AA86" s="23">
        <v>1</v>
      </c>
      <c r="AB86" s="23">
        <v>8</v>
      </c>
    </row>
    <row r="87" spans="2:28" x14ac:dyDescent="0.3">
      <c r="B87" s="81"/>
      <c r="C87" s="72"/>
      <c r="D87" s="76"/>
      <c r="E87" s="73"/>
      <c r="F87" s="22" t="s">
        <v>3</v>
      </c>
      <c r="G87" s="23"/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U87" s="23">
        <v>0</v>
      </c>
      <c r="V87" s="23">
        <v>0</v>
      </c>
      <c r="W87" s="23">
        <v>0</v>
      </c>
      <c r="Y87" s="23">
        <v>0</v>
      </c>
      <c r="Z87" s="23">
        <v>0</v>
      </c>
      <c r="AA87" s="23">
        <v>0</v>
      </c>
      <c r="AB87" s="23">
        <v>0</v>
      </c>
    </row>
    <row r="88" spans="2:28" x14ac:dyDescent="0.3">
      <c r="B88" s="81"/>
      <c r="C88" s="72"/>
      <c r="D88" s="75" t="s">
        <v>64</v>
      </c>
      <c r="E88" s="72"/>
      <c r="F88" s="22" t="s">
        <v>2</v>
      </c>
      <c r="G88" s="23"/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4</v>
      </c>
      <c r="P88" s="23">
        <v>4</v>
      </c>
      <c r="Q88" s="23">
        <v>4</v>
      </c>
      <c r="R88" s="23">
        <v>4</v>
      </c>
      <c r="S88" s="23">
        <v>4</v>
      </c>
      <c r="U88" s="23">
        <v>4</v>
      </c>
      <c r="V88" s="23">
        <v>4</v>
      </c>
      <c r="W88" s="23">
        <v>3</v>
      </c>
      <c r="Y88" s="23">
        <v>0</v>
      </c>
      <c r="Z88" s="23">
        <v>0</v>
      </c>
      <c r="AA88" s="23">
        <v>4</v>
      </c>
      <c r="AB88" s="23">
        <v>4</v>
      </c>
    </row>
    <row r="89" spans="2:28" x14ac:dyDescent="0.3">
      <c r="B89" s="81"/>
      <c r="C89" s="72"/>
      <c r="D89" s="76"/>
      <c r="E89" s="73"/>
      <c r="F89" s="22" t="s">
        <v>3</v>
      </c>
      <c r="G89" s="23"/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U89" s="23">
        <v>0</v>
      </c>
      <c r="V89" s="23">
        <v>0</v>
      </c>
      <c r="W89" s="23">
        <v>0</v>
      </c>
      <c r="Y89" s="23">
        <v>0</v>
      </c>
      <c r="Z89" s="23">
        <v>0</v>
      </c>
      <c r="AA89" s="23">
        <v>0</v>
      </c>
      <c r="AB89" s="23">
        <v>0</v>
      </c>
    </row>
    <row r="90" spans="2:28" x14ac:dyDescent="0.3">
      <c r="B90" s="81"/>
      <c r="C90" s="72"/>
      <c r="D90" s="75" t="s">
        <v>65</v>
      </c>
      <c r="E90" s="72"/>
      <c r="F90" s="22" t="s">
        <v>2</v>
      </c>
      <c r="G90" s="23"/>
      <c r="H90" s="23">
        <v>2</v>
      </c>
      <c r="I90" s="23">
        <v>1</v>
      </c>
      <c r="J90" s="23">
        <v>1</v>
      </c>
      <c r="K90" s="23">
        <v>1</v>
      </c>
      <c r="L90" s="23">
        <v>1</v>
      </c>
      <c r="M90" s="23">
        <v>1</v>
      </c>
      <c r="N90" s="23">
        <v>1</v>
      </c>
      <c r="O90" s="23">
        <v>1</v>
      </c>
      <c r="P90" s="23">
        <v>2</v>
      </c>
      <c r="Q90" s="23">
        <v>0</v>
      </c>
      <c r="R90" s="23">
        <v>0</v>
      </c>
      <c r="S90" s="23">
        <v>1</v>
      </c>
      <c r="U90" s="23">
        <v>1</v>
      </c>
      <c r="V90" s="23">
        <v>1</v>
      </c>
      <c r="W90" s="23">
        <v>1</v>
      </c>
      <c r="Y90" s="23">
        <v>1</v>
      </c>
      <c r="Z90" s="23">
        <v>1</v>
      </c>
      <c r="AA90" s="23">
        <v>1</v>
      </c>
      <c r="AB90" s="23">
        <v>1</v>
      </c>
    </row>
    <row r="91" spans="2:28" x14ac:dyDescent="0.3">
      <c r="B91" s="81"/>
      <c r="C91" s="72"/>
      <c r="D91" s="76"/>
      <c r="E91" s="73"/>
      <c r="F91" s="22" t="s">
        <v>3</v>
      </c>
      <c r="G91" s="23"/>
      <c r="H91" s="23">
        <v>1</v>
      </c>
      <c r="I91" s="23">
        <v>1</v>
      </c>
      <c r="J91" s="23">
        <v>1</v>
      </c>
      <c r="K91" s="23">
        <v>1</v>
      </c>
      <c r="L91" s="23">
        <v>1</v>
      </c>
      <c r="M91" s="23">
        <v>1</v>
      </c>
      <c r="N91" s="23">
        <v>1</v>
      </c>
      <c r="O91" s="23">
        <v>1</v>
      </c>
      <c r="P91" s="23">
        <v>1</v>
      </c>
      <c r="Q91" s="23">
        <v>1</v>
      </c>
      <c r="R91" s="23">
        <v>1</v>
      </c>
      <c r="S91" s="23">
        <v>1</v>
      </c>
      <c r="U91" s="23">
        <v>1</v>
      </c>
      <c r="V91" s="23">
        <v>1</v>
      </c>
      <c r="W91" s="23">
        <v>1</v>
      </c>
      <c r="Y91" s="23">
        <v>1</v>
      </c>
      <c r="Z91" s="23">
        <v>1</v>
      </c>
      <c r="AA91" s="23">
        <v>1</v>
      </c>
      <c r="AB91" s="23">
        <v>1</v>
      </c>
    </row>
    <row r="92" spans="2:28" x14ac:dyDescent="0.3">
      <c r="B92" s="81"/>
      <c r="C92" s="72"/>
      <c r="D92" s="75" t="s">
        <v>133</v>
      </c>
      <c r="E92" s="72"/>
      <c r="F92" s="22" t="s">
        <v>2</v>
      </c>
      <c r="G92" s="23"/>
      <c r="H92" s="23">
        <v>18</v>
      </c>
      <c r="I92" s="23">
        <v>18</v>
      </c>
      <c r="J92" s="23">
        <v>17</v>
      </c>
      <c r="K92" s="23">
        <v>17</v>
      </c>
      <c r="L92" s="23">
        <v>17</v>
      </c>
      <c r="M92" s="23">
        <v>16</v>
      </c>
      <c r="N92" s="23">
        <v>16</v>
      </c>
      <c r="O92" s="23">
        <v>12</v>
      </c>
      <c r="P92" s="23">
        <v>12</v>
      </c>
      <c r="Q92" s="23">
        <v>12</v>
      </c>
      <c r="R92" s="23">
        <v>12</v>
      </c>
      <c r="S92" s="23">
        <v>11</v>
      </c>
      <c r="U92" s="23">
        <v>11</v>
      </c>
      <c r="V92" s="23">
        <v>15</v>
      </c>
      <c r="W92" s="23">
        <v>15</v>
      </c>
      <c r="Y92" s="23">
        <v>18</v>
      </c>
      <c r="Z92" s="23">
        <v>17</v>
      </c>
      <c r="AA92" s="23">
        <v>13</v>
      </c>
      <c r="AB92" s="23">
        <v>12</v>
      </c>
    </row>
    <row r="93" spans="2:28" x14ac:dyDescent="0.3">
      <c r="B93" s="81"/>
      <c r="C93" s="72"/>
      <c r="D93" s="76"/>
      <c r="E93" s="73"/>
      <c r="F93" s="22" t="s">
        <v>3</v>
      </c>
      <c r="G93" s="23"/>
      <c r="H93" s="23">
        <v>20</v>
      </c>
      <c r="I93" s="23">
        <v>20</v>
      </c>
      <c r="J93" s="23">
        <v>20</v>
      </c>
      <c r="K93" s="23">
        <v>20</v>
      </c>
      <c r="L93" s="23">
        <v>20</v>
      </c>
      <c r="M93" s="23">
        <v>20</v>
      </c>
      <c r="N93" s="23">
        <v>20</v>
      </c>
      <c r="O93" s="23">
        <v>20</v>
      </c>
      <c r="P93" s="23">
        <v>20</v>
      </c>
      <c r="Q93" s="23">
        <v>20</v>
      </c>
      <c r="R93" s="23">
        <v>20</v>
      </c>
      <c r="S93" s="23">
        <v>20</v>
      </c>
      <c r="U93" s="23">
        <v>20</v>
      </c>
      <c r="V93" s="23">
        <v>20</v>
      </c>
      <c r="W93" s="23">
        <v>20</v>
      </c>
      <c r="Y93" s="23">
        <v>20</v>
      </c>
      <c r="Z93" s="23">
        <v>20</v>
      </c>
      <c r="AA93" s="23">
        <v>20</v>
      </c>
      <c r="AB93" s="23">
        <v>20</v>
      </c>
    </row>
    <row r="94" spans="2:28" x14ac:dyDescent="0.3">
      <c r="B94" s="81"/>
      <c r="C94" s="72"/>
      <c r="D94" s="75" t="s">
        <v>130</v>
      </c>
      <c r="E94" s="72"/>
      <c r="F94" s="22" t="s">
        <v>2</v>
      </c>
      <c r="G94" s="23"/>
      <c r="H94" s="23">
        <v>2</v>
      </c>
      <c r="I94" s="23">
        <v>3</v>
      </c>
      <c r="J94" s="23">
        <v>3</v>
      </c>
      <c r="K94" s="23">
        <v>2</v>
      </c>
      <c r="L94" s="23">
        <v>2</v>
      </c>
      <c r="M94" s="23">
        <v>2</v>
      </c>
      <c r="N94" s="23">
        <v>2</v>
      </c>
      <c r="O94" s="23">
        <v>5</v>
      </c>
      <c r="P94" s="23">
        <v>5</v>
      </c>
      <c r="Q94" s="23">
        <v>5</v>
      </c>
      <c r="R94" s="23">
        <v>5</v>
      </c>
      <c r="S94" s="23">
        <v>5</v>
      </c>
      <c r="U94" s="23">
        <v>5</v>
      </c>
      <c r="V94" s="23">
        <v>3</v>
      </c>
      <c r="W94" s="23">
        <v>3</v>
      </c>
      <c r="Y94" s="23">
        <v>3</v>
      </c>
      <c r="Z94" s="23">
        <v>2</v>
      </c>
      <c r="AA94" s="23">
        <v>4</v>
      </c>
      <c r="AB94" s="23">
        <v>5</v>
      </c>
    </row>
    <row r="95" spans="2:28" x14ac:dyDescent="0.3">
      <c r="B95" s="76"/>
      <c r="C95" s="73"/>
      <c r="D95" s="76"/>
      <c r="E95" s="73"/>
      <c r="F95" s="22" t="s">
        <v>3</v>
      </c>
      <c r="G95" s="23"/>
      <c r="H95" s="23">
        <v>2</v>
      </c>
      <c r="I95" s="23">
        <v>2</v>
      </c>
      <c r="J95" s="23">
        <v>2</v>
      </c>
      <c r="K95" s="23">
        <v>2</v>
      </c>
      <c r="L95" s="23">
        <v>2</v>
      </c>
      <c r="M95" s="23">
        <v>2</v>
      </c>
      <c r="N95" s="23">
        <v>2</v>
      </c>
      <c r="O95" s="23">
        <v>2</v>
      </c>
      <c r="P95" s="23">
        <v>2</v>
      </c>
      <c r="Q95" s="23">
        <v>2</v>
      </c>
      <c r="R95" s="23">
        <v>2</v>
      </c>
      <c r="S95" s="23">
        <v>2</v>
      </c>
      <c r="U95" s="23">
        <v>2</v>
      </c>
      <c r="V95" s="23">
        <v>2</v>
      </c>
      <c r="W95" s="23">
        <v>2</v>
      </c>
      <c r="Y95" s="23">
        <v>2</v>
      </c>
      <c r="Z95" s="23">
        <v>2</v>
      </c>
      <c r="AA95" s="23">
        <v>2</v>
      </c>
      <c r="AB95" s="23">
        <v>2</v>
      </c>
    </row>
    <row r="96" spans="2:28" x14ac:dyDescent="0.3">
      <c r="B96" s="83" t="s">
        <v>134</v>
      </c>
      <c r="C96" s="73"/>
      <c r="D96" s="73"/>
      <c r="E96" s="73"/>
      <c r="F96" s="16" t="s">
        <v>2</v>
      </c>
      <c r="G96" s="17"/>
      <c r="H96" s="17">
        <v>133</v>
      </c>
      <c r="I96" s="17">
        <v>130</v>
      </c>
      <c r="J96" s="17">
        <v>134</v>
      </c>
      <c r="K96" s="17">
        <v>114</v>
      </c>
      <c r="L96" s="17">
        <v>112</v>
      </c>
      <c r="M96" s="17">
        <v>113</v>
      </c>
      <c r="N96" s="17">
        <v>116</v>
      </c>
      <c r="O96" s="17">
        <v>115</v>
      </c>
      <c r="P96" s="17">
        <v>115</v>
      </c>
      <c r="Q96" s="17">
        <v>115</v>
      </c>
      <c r="R96" s="17">
        <v>123</v>
      </c>
      <c r="S96" s="17">
        <v>114</v>
      </c>
      <c r="U96" s="17">
        <v>114</v>
      </c>
      <c r="V96" s="17">
        <v>120</v>
      </c>
      <c r="W96" s="17">
        <v>120</v>
      </c>
      <c r="Y96" s="17">
        <v>132</v>
      </c>
      <c r="Z96" s="17">
        <v>113</v>
      </c>
      <c r="AA96" s="17">
        <v>115</v>
      </c>
      <c r="AB96" s="17">
        <v>117</v>
      </c>
    </row>
    <row r="97" spans="2:28" x14ac:dyDescent="0.3">
      <c r="F97" s="16" t="s">
        <v>3</v>
      </c>
      <c r="G97" s="17"/>
      <c r="H97" s="17">
        <v>131</v>
      </c>
      <c r="I97" s="17">
        <v>131</v>
      </c>
      <c r="J97" s="17">
        <v>132</v>
      </c>
      <c r="K97" s="17">
        <v>131</v>
      </c>
      <c r="L97" s="17">
        <v>131</v>
      </c>
      <c r="M97" s="17">
        <v>131</v>
      </c>
      <c r="N97" s="17">
        <v>131</v>
      </c>
      <c r="O97" s="17">
        <v>131</v>
      </c>
      <c r="P97" s="17">
        <v>131</v>
      </c>
      <c r="Q97" s="17">
        <v>131</v>
      </c>
      <c r="R97" s="17">
        <v>131</v>
      </c>
      <c r="S97" s="17">
        <v>131</v>
      </c>
      <c r="U97" s="17">
        <v>131</v>
      </c>
      <c r="V97" s="17">
        <v>131</v>
      </c>
      <c r="W97" s="17">
        <v>131</v>
      </c>
      <c r="Y97" s="17">
        <v>131</v>
      </c>
      <c r="Z97" s="17">
        <v>131</v>
      </c>
      <c r="AA97" s="17">
        <v>131</v>
      </c>
      <c r="AB97" s="17">
        <v>131</v>
      </c>
    </row>
    <row r="98" spans="2:28" x14ac:dyDescent="0.3">
      <c r="B98" s="78" t="s">
        <v>79</v>
      </c>
      <c r="C98" s="73"/>
      <c r="D98" s="73"/>
      <c r="E98" s="73"/>
      <c r="F98" s="16" t="s">
        <v>2</v>
      </c>
      <c r="G98" s="17"/>
      <c r="H98" s="17">
        <v>131</v>
      </c>
      <c r="I98" s="17">
        <v>128</v>
      </c>
      <c r="J98" s="17">
        <v>132</v>
      </c>
      <c r="K98" s="17">
        <v>112</v>
      </c>
      <c r="L98" s="17">
        <v>110</v>
      </c>
      <c r="M98" s="17">
        <v>111</v>
      </c>
      <c r="N98" s="17">
        <v>114</v>
      </c>
      <c r="O98" s="17">
        <v>113</v>
      </c>
      <c r="P98" s="17">
        <v>113</v>
      </c>
      <c r="Q98" s="17">
        <v>113</v>
      </c>
      <c r="R98" s="17">
        <v>120.88</v>
      </c>
      <c r="S98" s="17">
        <v>112</v>
      </c>
      <c r="U98" s="17">
        <v>112</v>
      </c>
      <c r="V98" s="17">
        <v>118</v>
      </c>
      <c r="W98" s="17">
        <v>118</v>
      </c>
      <c r="Y98" s="17">
        <v>130</v>
      </c>
      <c r="Z98" s="17">
        <v>111</v>
      </c>
      <c r="AA98" s="17">
        <v>113</v>
      </c>
      <c r="AB98" s="17">
        <v>115</v>
      </c>
    </row>
    <row r="99" spans="2:28" x14ac:dyDescent="0.3">
      <c r="F99" s="16" t="s">
        <v>3</v>
      </c>
      <c r="G99" s="17"/>
      <c r="H99" s="17">
        <v>129</v>
      </c>
      <c r="I99" s="17">
        <v>129</v>
      </c>
      <c r="J99" s="17">
        <v>130</v>
      </c>
      <c r="K99" s="17">
        <v>129</v>
      </c>
      <c r="L99" s="17">
        <v>129</v>
      </c>
      <c r="M99" s="17">
        <v>129</v>
      </c>
      <c r="N99" s="17">
        <v>129</v>
      </c>
      <c r="O99" s="17">
        <v>129</v>
      </c>
      <c r="P99" s="17">
        <v>129</v>
      </c>
      <c r="Q99" s="17">
        <v>129</v>
      </c>
      <c r="R99" s="17">
        <v>129</v>
      </c>
      <c r="S99" s="17">
        <v>129</v>
      </c>
      <c r="U99" s="17">
        <v>129</v>
      </c>
      <c r="V99" s="17">
        <v>129</v>
      </c>
      <c r="W99" s="17">
        <v>129</v>
      </c>
      <c r="Y99" s="17">
        <v>129</v>
      </c>
      <c r="Z99" s="17">
        <v>129</v>
      </c>
      <c r="AA99" s="17">
        <v>129</v>
      </c>
      <c r="AB99" s="17">
        <v>129</v>
      </c>
    </row>
    <row r="100" spans="2:28" x14ac:dyDescent="0.3">
      <c r="B100" s="78" t="s">
        <v>80</v>
      </c>
      <c r="C100" s="73"/>
      <c r="D100" s="73"/>
      <c r="E100" s="73"/>
      <c r="F100" s="16" t="s">
        <v>2</v>
      </c>
      <c r="G100" s="17"/>
      <c r="H100" s="17">
        <v>2</v>
      </c>
      <c r="I100" s="17">
        <v>2</v>
      </c>
      <c r="J100" s="17">
        <v>2</v>
      </c>
      <c r="K100" s="17">
        <v>2</v>
      </c>
      <c r="L100" s="17">
        <v>2</v>
      </c>
      <c r="M100" s="17">
        <v>2</v>
      </c>
      <c r="N100" s="17">
        <v>2</v>
      </c>
      <c r="O100" s="17">
        <v>2</v>
      </c>
      <c r="P100" s="17">
        <v>2</v>
      </c>
      <c r="Q100" s="17">
        <v>2</v>
      </c>
      <c r="R100" s="17">
        <v>2</v>
      </c>
      <c r="S100" s="17">
        <v>2</v>
      </c>
      <c r="U100" s="17">
        <v>2</v>
      </c>
      <c r="V100" s="17">
        <v>2</v>
      </c>
      <c r="W100" s="17">
        <v>2</v>
      </c>
      <c r="Y100" s="17">
        <v>2</v>
      </c>
      <c r="Z100" s="17">
        <v>2</v>
      </c>
      <c r="AA100" s="17">
        <v>2</v>
      </c>
      <c r="AB100" s="17">
        <v>2</v>
      </c>
    </row>
    <row r="101" spans="2:28" x14ac:dyDescent="0.3">
      <c r="F101" s="16" t="s">
        <v>3</v>
      </c>
      <c r="G101" s="17"/>
      <c r="H101" s="17">
        <v>2</v>
      </c>
      <c r="I101" s="17">
        <v>2</v>
      </c>
      <c r="J101" s="17">
        <v>2</v>
      </c>
      <c r="K101" s="17">
        <v>2</v>
      </c>
      <c r="L101" s="17">
        <v>2</v>
      </c>
      <c r="M101" s="17">
        <v>2</v>
      </c>
      <c r="N101" s="17">
        <v>2</v>
      </c>
      <c r="O101" s="17">
        <v>2</v>
      </c>
      <c r="P101" s="17">
        <v>2</v>
      </c>
      <c r="Q101" s="17">
        <v>2</v>
      </c>
      <c r="R101" s="17">
        <v>2</v>
      </c>
      <c r="S101" s="17">
        <v>2</v>
      </c>
      <c r="U101" s="17">
        <v>2</v>
      </c>
      <c r="V101" s="17">
        <v>2</v>
      </c>
      <c r="W101" s="17">
        <v>2</v>
      </c>
      <c r="Y101" s="17">
        <v>2</v>
      </c>
      <c r="Z101" s="17">
        <v>2</v>
      </c>
      <c r="AA101" s="17">
        <v>2</v>
      </c>
      <c r="AB101" s="17">
        <v>2</v>
      </c>
    </row>
    <row r="102" spans="2:28" ht="10.35" customHeight="1" x14ac:dyDescent="0.3"/>
    <row r="103" spans="2:28" x14ac:dyDescent="0.3">
      <c r="B103" s="18" t="s">
        <v>81</v>
      </c>
      <c r="C103" s="84" t="s">
        <v>5</v>
      </c>
      <c r="D103" s="73"/>
      <c r="E103" s="19" t="s">
        <v>5</v>
      </c>
      <c r="F103" s="20" t="s">
        <v>6</v>
      </c>
      <c r="G103" s="20"/>
      <c r="H103" s="21" t="s">
        <v>101</v>
      </c>
      <c r="I103" s="21" t="s">
        <v>102</v>
      </c>
      <c r="J103" s="21" t="s">
        <v>103</v>
      </c>
      <c r="K103" s="21" t="s">
        <v>104</v>
      </c>
      <c r="L103" s="21" t="s">
        <v>105</v>
      </c>
      <c r="M103" s="21" t="s">
        <v>106</v>
      </c>
      <c r="N103" s="21" t="s">
        <v>107</v>
      </c>
      <c r="O103" s="21" t="s">
        <v>108</v>
      </c>
      <c r="P103" s="21" t="s">
        <v>109</v>
      </c>
      <c r="Q103" s="21" t="s">
        <v>110</v>
      </c>
      <c r="R103" s="21" t="s">
        <v>111</v>
      </c>
      <c r="S103" s="21" t="s">
        <v>112</v>
      </c>
      <c r="U103" s="21" t="s">
        <v>24</v>
      </c>
      <c r="V103" s="21" t="s">
        <v>25</v>
      </c>
      <c r="W103" s="21" t="s">
        <v>19</v>
      </c>
      <c r="Y103" s="21" t="s">
        <v>20</v>
      </c>
      <c r="Z103" s="21" t="s">
        <v>21</v>
      </c>
      <c r="AA103" s="21" t="s">
        <v>22</v>
      </c>
      <c r="AB103" s="21" t="s">
        <v>23</v>
      </c>
    </row>
    <row r="104" spans="2:28" x14ac:dyDescent="0.3">
      <c r="B104" s="75" t="s">
        <v>113</v>
      </c>
      <c r="C104" s="75" t="s">
        <v>114</v>
      </c>
      <c r="D104" s="72"/>
      <c r="E104" s="75" t="s">
        <v>83</v>
      </c>
      <c r="F104" s="22" t="s">
        <v>2</v>
      </c>
      <c r="G104" s="23"/>
      <c r="H104" s="23">
        <v>1</v>
      </c>
      <c r="I104" s="23">
        <v>1</v>
      </c>
      <c r="J104" s="23">
        <v>1</v>
      </c>
      <c r="K104" s="23">
        <v>1</v>
      </c>
      <c r="L104" s="23">
        <v>1</v>
      </c>
      <c r="M104" s="23">
        <v>1</v>
      </c>
      <c r="N104" s="23">
        <v>1</v>
      </c>
      <c r="O104" s="23">
        <v>1</v>
      </c>
      <c r="P104" s="23">
        <v>1</v>
      </c>
      <c r="Q104" s="23">
        <v>1</v>
      </c>
      <c r="R104" s="23">
        <v>1</v>
      </c>
      <c r="S104" s="23">
        <v>1</v>
      </c>
      <c r="U104" s="23">
        <v>1</v>
      </c>
      <c r="V104" s="23">
        <v>1</v>
      </c>
      <c r="W104" s="23">
        <v>1</v>
      </c>
      <c r="Y104" s="23">
        <v>1</v>
      </c>
      <c r="Z104" s="23">
        <v>1</v>
      </c>
      <c r="AA104" s="23">
        <v>1</v>
      </c>
      <c r="AB104" s="23">
        <v>1</v>
      </c>
    </row>
    <row r="105" spans="2:28" x14ac:dyDescent="0.3">
      <c r="B105" s="81"/>
      <c r="C105" s="76"/>
      <c r="D105" s="73"/>
      <c r="E105" s="76"/>
      <c r="F105" s="22" t="s">
        <v>3</v>
      </c>
      <c r="G105" s="23"/>
      <c r="H105" s="23">
        <v>1</v>
      </c>
      <c r="I105" s="23">
        <v>1</v>
      </c>
      <c r="J105" s="23">
        <v>1</v>
      </c>
      <c r="K105" s="23">
        <v>1</v>
      </c>
      <c r="L105" s="23">
        <v>1</v>
      </c>
      <c r="M105" s="23">
        <v>1</v>
      </c>
      <c r="N105" s="23">
        <v>1</v>
      </c>
      <c r="O105" s="23">
        <v>1</v>
      </c>
      <c r="P105" s="23">
        <v>1</v>
      </c>
      <c r="Q105" s="23">
        <v>1</v>
      </c>
      <c r="R105" s="23">
        <v>1</v>
      </c>
      <c r="S105" s="23">
        <v>1</v>
      </c>
      <c r="U105" s="23">
        <v>1</v>
      </c>
      <c r="V105" s="23">
        <v>1</v>
      </c>
      <c r="W105" s="23">
        <v>1</v>
      </c>
      <c r="Y105" s="23">
        <v>1</v>
      </c>
      <c r="Z105" s="23">
        <v>1</v>
      </c>
      <c r="AA105" s="23">
        <v>1</v>
      </c>
      <c r="AB105" s="23">
        <v>1</v>
      </c>
    </row>
    <row r="106" spans="2:28" x14ac:dyDescent="0.3">
      <c r="B106" s="81"/>
      <c r="C106" s="75" t="s">
        <v>36</v>
      </c>
      <c r="D106" s="72"/>
      <c r="E106" s="75" t="s">
        <v>83</v>
      </c>
      <c r="F106" s="22" t="s">
        <v>2</v>
      </c>
      <c r="G106" s="23"/>
      <c r="H106" s="23">
        <v>1</v>
      </c>
      <c r="I106" s="23">
        <v>1</v>
      </c>
      <c r="J106" s="23">
        <v>1</v>
      </c>
      <c r="K106" s="23">
        <v>1</v>
      </c>
      <c r="L106" s="23">
        <v>1</v>
      </c>
      <c r="M106" s="23">
        <v>1</v>
      </c>
      <c r="N106" s="23">
        <v>3</v>
      </c>
      <c r="O106" s="23">
        <v>2</v>
      </c>
      <c r="P106" s="23">
        <v>2</v>
      </c>
      <c r="Q106" s="23">
        <v>1</v>
      </c>
      <c r="R106" s="23">
        <v>8.8800000000000008</v>
      </c>
      <c r="S106" s="23">
        <v>0</v>
      </c>
      <c r="U106" s="23">
        <v>0</v>
      </c>
      <c r="V106" s="23">
        <v>2</v>
      </c>
      <c r="W106" s="23">
        <v>2</v>
      </c>
      <c r="Y106" s="23">
        <v>1</v>
      </c>
      <c r="Z106" s="23">
        <v>1</v>
      </c>
      <c r="AA106" s="23">
        <v>2</v>
      </c>
      <c r="AB106" s="23">
        <v>3</v>
      </c>
    </row>
    <row r="107" spans="2:28" x14ac:dyDescent="0.3">
      <c r="B107" s="81"/>
      <c r="C107" s="76"/>
      <c r="D107" s="73"/>
      <c r="E107" s="76"/>
      <c r="F107" s="22" t="s">
        <v>3</v>
      </c>
      <c r="G107" s="23"/>
      <c r="H107" s="23">
        <v>1</v>
      </c>
      <c r="I107" s="23">
        <v>1</v>
      </c>
      <c r="J107" s="23">
        <v>1</v>
      </c>
      <c r="K107" s="23">
        <v>1</v>
      </c>
      <c r="L107" s="23">
        <v>1</v>
      </c>
      <c r="M107" s="23">
        <v>1</v>
      </c>
      <c r="N107" s="23">
        <v>1</v>
      </c>
      <c r="O107" s="23">
        <v>1</v>
      </c>
      <c r="P107" s="23">
        <v>1</v>
      </c>
      <c r="Q107" s="23">
        <v>1</v>
      </c>
      <c r="R107" s="23">
        <v>1</v>
      </c>
      <c r="S107" s="23">
        <v>1</v>
      </c>
      <c r="U107" s="23">
        <v>1</v>
      </c>
      <c r="V107" s="23">
        <v>1</v>
      </c>
      <c r="W107" s="23">
        <v>1</v>
      </c>
      <c r="Y107" s="23">
        <v>1</v>
      </c>
      <c r="Z107" s="23">
        <v>1</v>
      </c>
      <c r="AA107" s="23">
        <v>1</v>
      </c>
      <c r="AB107" s="23">
        <v>1</v>
      </c>
    </row>
    <row r="108" spans="2:28" x14ac:dyDescent="0.3">
      <c r="B108" s="81"/>
      <c r="C108" s="75" t="s">
        <v>76</v>
      </c>
      <c r="D108" s="72"/>
      <c r="E108" s="75" t="s">
        <v>83</v>
      </c>
      <c r="F108" s="22" t="s">
        <v>2</v>
      </c>
      <c r="G108" s="23"/>
      <c r="H108" s="23">
        <v>2</v>
      </c>
      <c r="I108" s="23">
        <v>1</v>
      </c>
      <c r="J108" s="23">
        <v>2</v>
      </c>
      <c r="K108" s="23">
        <v>2</v>
      </c>
      <c r="L108" s="23">
        <v>1</v>
      </c>
      <c r="M108" s="23">
        <v>1</v>
      </c>
      <c r="N108" s="23">
        <v>2</v>
      </c>
      <c r="O108" s="23">
        <v>2</v>
      </c>
      <c r="P108" s="23">
        <v>2</v>
      </c>
      <c r="Q108" s="23">
        <v>2</v>
      </c>
      <c r="R108" s="23">
        <v>2</v>
      </c>
      <c r="S108" s="23">
        <v>2</v>
      </c>
      <c r="U108" s="23">
        <v>2</v>
      </c>
      <c r="V108" s="23">
        <v>2</v>
      </c>
      <c r="W108" s="23">
        <v>2</v>
      </c>
      <c r="Y108" s="23">
        <v>2</v>
      </c>
      <c r="Z108" s="23">
        <v>1</v>
      </c>
      <c r="AA108" s="23">
        <v>2</v>
      </c>
      <c r="AB108" s="23">
        <v>2</v>
      </c>
    </row>
    <row r="109" spans="2:28" x14ac:dyDescent="0.3">
      <c r="B109" s="81"/>
      <c r="C109" s="76"/>
      <c r="D109" s="73"/>
      <c r="E109" s="76"/>
      <c r="F109" s="22" t="s">
        <v>3</v>
      </c>
      <c r="G109" s="23"/>
      <c r="H109" s="23">
        <v>3</v>
      </c>
      <c r="I109" s="23">
        <v>3</v>
      </c>
      <c r="J109" s="23">
        <v>3</v>
      </c>
      <c r="K109" s="23">
        <v>3</v>
      </c>
      <c r="L109" s="23">
        <v>3</v>
      </c>
      <c r="M109" s="23">
        <v>3</v>
      </c>
      <c r="N109" s="23">
        <v>3</v>
      </c>
      <c r="O109" s="23">
        <v>3</v>
      </c>
      <c r="P109" s="23">
        <v>3</v>
      </c>
      <c r="Q109" s="23">
        <v>3</v>
      </c>
      <c r="R109" s="23">
        <v>3</v>
      </c>
      <c r="S109" s="23">
        <v>3</v>
      </c>
      <c r="U109" s="23">
        <v>3</v>
      </c>
      <c r="V109" s="23">
        <v>3</v>
      </c>
      <c r="W109" s="23">
        <v>3</v>
      </c>
      <c r="Y109" s="23">
        <v>3</v>
      </c>
      <c r="Z109" s="23">
        <v>3</v>
      </c>
      <c r="AA109" s="23">
        <v>3</v>
      </c>
      <c r="AB109" s="23">
        <v>3</v>
      </c>
    </row>
    <row r="110" spans="2:28" x14ac:dyDescent="0.3">
      <c r="B110" s="81"/>
      <c r="C110" s="75" t="s">
        <v>116</v>
      </c>
      <c r="D110" s="72"/>
      <c r="E110" s="75" t="s">
        <v>83</v>
      </c>
      <c r="F110" s="22" t="s">
        <v>2</v>
      </c>
      <c r="G110" s="23"/>
      <c r="H110" s="23">
        <v>10</v>
      </c>
      <c r="I110" s="23">
        <v>10</v>
      </c>
      <c r="J110" s="23">
        <v>10</v>
      </c>
      <c r="K110" s="23">
        <v>10</v>
      </c>
      <c r="L110" s="23">
        <v>10</v>
      </c>
      <c r="M110" s="23">
        <v>10</v>
      </c>
      <c r="N110" s="23">
        <v>10</v>
      </c>
      <c r="O110" s="23">
        <v>9</v>
      </c>
      <c r="P110" s="23">
        <v>9</v>
      </c>
      <c r="Q110" s="23">
        <v>10</v>
      </c>
      <c r="R110" s="23">
        <v>10</v>
      </c>
      <c r="S110" s="23">
        <v>10</v>
      </c>
      <c r="U110" s="23">
        <v>10</v>
      </c>
      <c r="V110" s="23">
        <v>10</v>
      </c>
      <c r="W110" s="23">
        <v>10</v>
      </c>
      <c r="Y110" s="23">
        <v>10</v>
      </c>
      <c r="Z110" s="23">
        <v>10</v>
      </c>
      <c r="AA110" s="23">
        <v>9</v>
      </c>
      <c r="AB110" s="23">
        <v>10</v>
      </c>
    </row>
    <row r="111" spans="2:28" x14ac:dyDescent="0.3">
      <c r="B111" s="76"/>
      <c r="C111" s="76"/>
      <c r="D111" s="73"/>
      <c r="E111" s="76"/>
      <c r="F111" s="22" t="s">
        <v>3</v>
      </c>
      <c r="G111" s="23"/>
      <c r="H111" s="23">
        <v>9</v>
      </c>
      <c r="I111" s="23">
        <v>9</v>
      </c>
      <c r="J111" s="23">
        <v>9</v>
      </c>
      <c r="K111" s="23">
        <v>9</v>
      </c>
      <c r="L111" s="23">
        <v>9</v>
      </c>
      <c r="M111" s="23">
        <v>9</v>
      </c>
      <c r="N111" s="23">
        <v>9</v>
      </c>
      <c r="O111" s="23">
        <v>9</v>
      </c>
      <c r="P111" s="23">
        <v>9</v>
      </c>
      <c r="Q111" s="23">
        <v>9</v>
      </c>
      <c r="R111" s="23">
        <v>9</v>
      </c>
      <c r="S111" s="23">
        <v>9</v>
      </c>
      <c r="U111" s="23">
        <v>9</v>
      </c>
      <c r="V111" s="23">
        <v>9</v>
      </c>
      <c r="W111" s="23">
        <v>9</v>
      </c>
      <c r="Y111" s="23">
        <v>9</v>
      </c>
      <c r="Z111" s="23">
        <v>9</v>
      </c>
      <c r="AA111" s="23">
        <v>9</v>
      </c>
      <c r="AB111" s="23">
        <v>9</v>
      </c>
    </row>
    <row r="112" spans="2:28" x14ac:dyDescent="0.3">
      <c r="B112" s="75" t="s">
        <v>121</v>
      </c>
      <c r="C112" s="75" t="s">
        <v>125</v>
      </c>
      <c r="D112" s="72"/>
      <c r="E112" s="75" t="s">
        <v>83</v>
      </c>
      <c r="F112" s="22" t="s">
        <v>2</v>
      </c>
      <c r="G112" s="23"/>
      <c r="H112" s="23">
        <v>52</v>
      </c>
      <c r="I112" s="23">
        <v>50</v>
      </c>
      <c r="J112" s="23">
        <v>52</v>
      </c>
      <c r="K112" s="23">
        <v>52</v>
      </c>
      <c r="L112" s="23">
        <v>52</v>
      </c>
      <c r="M112" s="23">
        <v>52</v>
      </c>
      <c r="N112" s="23">
        <v>52</v>
      </c>
      <c r="O112" s="23">
        <v>52</v>
      </c>
      <c r="P112" s="23">
        <v>52</v>
      </c>
      <c r="Q112" s="23">
        <v>52</v>
      </c>
      <c r="R112" s="23">
        <v>52</v>
      </c>
      <c r="S112" s="23">
        <v>52</v>
      </c>
      <c r="U112" s="23">
        <v>52</v>
      </c>
      <c r="V112" s="23">
        <v>52</v>
      </c>
      <c r="W112" s="23">
        <v>52</v>
      </c>
      <c r="Y112" s="23">
        <v>51</v>
      </c>
      <c r="Z112" s="23">
        <v>52</v>
      </c>
      <c r="AA112" s="23">
        <v>52</v>
      </c>
      <c r="AB112" s="23">
        <v>52</v>
      </c>
    </row>
    <row r="113" spans="2:28" x14ac:dyDescent="0.3">
      <c r="B113" s="76"/>
      <c r="C113" s="76"/>
      <c r="D113" s="73"/>
      <c r="E113" s="76"/>
      <c r="F113" s="22" t="s">
        <v>3</v>
      </c>
      <c r="G113" s="23"/>
      <c r="H113" s="23">
        <v>52</v>
      </c>
      <c r="I113" s="23">
        <v>52</v>
      </c>
      <c r="J113" s="23">
        <v>52</v>
      </c>
      <c r="K113" s="23">
        <v>52</v>
      </c>
      <c r="L113" s="23">
        <v>52</v>
      </c>
      <c r="M113" s="23">
        <v>52</v>
      </c>
      <c r="N113" s="23">
        <v>52</v>
      </c>
      <c r="O113" s="23">
        <v>52</v>
      </c>
      <c r="P113" s="23">
        <v>52</v>
      </c>
      <c r="Q113" s="23">
        <v>52</v>
      </c>
      <c r="R113" s="23">
        <v>52</v>
      </c>
      <c r="S113" s="23">
        <v>52</v>
      </c>
      <c r="U113" s="23">
        <v>52</v>
      </c>
      <c r="V113" s="23">
        <v>52</v>
      </c>
      <c r="W113" s="23">
        <v>52</v>
      </c>
      <c r="Y113" s="23">
        <v>52</v>
      </c>
      <c r="Z113" s="23">
        <v>52</v>
      </c>
      <c r="AA113" s="23">
        <v>52</v>
      </c>
      <c r="AB113" s="23">
        <v>52</v>
      </c>
    </row>
    <row r="114" spans="2:28" x14ac:dyDescent="0.3">
      <c r="B114" s="75" t="s">
        <v>50</v>
      </c>
      <c r="C114" s="75" t="s">
        <v>51</v>
      </c>
      <c r="D114" s="72"/>
      <c r="E114" s="75" t="s">
        <v>83</v>
      </c>
      <c r="F114" s="22" t="s">
        <v>2</v>
      </c>
      <c r="G114" s="23"/>
      <c r="H114" s="23">
        <v>8</v>
      </c>
      <c r="I114" s="23">
        <v>8</v>
      </c>
      <c r="J114" s="23">
        <v>8</v>
      </c>
      <c r="K114" s="23">
        <v>8</v>
      </c>
      <c r="L114" s="23">
        <v>7</v>
      </c>
      <c r="M114" s="23">
        <v>8</v>
      </c>
      <c r="N114" s="23">
        <v>9</v>
      </c>
      <c r="O114" s="23">
        <v>9</v>
      </c>
      <c r="P114" s="23">
        <v>9</v>
      </c>
      <c r="Q114" s="23">
        <v>9</v>
      </c>
      <c r="R114" s="23">
        <v>9</v>
      </c>
      <c r="S114" s="23">
        <v>9</v>
      </c>
      <c r="U114" s="23">
        <v>9</v>
      </c>
      <c r="V114" s="23">
        <v>8</v>
      </c>
      <c r="W114" s="23">
        <v>8</v>
      </c>
      <c r="Y114" s="23">
        <v>8</v>
      </c>
      <c r="Z114" s="23">
        <v>8</v>
      </c>
      <c r="AA114" s="23">
        <v>9</v>
      </c>
      <c r="AB114" s="23">
        <v>9</v>
      </c>
    </row>
    <row r="115" spans="2:28" x14ac:dyDescent="0.3">
      <c r="B115" s="81"/>
      <c r="C115" s="76"/>
      <c r="D115" s="73"/>
      <c r="E115" s="76"/>
      <c r="F115" s="22" t="s">
        <v>3</v>
      </c>
      <c r="G115" s="23"/>
      <c r="H115" s="23">
        <v>8</v>
      </c>
      <c r="I115" s="23">
        <v>8</v>
      </c>
      <c r="J115" s="23">
        <v>9</v>
      </c>
      <c r="K115" s="23">
        <v>8</v>
      </c>
      <c r="L115" s="23">
        <v>8</v>
      </c>
      <c r="M115" s="23">
        <v>8</v>
      </c>
      <c r="N115" s="23">
        <v>8</v>
      </c>
      <c r="O115" s="23">
        <v>8</v>
      </c>
      <c r="P115" s="23">
        <v>8</v>
      </c>
      <c r="Q115" s="23">
        <v>8</v>
      </c>
      <c r="R115" s="23">
        <v>8</v>
      </c>
      <c r="S115" s="23">
        <v>8</v>
      </c>
      <c r="U115" s="23">
        <v>8</v>
      </c>
      <c r="V115" s="23">
        <v>8</v>
      </c>
      <c r="W115" s="23">
        <v>8</v>
      </c>
      <c r="Y115" s="23">
        <v>8</v>
      </c>
      <c r="Z115" s="23">
        <v>8</v>
      </c>
      <c r="AA115" s="23">
        <v>8</v>
      </c>
      <c r="AB115" s="23">
        <v>8</v>
      </c>
    </row>
    <row r="116" spans="2:28" x14ac:dyDescent="0.3">
      <c r="B116" s="81"/>
      <c r="C116" s="75" t="s">
        <v>52</v>
      </c>
      <c r="D116" s="72"/>
      <c r="E116" s="75" t="s">
        <v>82</v>
      </c>
      <c r="F116" s="22" t="s">
        <v>2</v>
      </c>
      <c r="G116" s="23"/>
      <c r="H116" s="23">
        <v>2</v>
      </c>
      <c r="I116" s="23">
        <v>2</v>
      </c>
      <c r="J116" s="23">
        <v>2</v>
      </c>
      <c r="K116" s="23">
        <v>2</v>
      </c>
      <c r="L116" s="23">
        <v>2</v>
      </c>
      <c r="M116" s="23">
        <v>2</v>
      </c>
      <c r="N116" s="23">
        <v>2</v>
      </c>
      <c r="O116" s="23">
        <v>2</v>
      </c>
      <c r="P116" s="23">
        <v>2</v>
      </c>
      <c r="Q116" s="23">
        <v>2</v>
      </c>
      <c r="R116" s="23">
        <v>2</v>
      </c>
      <c r="S116" s="23">
        <v>2</v>
      </c>
      <c r="U116" s="23">
        <v>2</v>
      </c>
      <c r="V116" s="23">
        <v>2</v>
      </c>
      <c r="W116" s="23">
        <v>2</v>
      </c>
      <c r="Y116" s="23">
        <v>2</v>
      </c>
      <c r="Z116" s="23">
        <v>2</v>
      </c>
      <c r="AA116" s="23">
        <v>2</v>
      </c>
      <c r="AB116" s="23">
        <v>2</v>
      </c>
    </row>
    <row r="117" spans="2:28" x14ac:dyDescent="0.3">
      <c r="B117" s="81"/>
      <c r="C117" s="76"/>
      <c r="D117" s="73"/>
      <c r="E117" s="76"/>
      <c r="F117" s="22" t="s">
        <v>3</v>
      </c>
      <c r="G117" s="23"/>
      <c r="H117" s="23">
        <v>2</v>
      </c>
      <c r="I117" s="23">
        <v>2</v>
      </c>
      <c r="J117" s="23">
        <v>2</v>
      </c>
      <c r="K117" s="23">
        <v>2</v>
      </c>
      <c r="L117" s="23">
        <v>2</v>
      </c>
      <c r="M117" s="23">
        <v>2</v>
      </c>
      <c r="N117" s="23">
        <v>2</v>
      </c>
      <c r="O117" s="23">
        <v>2</v>
      </c>
      <c r="P117" s="23">
        <v>2</v>
      </c>
      <c r="Q117" s="23">
        <v>2</v>
      </c>
      <c r="R117" s="23">
        <v>2</v>
      </c>
      <c r="S117" s="23">
        <v>2</v>
      </c>
      <c r="U117" s="23">
        <v>2</v>
      </c>
      <c r="V117" s="23">
        <v>2</v>
      </c>
      <c r="W117" s="23">
        <v>2</v>
      </c>
      <c r="Y117" s="23">
        <v>2</v>
      </c>
      <c r="Z117" s="23">
        <v>2</v>
      </c>
      <c r="AA117" s="23">
        <v>2</v>
      </c>
      <c r="AB117" s="23">
        <v>2</v>
      </c>
    </row>
    <row r="118" spans="2:28" x14ac:dyDescent="0.3">
      <c r="B118" s="81"/>
      <c r="C118" s="75" t="s">
        <v>126</v>
      </c>
      <c r="D118" s="72"/>
      <c r="E118" s="75" t="s">
        <v>83</v>
      </c>
      <c r="F118" s="22" t="s">
        <v>2</v>
      </c>
      <c r="G118" s="23"/>
      <c r="H118" s="23">
        <v>2</v>
      </c>
      <c r="I118" s="23">
        <v>2</v>
      </c>
      <c r="J118" s="23">
        <v>3</v>
      </c>
      <c r="K118" s="23">
        <v>3</v>
      </c>
      <c r="L118" s="23">
        <v>3</v>
      </c>
      <c r="M118" s="23">
        <v>3</v>
      </c>
      <c r="N118" s="23">
        <v>2</v>
      </c>
      <c r="O118" s="23">
        <v>3</v>
      </c>
      <c r="P118" s="23">
        <v>3</v>
      </c>
      <c r="Q118" s="23">
        <v>3</v>
      </c>
      <c r="R118" s="23">
        <v>3</v>
      </c>
      <c r="S118" s="23">
        <v>3</v>
      </c>
      <c r="U118" s="23">
        <v>3</v>
      </c>
      <c r="V118" s="23">
        <v>3</v>
      </c>
      <c r="W118" s="23">
        <v>3</v>
      </c>
      <c r="Y118" s="23">
        <v>2</v>
      </c>
      <c r="Z118" s="23">
        <v>3</v>
      </c>
      <c r="AA118" s="23">
        <v>3</v>
      </c>
      <c r="AB118" s="23">
        <v>3</v>
      </c>
    </row>
    <row r="119" spans="2:28" x14ac:dyDescent="0.3">
      <c r="B119" s="76"/>
      <c r="C119" s="76"/>
      <c r="D119" s="73"/>
      <c r="E119" s="76"/>
      <c r="F119" s="22" t="s">
        <v>3</v>
      </c>
      <c r="G119" s="23"/>
      <c r="H119" s="23">
        <v>3</v>
      </c>
      <c r="I119" s="23">
        <v>3</v>
      </c>
      <c r="J119" s="23">
        <v>3</v>
      </c>
      <c r="K119" s="23">
        <v>3</v>
      </c>
      <c r="L119" s="23">
        <v>3</v>
      </c>
      <c r="M119" s="23">
        <v>3</v>
      </c>
      <c r="N119" s="23">
        <v>3</v>
      </c>
      <c r="O119" s="23">
        <v>3</v>
      </c>
      <c r="P119" s="23">
        <v>3</v>
      </c>
      <c r="Q119" s="23">
        <v>3</v>
      </c>
      <c r="R119" s="23">
        <v>3</v>
      </c>
      <c r="S119" s="23">
        <v>3</v>
      </c>
      <c r="U119" s="23">
        <v>3</v>
      </c>
      <c r="V119" s="23">
        <v>3</v>
      </c>
      <c r="W119" s="23">
        <v>3</v>
      </c>
      <c r="Y119" s="23">
        <v>3</v>
      </c>
      <c r="Z119" s="23">
        <v>3</v>
      </c>
      <c r="AA119" s="23">
        <v>3</v>
      </c>
      <c r="AB119" s="23">
        <v>3</v>
      </c>
    </row>
    <row r="120" spans="2:28" x14ac:dyDescent="0.3">
      <c r="B120" s="75" t="s">
        <v>58</v>
      </c>
      <c r="C120" s="75" t="s">
        <v>60</v>
      </c>
      <c r="D120" s="72"/>
      <c r="E120" s="75" t="s">
        <v>83</v>
      </c>
      <c r="F120" s="22" t="s">
        <v>2</v>
      </c>
      <c r="G120" s="23"/>
      <c r="H120" s="23">
        <v>3</v>
      </c>
      <c r="I120" s="23">
        <v>3</v>
      </c>
      <c r="J120" s="23">
        <v>3</v>
      </c>
      <c r="K120" s="23">
        <v>3</v>
      </c>
      <c r="L120" s="23">
        <v>3</v>
      </c>
      <c r="M120" s="23">
        <v>3</v>
      </c>
      <c r="N120" s="23">
        <v>3</v>
      </c>
      <c r="O120" s="23">
        <v>3</v>
      </c>
      <c r="P120" s="23">
        <v>3</v>
      </c>
      <c r="Q120" s="23">
        <v>3</v>
      </c>
      <c r="R120" s="23">
        <v>3</v>
      </c>
      <c r="S120" s="23">
        <v>3</v>
      </c>
      <c r="U120" s="23">
        <v>3</v>
      </c>
      <c r="V120" s="23">
        <v>3</v>
      </c>
      <c r="W120" s="23">
        <v>3</v>
      </c>
      <c r="Y120" s="23">
        <v>3</v>
      </c>
      <c r="Z120" s="23">
        <v>3</v>
      </c>
      <c r="AA120" s="23">
        <v>3</v>
      </c>
      <c r="AB120" s="23">
        <v>3</v>
      </c>
    </row>
    <row r="121" spans="2:28" x14ac:dyDescent="0.3">
      <c r="B121" s="76"/>
      <c r="C121" s="76"/>
      <c r="D121" s="73"/>
      <c r="E121" s="76"/>
      <c r="F121" s="22" t="s">
        <v>3</v>
      </c>
      <c r="G121" s="23"/>
      <c r="H121" s="23">
        <v>3</v>
      </c>
      <c r="I121" s="23">
        <v>3</v>
      </c>
      <c r="J121" s="23">
        <v>3</v>
      </c>
      <c r="K121" s="23">
        <v>3</v>
      </c>
      <c r="L121" s="23">
        <v>3</v>
      </c>
      <c r="M121" s="23">
        <v>3</v>
      </c>
      <c r="N121" s="23">
        <v>3</v>
      </c>
      <c r="O121" s="23">
        <v>3</v>
      </c>
      <c r="P121" s="23">
        <v>3</v>
      </c>
      <c r="Q121" s="23">
        <v>3</v>
      </c>
      <c r="R121" s="23">
        <v>3</v>
      </c>
      <c r="S121" s="23">
        <v>3</v>
      </c>
      <c r="U121" s="23">
        <v>3</v>
      </c>
      <c r="V121" s="23">
        <v>3</v>
      </c>
      <c r="W121" s="23">
        <v>3</v>
      </c>
      <c r="Y121" s="23">
        <v>3</v>
      </c>
      <c r="Z121" s="23">
        <v>3</v>
      </c>
      <c r="AA121" s="23">
        <v>3</v>
      </c>
      <c r="AB121" s="23">
        <v>3</v>
      </c>
    </row>
    <row r="122" spans="2:28" x14ac:dyDescent="0.3">
      <c r="B122" s="75" t="s">
        <v>130</v>
      </c>
      <c r="C122" s="75" t="s">
        <v>133</v>
      </c>
      <c r="D122" s="72"/>
      <c r="E122" s="75" t="s">
        <v>83</v>
      </c>
      <c r="F122" s="22" t="s">
        <v>2</v>
      </c>
      <c r="G122" s="23"/>
      <c r="H122" s="23">
        <v>52</v>
      </c>
      <c r="I122" s="23">
        <v>52</v>
      </c>
      <c r="J122" s="23">
        <v>52</v>
      </c>
      <c r="K122" s="23">
        <v>32</v>
      </c>
      <c r="L122" s="23">
        <v>32</v>
      </c>
      <c r="M122" s="23">
        <v>32</v>
      </c>
      <c r="N122" s="23">
        <v>32</v>
      </c>
      <c r="O122" s="23">
        <v>32</v>
      </c>
      <c r="P122" s="23">
        <v>32</v>
      </c>
      <c r="Q122" s="23">
        <v>32</v>
      </c>
      <c r="R122" s="23">
        <v>32</v>
      </c>
      <c r="S122" s="23">
        <v>32</v>
      </c>
      <c r="U122" s="23">
        <v>32</v>
      </c>
      <c r="V122" s="23">
        <v>37</v>
      </c>
      <c r="W122" s="23">
        <v>37</v>
      </c>
      <c r="Y122" s="23">
        <v>52</v>
      </c>
      <c r="Z122" s="23">
        <v>32</v>
      </c>
      <c r="AA122" s="23">
        <v>32</v>
      </c>
      <c r="AB122" s="23">
        <v>32</v>
      </c>
    </row>
    <row r="123" spans="2:28" x14ac:dyDescent="0.3">
      <c r="B123" s="76"/>
      <c r="C123" s="76"/>
      <c r="D123" s="73"/>
      <c r="E123" s="76"/>
      <c r="F123" s="22" t="s">
        <v>3</v>
      </c>
      <c r="G123" s="23"/>
      <c r="H123" s="23">
        <v>49</v>
      </c>
      <c r="I123" s="23">
        <v>49</v>
      </c>
      <c r="J123" s="23">
        <v>49</v>
      </c>
      <c r="K123" s="23">
        <v>49</v>
      </c>
      <c r="L123" s="23">
        <v>49</v>
      </c>
      <c r="M123" s="23">
        <v>49</v>
      </c>
      <c r="N123" s="23">
        <v>49</v>
      </c>
      <c r="O123" s="23">
        <v>49</v>
      </c>
      <c r="P123" s="23">
        <v>49</v>
      </c>
      <c r="Q123" s="23">
        <v>49</v>
      </c>
      <c r="R123" s="23">
        <v>49</v>
      </c>
      <c r="S123" s="23">
        <v>49</v>
      </c>
      <c r="U123" s="23">
        <v>49</v>
      </c>
      <c r="V123" s="23">
        <v>49</v>
      </c>
      <c r="W123" s="23">
        <v>49</v>
      </c>
      <c r="Y123" s="23">
        <v>49</v>
      </c>
      <c r="Z123" s="23">
        <v>49</v>
      </c>
      <c r="AA123" s="23">
        <v>49</v>
      </c>
      <c r="AB123" s="23">
        <v>49</v>
      </c>
    </row>
    <row r="124" spans="2:28" x14ac:dyDescent="0.3">
      <c r="B124" s="24"/>
      <c r="C124" s="24"/>
      <c r="D124" s="25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U124" s="23"/>
      <c r="V124" s="23"/>
      <c r="W124" s="23"/>
      <c r="Y124" s="23"/>
      <c r="Z124" s="23"/>
      <c r="AA124" s="23"/>
      <c r="AB124" s="23"/>
    </row>
    <row r="125" spans="2:28" ht="6.6" customHeight="1" x14ac:dyDescent="0.3"/>
    <row r="126" spans="2:28" x14ac:dyDescent="0.3">
      <c r="B126" s="78" t="s">
        <v>135</v>
      </c>
      <c r="C126" s="73"/>
      <c r="D126" s="73"/>
      <c r="E126" s="73"/>
      <c r="F126" s="16" t="s">
        <v>2</v>
      </c>
      <c r="G126" s="17"/>
      <c r="H126" s="17">
        <v>239</v>
      </c>
      <c r="I126" s="17">
        <v>232</v>
      </c>
      <c r="J126" s="17">
        <v>231</v>
      </c>
      <c r="K126" s="17">
        <v>229</v>
      </c>
      <c r="L126" s="17">
        <v>229</v>
      </c>
      <c r="M126" s="17">
        <v>227</v>
      </c>
      <c r="N126" s="17">
        <v>228</v>
      </c>
      <c r="O126" s="17">
        <v>232</v>
      </c>
      <c r="P126" s="17">
        <v>227</v>
      </c>
      <c r="Q126" s="17">
        <v>226</v>
      </c>
      <c r="R126" s="17">
        <v>227</v>
      </c>
      <c r="S126" s="17">
        <v>226</v>
      </c>
      <c r="T126" s="15">
        <f>+AVERAGE(H126:S126)</f>
        <v>229.41666666666666</v>
      </c>
      <c r="U126" s="17">
        <v>226</v>
      </c>
      <c r="V126" s="17">
        <v>230</v>
      </c>
      <c r="W126" s="17">
        <v>230</v>
      </c>
      <c r="Y126" s="17">
        <v>235</v>
      </c>
      <c r="Z126" s="17">
        <v>228</v>
      </c>
      <c r="AA126" s="17">
        <v>229</v>
      </c>
      <c r="AB126" s="17">
        <v>227</v>
      </c>
    </row>
    <row r="127" spans="2:28" x14ac:dyDescent="0.3">
      <c r="F127" s="16" t="s">
        <v>3</v>
      </c>
      <c r="G127" s="17"/>
      <c r="H127" s="17">
        <v>260</v>
      </c>
      <c r="I127" s="17">
        <v>258</v>
      </c>
      <c r="J127" s="17">
        <v>249</v>
      </c>
      <c r="K127" s="17">
        <v>253</v>
      </c>
      <c r="L127" s="17">
        <v>249</v>
      </c>
      <c r="M127" s="17">
        <v>251</v>
      </c>
      <c r="N127" s="17">
        <v>251</v>
      </c>
      <c r="O127" s="17">
        <v>254</v>
      </c>
      <c r="P127" s="17">
        <v>245</v>
      </c>
      <c r="Q127" s="17">
        <v>245</v>
      </c>
      <c r="R127" s="17">
        <v>243</v>
      </c>
      <c r="S127" s="17">
        <v>244</v>
      </c>
      <c r="U127" s="17">
        <v>244</v>
      </c>
      <c r="V127" s="17">
        <v>250</v>
      </c>
      <c r="W127" s="17">
        <v>250</v>
      </c>
      <c r="Y127" s="17">
        <v>256</v>
      </c>
      <c r="Z127" s="17">
        <v>251</v>
      </c>
      <c r="AA127" s="17">
        <v>250</v>
      </c>
      <c r="AB127" s="17">
        <v>244</v>
      </c>
    </row>
    <row r="128" spans="2:28" x14ac:dyDescent="0.3">
      <c r="B128" s="78" t="s">
        <v>5</v>
      </c>
      <c r="C128" s="73"/>
      <c r="D128" s="73"/>
      <c r="E128" s="73"/>
      <c r="F128" s="20" t="s">
        <v>6</v>
      </c>
      <c r="G128" s="20"/>
      <c r="H128" s="21" t="s">
        <v>101</v>
      </c>
      <c r="I128" s="21" t="s">
        <v>102</v>
      </c>
      <c r="J128" s="21" t="s">
        <v>103</v>
      </c>
      <c r="K128" s="21" t="s">
        <v>104</v>
      </c>
      <c r="L128" s="21" t="s">
        <v>105</v>
      </c>
      <c r="M128" s="21" t="s">
        <v>106</v>
      </c>
      <c r="N128" s="21" t="s">
        <v>107</v>
      </c>
      <c r="O128" s="21" t="s">
        <v>108</v>
      </c>
      <c r="P128" s="21" t="s">
        <v>109</v>
      </c>
      <c r="Q128" s="21" t="s">
        <v>110</v>
      </c>
      <c r="R128" s="21" t="s">
        <v>111</v>
      </c>
      <c r="S128" s="21" t="s">
        <v>112</v>
      </c>
      <c r="U128" s="21" t="s">
        <v>24</v>
      </c>
      <c r="V128" s="21" t="s">
        <v>25</v>
      </c>
      <c r="W128" s="21" t="s">
        <v>19</v>
      </c>
      <c r="Y128" s="21" t="s">
        <v>20</v>
      </c>
      <c r="Z128" s="21" t="s">
        <v>21</v>
      </c>
      <c r="AA128" s="21" t="s">
        <v>22</v>
      </c>
      <c r="AB128" s="21" t="s">
        <v>23</v>
      </c>
    </row>
    <row r="129" spans="2:28" x14ac:dyDescent="0.3">
      <c r="B129" s="75" t="s">
        <v>113</v>
      </c>
      <c r="C129" s="72"/>
      <c r="D129" s="72"/>
      <c r="E129" s="72"/>
      <c r="F129" s="22" t="s">
        <v>2</v>
      </c>
      <c r="G129" s="23"/>
      <c r="H129" s="23">
        <v>10</v>
      </c>
      <c r="I129" s="23">
        <v>10</v>
      </c>
      <c r="J129" s="23">
        <v>10</v>
      </c>
      <c r="K129" s="23">
        <v>9</v>
      </c>
      <c r="L129" s="23">
        <v>9</v>
      </c>
      <c r="M129" s="23">
        <v>9</v>
      </c>
      <c r="N129" s="23">
        <v>9</v>
      </c>
      <c r="O129" s="23">
        <v>9</v>
      </c>
      <c r="P129" s="23">
        <v>9</v>
      </c>
      <c r="Q129" s="23">
        <v>10</v>
      </c>
      <c r="R129" s="23">
        <v>11</v>
      </c>
      <c r="S129" s="23">
        <v>10</v>
      </c>
      <c r="U129" s="23">
        <v>10</v>
      </c>
      <c r="V129" s="23">
        <v>10</v>
      </c>
      <c r="W129" s="23">
        <v>10</v>
      </c>
      <c r="Y129" s="23">
        <v>10</v>
      </c>
      <c r="Z129" s="23">
        <v>9</v>
      </c>
      <c r="AA129" s="23">
        <v>9</v>
      </c>
      <c r="AB129" s="23">
        <v>11</v>
      </c>
    </row>
    <row r="130" spans="2:28" x14ac:dyDescent="0.3">
      <c r="B130" s="76"/>
      <c r="C130" s="73"/>
      <c r="D130" s="73"/>
      <c r="E130" s="73"/>
      <c r="F130" s="22" t="s">
        <v>3</v>
      </c>
      <c r="G130" s="23"/>
      <c r="H130" s="23">
        <v>9</v>
      </c>
      <c r="I130" s="23">
        <v>9</v>
      </c>
      <c r="J130" s="23">
        <v>9</v>
      </c>
      <c r="K130" s="23">
        <v>9</v>
      </c>
      <c r="L130" s="23">
        <v>9</v>
      </c>
      <c r="M130" s="23">
        <v>9</v>
      </c>
      <c r="N130" s="23">
        <v>9</v>
      </c>
      <c r="O130" s="23">
        <v>9</v>
      </c>
      <c r="P130" s="23">
        <v>8</v>
      </c>
      <c r="Q130" s="23">
        <v>8</v>
      </c>
      <c r="R130" s="23">
        <v>8</v>
      </c>
      <c r="S130" s="23">
        <v>8</v>
      </c>
      <c r="U130" s="23">
        <v>8</v>
      </c>
      <c r="V130" s="23">
        <v>9</v>
      </c>
      <c r="W130" s="23">
        <v>9</v>
      </c>
      <c r="Y130" s="23">
        <v>9</v>
      </c>
      <c r="Z130" s="23">
        <v>9</v>
      </c>
      <c r="AA130" s="23">
        <v>9</v>
      </c>
      <c r="AB130" s="23">
        <v>8</v>
      </c>
    </row>
    <row r="131" spans="2:28" x14ac:dyDescent="0.3">
      <c r="B131" s="75" t="s">
        <v>38</v>
      </c>
      <c r="C131" s="72"/>
      <c r="D131" s="72"/>
      <c r="E131" s="72"/>
      <c r="F131" s="22" t="s">
        <v>2</v>
      </c>
      <c r="G131" s="23"/>
      <c r="H131" s="23">
        <v>184</v>
      </c>
      <c r="I131" s="23">
        <v>177</v>
      </c>
      <c r="J131" s="23">
        <v>175</v>
      </c>
      <c r="K131" s="23">
        <v>174</v>
      </c>
      <c r="L131" s="23">
        <v>175</v>
      </c>
      <c r="M131" s="23">
        <v>174</v>
      </c>
      <c r="N131" s="23">
        <v>174</v>
      </c>
      <c r="O131" s="23">
        <v>178</v>
      </c>
      <c r="P131" s="23">
        <v>173</v>
      </c>
      <c r="Q131" s="23">
        <v>172</v>
      </c>
      <c r="R131" s="23">
        <v>172</v>
      </c>
      <c r="S131" s="23">
        <v>172</v>
      </c>
      <c r="U131" s="23">
        <v>172</v>
      </c>
      <c r="V131" s="23">
        <v>175</v>
      </c>
      <c r="W131" s="23">
        <v>175</v>
      </c>
      <c r="Y131" s="23">
        <v>179</v>
      </c>
      <c r="Z131" s="23">
        <v>174</v>
      </c>
      <c r="AA131" s="23">
        <v>175</v>
      </c>
      <c r="AB131" s="23">
        <v>172</v>
      </c>
    </row>
    <row r="132" spans="2:28" x14ac:dyDescent="0.3">
      <c r="B132" s="76"/>
      <c r="C132" s="73"/>
      <c r="D132" s="73"/>
      <c r="E132" s="73"/>
      <c r="F132" s="22" t="s">
        <v>3</v>
      </c>
      <c r="G132" s="23"/>
      <c r="H132" s="23">
        <v>206</v>
      </c>
      <c r="I132" s="23">
        <v>204</v>
      </c>
      <c r="J132" s="23">
        <v>195</v>
      </c>
      <c r="K132" s="23">
        <v>199</v>
      </c>
      <c r="L132" s="23">
        <v>196</v>
      </c>
      <c r="M132" s="23">
        <v>198</v>
      </c>
      <c r="N132" s="23">
        <v>198</v>
      </c>
      <c r="O132" s="23">
        <v>201</v>
      </c>
      <c r="P132" s="23">
        <v>193</v>
      </c>
      <c r="Q132" s="23">
        <v>193</v>
      </c>
      <c r="R132" s="23">
        <v>191</v>
      </c>
      <c r="S132" s="23">
        <v>192</v>
      </c>
      <c r="U132" s="23">
        <v>192</v>
      </c>
      <c r="V132" s="23">
        <v>197</v>
      </c>
      <c r="W132" s="23">
        <v>197</v>
      </c>
      <c r="Y132" s="23">
        <v>202</v>
      </c>
      <c r="Z132" s="23">
        <v>198</v>
      </c>
      <c r="AA132" s="23">
        <v>197</v>
      </c>
      <c r="AB132" s="23">
        <v>192</v>
      </c>
    </row>
    <row r="133" spans="2:28" x14ac:dyDescent="0.3">
      <c r="B133" s="75" t="s">
        <v>42</v>
      </c>
      <c r="C133" s="72"/>
      <c r="D133" s="72"/>
      <c r="E133" s="72"/>
      <c r="F133" s="22" t="s">
        <v>2</v>
      </c>
      <c r="G133" s="23"/>
      <c r="H133" s="23">
        <v>42</v>
      </c>
      <c r="I133" s="23">
        <v>41</v>
      </c>
      <c r="J133" s="23">
        <v>41</v>
      </c>
      <c r="K133" s="23">
        <v>41</v>
      </c>
      <c r="L133" s="23">
        <v>40</v>
      </c>
      <c r="M133" s="23">
        <v>39</v>
      </c>
      <c r="N133" s="23">
        <v>40</v>
      </c>
      <c r="O133" s="23">
        <v>40</v>
      </c>
      <c r="P133" s="23">
        <v>40</v>
      </c>
      <c r="Q133" s="23">
        <v>39</v>
      </c>
      <c r="R133" s="23">
        <v>39</v>
      </c>
      <c r="S133" s="23">
        <v>39</v>
      </c>
      <c r="U133" s="23">
        <v>39</v>
      </c>
      <c r="V133" s="23">
        <v>40</v>
      </c>
      <c r="W133" s="23">
        <v>40</v>
      </c>
      <c r="Y133" s="23">
        <v>41</v>
      </c>
      <c r="Z133" s="23">
        <v>40</v>
      </c>
      <c r="AA133" s="23">
        <v>40</v>
      </c>
      <c r="AB133" s="23">
        <v>39</v>
      </c>
    </row>
    <row r="134" spans="2:28" x14ac:dyDescent="0.3">
      <c r="B134" s="76"/>
      <c r="C134" s="73"/>
      <c r="D134" s="73"/>
      <c r="E134" s="73"/>
      <c r="F134" s="22" t="s">
        <v>3</v>
      </c>
      <c r="G134" s="23"/>
      <c r="H134" s="23">
        <v>41</v>
      </c>
      <c r="I134" s="23">
        <v>41</v>
      </c>
      <c r="J134" s="23">
        <v>41</v>
      </c>
      <c r="K134" s="23">
        <v>41</v>
      </c>
      <c r="L134" s="23">
        <v>40</v>
      </c>
      <c r="M134" s="23">
        <v>40</v>
      </c>
      <c r="N134" s="23">
        <v>40</v>
      </c>
      <c r="O134" s="23">
        <v>40</v>
      </c>
      <c r="P134" s="23">
        <v>40</v>
      </c>
      <c r="Q134" s="23">
        <v>40</v>
      </c>
      <c r="R134" s="23">
        <v>40</v>
      </c>
      <c r="S134" s="23">
        <v>40</v>
      </c>
      <c r="U134" s="23">
        <v>40</v>
      </c>
      <c r="V134" s="23">
        <v>40</v>
      </c>
      <c r="W134" s="23">
        <v>40</v>
      </c>
      <c r="Y134" s="23">
        <v>41</v>
      </c>
      <c r="Z134" s="23">
        <v>40</v>
      </c>
      <c r="AA134" s="23">
        <v>40</v>
      </c>
      <c r="AB134" s="23">
        <v>40</v>
      </c>
    </row>
    <row r="135" spans="2:28" x14ac:dyDescent="0.3">
      <c r="B135" s="75" t="s">
        <v>121</v>
      </c>
      <c r="C135" s="72"/>
      <c r="D135" s="72"/>
      <c r="E135" s="72"/>
      <c r="F135" s="22" t="s">
        <v>2</v>
      </c>
      <c r="G135" s="23"/>
      <c r="H135" s="23">
        <v>0</v>
      </c>
      <c r="I135" s="23">
        <v>0</v>
      </c>
      <c r="J135" s="23">
        <v>1</v>
      </c>
      <c r="K135" s="23">
        <v>1</v>
      </c>
      <c r="L135" s="23">
        <v>1</v>
      </c>
      <c r="M135" s="23">
        <v>1</v>
      </c>
      <c r="N135" s="23">
        <v>1</v>
      </c>
      <c r="O135" s="23">
        <v>1</v>
      </c>
      <c r="P135" s="23">
        <v>1</v>
      </c>
      <c r="Q135" s="23">
        <v>1</v>
      </c>
      <c r="R135" s="23">
        <v>1</v>
      </c>
      <c r="S135" s="23">
        <v>1</v>
      </c>
      <c r="U135" s="23">
        <v>1</v>
      </c>
      <c r="V135" s="23">
        <v>1</v>
      </c>
      <c r="W135" s="23">
        <v>1</v>
      </c>
      <c r="Y135" s="23">
        <v>1</v>
      </c>
      <c r="Z135" s="23">
        <v>1</v>
      </c>
      <c r="AA135" s="23">
        <v>1</v>
      </c>
      <c r="AB135" s="23">
        <v>1</v>
      </c>
    </row>
    <row r="136" spans="2:28" x14ac:dyDescent="0.3">
      <c r="B136" s="76"/>
      <c r="C136" s="73"/>
      <c r="D136" s="73"/>
      <c r="E136" s="73"/>
      <c r="F136" s="22" t="s">
        <v>3</v>
      </c>
      <c r="G136" s="23"/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U136" s="23">
        <v>0</v>
      </c>
      <c r="V136" s="23">
        <v>0</v>
      </c>
      <c r="W136" s="23">
        <v>0</v>
      </c>
      <c r="Y136" s="23">
        <v>0</v>
      </c>
      <c r="Z136" s="23">
        <v>0</v>
      </c>
      <c r="AA136" s="23">
        <v>0</v>
      </c>
      <c r="AB136" s="23">
        <v>0</v>
      </c>
    </row>
    <row r="137" spans="2:28" x14ac:dyDescent="0.3">
      <c r="B137" s="75" t="s">
        <v>58</v>
      </c>
      <c r="C137" s="72"/>
      <c r="D137" s="72"/>
      <c r="E137" s="72"/>
      <c r="F137" s="22" t="s">
        <v>2</v>
      </c>
      <c r="G137" s="23"/>
      <c r="H137" s="23">
        <v>3</v>
      </c>
      <c r="I137" s="23">
        <v>4</v>
      </c>
      <c r="J137" s="23">
        <v>4</v>
      </c>
      <c r="K137" s="23">
        <v>4</v>
      </c>
      <c r="L137" s="23">
        <v>4</v>
      </c>
      <c r="M137" s="23">
        <v>4</v>
      </c>
      <c r="N137" s="23">
        <v>4</v>
      </c>
      <c r="O137" s="23">
        <v>4</v>
      </c>
      <c r="P137" s="23">
        <v>4</v>
      </c>
      <c r="Q137" s="23">
        <v>4</v>
      </c>
      <c r="R137" s="23">
        <v>4</v>
      </c>
      <c r="S137" s="23">
        <v>4</v>
      </c>
      <c r="U137" s="23">
        <v>4</v>
      </c>
      <c r="V137" s="23">
        <v>4</v>
      </c>
      <c r="W137" s="23">
        <v>4</v>
      </c>
      <c r="Y137" s="23">
        <v>4</v>
      </c>
      <c r="Z137" s="23">
        <v>4</v>
      </c>
      <c r="AA137" s="23">
        <v>4</v>
      </c>
      <c r="AB137" s="23">
        <v>4</v>
      </c>
    </row>
    <row r="138" spans="2:28" x14ac:dyDescent="0.3">
      <c r="B138" s="76"/>
      <c r="C138" s="73"/>
      <c r="D138" s="73"/>
      <c r="E138" s="73"/>
      <c r="F138" s="22" t="s">
        <v>3</v>
      </c>
      <c r="G138" s="23"/>
      <c r="H138" s="23">
        <v>4</v>
      </c>
      <c r="I138" s="23">
        <v>4</v>
      </c>
      <c r="J138" s="23">
        <v>4</v>
      </c>
      <c r="K138" s="23">
        <v>4</v>
      </c>
      <c r="L138" s="23">
        <v>4</v>
      </c>
      <c r="M138" s="23">
        <v>4</v>
      </c>
      <c r="N138" s="23">
        <v>4</v>
      </c>
      <c r="O138" s="23">
        <v>4</v>
      </c>
      <c r="P138" s="23">
        <v>4</v>
      </c>
      <c r="Q138" s="23">
        <v>4</v>
      </c>
      <c r="R138" s="23">
        <v>4</v>
      </c>
      <c r="S138" s="23">
        <v>4</v>
      </c>
      <c r="U138" s="23">
        <v>4</v>
      </c>
      <c r="V138" s="23">
        <v>4</v>
      </c>
      <c r="W138" s="23">
        <v>4</v>
      </c>
      <c r="Y138" s="23">
        <v>4</v>
      </c>
      <c r="Z138" s="23">
        <v>4</v>
      </c>
      <c r="AA138" s="23">
        <v>4</v>
      </c>
      <c r="AB138" s="23">
        <v>4</v>
      </c>
    </row>
    <row r="139" spans="2:28" x14ac:dyDescent="0.3">
      <c r="B139" s="24"/>
      <c r="C139" s="25"/>
      <c r="D139" s="25"/>
      <c r="E139" s="25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U139" s="23"/>
      <c r="V139" s="23"/>
      <c r="W139" s="23"/>
      <c r="Y139" s="23"/>
      <c r="Z139" s="23"/>
      <c r="AA139" s="23"/>
      <c r="AB139" s="23"/>
    </row>
    <row r="140" spans="2:28" x14ac:dyDescent="0.3">
      <c r="B140" s="24"/>
      <c r="C140" s="25"/>
      <c r="D140" s="25"/>
      <c r="E140" s="25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U140" s="23"/>
      <c r="V140" s="23"/>
      <c r="W140" s="23"/>
      <c r="Y140" s="23"/>
      <c r="Z140" s="23"/>
      <c r="AA140" s="23"/>
      <c r="AB140" s="23"/>
    </row>
    <row r="141" spans="2:28" ht="6.3" customHeight="1" x14ac:dyDescent="0.3"/>
    <row r="142" spans="2:28" x14ac:dyDescent="0.3">
      <c r="B142" s="78" t="s">
        <v>85</v>
      </c>
      <c r="C142" s="73"/>
      <c r="D142" s="73"/>
      <c r="E142" s="73"/>
      <c r="F142" s="16" t="s">
        <v>2</v>
      </c>
      <c r="G142" s="17"/>
      <c r="H142" s="17">
        <v>7261.77</v>
      </c>
      <c r="I142" s="17">
        <v>6254.67</v>
      </c>
      <c r="J142" s="17">
        <v>8030.42</v>
      </c>
      <c r="K142" s="17">
        <v>8163.31</v>
      </c>
      <c r="L142" s="17">
        <v>8709.2000000000007</v>
      </c>
      <c r="M142" s="17">
        <v>6944.96</v>
      </c>
      <c r="N142" s="17">
        <v>7650.6</v>
      </c>
      <c r="O142" s="17">
        <v>8575.7000000000007</v>
      </c>
      <c r="P142" s="17">
        <v>7537.52</v>
      </c>
      <c r="Q142" s="17">
        <v>7420.68</v>
      </c>
      <c r="R142" s="17">
        <v>6632.76</v>
      </c>
      <c r="S142" s="17">
        <v>5166.12</v>
      </c>
      <c r="U142" s="17">
        <v>5166</v>
      </c>
      <c r="V142" s="17">
        <v>7363</v>
      </c>
      <c r="W142" s="17">
        <v>7363</v>
      </c>
      <c r="Y142" s="17">
        <v>7183</v>
      </c>
      <c r="Z142" s="17">
        <v>7940</v>
      </c>
      <c r="AA142" s="17">
        <v>7921</v>
      </c>
      <c r="AB142" s="17">
        <v>6406</v>
      </c>
    </row>
    <row r="143" spans="2:28" x14ac:dyDescent="0.3">
      <c r="F143" s="16" t="s">
        <v>3</v>
      </c>
      <c r="G143" s="17"/>
      <c r="H143" s="17">
        <v>4427.1400000000003</v>
      </c>
      <c r="I143" s="17">
        <v>4032.08</v>
      </c>
      <c r="J143" s="17">
        <v>3530.66</v>
      </c>
      <c r="K143" s="17">
        <v>2650.09</v>
      </c>
      <c r="L143" s="17">
        <v>2473.44</v>
      </c>
      <c r="M143" s="17">
        <v>1942.98</v>
      </c>
      <c r="N143" s="17">
        <v>1503.37</v>
      </c>
      <c r="O143" s="17">
        <v>1324.72</v>
      </c>
      <c r="P143" s="17">
        <v>922.57</v>
      </c>
      <c r="Q143" s="17">
        <v>529.08000000000004</v>
      </c>
      <c r="R143" s="17">
        <v>437.19</v>
      </c>
      <c r="S143" s="17">
        <v>425.5</v>
      </c>
      <c r="U143" s="17">
        <v>426</v>
      </c>
      <c r="V143" s="17">
        <v>2018</v>
      </c>
      <c r="W143" s="17">
        <v>2018</v>
      </c>
      <c r="Y143" s="17">
        <v>3997</v>
      </c>
      <c r="Z143" s="17">
        <v>2357</v>
      </c>
      <c r="AA143" s="17">
        <v>1251</v>
      </c>
      <c r="AB143" s="17">
        <v>464</v>
      </c>
    </row>
    <row r="144" spans="2:28" x14ac:dyDescent="0.3">
      <c r="B144" s="78" t="s">
        <v>5</v>
      </c>
      <c r="C144" s="73"/>
      <c r="D144" s="73"/>
      <c r="E144" s="73"/>
      <c r="F144" s="20" t="s">
        <v>6</v>
      </c>
      <c r="G144" s="20"/>
      <c r="H144" s="21" t="s">
        <v>101</v>
      </c>
      <c r="I144" s="21" t="s">
        <v>102</v>
      </c>
      <c r="J144" s="21" t="s">
        <v>103</v>
      </c>
      <c r="K144" s="21" t="s">
        <v>104</v>
      </c>
      <c r="L144" s="21" t="s">
        <v>105</v>
      </c>
      <c r="M144" s="21" t="s">
        <v>106</v>
      </c>
      <c r="N144" s="21" t="s">
        <v>107</v>
      </c>
      <c r="O144" s="21" t="s">
        <v>108</v>
      </c>
      <c r="P144" s="21" t="s">
        <v>109</v>
      </c>
      <c r="Q144" s="21" t="s">
        <v>110</v>
      </c>
      <c r="R144" s="21" t="s">
        <v>111</v>
      </c>
      <c r="S144" s="21" t="s">
        <v>112</v>
      </c>
      <c r="U144" s="21" t="s">
        <v>24</v>
      </c>
      <c r="V144" s="21" t="s">
        <v>25</v>
      </c>
      <c r="W144" s="21" t="s">
        <v>19</v>
      </c>
      <c r="Y144" s="21" t="s">
        <v>20</v>
      </c>
      <c r="Z144" s="21" t="s">
        <v>21</v>
      </c>
      <c r="AA144" s="21" t="s">
        <v>22</v>
      </c>
      <c r="AB144" s="21" t="s">
        <v>23</v>
      </c>
    </row>
    <row r="145" spans="2:28" x14ac:dyDescent="0.3">
      <c r="B145" s="75" t="s">
        <v>38</v>
      </c>
      <c r="C145" s="72"/>
      <c r="D145" s="75" t="s">
        <v>83</v>
      </c>
      <c r="E145" s="72"/>
      <c r="F145" s="22" t="s">
        <v>2</v>
      </c>
      <c r="G145" s="23"/>
      <c r="H145" s="23">
        <v>319.57</v>
      </c>
      <c r="I145" s="23">
        <v>315.39999999999998</v>
      </c>
      <c r="J145" s="23">
        <v>20.95</v>
      </c>
      <c r="K145" s="23">
        <v>12.87</v>
      </c>
      <c r="L145" s="23">
        <v>9.8699999999999992</v>
      </c>
      <c r="M145" s="23">
        <v>5.9</v>
      </c>
      <c r="N145" s="23">
        <v>4.57</v>
      </c>
      <c r="O145" s="23">
        <v>2.5</v>
      </c>
      <c r="P145" s="23">
        <v>2.5</v>
      </c>
      <c r="Q145" s="23">
        <v>0.5</v>
      </c>
      <c r="R145" s="23">
        <v>0.5</v>
      </c>
      <c r="S145" s="23">
        <v>0</v>
      </c>
      <c r="U145" s="23">
        <v>0</v>
      </c>
      <c r="V145" s="23">
        <v>58</v>
      </c>
      <c r="W145" s="23">
        <v>58</v>
      </c>
      <c r="Y145" s="23">
        <v>219</v>
      </c>
      <c r="Z145" s="23">
        <v>10</v>
      </c>
      <c r="AA145" s="23">
        <v>3</v>
      </c>
      <c r="AB145" s="23">
        <v>0</v>
      </c>
    </row>
    <row r="146" spans="2:28" x14ac:dyDescent="0.3">
      <c r="B146" s="81"/>
      <c r="C146" s="72"/>
      <c r="D146" s="76"/>
      <c r="E146" s="73"/>
      <c r="F146" s="22" t="s">
        <v>3</v>
      </c>
      <c r="G146" s="23"/>
      <c r="H146" s="23">
        <v>103</v>
      </c>
      <c r="I146" s="23">
        <v>11</v>
      </c>
      <c r="J146" s="23">
        <v>4</v>
      </c>
      <c r="K146" s="23">
        <v>3</v>
      </c>
      <c r="L146" s="23">
        <v>3</v>
      </c>
      <c r="M146" s="23">
        <v>2</v>
      </c>
      <c r="N146" s="23">
        <v>1</v>
      </c>
      <c r="O146" s="23">
        <v>1</v>
      </c>
      <c r="P146" s="23">
        <v>1</v>
      </c>
      <c r="Q146" s="23">
        <v>1</v>
      </c>
      <c r="R146" s="23">
        <v>0</v>
      </c>
      <c r="S146" s="23">
        <v>0</v>
      </c>
      <c r="U146" s="23">
        <v>0</v>
      </c>
      <c r="V146" s="23">
        <v>11</v>
      </c>
      <c r="W146" s="23">
        <v>11</v>
      </c>
      <c r="Y146" s="23">
        <v>39</v>
      </c>
      <c r="Z146" s="23">
        <v>3</v>
      </c>
      <c r="AA146" s="23">
        <v>1</v>
      </c>
      <c r="AB146" s="23">
        <v>0</v>
      </c>
    </row>
    <row r="147" spans="2:28" x14ac:dyDescent="0.3">
      <c r="B147" s="81"/>
      <c r="C147" s="72"/>
      <c r="D147" s="75" t="s">
        <v>82</v>
      </c>
      <c r="E147" s="72"/>
      <c r="F147" s="22" t="s">
        <v>2</v>
      </c>
      <c r="G147" s="23"/>
      <c r="H147" s="23">
        <v>6753.2</v>
      </c>
      <c r="I147" s="23">
        <v>5733.27</v>
      </c>
      <c r="J147" s="23">
        <v>7751.47</v>
      </c>
      <c r="K147" s="23">
        <v>7876.44</v>
      </c>
      <c r="L147" s="23">
        <v>8402.33</v>
      </c>
      <c r="M147" s="23">
        <v>6706.06</v>
      </c>
      <c r="N147" s="23">
        <v>7419.03</v>
      </c>
      <c r="O147" s="23">
        <v>8315.2000000000007</v>
      </c>
      <c r="P147" s="23">
        <v>7277.02</v>
      </c>
      <c r="Q147" s="23">
        <v>7107.18</v>
      </c>
      <c r="R147" s="23">
        <v>6366.26</v>
      </c>
      <c r="S147" s="23">
        <v>4879.12</v>
      </c>
      <c r="U147" s="23">
        <v>4879</v>
      </c>
      <c r="V147" s="23">
        <v>7049</v>
      </c>
      <c r="W147" s="23">
        <v>7049</v>
      </c>
      <c r="Y147" s="23">
        <v>6746</v>
      </c>
      <c r="Z147" s="23">
        <v>7662</v>
      </c>
      <c r="AA147" s="23">
        <v>7670</v>
      </c>
      <c r="AB147" s="23">
        <v>6117</v>
      </c>
    </row>
    <row r="148" spans="2:28" x14ac:dyDescent="0.3">
      <c r="B148" s="76"/>
      <c r="C148" s="73"/>
      <c r="D148" s="76"/>
      <c r="E148" s="73"/>
      <c r="F148" s="22" t="s">
        <v>3</v>
      </c>
      <c r="G148" s="23"/>
      <c r="H148" s="23">
        <v>3991.14</v>
      </c>
      <c r="I148" s="23">
        <v>3708.08</v>
      </c>
      <c r="J148" s="23">
        <v>3213.66</v>
      </c>
      <c r="K148" s="23">
        <v>2334.09</v>
      </c>
      <c r="L148" s="23">
        <v>2157.44</v>
      </c>
      <c r="M148" s="23">
        <v>1697.98</v>
      </c>
      <c r="N148" s="23">
        <v>1277.3699999999999</v>
      </c>
      <c r="O148" s="23">
        <v>1098.72</v>
      </c>
      <c r="P148" s="23">
        <v>688.57</v>
      </c>
      <c r="Q148" s="23">
        <v>215.08</v>
      </c>
      <c r="R148" s="23">
        <v>124.19</v>
      </c>
      <c r="S148" s="23">
        <v>112.5</v>
      </c>
      <c r="U148" s="23">
        <v>113</v>
      </c>
      <c r="V148" s="23">
        <v>1719</v>
      </c>
      <c r="W148" s="23">
        <v>1719</v>
      </c>
      <c r="Y148" s="23">
        <v>3638</v>
      </c>
      <c r="Z148" s="23">
        <v>2064</v>
      </c>
      <c r="AA148" s="23">
        <v>1022</v>
      </c>
      <c r="AB148" s="23">
        <v>151</v>
      </c>
    </row>
    <row r="149" spans="2:28" x14ac:dyDescent="0.3">
      <c r="B149" s="75" t="s">
        <v>42</v>
      </c>
      <c r="C149" s="72"/>
      <c r="D149" s="75" t="s">
        <v>83</v>
      </c>
      <c r="E149" s="72"/>
      <c r="F149" s="22" t="s">
        <v>2</v>
      </c>
      <c r="G149" s="23"/>
      <c r="H149" s="23">
        <v>189</v>
      </c>
      <c r="I149" s="23">
        <v>206</v>
      </c>
      <c r="J149" s="23">
        <v>258</v>
      </c>
      <c r="K149" s="23">
        <v>274</v>
      </c>
      <c r="L149" s="23">
        <v>297</v>
      </c>
      <c r="M149" s="23">
        <v>233</v>
      </c>
      <c r="N149" s="23">
        <v>227</v>
      </c>
      <c r="O149" s="23">
        <v>258</v>
      </c>
      <c r="P149" s="23">
        <v>258</v>
      </c>
      <c r="Q149" s="23">
        <v>313</v>
      </c>
      <c r="R149" s="23">
        <v>266</v>
      </c>
      <c r="S149" s="23">
        <v>287</v>
      </c>
      <c r="U149" s="23">
        <v>287</v>
      </c>
      <c r="V149" s="23">
        <v>256</v>
      </c>
      <c r="W149" s="23">
        <v>256</v>
      </c>
      <c r="Y149" s="23">
        <v>218</v>
      </c>
      <c r="Z149" s="23">
        <v>268</v>
      </c>
      <c r="AA149" s="23">
        <v>248</v>
      </c>
      <c r="AB149" s="23">
        <v>289</v>
      </c>
    </row>
    <row r="150" spans="2:28" x14ac:dyDescent="0.3">
      <c r="B150" s="76"/>
      <c r="C150" s="73"/>
      <c r="D150" s="76"/>
      <c r="E150" s="73"/>
      <c r="F150" s="22" t="s">
        <v>3</v>
      </c>
      <c r="G150" s="23"/>
      <c r="H150" s="23">
        <v>333</v>
      </c>
      <c r="I150" s="23">
        <v>313</v>
      </c>
      <c r="J150" s="23">
        <v>313</v>
      </c>
      <c r="K150" s="23">
        <v>313</v>
      </c>
      <c r="L150" s="23">
        <v>313</v>
      </c>
      <c r="M150" s="23">
        <v>243</v>
      </c>
      <c r="N150" s="23">
        <v>225</v>
      </c>
      <c r="O150" s="23">
        <v>225</v>
      </c>
      <c r="P150" s="23">
        <v>233</v>
      </c>
      <c r="Q150" s="23">
        <v>313</v>
      </c>
      <c r="R150" s="23">
        <v>313</v>
      </c>
      <c r="S150" s="23">
        <v>313</v>
      </c>
      <c r="U150" s="23">
        <v>313</v>
      </c>
      <c r="V150" s="23">
        <v>288</v>
      </c>
      <c r="W150" s="23">
        <v>288</v>
      </c>
      <c r="Y150" s="23">
        <v>320</v>
      </c>
      <c r="Z150" s="23">
        <v>290</v>
      </c>
      <c r="AA150" s="23">
        <v>228</v>
      </c>
      <c r="AB150" s="23">
        <v>313</v>
      </c>
    </row>
    <row r="151" spans="2:28" ht="5.0999999999999996" customHeight="1" x14ac:dyDescent="0.3"/>
    <row r="152" spans="2:28" x14ac:dyDescent="0.3">
      <c r="B152" s="82" t="s">
        <v>86</v>
      </c>
      <c r="C152" s="73"/>
      <c r="D152" s="73"/>
      <c r="E152" s="73"/>
      <c r="F152" s="16" t="s">
        <v>2</v>
      </c>
      <c r="G152" s="17"/>
      <c r="H152" s="17">
        <v>19</v>
      </c>
      <c r="I152" s="17">
        <v>19</v>
      </c>
      <c r="J152" s="17">
        <v>19</v>
      </c>
      <c r="K152" s="17">
        <v>20</v>
      </c>
      <c r="L152" s="17">
        <v>20</v>
      </c>
      <c r="M152" s="17">
        <v>20</v>
      </c>
      <c r="N152" s="17">
        <v>20</v>
      </c>
      <c r="O152" s="17">
        <v>20</v>
      </c>
      <c r="P152" s="17">
        <v>20</v>
      </c>
      <c r="Q152" s="17">
        <v>19</v>
      </c>
      <c r="R152" s="17">
        <v>18</v>
      </c>
      <c r="S152" s="17">
        <v>19</v>
      </c>
      <c r="T152" s="15">
        <f>+AVERAGE(H152:S152)</f>
        <v>19.416666666666668</v>
      </c>
      <c r="U152" s="17">
        <v>19</v>
      </c>
      <c r="V152" s="17">
        <v>25</v>
      </c>
      <c r="W152" s="17">
        <v>25</v>
      </c>
      <c r="Y152" s="17">
        <v>19</v>
      </c>
      <c r="Z152" s="17">
        <v>21</v>
      </c>
      <c r="AA152" s="17">
        <v>21</v>
      </c>
      <c r="AB152" s="17">
        <v>22</v>
      </c>
    </row>
    <row r="153" spans="2:28" x14ac:dyDescent="0.3">
      <c r="F153" s="16" t="s">
        <v>3</v>
      </c>
      <c r="G153" s="17"/>
      <c r="H153" s="17">
        <v>19</v>
      </c>
      <c r="I153" s="17">
        <v>19</v>
      </c>
      <c r="J153" s="17">
        <v>19</v>
      </c>
      <c r="K153" s="17">
        <v>19</v>
      </c>
      <c r="L153" s="17">
        <v>19</v>
      </c>
      <c r="M153" s="17">
        <v>19</v>
      </c>
      <c r="N153" s="17">
        <v>19</v>
      </c>
      <c r="O153" s="17">
        <v>19</v>
      </c>
      <c r="P153" s="17">
        <v>19</v>
      </c>
      <c r="Q153" s="17">
        <v>19</v>
      </c>
      <c r="R153" s="17">
        <v>19</v>
      </c>
      <c r="S153" s="17">
        <v>19</v>
      </c>
      <c r="U153" s="17">
        <v>19</v>
      </c>
      <c r="V153" s="17">
        <v>19</v>
      </c>
      <c r="W153" s="17">
        <v>19</v>
      </c>
      <c r="Y153" s="17">
        <v>19</v>
      </c>
      <c r="Z153" s="17">
        <v>19</v>
      </c>
      <c r="AA153" s="17">
        <v>19</v>
      </c>
      <c r="AB153" s="17">
        <v>19</v>
      </c>
    </row>
    <row r="157" spans="2:28" x14ac:dyDescent="0.3">
      <c r="B157" s="78" t="s">
        <v>5</v>
      </c>
      <c r="C157" s="73"/>
      <c r="D157" s="73"/>
      <c r="E157" s="73"/>
      <c r="F157" s="20" t="s">
        <v>6</v>
      </c>
      <c r="G157" s="20"/>
      <c r="H157" s="21" t="s">
        <v>101</v>
      </c>
      <c r="I157" s="21" t="s">
        <v>102</v>
      </c>
      <c r="J157" s="21" t="s">
        <v>103</v>
      </c>
      <c r="K157" s="21" t="s">
        <v>104</v>
      </c>
      <c r="L157" s="21" t="s">
        <v>105</v>
      </c>
      <c r="M157" s="21" t="s">
        <v>106</v>
      </c>
      <c r="N157" s="21" t="s">
        <v>107</v>
      </c>
      <c r="O157" s="21" t="s">
        <v>108</v>
      </c>
      <c r="P157" s="21" t="s">
        <v>109</v>
      </c>
      <c r="Q157" s="21" t="s">
        <v>110</v>
      </c>
      <c r="R157" s="21" t="s">
        <v>111</v>
      </c>
      <c r="S157" s="21" t="s">
        <v>112</v>
      </c>
      <c r="U157" s="21" t="s">
        <v>24</v>
      </c>
      <c r="V157" s="21" t="s">
        <v>25</v>
      </c>
      <c r="W157" s="21" t="s">
        <v>19</v>
      </c>
      <c r="Y157" s="21" t="s">
        <v>20</v>
      </c>
      <c r="Z157" s="21" t="s">
        <v>21</v>
      </c>
      <c r="AA157" s="21" t="s">
        <v>22</v>
      </c>
      <c r="AB157" s="21" t="s">
        <v>23</v>
      </c>
    </row>
    <row r="158" spans="2:28" x14ac:dyDescent="0.3">
      <c r="B158" s="75" t="s">
        <v>87</v>
      </c>
      <c r="C158" s="72"/>
      <c r="D158" s="75" t="s">
        <v>113</v>
      </c>
      <c r="E158" s="72"/>
      <c r="F158" s="26" t="s">
        <v>2</v>
      </c>
      <c r="G158" s="27"/>
      <c r="H158" s="27">
        <v>3</v>
      </c>
      <c r="I158" s="27">
        <v>3</v>
      </c>
      <c r="J158" s="27">
        <v>3</v>
      </c>
      <c r="K158" s="27">
        <v>3</v>
      </c>
      <c r="L158" s="27">
        <v>3</v>
      </c>
      <c r="M158" s="27">
        <v>3</v>
      </c>
      <c r="N158" s="27">
        <v>3</v>
      </c>
      <c r="O158" s="27">
        <v>3</v>
      </c>
      <c r="P158" s="27">
        <v>3</v>
      </c>
      <c r="Q158" s="27">
        <v>3</v>
      </c>
      <c r="R158" s="27">
        <v>3</v>
      </c>
      <c r="S158" s="27">
        <v>0</v>
      </c>
      <c r="U158" s="23">
        <v>0</v>
      </c>
      <c r="V158" s="23">
        <v>3</v>
      </c>
      <c r="W158" s="23">
        <v>3</v>
      </c>
      <c r="Y158" s="23">
        <v>3</v>
      </c>
      <c r="Z158" s="23">
        <v>3</v>
      </c>
      <c r="AA158" s="23">
        <v>3</v>
      </c>
      <c r="AB158" s="23">
        <v>3</v>
      </c>
    </row>
    <row r="159" spans="2:28" x14ac:dyDescent="0.3">
      <c r="B159" s="81"/>
      <c r="C159" s="72"/>
      <c r="D159" s="76"/>
      <c r="E159" s="73"/>
      <c r="F159" s="26" t="s">
        <v>3</v>
      </c>
      <c r="G159" s="27"/>
      <c r="H159" s="27">
        <v>3</v>
      </c>
      <c r="I159" s="27">
        <v>3</v>
      </c>
      <c r="J159" s="27">
        <v>3</v>
      </c>
      <c r="K159" s="27">
        <v>3</v>
      </c>
      <c r="L159" s="27">
        <v>3</v>
      </c>
      <c r="M159" s="27">
        <v>3</v>
      </c>
      <c r="N159" s="27">
        <v>3</v>
      </c>
      <c r="O159" s="27">
        <v>3</v>
      </c>
      <c r="P159" s="27">
        <v>3</v>
      </c>
      <c r="Q159" s="27">
        <v>3</v>
      </c>
      <c r="R159" s="27">
        <v>3</v>
      </c>
      <c r="S159" s="27">
        <v>3</v>
      </c>
      <c r="U159" s="23">
        <v>3</v>
      </c>
      <c r="V159" s="23">
        <v>3</v>
      </c>
      <c r="W159" s="23">
        <v>3</v>
      </c>
      <c r="Y159" s="23">
        <v>3</v>
      </c>
      <c r="Z159" s="23">
        <v>3</v>
      </c>
      <c r="AA159" s="23">
        <v>3</v>
      </c>
      <c r="AB159" s="23">
        <v>3</v>
      </c>
    </row>
    <row r="160" spans="2:28" x14ac:dyDescent="0.3">
      <c r="B160" s="81"/>
      <c r="C160" s="72"/>
      <c r="D160" s="75" t="s">
        <v>117</v>
      </c>
      <c r="E160" s="72"/>
      <c r="F160" s="26" t="s">
        <v>2</v>
      </c>
      <c r="G160" s="27"/>
      <c r="H160" s="27">
        <v>4</v>
      </c>
      <c r="I160" s="27">
        <v>4</v>
      </c>
      <c r="J160" s="27">
        <v>4</v>
      </c>
      <c r="K160" s="27">
        <v>4</v>
      </c>
      <c r="L160" s="27">
        <v>4</v>
      </c>
      <c r="M160" s="27">
        <v>4</v>
      </c>
      <c r="N160" s="27">
        <v>4</v>
      </c>
      <c r="O160" s="27">
        <v>4</v>
      </c>
      <c r="P160" s="27">
        <v>4</v>
      </c>
      <c r="Q160" s="27">
        <v>4</v>
      </c>
      <c r="R160" s="27">
        <v>4</v>
      </c>
      <c r="S160" s="27">
        <v>4</v>
      </c>
      <c r="U160" s="23">
        <v>4</v>
      </c>
      <c r="V160" s="23">
        <v>4</v>
      </c>
      <c r="W160" s="23">
        <v>4</v>
      </c>
      <c r="Y160" s="23">
        <v>4</v>
      </c>
      <c r="Z160" s="23">
        <v>4</v>
      </c>
      <c r="AA160" s="23">
        <v>4</v>
      </c>
      <c r="AB160" s="23">
        <v>4</v>
      </c>
    </row>
    <row r="161" spans="2:28" x14ac:dyDescent="0.3">
      <c r="B161" s="81"/>
      <c r="C161" s="72"/>
      <c r="D161" s="76"/>
      <c r="E161" s="73"/>
      <c r="F161" s="26" t="s">
        <v>3</v>
      </c>
      <c r="G161" s="27"/>
      <c r="H161" s="27">
        <v>4</v>
      </c>
      <c r="I161" s="27">
        <v>4</v>
      </c>
      <c r="J161" s="27">
        <v>4</v>
      </c>
      <c r="K161" s="27">
        <v>4</v>
      </c>
      <c r="L161" s="27">
        <v>4</v>
      </c>
      <c r="M161" s="27">
        <v>4</v>
      </c>
      <c r="N161" s="27">
        <v>4</v>
      </c>
      <c r="O161" s="27">
        <v>4</v>
      </c>
      <c r="P161" s="27">
        <v>4</v>
      </c>
      <c r="Q161" s="27">
        <v>4</v>
      </c>
      <c r="R161" s="27">
        <v>4</v>
      </c>
      <c r="S161" s="27">
        <v>4</v>
      </c>
      <c r="U161" s="23">
        <v>4</v>
      </c>
      <c r="V161" s="23">
        <v>4</v>
      </c>
      <c r="W161" s="23">
        <v>4</v>
      </c>
      <c r="Y161" s="23">
        <v>4</v>
      </c>
      <c r="Z161" s="23">
        <v>4</v>
      </c>
      <c r="AA161" s="23">
        <v>4</v>
      </c>
      <c r="AB161" s="23">
        <v>4</v>
      </c>
    </row>
    <row r="162" spans="2:28" x14ac:dyDescent="0.3">
      <c r="B162" s="81"/>
      <c r="C162" s="72"/>
      <c r="D162" s="75" t="s">
        <v>38</v>
      </c>
      <c r="E162" s="72"/>
      <c r="F162" s="26" t="s">
        <v>2</v>
      </c>
      <c r="G162" s="27"/>
      <c r="H162" s="27">
        <v>1</v>
      </c>
      <c r="I162" s="27">
        <v>1</v>
      </c>
      <c r="J162" s="27">
        <v>1</v>
      </c>
      <c r="K162" s="27">
        <v>1</v>
      </c>
      <c r="L162" s="27">
        <v>1</v>
      </c>
      <c r="M162" s="27">
        <v>1</v>
      </c>
      <c r="N162" s="27">
        <v>1</v>
      </c>
      <c r="O162" s="27">
        <v>1</v>
      </c>
      <c r="P162" s="27">
        <v>1</v>
      </c>
      <c r="Q162" s="27">
        <v>1</v>
      </c>
      <c r="R162" s="27">
        <v>1</v>
      </c>
      <c r="S162" s="27">
        <v>1</v>
      </c>
      <c r="U162" s="23">
        <v>1</v>
      </c>
      <c r="V162" s="23">
        <v>1</v>
      </c>
      <c r="W162" s="23">
        <v>1</v>
      </c>
      <c r="Y162" s="23">
        <v>1</v>
      </c>
      <c r="Z162" s="23">
        <v>1</v>
      </c>
      <c r="AA162" s="23">
        <v>1</v>
      </c>
      <c r="AB162" s="23">
        <v>1</v>
      </c>
    </row>
    <row r="163" spans="2:28" x14ac:dyDescent="0.3">
      <c r="B163" s="81"/>
      <c r="C163" s="72"/>
      <c r="D163" s="76"/>
      <c r="E163" s="73"/>
      <c r="F163" s="26" t="s">
        <v>3</v>
      </c>
      <c r="G163" s="27"/>
      <c r="H163" s="27">
        <v>1</v>
      </c>
      <c r="I163" s="27">
        <v>1</v>
      </c>
      <c r="J163" s="27">
        <v>1</v>
      </c>
      <c r="K163" s="27">
        <v>1</v>
      </c>
      <c r="L163" s="27">
        <v>1</v>
      </c>
      <c r="M163" s="27">
        <v>1</v>
      </c>
      <c r="N163" s="27">
        <v>1</v>
      </c>
      <c r="O163" s="27">
        <v>1</v>
      </c>
      <c r="P163" s="27">
        <v>1</v>
      </c>
      <c r="Q163" s="27">
        <v>1</v>
      </c>
      <c r="R163" s="27">
        <v>1</v>
      </c>
      <c r="S163" s="27">
        <v>1</v>
      </c>
      <c r="U163" s="23">
        <v>1</v>
      </c>
      <c r="V163" s="23">
        <v>1</v>
      </c>
      <c r="W163" s="23">
        <v>1</v>
      </c>
      <c r="Y163" s="23">
        <v>1</v>
      </c>
      <c r="Z163" s="23">
        <v>1</v>
      </c>
      <c r="AA163" s="23">
        <v>1</v>
      </c>
      <c r="AB163" s="23">
        <v>1</v>
      </c>
    </row>
    <row r="164" spans="2:28" x14ac:dyDescent="0.3">
      <c r="B164" s="81"/>
      <c r="C164" s="72"/>
      <c r="D164" s="75" t="s">
        <v>42</v>
      </c>
      <c r="E164" s="72"/>
      <c r="F164" s="26" t="s">
        <v>2</v>
      </c>
      <c r="G164" s="27"/>
      <c r="H164" s="27">
        <v>8</v>
      </c>
      <c r="I164" s="27">
        <v>8</v>
      </c>
      <c r="J164" s="27">
        <v>8</v>
      </c>
      <c r="K164" s="27">
        <v>8</v>
      </c>
      <c r="L164" s="27">
        <v>8</v>
      </c>
      <c r="M164" s="27">
        <v>8</v>
      </c>
      <c r="N164" s="27">
        <v>8</v>
      </c>
      <c r="O164" s="27">
        <v>8</v>
      </c>
      <c r="P164" s="27">
        <v>8</v>
      </c>
      <c r="Q164" s="27">
        <v>7</v>
      </c>
      <c r="R164" s="27">
        <v>6</v>
      </c>
      <c r="S164" s="27">
        <v>7</v>
      </c>
      <c r="U164" s="23">
        <v>7</v>
      </c>
      <c r="V164" s="23">
        <v>8</v>
      </c>
      <c r="W164" s="23">
        <v>8</v>
      </c>
      <c r="Y164" s="23">
        <v>8</v>
      </c>
      <c r="Z164" s="23">
        <v>8</v>
      </c>
      <c r="AA164" s="23">
        <v>8</v>
      </c>
      <c r="AB164" s="23">
        <v>7</v>
      </c>
    </row>
    <row r="165" spans="2:28" x14ac:dyDescent="0.3">
      <c r="B165" s="81"/>
      <c r="C165" s="72"/>
      <c r="D165" s="76"/>
      <c r="E165" s="73"/>
      <c r="F165" s="26" t="s">
        <v>3</v>
      </c>
      <c r="G165" s="27"/>
      <c r="H165" s="27">
        <v>8</v>
      </c>
      <c r="I165" s="27">
        <v>8</v>
      </c>
      <c r="J165" s="27">
        <v>8</v>
      </c>
      <c r="K165" s="27">
        <v>8</v>
      </c>
      <c r="L165" s="27">
        <v>8</v>
      </c>
      <c r="M165" s="27">
        <v>8</v>
      </c>
      <c r="N165" s="27">
        <v>8</v>
      </c>
      <c r="O165" s="27">
        <v>8</v>
      </c>
      <c r="P165" s="27">
        <v>8</v>
      </c>
      <c r="Q165" s="27">
        <v>8</v>
      </c>
      <c r="R165" s="27">
        <v>8</v>
      </c>
      <c r="S165" s="27">
        <v>8</v>
      </c>
      <c r="U165" s="23">
        <v>8</v>
      </c>
      <c r="V165" s="23">
        <v>8</v>
      </c>
      <c r="W165" s="23">
        <v>8</v>
      </c>
      <c r="Y165" s="23">
        <v>8</v>
      </c>
      <c r="Z165" s="23">
        <v>8</v>
      </c>
      <c r="AA165" s="23">
        <v>8</v>
      </c>
      <c r="AB165" s="23">
        <v>8</v>
      </c>
    </row>
    <row r="166" spans="2:28" x14ac:dyDescent="0.3">
      <c r="B166" s="81"/>
      <c r="C166" s="72"/>
      <c r="D166" s="75" t="s">
        <v>50</v>
      </c>
      <c r="E166" s="72"/>
      <c r="F166" s="26" t="s">
        <v>2</v>
      </c>
      <c r="G166" s="27"/>
      <c r="H166" s="27">
        <v>1</v>
      </c>
      <c r="I166" s="27">
        <v>1</v>
      </c>
      <c r="J166" s="27">
        <v>1</v>
      </c>
      <c r="K166" s="27">
        <v>1</v>
      </c>
      <c r="L166" s="27">
        <v>1</v>
      </c>
      <c r="M166" s="27">
        <v>1</v>
      </c>
      <c r="N166" s="27">
        <v>1</v>
      </c>
      <c r="O166" s="27">
        <v>1</v>
      </c>
      <c r="P166" s="27">
        <v>1</v>
      </c>
      <c r="Q166" s="27">
        <v>1</v>
      </c>
      <c r="R166" s="27">
        <v>1</v>
      </c>
      <c r="S166" s="27">
        <v>4</v>
      </c>
      <c r="U166" s="23">
        <v>4</v>
      </c>
      <c r="V166" s="23">
        <v>4</v>
      </c>
      <c r="W166" s="23">
        <v>4</v>
      </c>
      <c r="Y166" s="23">
        <v>1</v>
      </c>
      <c r="Z166" s="23">
        <v>1</v>
      </c>
      <c r="AA166" s="23">
        <v>1</v>
      </c>
      <c r="AB166" s="23">
        <v>4</v>
      </c>
    </row>
    <row r="167" spans="2:28" x14ac:dyDescent="0.3">
      <c r="B167" s="81"/>
      <c r="C167" s="72"/>
      <c r="D167" s="76"/>
      <c r="E167" s="73"/>
      <c r="F167" s="26" t="s">
        <v>3</v>
      </c>
      <c r="G167" s="27"/>
      <c r="H167" s="27">
        <v>1</v>
      </c>
      <c r="I167" s="27">
        <v>1</v>
      </c>
      <c r="J167" s="27">
        <v>1</v>
      </c>
      <c r="K167" s="27">
        <v>1</v>
      </c>
      <c r="L167" s="27">
        <v>1</v>
      </c>
      <c r="M167" s="27">
        <v>1</v>
      </c>
      <c r="N167" s="27">
        <v>1</v>
      </c>
      <c r="O167" s="27">
        <v>1</v>
      </c>
      <c r="P167" s="27">
        <v>1</v>
      </c>
      <c r="Q167" s="27">
        <v>1</v>
      </c>
      <c r="R167" s="27">
        <v>1</v>
      </c>
      <c r="S167" s="27">
        <v>1</v>
      </c>
      <c r="U167" s="23">
        <v>1</v>
      </c>
      <c r="V167" s="23">
        <v>1</v>
      </c>
      <c r="W167" s="23">
        <v>1</v>
      </c>
      <c r="Y167" s="23">
        <v>1</v>
      </c>
      <c r="Z167" s="23">
        <v>1</v>
      </c>
      <c r="AA167" s="23">
        <v>1</v>
      </c>
      <c r="AB167" s="23">
        <v>1</v>
      </c>
    </row>
    <row r="168" spans="2:28" x14ac:dyDescent="0.3">
      <c r="B168" s="81"/>
      <c r="C168" s="72"/>
      <c r="D168" s="75" t="s">
        <v>58</v>
      </c>
      <c r="E168" s="72"/>
      <c r="F168" s="26" t="s">
        <v>2</v>
      </c>
      <c r="G168" s="27"/>
      <c r="H168" s="27">
        <v>1</v>
      </c>
      <c r="I168" s="27">
        <v>1</v>
      </c>
      <c r="J168" s="27">
        <v>1</v>
      </c>
      <c r="K168" s="27">
        <v>1</v>
      </c>
      <c r="L168" s="27">
        <v>1</v>
      </c>
      <c r="M168" s="27">
        <v>1</v>
      </c>
      <c r="N168" s="27">
        <v>1</v>
      </c>
      <c r="O168" s="27">
        <v>1</v>
      </c>
      <c r="P168" s="27">
        <v>1</v>
      </c>
      <c r="Q168" s="27">
        <v>1</v>
      </c>
      <c r="R168" s="27">
        <v>1</v>
      </c>
      <c r="S168" s="27">
        <v>1</v>
      </c>
      <c r="U168" s="23">
        <v>1</v>
      </c>
      <c r="V168" s="23">
        <v>2</v>
      </c>
      <c r="W168" s="23">
        <v>2</v>
      </c>
      <c r="Y168" s="23">
        <v>1</v>
      </c>
      <c r="Z168" s="23">
        <v>2</v>
      </c>
      <c r="AA168" s="23">
        <v>1</v>
      </c>
      <c r="AB168" s="23">
        <v>1</v>
      </c>
    </row>
    <row r="169" spans="2:28" x14ac:dyDescent="0.3">
      <c r="B169" s="76"/>
      <c r="C169" s="73"/>
      <c r="D169" s="76"/>
      <c r="E169" s="73"/>
      <c r="F169" s="26" t="s">
        <v>3</v>
      </c>
      <c r="G169" s="27"/>
      <c r="H169" s="27">
        <v>1</v>
      </c>
      <c r="I169" s="27">
        <v>1</v>
      </c>
      <c r="J169" s="27">
        <v>1</v>
      </c>
      <c r="K169" s="27">
        <v>1</v>
      </c>
      <c r="L169" s="27">
        <v>1</v>
      </c>
      <c r="M169" s="27">
        <v>1</v>
      </c>
      <c r="N169" s="27">
        <v>1</v>
      </c>
      <c r="O169" s="27">
        <v>1</v>
      </c>
      <c r="P169" s="27">
        <v>1</v>
      </c>
      <c r="Q169" s="27">
        <v>1</v>
      </c>
      <c r="R169" s="27">
        <v>1</v>
      </c>
      <c r="S169" s="27">
        <v>1</v>
      </c>
      <c r="U169" s="23">
        <v>1</v>
      </c>
      <c r="V169" s="23">
        <v>1</v>
      </c>
      <c r="W169" s="23">
        <v>1</v>
      </c>
      <c r="Y169" s="23">
        <v>1</v>
      </c>
      <c r="Z169" s="23">
        <v>1</v>
      </c>
      <c r="AA169" s="23">
        <v>1</v>
      </c>
      <c r="AB169" s="23">
        <v>1</v>
      </c>
    </row>
    <row r="170" spans="2:28" x14ac:dyDescent="0.3">
      <c r="B170" s="75" t="s">
        <v>136</v>
      </c>
      <c r="C170" s="72"/>
      <c r="D170" s="75" t="s">
        <v>137</v>
      </c>
      <c r="E170" s="72"/>
      <c r="F170" s="26" t="s">
        <v>2</v>
      </c>
      <c r="G170" s="27"/>
      <c r="H170" s="27">
        <v>1</v>
      </c>
      <c r="I170" s="27">
        <v>1</v>
      </c>
      <c r="J170" s="27">
        <v>1</v>
      </c>
      <c r="K170" s="27">
        <v>2</v>
      </c>
      <c r="L170" s="27">
        <v>2</v>
      </c>
      <c r="M170" s="27">
        <v>2</v>
      </c>
      <c r="N170" s="27">
        <v>2</v>
      </c>
      <c r="O170" s="27">
        <v>2</v>
      </c>
      <c r="P170" s="27">
        <v>2</v>
      </c>
      <c r="Q170" s="27">
        <v>2</v>
      </c>
      <c r="R170" s="27">
        <v>2</v>
      </c>
      <c r="S170" s="27">
        <v>2</v>
      </c>
      <c r="U170" s="23">
        <v>2</v>
      </c>
      <c r="V170" s="23">
        <v>3</v>
      </c>
      <c r="W170" s="23">
        <v>3</v>
      </c>
      <c r="Y170" s="23">
        <v>1</v>
      </c>
      <c r="Z170" s="23">
        <v>2</v>
      </c>
      <c r="AA170" s="23">
        <v>3</v>
      </c>
      <c r="AB170" s="23">
        <v>2</v>
      </c>
    </row>
    <row r="171" spans="2:28" x14ac:dyDescent="0.3">
      <c r="B171" s="76"/>
      <c r="C171" s="73"/>
      <c r="D171" s="76"/>
      <c r="E171" s="73"/>
      <c r="F171" s="26" t="s">
        <v>3</v>
      </c>
      <c r="G171" s="27"/>
      <c r="H171" s="27">
        <v>1</v>
      </c>
      <c r="I171" s="27">
        <v>1</v>
      </c>
      <c r="J171" s="27">
        <v>1</v>
      </c>
      <c r="K171" s="27">
        <v>1</v>
      </c>
      <c r="L171" s="27">
        <v>1</v>
      </c>
      <c r="M171" s="27">
        <v>1</v>
      </c>
      <c r="N171" s="27">
        <v>1</v>
      </c>
      <c r="O171" s="27">
        <v>1</v>
      </c>
      <c r="P171" s="27">
        <v>1</v>
      </c>
      <c r="Q171" s="27">
        <v>1</v>
      </c>
      <c r="R171" s="27">
        <v>1</v>
      </c>
      <c r="S171" s="27">
        <v>1</v>
      </c>
      <c r="U171" s="23">
        <v>1</v>
      </c>
      <c r="V171" s="23">
        <v>1</v>
      </c>
      <c r="W171" s="23">
        <v>1</v>
      </c>
      <c r="Y171" s="23">
        <v>1</v>
      </c>
      <c r="Z171" s="23">
        <v>1</v>
      </c>
      <c r="AA171" s="23">
        <v>1</v>
      </c>
      <c r="AB171" s="23">
        <v>1</v>
      </c>
    </row>
    <row r="172" spans="2:28" ht="14.1" customHeight="1" x14ac:dyDescent="0.3"/>
    <row r="173" spans="2:28" x14ac:dyDescent="0.3">
      <c r="B173" s="78" t="s">
        <v>89</v>
      </c>
      <c r="C173" s="73"/>
      <c r="D173" s="73"/>
      <c r="E173" s="73"/>
      <c r="F173" s="16" t="s">
        <v>2</v>
      </c>
      <c r="G173" s="17"/>
      <c r="H173" s="17">
        <v>643</v>
      </c>
      <c r="I173" s="17">
        <v>635</v>
      </c>
      <c r="J173" s="17">
        <v>637</v>
      </c>
      <c r="K173" s="17">
        <v>632</v>
      </c>
      <c r="L173" s="17">
        <v>638</v>
      </c>
      <c r="M173" s="17">
        <v>630</v>
      </c>
      <c r="N173" s="17">
        <v>637</v>
      </c>
      <c r="O173" s="17">
        <v>642</v>
      </c>
      <c r="P173" s="17">
        <v>636</v>
      </c>
      <c r="Q173" s="17">
        <v>635</v>
      </c>
      <c r="R173" s="17">
        <v>631</v>
      </c>
      <c r="S173" s="17">
        <v>630</v>
      </c>
      <c r="U173" s="17">
        <v>630</v>
      </c>
      <c r="V173" s="17">
        <v>636</v>
      </c>
      <c r="W173" s="17">
        <v>636</v>
      </c>
      <c r="Y173" s="17">
        <v>638</v>
      </c>
      <c r="Z173" s="17">
        <v>633</v>
      </c>
      <c r="AA173" s="17">
        <v>638</v>
      </c>
      <c r="AB173" s="17">
        <v>632</v>
      </c>
    </row>
    <row r="174" spans="2:28" x14ac:dyDescent="0.3">
      <c r="F174" s="16" t="s">
        <v>3</v>
      </c>
      <c r="G174" s="17"/>
      <c r="H174" s="17">
        <v>696</v>
      </c>
      <c r="I174" s="17">
        <v>694</v>
      </c>
      <c r="J174" s="17">
        <v>684</v>
      </c>
      <c r="K174" s="17">
        <v>681</v>
      </c>
      <c r="L174" s="17">
        <v>675</v>
      </c>
      <c r="M174" s="17">
        <v>677</v>
      </c>
      <c r="N174" s="17">
        <v>676</v>
      </c>
      <c r="O174" s="17">
        <v>679</v>
      </c>
      <c r="P174" s="17">
        <v>670</v>
      </c>
      <c r="Q174" s="17">
        <v>670</v>
      </c>
      <c r="R174" s="17">
        <v>668</v>
      </c>
      <c r="S174" s="17">
        <v>669</v>
      </c>
      <c r="U174" s="17">
        <v>669</v>
      </c>
      <c r="V174" s="17">
        <v>678</v>
      </c>
      <c r="W174" s="17">
        <v>678</v>
      </c>
      <c r="Y174" s="17">
        <v>691</v>
      </c>
      <c r="Z174" s="17">
        <v>678</v>
      </c>
      <c r="AA174" s="17">
        <v>675</v>
      </c>
      <c r="AB174" s="17">
        <v>669</v>
      </c>
    </row>
    <row r="175" spans="2:28" ht="2.1" customHeight="1" x14ac:dyDescent="0.3"/>
    <row r="176" spans="2:28" x14ac:dyDescent="0.3">
      <c r="B176" s="78" t="s">
        <v>90</v>
      </c>
      <c r="C176" s="73"/>
      <c r="D176" s="73"/>
      <c r="E176" s="73"/>
      <c r="F176" s="16" t="s">
        <v>2</v>
      </c>
      <c r="G176" s="17"/>
      <c r="H176" s="17">
        <v>7395</v>
      </c>
      <c r="I176" s="17">
        <v>6385</v>
      </c>
      <c r="J176" s="17">
        <v>8164</v>
      </c>
      <c r="K176" s="17">
        <v>8277</v>
      </c>
      <c r="L176" s="17">
        <v>8821</v>
      </c>
      <c r="M176" s="17">
        <v>7058</v>
      </c>
      <c r="N176" s="17">
        <v>7767</v>
      </c>
      <c r="O176" s="17">
        <v>8691</v>
      </c>
      <c r="P176" s="17">
        <v>7653</v>
      </c>
      <c r="Q176" s="17">
        <v>7536</v>
      </c>
      <c r="R176" s="17">
        <v>6756</v>
      </c>
      <c r="S176" s="17">
        <v>5280</v>
      </c>
      <c r="U176" s="17">
        <v>5280</v>
      </c>
      <c r="V176" s="17">
        <v>7482</v>
      </c>
      <c r="W176" s="17">
        <v>7482</v>
      </c>
      <c r="Y176" s="17">
        <v>7315</v>
      </c>
      <c r="Z176" s="17">
        <v>8052</v>
      </c>
      <c r="AA176" s="17">
        <v>8037</v>
      </c>
      <c r="AB176" s="17">
        <v>6524</v>
      </c>
    </row>
    <row r="177" spans="2:28" x14ac:dyDescent="0.3">
      <c r="F177" s="16" t="s">
        <v>3</v>
      </c>
      <c r="G177" s="17"/>
      <c r="H177" s="17">
        <v>4558</v>
      </c>
      <c r="I177" s="17">
        <v>4163</v>
      </c>
      <c r="J177" s="17">
        <v>3663</v>
      </c>
      <c r="K177" s="17">
        <v>2781</v>
      </c>
      <c r="L177" s="17">
        <v>2604</v>
      </c>
      <c r="M177" s="17">
        <v>2074</v>
      </c>
      <c r="N177" s="17">
        <v>1634</v>
      </c>
      <c r="O177" s="17">
        <v>1456</v>
      </c>
      <c r="P177" s="17">
        <v>1054</v>
      </c>
      <c r="Q177" s="17">
        <v>660</v>
      </c>
      <c r="R177" s="17">
        <v>568</v>
      </c>
      <c r="S177" s="17">
        <v>557</v>
      </c>
      <c r="U177" s="17">
        <v>557</v>
      </c>
      <c r="V177" s="17">
        <v>2148</v>
      </c>
      <c r="W177" s="17">
        <v>2148</v>
      </c>
      <c r="Y177" s="17">
        <v>4128</v>
      </c>
      <c r="Z177" s="17">
        <v>2487</v>
      </c>
      <c r="AA177" s="17">
        <v>1381</v>
      </c>
      <c r="AB177" s="17">
        <v>595</v>
      </c>
    </row>
    <row r="178" spans="2:28" ht="3" customHeight="1" x14ac:dyDescent="0.3"/>
    <row r="179" spans="2:28" x14ac:dyDescent="0.3">
      <c r="B179" s="78" t="s">
        <v>91</v>
      </c>
      <c r="C179" s="73"/>
      <c r="D179" s="73"/>
      <c r="E179" s="73"/>
      <c r="F179" s="16" t="s">
        <v>2</v>
      </c>
      <c r="G179" s="17"/>
      <c r="H179" s="17">
        <v>8038</v>
      </c>
      <c r="I179" s="17">
        <v>7020</v>
      </c>
      <c r="J179" s="17">
        <v>8801</v>
      </c>
      <c r="K179" s="17">
        <v>8909</v>
      </c>
      <c r="L179" s="17">
        <v>9459</v>
      </c>
      <c r="M179" s="17">
        <v>7688</v>
      </c>
      <c r="N179" s="17">
        <v>8404</v>
      </c>
      <c r="O179" s="17">
        <v>9333</v>
      </c>
      <c r="P179" s="17">
        <v>8289</v>
      </c>
      <c r="Q179" s="17">
        <v>8171</v>
      </c>
      <c r="R179" s="17">
        <v>7387</v>
      </c>
      <c r="S179" s="17">
        <v>5910</v>
      </c>
      <c r="U179" s="17">
        <v>5910</v>
      </c>
      <c r="V179" s="17">
        <v>8117</v>
      </c>
      <c r="W179" s="17">
        <v>8117</v>
      </c>
      <c r="Y179" s="17">
        <v>7953</v>
      </c>
      <c r="Z179" s="17">
        <v>8685</v>
      </c>
      <c r="AA179" s="17">
        <v>8675</v>
      </c>
      <c r="AB179" s="17">
        <v>7156</v>
      </c>
    </row>
    <row r="180" spans="2:28" x14ac:dyDescent="0.3">
      <c r="F180" s="16" t="s">
        <v>3</v>
      </c>
      <c r="G180" s="17"/>
      <c r="H180" s="17">
        <v>5254</v>
      </c>
      <c r="I180" s="17">
        <v>4857</v>
      </c>
      <c r="J180" s="17">
        <v>4347</v>
      </c>
      <c r="K180" s="17">
        <v>3462</v>
      </c>
      <c r="L180" s="17">
        <v>3279</v>
      </c>
      <c r="M180" s="17">
        <v>2751</v>
      </c>
      <c r="N180" s="17">
        <v>2310</v>
      </c>
      <c r="O180" s="17">
        <v>2135</v>
      </c>
      <c r="P180" s="17">
        <v>1724</v>
      </c>
      <c r="Q180" s="17">
        <v>1330</v>
      </c>
      <c r="R180" s="17">
        <v>1236</v>
      </c>
      <c r="S180" s="17">
        <v>1226</v>
      </c>
      <c r="U180" s="17">
        <v>1226</v>
      </c>
      <c r="V180" s="17">
        <v>2826</v>
      </c>
      <c r="W180" s="17">
        <v>2826</v>
      </c>
      <c r="Y180" s="17">
        <v>4819</v>
      </c>
      <c r="Z180" s="17">
        <v>3164</v>
      </c>
      <c r="AA180" s="17">
        <v>2056</v>
      </c>
      <c r="AB180" s="17">
        <v>1264</v>
      </c>
    </row>
    <row r="181" spans="2:28" x14ac:dyDescent="0.3"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U181" s="17"/>
      <c r="V181" s="17"/>
      <c r="W181" s="17"/>
      <c r="Y181" s="17"/>
      <c r="Z181" s="17"/>
      <c r="AA181" s="17"/>
      <c r="AB181" s="17"/>
    </row>
    <row r="182" spans="2:28" ht="3" customHeight="1" x14ac:dyDescent="0.3"/>
    <row r="183" spans="2:28" ht="18" customHeight="1" x14ac:dyDescent="0.3">
      <c r="B183" s="78" t="s">
        <v>92</v>
      </c>
      <c r="C183" s="73"/>
      <c r="D183" s="73"/>
      <c r="E183" s="73"/>
    </row>
    <row r="184" spans="2:28" ht="4.05" customHeight="1" x14ac:dyDescent="0.3"/>
    <row r="185" spans="2:28" x14ac:dyDescent="0.3">
      <c r="B185" s="74" t="s">
        <v>93</v>
      </c>
      <c r="C185" s="73"/>
      <c r="D185" s="73"/>
      <c r="E185" s="73"/>
      <c r="F185" s="20" t="s">
        <v>6</v>
      </c>
      <c r="G185" s="20"/>
      <c r="H185" s="21" t="s">
        <v>101</v>
      </c>
      <c r="I185" s="21" t="s">
        <v>102</v>
      </c>
      <c r="J185" s="21" t="s">
        <v>103</v>
      </c>
      <c r="K185" s="21" t="s">
        <v>104</v>
      </c>
      <c r="L185" s="21" t="s">
        <v>105</v>
      </c>
      <c r="M185" s="21" t="s">
        <v>106</v>
      </c>
      <c r="N185" s="21" t="s">
        <v>107</v>
      </c>
      <c r="O185" s="21" t="s">
        <v>108</v>
      </c>
      <c r="P185" s="21" t="s">
        <v>109</v>
      </c>
      <c r="Q185" s="21" t="s">
        <v>110</v>
      </c>
      <c r="R185" s="21" t="s">
        <v>111</v>
      </c>
      <c r="S185" s="21" t="s">
        <v>112</v>
      </c>
      <c r="U185" s="21" t="s">
        <v>24</v>
      </c>
      <c r="V185" s="21" t="s">
        <v>25</v>
      </c>
      <c r="W185" s="21" t="s">
        <v>19</v>
      </c>
      <c r="Y185" s="21" t="s">
        <v>20</v>
      </c>
      <c r="Z185" s="21" t="s">
        <v>21</v>
      </c>
      <c r="AA185" s="21" t="s">
        <v>22</v>
      </c>
      <c r="AB185" s="21" t="s">
        <v>23</v>
      </c>
    </row>
    <row r="186" spans="2:28" x14ac:dyDescent="0.3">
      <c r="B186" s="75" t="s">
        <v>113</v>
      </c>
      <c r="C186" s="72"/>
      <c r="D186" s="72"/>
      <c r="E186" s="72"/>
      <c r="F186" s="26" t="s">
        <v>2</v>
      </c>
      <c r="G186" s="27"/>
      <c r="H186" s="27">
        <v>2</v>
      </c>
      <c r="I186" s="27">
        <v>2</v>
      </c>
      <c r="J186" s="27">
        <v>2</v>
      </c>
      <c r="K186" s="27">
        <v>2</v>
      </c>
      <c r="L186" s="27">
        <v>2</v>
      </c>
      <c r="M186" s="27">
        <v>1</v>
      </c>
      <c r="N186" s="27">
        <v>1</v>
      </c>
      <c r="O186" s="27">
        <v>2</v>
      </c>
      <c r="P186" s="27">
        <v>1</v>
      </c>
      <c r="Q186" s="27">
        <v>1</v>
      </c>
      <c r="R186" s="27">
        <v>1</v>
      </c>
      <c r="S186" s="27">
        <v>1</v>
      </c>
      <c r="U186" s="27">
        <v>1</v>
      </c>
      <c r="V186" s="27">
        <v>2</v>
      </c>
      <c r="W186" s="27">
        <v>2</v>
      </c>
      <c r="Y186" s="27">
        <v>2</v>
      </c>
      <c r="Z186" s="27">
        <v>2</v>
      </c>
      <c r="AA186" s="27">
        <v>1</v>
      </c>
      <c r="AB186" s="27">
        <v>1</v>
      </c>
    </row>
    <row r="187" spans="2:28" x14ac:dyDescent="0.3">
      <c r="B187" s="76"/>
      <c r="C187" s="73"/>
      <c r="D187" s="73"/>
      <c r="E187" s="73"/>
      <c r="F187" s="26" t="s">
        <v>3</v>
      </c>
      <c r="G187" s="27"/>
      <c r="H187" s="27">
        <v>2</v>
      </c>
      <c r="I187" s="27">
        <v>2</v>
      </c>
      <c r="J187" s="27">
        <v>2</v>
      </c>
      <c r="K187" s="27">
        <v>2</v>
      </c>
      <c r="L187" s="27">
        <v>2</v>
      </c>
      <c r="M187" s="27">
        <v>2</v>
      </c>
      <c r="N187" s="27">
        <v>2</v>
      </c>
      <c r="O187" s="27">
        <v>2</v>
      </c>
      <c r="P187" s="27">
        <v>2</v>
      </c>
      <c r="Q187" s="27">
        <v>2</v>
      </c>
      <c r="R187" s="27">
        <v>2</v>
      </c>
      <c r="S187" s="27">
        <v>2</v>
      </c>
      <c r="U187" s="27">
        <v>2</v>
      </c>
      <c r="V187" s="27">
        <v>2</v>
      </c>
      <c r="W187" s="27">
        <v>2</v>
      </c>
      <c r="Y187" s="27">
        <v>2</v>
      </c>
      <c r="Z187" s="27">
        <v>2</v>
      </c>
      <c r="AA187" s="27">
        <v>2</v>
      </c>
      <c r="AB187" s="27">
        <v>2</v>
      </c>
    </row>
    <row r="188" spans="2:28" x14ac:dyDescent="0.3">
      <c r="B188" s="75" t="s">
        <v>121</v>
      </c>
      <c r="C188" s="72"/>
      <c r="D188" s="72"/>
      <c r="E188" s="72"/>
      <c r="F188" s="26" t="s">
        <v>2</v>
      </c>
      <c r="G188" s="27"/>
      <c r="H188" s="27">
        <v>8</v>
      </c>
      <c r="I188" s="27">
        <v>8</v>
      </c>
      <c r="J188" s="27">
        <v>8</v>
      </c>
      <c r="K188" s="27">
        <v>8</v>
      </c>
      <c r="L188" s="27">
        <v>8</v>
      </c>
      <c r="M188" s="27">
        <v>8</v>
      </c>
      <c r="N188" s="27">
        <v>8</v>
      </c>
      <c r="O188" s="27">
        <v>9</v>
      </c>
      <c r="P188" s="27">
        <v>9</v>
      </c>
      <c r="Q188" s="27">
        <v>9</v>
      </c>
      <c r="R188" s="27">
        <v>9</v>
      </c>
      <c r="S188" s="27">
        <v>9</v>
      </c>
      <c r="U188" s="27">
        <v>9</v>
      </c>
      <c r="V188" s="27">
        <v>8</v>
      </c>
      <c r="W188" s="27">
        <v>8</v>
      </c>
      <c r="Y188" s="27">
        <v>8</v>
      </c>
      <c r="Z188" s="27">
        <v>8</v>
      </c>
      <c r="AA188" s="27">
        <v>9</v>
      </c>
      <c r="AB188" s="27">
        <v>9</v>
      </c>
    </row>
    <row r="189" spans="2:28" x14ac:dyDescent="0.3">
      <c r="B189" s="76"/>
      <c r="C189" s="73"/>
      <c r="D189" s="73"/>
      <c r="E189" s="73"/>
      <c r="F189" s="26" t="s">
        <v>3</v>
      </c>
      <c r="G189" s="27"/>
      <c r="H189" s="27">
        <v>9</v>
      </c>
      <c r="I189" s="27">
        <v>9</v>
      </c>
      <c r="J189" s="27">
        <v>9</v>
      </c>
      <c r="K189" s="27">
        <v>9</v>
      </c>
      <c r="L189" s="27">
        <v>9</v>
      </c>
      <c r="M189" s="27">
        <v>9</v>
      </c>
      <c r="N189" s="27">
        <v>9</v>
      </c>
      <c r="O189" s="27">
        <v>9</v>
      </c>
      <c r="P189" s="27">
        <v>9</v>
      </c>
      <c r="Q189" s="27">
        <v>9</v>
      </c>
      <c r="R189" s="27">
        <v>9</v>
      </c>
      <c r="S189" s="27">
        <v>9</v>
      </c>
      <c r="U189" s="27">
        <v>9</v>
      </c>
      <c r="V189" s="27">
        <v>9</v>
      </c>
      <c r="W189" s="27">
        <v>9</v>
      </c>
      <c r="Y189" s="27">
        <v>9</v>
      </c>
      <c r="Z189" s="27">
        <v>9</v>
      </c>
      <c r="AA189" s="27">
        <v>9</v>
      </c>
      <c r="AB189" s="27">
        <v>9</v>
      </c>
    </row>
    <row r="190" spans="2:28" x14ac:dyDescent="0.3">
      <c r="B190" s="75" t="s">
        <v>50</v>
      </c>
      <c r="C190" s="72"/>
      <c r="D190" s="72"/>
      <c r="E190" s="72"/>
      <c r="F190" s="26" t="s">
        <v>2</v>
      </c>
      <c r="G190" s="27"/>
      <c r="H190" s="27">
        <v>32</v>
      </c>
      <c r="I190" s="27">
        <v>32</v>
      </c>
      <c r="J190" s="27">
        <v>33</v>
      </c>
      <c r="K190" s="27">
        <v>38</v>
      </c>
      <c r="L190" s="27">
        <v>42</v>
      </c>
      <c r="M190" s="27">
        <v>42</v>
      </c>
      <c r="N190" s="27">
        <v>42</v>
      </c>
      <c r="O190" s="27">
        <v>42</v>
      </c>
      <c r="P190" s="27">
        <v>42</v>
      </c>
      <c r="Q190" s="27">
        <v>45</v>
      </c>
      <c r="R190" s="27">
        <v>45</v>
      </c>
      <c r="S190" s="27">
        <v>45</v>
      </c>
      <c r="U190" s="27">
        <v>45</v>
      </c>
      <c r="V190" s="27">
        <v>40</v>
      </c>
      <c r="W190" s="27">
        <v>40</v>
      </c>
      <c r="Y190" s="27">
        <v>32</v>
      </c>
      <c r="Z190" s="27">
        <v>41</v>
      </c>
      <c r="AA190" s="27">
        <v>42</v>
      </c>
      <c r="AB190" s="27">
        <v>45</v>
      </c>
    </row>
    <row r="191" spans="2:28" x14ac:dyDescent="0.3">
      <c r="B191" s="76"/>
      <c r="C191" s="73"/>
      <c r="D191" s="73"/>
      <c r="E191" s="73"/>
      <c r="F191" s="26" t="s">
        <v>3</v>
      </c>
      <c r="G191" s="27"/>
      <c r="H191" s="27">
        <v>39</v>
      </c>
      <c r="I191" s="27">
        <v>39</v>
      </c>
      <c r="J191" s="27">
        <v>39</v>
      </c>
      <c r="K191" s="27">
        <v>39</v>
      </c>
      <c r="L191" s="27">
        <v>39</v>
      </c>
      <c r="M191" s="27">
        <v>41</v>
      </c>
      <c r="N191" s="27">
        <v>43</v>
      </c>
      <c r="O191" s="27">
        <v>43</v>
      </c>
      <c r="P191" s="27">
        <v>43</v>
      </c>
      <c r="Q191" s="27">
        <v>43</v>
      </c>
      <c r="R191" s="27">
        <v>43</v>
      </c>
      <c r="S191" s="27">
        <v>43</v>
      </c>
      <c r="U191" s="27">
        <v>43</v>
      </c>
      <c r="V191" s="27">
        <v>41</v>
      </c>
      <c r="W191" s="27">
        <v>41</v>
      </c>
      <c r="Y191" s="27">
        <v>39</v>
      </c>
      <c r="Z191" s="27">
        <v>40</v>
      </c>
      <c r="AA191" s="27">
        <v>43</v>
      </c>
      <c r="AB191" s="27">
        <v>43</v>
      </c>
    </row>
    <row r="192" spans="2:28" x14ac:dyDescent="0.3">
      <c r="B192" s="75" t="s">
        <v>130</v>
      </c>
      <c r="C192" s="72"/>
      <c r="D192" s="72"/>
      <c r="E192" s="72"/>
      <c r="F192" s="26" t="s">
        <v>2</v>
      </c>
      <c r="G192" s="27"/>
      <c r="H192" s="27">
        <v>3</v>
      </c>
      <c r="I192" s="27">
        <v>3</v>
      </c>
      <c r="J192" s="27">
        <v>3</v>
      </c>
      <c r="K192" s="27">
        <v>3</v>
      </c>
      <c r="L192" s="27">
        <v>3</v>
      </c>
      <c r="M192" s="27">
        <v>3</v>
      </c>
      <c r="N192" s="27">
        <v>3</v>
      </c>
      <c r="O192" s="27">
        <v>3</v>
      </c>
      <c r="P192" s="27">
        <v>3</v>
      </c>
      <c r="Q192" s="27">
        <v>3</v>
      </c>
      <c r="R192" s="27">
        <v>3</v>
      </c>
      <c r="S192" s="27">
        <v>3</v>
      </c>
      <c r="U192" s="27">
        <v>3</v>
      </c>
      <c r="V192" s="27">
        <v>3</v>
      </c>
      <c r="W192" s="27">
        <v>3</v>
      </c>
      <c r="Y192" s="27">
        <v>3</v>
      </c>
      <c r="Z192" s="27">
        <v>3</v>
      </c>
      <c r="AA192" s="27">
        <v>3</v>
      </c>
      <c r="AB192" s="27">
        <v>3</v>
      </c>
    </row>
    <row r="193" spans="2:28" x14ac:dyDescent="0.3">
      <c r="B193" s="76"/>
      <c r="C193" s="73"/>
      <c r="D193" s="73"/>
      <c r="E193" s="73"/>
      <c r="F193" s="26" t="s">
        <v>3</v>
      </c>
      <c r="G193" s="27"/>
      <c r="H193" s="27">
        <v>3</v>
      </c>
      <c r="I193" s="27">
        <v>3</v>
      </c>
      <c r="J193" s="27">
        <v>3</v>
      </c>
      <c r="K193" s="27">
        <v>3</v>
      </c>
      <c r="L193" s="27">
        <v>3</v>
      </c>
      <c r="M193" s="27">
        <v>3</v>
      </c>
      <c r="N193" s="27">
        <v>3</v>
      </c>
      <c r="O193" s="27">
        <v>3</v>
      </c>
      <c r="P193" s="27">
        <v>3</v>
      </c>
      <c r="Q193" s="27">
        <v>3</v>
      </c>
      <c r="R193" s="27">
        <v>3</v>
      </c>
      <c r="S193" s="27">
        <v>3</v>
      </c>
      <c r="U193" s="27">
        <v>3</v>
      </c>
      <c r="V193" s="27">
        <v>3</v>
      </c>
      <c r="W193" s="27">
        <v>3</v>
      </c>
      <c r="Y193" s="27">
        <v>3</v>
      </c>
      <c r="Z193" s="27">
        <v>3</v>
      </c>
      <c r="AA193" s="27">
        <v>3</v>
      </c>
      <c r="AB193" s="27">
        <v>3</v>
      </c>
    </row>
    <row r="194" spans="2:28" ht="10.5" customHeight="1" x14ac:dyDescent="0.3"/>
    <row r="195" spans="2:28" x14ac:dyDescent="0.3">
      <c r="B195" s="74" t="s">
        <v>94</v>
      </c>
      <c r="C195" s="73"/>
      <c r="D195" s="73"/>
      <c r="E195" s="73"/>
      <c r="F195" s="20" t="s">
        <v>6</v>
      </c>
      <c r="G195" s="20"/>
      <c r="H195" s="21" t="s">
        <v>101</v>
      </c>
      <c r="I195" s="21" t="s">
        <v>102</v>
      </c>
      <c r="J195" s="21" t="s">
        <v>103</v>
      </c>
      <c r="K195" s="21" t="s">
        <v>104</v>
      </c>
      <c r="L195" s="21" t="s">
        <v>105</v>
      </c>
      <c r="M195" s="21" t="s">
        <v>106</v>
      </c>
      <c r="N195" s="21" t="s">
        <v>107</v>
      </c>
      <c r="O195" s="21" t="s">
        <v>108</v>
      </c>
      <c r="P195" s="21" t="s">
        <v>109</v>
      </c>
      <c r="Q195" s="21" t="s">
        <v>110</v>
      </c>
      <c r="R195" s="21" t="s">
        <v>111</v>
      </c>
      <c r="S195" s="21" t="s">
        <v>112</v>
      </c>
      <c r="U195" s="21" t="s">
        <v>24</v>
      </c>
      <c r="V195" s="21" t="s">
        <v>25</v>
      </c>
      <c r="W195" s="21" t="s">
        <v>19</v>
      </c>
      <c r="Y195" s="21" t="s">
        <v>20</v>
      </c>
      <c r="Z195" s="21" t="s">
        <v>21</v>
      </c>
      <c r="AA195" s="21" t="s">
        <v>22</v>
      </c>
      <c r="AB195" s="21" t="s">
        <v>23</v>
      </c>
    </row>
    <row r="196" spans="2:28" x14ac:dyDescent="0.3">
      <c r="B196" s="75" t="s">
        <v>50</v>
      </c>
      <c r="C196" s="72"/>
      <c r="D196" s="72"/>
      <c r="E196" s="72"/>
      <c r="F196" s="26" t="s">
        <v>2</v>
      </c>
      <c r="G196" s="27"/>
      <c r="H196" s="27">
        <v>2</v>
      </c>
      <c r="I196" s="27">
        <v>2</v>
      </c>
      <c r="J196" s="27">
        <v>1</v>
      </c>
      <c r="K196" s="27">
        <v>3</v>
      </c>
      <c r="L196" s="27">
        <v>2</v>
      </c>
      <c r="M196" s="27">
        <v>2</v>
      </c>
      <c r="N196" s="27">
        <v>2</v>
      </c>
      <c r="O196" s="27">
        <v>2</v>
      </c>
      <c r="P196" s="27">
        <v>2</v>
      </c>
      <c r="Q196" s="27">
        <v>9</v>
      </c>
      <c r="R196" s="27">
        <v>9</v>
      </c>
      <c r="S196" s="27">
        <v>9</v>
      </c>
      <c r="U196" s="27">
        <v>9</v>
      </c>
      <c r="V196" s="27">
        <v>4</v>
      </c>
      <c r="W196" s="27">
        <v>4</v>
      </c>
      <c r="Y196" s="27">
        <v>2</v>
      </c>
      <c r="Z196" s="27">
        <v>2</v>
      </c>
      <c r="AA196" s="27">
        <v>2</v>
      </c>
      <c r="AB196" s="27">
        <v>9</v>
      </c>
    </row>
    <row r="197" spans="2:28" x14ac:dyDescent="0.3">
      <c r="B197" s="76"/>
      <c r="C197" s="73"/>
      <c r="D197" s="73"/>
      <c r="E197" s="73"/>
      <c r="F197" s="26" t="s">
        <v>3</v>
      </c>
      <c r="G197" s="27"/>
      <c r="H197" s="27">
        <v>2</v>
      </c>
      <c r="I197" s="27">
        <v>2</v>
      </c>
      <c r="J197" s="27">
        <v>2</v>
      </c>
      <c r="K197" s="27">
        <v>2</v>
      </c>
      <c r="L197" s="27">
        <v>2</v>
      </c>
      <c r="M197" s="27">
        <v>2</v>
      </c>
      <c r="N197" s="27">
        <v>2</v>
      </c>
      <c r="O197" s="27">
        <v>2</v>
      </c>
      <c r="P197" s="27">
        <v>2</v>
      </c>
      <c r="Q197" s="27">
        <v>2</v>
      </c>
      <c r="R197" s="27">
        <v>2</v>
      </c>
      <c r="S197" s="27">
        <v>2</v>
      </c>
      <c r="U197" s="27">
        <v>2</v>
      </c>
      <c r="V197" s="27">
        <v>2</v>
      </c>
      <c r="W197" s="27">
        <v>2</v>
      </c>
      <c r="Y197" s="27">
        <v>2</v>
      </c>
      <c r="Z197" s="27">
        <v>2</v>
      </c>
      <c r="AA197" s="27">
        <v>2</v>
      </c>
      <c r="AB197" s="27">
        <v>2</v>
      </c>
    </row>
    <row r="198" spans="2:28" ht="13.35" customHeight="1" x14ac:dyDescent="0.3"/>
    <row r="199" spans="2:28" ht="18" customHeight="1" x14ac:dyDescent="0.3">
      <c r="B199" s="78" t="s">
        <v>95</v>
      </c>
      <c r="C199" s="73"/>
      <c r="D199" s="73"/>
      <c r="E199" s="73"/>
    </row>
    <row r="200" spans="2:28" ht="12.75" customHeight="1" x14ac:dyDescent="0.3"/>
    <row r="201" spans="2:28" x14ac:dyDescent="0.3">
      <c r="B201" s="74" t="s">
        <v>93</v>
      </c>
      <c r="C201" s="73"/>
      <c r="D201" s="73"/>
      <c r="E201" s="73"/>
      <c r="F201" s="20" t="s">
        <v>6</v>
      </c>
      <c r="G201" s="20"/>
      <c r="H201" s="21" t="s">
        <v>101</v>
      </c>
      <c r="I201" s="21" t="s">
        <v>102</v>
      </c>
      <c r="J201" s="21" t="s">
        <v>103</v>
      </c>
      <c r="K201" s="21" t="s">
        <v>104</v>
      </c>
      <c r="L201" s="21" t="s">
        <v>105</v>
      </c>
      <c r="M201" s="21" t="s">
        <v>106</v>
      </c>
      <c r="N201" s="21" t="s">
        <v>107</v>
      </c>
      <c r="O201" s="21" t="s">
        <v>108</v>
      </c>
      <c r="P201" s="21" t="s">
        <v>109</v>
      </c>
      <c r="Q201" s="21" t="s">
        <v>110</v>
      </c>
      <c r="R201" s="21" t="s">
        <v>111</v>
      </c>
      <c r="S201" s="21" t="s">
        <v>112</v>
      </c>
      <c r="U201" s="21" t="s">
        <v>24</v>
      </c>
      <c r="V201" s="21" t="s">
        <v>25</v>
      </c>
      <c r="W201" s="21" t="s">
        <v>19</v>
      </c>
      <c r="Y201" s="21" t="s">
        <v>20</v>
      </c>
      <c r="Z201" s="21" t="s">
        <v>21</v>
      </c>
      <c r="AA201" s="21" t="s">
        <v>22</v>
      </c>
      <c r="AB201" s="21" t="s">
        <v>23</v>
      </c>
    </row>
    <row r="202" spans="2:28" x14ac:dyDescent="0.3">
      <c r="B202" s="75" t="s">
        <v>38</v>
      </c>
      <c r="C202" s="72"/>
      <c r="D202" s="72"/>
      <c r="E202" s="72"/>
      <c r="F202" s="26" t="s">
        <v>2</v>
      </c>
      <c r="G202" s="27"/>
      <c r="H202" s="27">
        <v>29.56</v>
      </c>
      <c r="I202" s="27">
        <v>403.03</v>
      </c>
      <c r="J202" s="27">
        <v>92.72</v>
      </c>
      <c r="K202" s="27">
        <v>77.33</v>
      </c>
      <c r="L202" s="27">
        <v>58.59</v>
      </c>
      <c r="M202" s="27">
        <v>57.74</v>
      </c>
      <c r="N202" s="27">
        <v>49.57</v>
      </c>
      <c r="O202" s="27">
        <v>51.78</v>
      </c>
      <c r="P202" s="27">
        <v>59.24</v>
      </c>
      <c r="Q202" s="27">
        <v>60.65</v>
      </c>
      <c r="R202" s="27">
        <v>60.3</v>
      </c>
      <c r="S202" s="27">
        <v>58.3</v>
      </c>
      <c r="U202" s="27">
        <v>58</v>
      </c>
      <c r="V202" s="27">
        <v>88</v>
      </c>
      <c r="W202" s="27">
        <v>88</v>
      </c>
      <c r="Y202" s="27">
        <v>175</v>
      </c>
      <c r="Z202" s="27">
        <v>65</v>
      </c>
      <c r="AA202" s="27">
        <v>54</v>
      </c>
      <c r="AB202" s="27">
        <v>60</v>
      </c>
    </row>
    <row r="203" spans="2:28" x14ac:dyDescent="0.3">
      <c r="B203" s="76"/>
      <c r="C203" s="73"/>
      <c r="D203" s="73"/>
      <c r="E203" s="73"/>
      <c r="F203" s="26" t="s">
        <v>3</v>
      </c>
      <c r="G203" s="27"/>
      <c r="H203" s="27">
        <v>186.54</v>
      </c>
      <c r="I203" s="27">
        <v>154.58000000000001</v>
      </c>
      <c r="J203" s="27">
        <v>156.63999999999999</v>
      </c>
      <c r="K203" s="27">
        <v>66.709999999999994</v>
      </c>
      <c r="L203" s="27">
        <v>65.41</v>
      </c>
      <c r="M203" s="27">
        <v>74.290000000000006</v>
      </c>
      <c r="N203" s="27">
        <v>73.709999999999994</v>
      </c>
      <c r="O203" s="27">
        <v>76.28</v>
      </c>
      <c r="P203" s="27">
        <v>68.36</v>
      </c>
      <c r="Q203" s="27">
        <v>68.36</v>
      </c>
      <c r="R203" s="27">
        <v>60.36</v>
      </c>
      <c r="S203" s="27">
        <v>70.849999999999994</v>
      </c>
      <c r="U203" s="27">
        <v>71</v>
      </c>
      <c r="V203" s="27">
        <v>94</v>
      </c>
      <c r="W203" s="27">
        <v>94</v>
      </c>
      <c r="Y203" s="27">
        <v>166</v>
      </c>
      <c r="Z203" s="27">
        <v>69</v>
      </c>
      <c r="AA203" s="27">
        <v>73</v>
      </c>
      <c r="AB203" s="27">
        <v>67</v>
      </c>
    </row>
    <row r="204" spans="2:28" x14ac:dyDescent="0.3">
      <c r="B204" s="75" t="s">
        <v>42</v>
      </c>
      <c r="C204" s="72"/>
      <c r="D204" s="72"/>
      <c r="E204" s="72"/>
      <c r="F204" s="26" t="s">
        <v>2</v>
      </c>
      <c r="G204" s="27"/>
      <c r="H204" s="27">
        <v>4</v>
      </c>
      <c r="I204" s="27">
        <v>4</v>
      </c>
      <c r="J204" s="27">
        <v>5</v>
      </c>
      <c r="K204" s="27">
        <v>8</v>
      </c>
      <c r="L204" s="27">
        <v>8</v>
      </c>
      <c r="M204" s="27">
        <v>8</v>
      </c>
      <c r="N204" s="27">
        <v>8</v>
      </c>
      <c r="O204" s="27">
        <v>8</v>
      </c>
      <c r="P204" s="27">
        <v>8</v>
      </c>
      <c r="Q204" s="27">
        <v>9</v>
      </c>
      <c r="R204" s="27">
        <v>8</v>
      </c>
      <c r="S204" s="27">
        <v>9</v>
      </c>
      <c r="U204" s="27">
        <v>9</v>
      </c>
      <c r="V204" s="27">
        <v>7</v>
      </c>
      <c r="W204" s="27">
        <v>7</v>
      </c>
      <c r="Y204" s="27">
        <v>4</v>
      </c>
      <c r="Z204" s="27">
        <v>8</v>
      </c>
      <c r="AA204" s="27">
        <v>8</v>
      </c>
      <c r="AB204" s="27">
        <v>9</v>
      </c>
    </row>
    <row r="205" spans="2:28" x14ac:dyDescent="0.3">
      <c r="B205" s="76"/>
      <c r="C205" s="73"/>
      <c r="D205" s="73"/>
      <c r="E205" s="73"/>
      <c r="F205" s="26" t="s">
        <v>3</v>
      </c>
      <c r="G205" s="27"/>
      <c r="H205" s="27">
        <v>9</v>
      </c>
      <c r="I205" s="27">
        <v>9</v>
      </c>
      <c r="J205" s="27">
        <v>9</v>
      </c>
      <c r="K205" s="27">
        <v>9</v>
      </c>
      <c r="L205" s="27">
        <v>9</v>
      </c>
      <c r="M205" s="27">
        <v>9</v>
      </c>
      <c r="N205" s="27">
        <v>9</v>
      </c>
      <c r="O205" s="27">
        <v>9</v>
      </c>
      <c r="P205" s="27">
        <v>9</v>
      </c>
      <c r="Q205" s="27">
        <v>9</v>
      </c>
      <c r="R205" s="27">
        <v>9</v>
      </c>
      <c r="S205" s="27">
        <v>9</v>
      </c>
      <c r="U205" s="27">
        <v>9</v>
      </c>
      <c r="V205" s="27">
        <v>9</v>
      </c>
      <c r="W205" s="27">
        <v>9</v>
      </c>
      <c r="Y205" s="27">
        <v>9</v>
      </c>
      <c r="Z205" s="27">
        <v>9</v>
      </c>
      <c r="AA205" s="27">
        <v>9</v>
      </c>
      <c r="AB205" s="27">
        <v>9</v>
      </c>
    </row>
    <row r="206" spans="2:28" ht="13.8" customHeight="1" x14ac:dyDescent="0.3"/>
    <row r="207" spans="2:28" x14ac:dyDescent="0.3">
      <c r="B207" s="74" t="s">
        <v>94</v>
      </c>
      <c r="C207" s="73"/>
      <c r="D207" s="73"/>
      <c r="E207" s="73"/>
      <c r="F207" s="20" t="s">
        <v>6</v>
      </c>
      <c r="G207" s="20"/>
      <c r="H207" s="21" t="s">
        <v>101</v>
      </c>
      <c r="I207" s="21" t="s">
        <v>102</v>
      </c>
      <c r="J207" s="21" t="s">
        <v>103</v>
      </c>
      <c r="K207" s="21" t="s">
        <v>104</v>
      </c>
      <c r="L207" s="21" t="s">
        <v>105</v>
      </c>
      <c r="M207" s="21" t="s">
        <v>106</v>
      </c>
      <c r="N207" s="21" t="s">
        <v>107</v>
      </c>
      <c r="O207" s="21" t="s">
        <v>108</v>
      </c>
      <c r="P207" s="21" t="s">
        <v>109</v>
      </c>
      <c r="Q207" s="21" t="s">
        <v>110</v>
      </c>
      <c r="R207" s="21" t="s">
        <v>111</v>
      </c>
      <c r="S207" s="21" t="s">
        <v>112</v>
      </c>
      <c r="U207" s="21" t="s">
        <v>24</v>
      </c>
      <c r="V207" s="21" t="s">
        <v>25</v>
      </c>
      <c r="W207" s="21" t="s">
        <v>19</v>
      </c>
      <c r="Y207" s="21" t="s">
        <v>20</v>
      </c>
      <c r="Z207" s="21" t="s">
        <v>21</v>
      </c>
      <c r="AA207" s="21" t="s">
        <v>22</v>
      </c>
      <c r="AB207" s="21" t="s">
        <v>23</v>
      </c>
    </row>
    <row r="208" spans="2:28" x14ac:dyDescent="0.3">
      <c r="B208" s="75" t="s">
        <v>38</v>
      </c>
      <c r="C208" s="72"/>
      <c r="D208" s="72"/>
      <c r="E208" s="72"/>
      <c r="F208" s="26" t="s">
        <v>2</v>
      </c>
      <c r="G208" s="27"/>
      <c r="H208" s="27">
        <v>8.9</v>
      </c>
      <c r="I208" s="27">
        <v>37.659999999999997</v>
      </c>
      <c r="J208" s="27">
        <v>14.57</v>
      </c>
      <c r="K208" s="27">
        <v>34.54</v>
      </c>
      <c r="L208" s="27">
        <v>31.55</v>
      </c>
      <c r="M208" s="27">
        <v>29.95</v>
      </c>
      <c r="N208" s="27">
        <v>54.89</v>
      </c>
      <c r="O208" s="27">
        <v>32.200000000000003</v>
      </c>
      <c r="P208" s="27">
        <v>38.15</v>
      </c>
      <c r="Q208" s="27">
        <v>41.45</v>
      </c>
      <c r="R208" s="27">
        <v>99.09</v>
      </c>
      <c r="S208" s="27">
        <v>29.6</v>
      </c>
      <c r="U208" s="27">
        <v>30</v>
      </c>
      <c r="V208" s="27">
        <v>38</v>
      </c>
      <c r="W208" s="27">
        <v>38</v>
      </c>
      <c r="Y208" s="27">
        <v>20</v>
      </c>
      <c r="Z208" s="27">
        <v>32</v>
      </c>
      <c r="AA208" s="27">
        <v>42</v>
      </c>
      <c r="AB208" s="27">
        <v>57</v>
      </c>
    </row>
    <row r="209" spans="2:28" x14ac:dyDescent="0.3">
      <c r="B209" s="76"/>
      <c r="C209" s="73"/>
      <c r="D209" s="73"/>
      <c r="E209" s="73"/>
      <c r="F209" s="26" t="s">
        <v>3</v>
      </c>
      <c r="G209" s="27"/>
      <c r="H209" s="27">
        <v>30.52</v>
      </c>
      <c r="I209" s="27">
        <v>26.14</v>
      </c>
      <c r="J209" s="27">
        <v>16.260000000000002</v>
      </c>
      <c r="K209" s="27">
        <v>13.98</v>
      </c>
      <c r="L209" s="27">
        <v>10.5</v>
      </c>
      <c r="M209" s="27">
        <v>10.5</v>
      </c>
      <c r="N209" s="27">
        <v>10.5</v>
      </c>
      <c r="O209" s="27">
        <v>10.5</v>
      </c>
      <c r="P209" s="27">
        <v>10.5</v>
      </c>
      <c r="Q209" s="27">
        <v>10.5</v>
      </c>
      <c r="R209" s="27">
        <v>20.149999999999999</v>
      </c>
      <c r="S209" s="27">
        <v>56.44</v>
      </c>
      <c r="U209" s="27">
        <v>56</v>
      </c>
      <c r="V209" s="27">
        <v>19</v>
      </c>
      <c r="W209" s="27">
        <v>19</v>
      </c>
      <c r="Y209" s="27">
        <v>24</v>
      </c>
      <c r="Z209" s="27">
        <v>12</v>
      </c>
      <c r="AA209" s="27">
        <v>11</v>
      </c>
      <c r="AB209" s="27">
        <v>29</v>
      </c>
    </row>
    <row r="210" spans="2:28" x14ac:dyDescent="0.3">
      <c r="B210" s="75" t="s">
        <v>50</v>
      </c>
      <c r="C210" s="72"/>
      <c r="D210" s="72"/>
      <c r="E210" s="72"/>
      <c r="F210" s="26" t="s">
        <v>2</v>
      </c>
      <c r="G210" s="27"/>
      <c r="H210" s="27">
        <v>0</v>
      </c>
      <c r="I210" s="27">
        <v>0</v>
      </c>
      <c r="J210" s="27">
        <v>0</v>
      </c>
      <c r="K210" s="27">
        <v>1</v>
      </c>
      <c r="L210" s="27">
        <v>1</v>
      </c>
      <c r="M210" s="27">
        <v>1</v>
      </c>
      <c r="N210" s="27">
        <v>1</v>
      </c>
      <c r="O210" s="27">
        <v>1</v>
      </c>
      <c r="P210" s="27">
        <v>1</v>
      </c>
      <c r="Q210" s="27">
        <v>1</v>
      </c>
      <c r="R210" s="27">
        <v>1</v>
      </c>
      <c r="S210" s="27">
        <v>1</v>
      </c>
      <c r="U210" s="27">
        <v>1</v>
      </c>
      <c r="V210" s="27">
        <v>1</v>
      </c>
      <c r="W210" s="27">
        <v>1</v>
      </c>
      <c r="Y210" s="27">
        <v>0</v>
      </c>
      <c r="Z210" s="27">
        <v>1</v>
      </c>
      <c r="AA210" s="27">
        <v>1</v>
      </c>
      <c r="AB210" s="27">
        <v>1</v>
      </c>
    </row>
    <row r="211" spans="2:28" x14ac:dyDescent="0.3">
      <c r="B211" s="76"/>
      <c r="C211" s="73"/>
      <c r="D211" s="73"/>
      <c r="E211" s="73"/>
      <c r="F211" s="26" t="s">
        <v>3</v>
      </c>
      <c r="G211" s="27"/>
      <c r="H211" s="27">
        <v>1</v>
      </c>
      <c r="I211" s="27">
        <v>1</v>
      </c>
      <c r="J211" s="27">
        <v>1</v>
      </c>
      <c r="K211" s="27">
        <v>1</v>
      </c>
      <c r="L211" s="27">
        <v>1</v>
      </c>
      <c r="M211" s="27">
        <v>1</v>
      </c>
      <c r="N211" s="27">
        <v>1</v>
      </c>
      <c r="O211" s="27">
        <v>1</v>
      </c>
      <c r="P211" s="27">
        <v>1</v>
      </c>
      <c r="Q211" s="27">
        <v>1</v>
      </c>
      <c r="R211" s="27">
        <v>1</v>
      </c>
      <c r="S211" s="27">
        <v>1</v>
      </c>
      <c r="U211" s="27">
        <v>1</v>
      </c>
      <c r="V211" s="27">
        <v>1</v>
      </c>
      <c r="W211" s="27">
        <v>1</v>
      </c>
      <c r="Y211" s="27">
        <v>1</v>
      </c>
      <c r="Z211" s="27">
        <v>1</v>
      </c>
      <c r="AA211" s="27">
        <v>1</v>
      </c>
      <c r="AB211" s="27">
        <v>1</v>
      </c>
    </row>
    <row r="212" spans="2:28" x14ac:dyDescent="0.3">
      <c r="B212" s="24"/>
      <c r="C212" s="25"/>
      <c r="D212" s="25"/>
      <c r="E212" s="25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U212" s="27"/>
      <c r="V212" s="27"/>
      <c r="W212" s="27"/>
      <c r="Y212" s="27"/>
      <c r="Z212" s="27"/>
      <c r="AA212" s="27"/>
      <c r="AB212" s="27"/>
    </row>
    <row r="213" spans="2:28" ht="12.45" customHeight="1" x14ac:dyDescent="0.3"/>
    <row r="214" spans="2:28" x14ac:dyDescent="0.3">
      <c r="B214" s="77" t="s">
        <v>5</v>
      </c>
      <c r="C214" s="73"/>
      <c r="D214" s="73"/>
      <c r="E214" s="73"/>
      <c r="F214" s="20" t="s">
        <v>6</v>
      </c>
      <c r="G214" s="20"/>
      <c r="H214" s="21" t="s">
        <v>101</v>
      </c>
      <c r="I214" s="21" t="s">
        <v>102</v>
      </c>
      <c r="J214" s="21" t="s">
        <v>103</v>
      </c>
      <c r="K214" s="21" t="s">
        <v>104</v>
      </c>
      <c r="L214" s="21" t="s">
        <v>105</v>
      </c>
      <c r="M214" s="21" t="s">
        <v>106</v>
      </c>
      <c r="N214" s="21" t="s">
        <v>107</v>
      </c>
      <c r="O214" s="21" t="s">
        <v>108</v>
      </c>
      <c r="P214" s="21" t="s">
        <v>109</v>
      </c>
      <c r="Q214" s="21" t="s">
        <v>110</v>
      </c>
      <c r="R214" s="21" t="s">
        <v>111</v>
      </c>
      <c r="S214" s="21" t="s">
        <v>112</v>
      </c>
      <c r="U214" s="21" t="s">
        <v>24</v>
      </c>
      <c r="V214" s="21" t="s">
        <v>25</v>
      </c>
      <c r="W214" s="21" t="s">
        <v>19</v>
      </c>
      <c r="Y214" s="21" t="s">
        <v>20</v>
      </c>
      <c r="Z214" s="21" t="s">
        <v>21</v>
      </c>
      <c r="AA214" s="21" t="s">
        <v>22</v>
      </c>
      <c r="AB214" s="21" t="s">
        <v>23</v>
      </c>
    </row>
    <row r="215" spans="2:28" x14ac:dyDescent="0.3">
      <c r="B215" s="71" t="s">
        <v>96</v>
      </c>
      <c r="C215" s="72"/>
      <c r="D215" s="72"/>
      <c r="E215" s="72"/>
      <c r="F215" s="26" t="s">
        <v>2</v>
      </c>
      <c r="G215" s="27"/>
      <c r="H215" s="27">
        <v>643</v>
      </c>
      <c r="I215" s="27">
        <v>635</v>
      </c>
      <c r="J215" s="27">
        <v>637</v>
      </c>
      <c r="K215" s="27">
        <v>632</v>
      </c>
      <c r="L215" s="27">
        <v>638</v>
      </c>
      <c r="M215" s="27">
        <v>630</v>
      </c>
      <c r="N215" s="27">
        <v>637</v>
      </c>
      <c r="O215" s="27">
        <v>642</v>
      </c>
      <c r="P215" s="27">
        <v>636</v>
      </c>
      <c r="Q215" s="27">
        <v>635</v>
      </c>
      <c r="R215" s="27">
        <v>631</v>
      </c>
      <c r="S215" s="27">
        <v>630</v>
      </c>
      <c r="U215" s="27">
        <v>630</v>
      </c>
      <c r="V215" s="27">
        <v>636</v>
      </c>
      <c r="W215" s="27">
        <v>636</v>
      </c>
      <c r="Y215" s="27">
        <v>638</v>
      </c>
      <c r="Z215" s="27">
        <v>633</v>
      </c>
      <c r="AA215" s="27">
        <v>638</v>
      </c>
      <c r="AB215" s="27">
        <v>632</v>
      </c>
    </row>
    <row r="216" spans="2:28" x14ac:dyDescent="0.3">
      <c r="B216" s="73"/>
      <c r="C216" s="73"/>
      <c r="D216" s="73"/>
      <c r="E216" s="73"/>
      <c r="F216" s="26" t="s">
        <v>3</v>
      </c>
      <c r="G216" s="27"/>
      <c r="H216" s="27">
        <v>696</v>
      </c>
      <c r="I216" s="27">
        <v>694</v>
      </c>
      <c r="J216" s="27">
        <v>684</v>
      </c>
      <c r="K216" s="27">
        <v>681</v>
      </c>
      <c r="L216" s="27">
        <v>675</v>
      </c>
      <c r="M216" s="27">
        <v>677</v>
      </c>
      <c r="N216" s="27">
        <v>676</v>
      </c>
      <c r="O216" s="27">
        <v>679</v>
      </c>
      <c r="P216" s="27">
        <v>670</v>
      </c>
      <c r="Q216" s="27">
        <v>670</v>
      </c>
      <c r="R216" s="27">
        <v>668</v>
      </c>
      <c r="S216" s="27">
        <v>669</v>
      </c>
      <c r="U216" s="27">
        <v>669</v>
      </c>
      <c r="V216" s="27">
        <v>678</v>
      </c>
      <c r="W216" s="27">
        <v>678</v>
      </c>
      <c r="Y216" s="27">
        <v>692</v>
      </c>
      <c r="Z216" s="27">
        <v>678</v>
      </c>
      <c r="AA216" s="27">
        <v>675</v>
      </c>
      <c r="AB216" s="27">
        <v>669</v>
      </c>
    </row>
    <row r="217" spans="2:28" x14ac:dyDescent="0.3">
      <c r="B217" s="71" t="s">
        <v>97</v>
      </c>
      <c r="C217" s="72"/>
      <c r="D217" s="72"/>
      <c r="E217" s="72"/>
      <c r="F217" s="26" t="s">
        <v>2</v>
      </c>
      <c r="G217" s="27"/>
      <c r="H217" s="27">
        <v>134</v>
      </c>
      <c r="I217" s="27">
        <v>138</v>
      </c>
      <c r="J217" s="27">
        <v>139</v>
      </c>
      <c r="K217" s="27">
        <v>139</v>
      </c>
      <c r="L217" s="27">
        <v>141</v>
      </c>
      <c r="M217" s="27">
        <v>142</v>
      </c>
      <c r="N217" s="27">
        <v>143</v>
      </c>
      <c r="O217" s="27">
        <v>144</v>
      </c>
      <c r="P217" s="27">
        <v>145</v>
      </c>
      <c r="Q217" s="27">
        <v>144</v>
      </c>
      <c r="R217" s="27">
        <v>141</v>
      </c>
      <c r="S217" s="27">
        <v>145</v>
      </c>
      <c r="U217" s="27">
        <v>145</v>
      </c>
      <c r="V217" s="27">
        <v>141</v>
      </c>
      <c r="W217" s="27">
        <v>141</v>
      </c>
      <c r="Y217" s="27">
        <v>137</v>
      </c>
      <c r="Z217" s="27">
        <v>141</v>
      </c>
      <c r="AA217" s="27">
        <v>144</v>
      </c>
      <c r="AB217" s="27">
        <v>144</v>
      </c>
    </row>
    <row r="218" spans="2:28" x14ac:dyDescent="0.3">
      <c r="B218" s="73"/>
      <c r="C218" s="73"/>
      <c r="D218" s="73"/>
      <c r="E218" s="73"/>
      <c r="F218" s="26" t="s">
        <v>3</v>
      </c>
      <c r="G218" s="27"/>
      <c r="H218" s="27">
        <v>149</v>
      </c>
      <c r="I218" s="27">
        <v>149</v>
      </c>
      <c r="J218" s="27">
        <v>149</v>
      </c>
      <c r="K218" s="27">
        <v>152</v>
      </c>
      <c r="L218" s="27">
        <v>151</v>
      </c>
      <c r="M218" s="27">
        <v>151</v>
      </c>
      <c r="N218" s="27">
        <v>150</v>
      </c>
      <c r="O218" s="27">
        <v>152</v>
      </c>
      <c r="P218" s="27">
        <v>152</v>
      </c>
      <c r="Q218" s="27">
        <v>155</v>
      </c>
      <c r="R218" s="27">
        <v>155</v>
      </c>
      <c r="S218" s="27">
        <v>155</v>
      </c>
      <c r="U218" s="27">
        <v>155</v>
      </c>
      <c r="V218" s="27">
        <v>152</v>
      </c>
      <c r="W218" s="27">
        <v>152</v>
      </c>
      <c r="Y218" s="27">
        <v>149</v>
      </c>
      <c r="Z218" s="27">
        <v>151</v>
      </c>
      <c r="AA218" s="27">
        <v>151</v>
      </c>
      <c r="AB218" s="27">
        <v>155</v>
      </c>
    </row>
    <row r="219" spans="2:28" x14ac:dyDescent="0.3">
      <c r="B219" s="71" t="s">
        <v>98</v>
      </c>
      <c r="C219" s="72"/>
      <c r="D219" s="72"/>
      <c r="E219" s="72"/>
      <c r="F219" s="26" t="s">
        <v>2</v>
      </c>
      <c r="G219" s="27"/>
      <c r="H219" s="27">
        <v>4</v>
      </c>
      <c r="I219" s="27">
        <v>4</v>
      </c>
      <c r="J219" s="27">
        <v>4</v>
      </c>
      <c r="K219" s="27">
        <v>4</v>
      </c>
      <c r="L219" s="27">
        <v>4</v>
      </c>
      <c r="M219" s="27">
        <v>4</v>
      </c>
      <c r="N219" s="27">
        <v>4</v>
      </c>
      <c r="O219" s="27">
        <v>4</v>
      </c>
      <c r="P219" s="27">
        <v>4</v>
      </c>
      <c r="Q219" s="27">
        <v>4</v>
      </c>
      <c r="R219" s="27">
        <v>4</v>
      </c>
      <c r="S219" s="27">
        <v>4</v>
      </c>
      <c r="U219" s="27">
        <v>4</v>
      </c>
      <c r="V219" s="27">
        <v>4</v>
      </c>
      <c r="W219" s="27">
        <v>4</v>
      </c>
      <c r="Y219" s="27">
        <v>4</v>
      </c>
      <c r="Z219" s="27">
        <v>4</v>
      </c>
      <c r="AA219" s="27">
        <v>4</v>
      </c>
      <c r="AB219" s="27">
        <v>4</v>
      </c>
    </row>
    <row r="220" spans="2:28" x14ac:dyDescent="0.3">
      <c r="B220" s="73"/>
      <c r="C220" s="73"/>
      <c r="D220" s="73"/>
      <c r="E220" s="73"/>
      <c r="F220" s="26" t="s">
        <v>3</v>
      </c>
      <c r="G220" s="27"/>
      <c r="H220" s="27">
        <v>4</v>
      </c>
      <c r="I220" s="27">
        <v>4</v>
      </c>
      <c r="J220" s="27">
        <v>4</v>
      </c>
      <c r="K220" s="27">
        <v>4</v>
      </c>
      <c r="L220" s="27">
        <v>4</v>
      </c>
      <c r="M220" s="27">
        <v>4</v>
      </c>
      <c r="N220" s="27">
        <v>4</v>
      </c>
      <c r="O220" s="27">
        <v>4</v>
      </c>
      <c r="P220" s="27">
        <v>4</v>
      </c>
      <c r="Q220" s="27">
        <v>4</v>
      </c>
      <c r="R220" s="27">
        <v>4</v>
      </c>
      <c r="S220" s="27">
        <v>4</v>
      </c>
      <c r="U220" s="27">
        <v>4</v>
      </c>
      <c r="V220" s="27">
        <v>4</v>
      </c>
      <c r="W220" s="27">
        <v>4</v>
      </c>
      <c r="Y220" s="27">
        <v>4</v>
      </c>
      <c r="Z220" s="27">
        <v>4</v>
      </c>
      <c r="AA220" s="27">
        <v>4</v>
      </c>
      <c r="AB220" s="27">
        <v>4</v>
      </c>
    </row>
    <row r="221" spans="2:28" x14ac:dyDescent="0.3">
      <c r="B221" s="71" t="s">
        <v>99</v>
      </c>
      <c r="C221" s="72"/>
      <c r="D221" s="72"/>
      <c r="E221" s="72"/>
      <c r="F221" s="26" t="s">
        <v>2</v>
      </c>
      <c r="G221" s="27"/>
      <c r="H221" s="27">
        <v>505</v>
      </c>
      <c r="I221" s="27">
        <v>493</v>
      </c>
      <c r="J221" s="27">
        <v>494</v>
      </c>
      <c r="K221" s="27">
        <v>489</v>
      </c>
      <c r="L221" s="27">
        <v>493</v>
      </c>
      <c r="M221" s="27">
        <v>484</v>
      </c>
      <c r="N221" s="27">
        <v>490</v>
      </c>
      <c r="O221" s="27">
        <v>494</v>
      </c>
      <c r="P221" s="27">
        <v>487</v>
      </c>
      <c r="Q221" s="27">
        <v>487</v>
      </c>
      <c r="R221" s="27">
        <v>486</v>
      </c>
      <c r="S221" s="27">
        <v>481</v>
      </c>
      <c r="U221" s="27">
        <v>481</v>
      </c>
      <c r="V221" s="27">
        <v>490</v>
      </c>
      <c r="W221" s="27">
        <v>490</v>
      </c>
      <c r="Y221" s="27">
        <v>497</v>
      </c>
      <c r="Z221" s="27">
        <v>488</v>
      </c>
      <c r="AA221" s="27">
        <v>490</v>
      </c>
      <c r="AB221" s="27">
        <v>485</v>
      </c>
    </row>
    <row r="222" spans="2:28" x14ac:dyDescent="0.3">
      <c r="B222" s="73"/>
      <c r="C222" s="73"/>
      <c r="D222" s="73"/>
      <c r="E222" s="73"/>
      <c r="F222" s="26" t="s">
        <v>3</v>
      </c>
      <c r="G222" s="27"/>
      <c r="H222" s="27">
        <v>543</v>
      </c>
      <c r="I222" s="27">
        <v>541</v>
      </c>
      <c r="J222" s="27">
        <v>531</v>
      </c>
      <c r="K222" s="27">
        <v>525</v>
      </c>
      <c r="L222" s="27">
        <v>520</v>
      </c>
      <c r="M222" s="27">
        <v>522</v>
      </c>
      <c r="N222" s="27">
        <v>522</v>
      </c>
      <c r="O222" s="27">
        <v>523</v>
      </c>
      <c r="P222" s="27">
        <v>514</v>
      </c>
      <c r="Q222" s="27">
        <v>511</v>
      </c>
      <c r="R222" s="27">
        <v>509</v>
      </c>
      <c r="S222" s="27">
        <v>510</v>
      </c>
      <c r="U222" s="27">
        <v>510</v>
      </c>
      <c r="V222" s="27">
        <v>522</v>
      </c>
      <c r="W222" s="27">
        <v>522</v>
      </c>
      <c r="Y222" s="27">
        <v>539</v>
      </c>
      <c r="Z222" s="27">
        <v>522</v>
      </c>
      <c r="AA222" s="27">
        <v>520</v>
      </c>
      <c r="AB222" s="27">
        <v>510</v>
      </c>
    </row>
    <row r="223" spans="2:28" ht="11.55" customHeight="1" x14ac:dyDescent="0.3"/>
    <row r="224" spans="2:28" x14ac:dyDescent="0.3">
      <c r="B224" s="83" t="s">
        <v>100</v>
      </c>
      <c r="C224" s="73"/>
      <c r="D224" s="73"/>
      <c r="E224" s="73"/>
      <c r="F224" s="16" t="s">
        <v>2</v>
      </c>
      <c r="G224" s="17"/>
      <c r="H224" s="17">
        <v>61</v>
      </c>
      <c r="I224" s="17">
        <v>60</v>
      </c>
      <c r="J224" s="17">
        <v>60</v>
      </c>
      <c r="K224" s="17">
        <v>61</v>
      </c>
      <c r="L224" s="17">
        <v>60</v>
      </c>
      <c r="M224" s="17">
        <v>59</v>
      </c>
      <c r="N224" s="17">
        <v>60</v>
      </c>
      <c r="O224" s="17">
        <v>60</v>
      </c>
      <c r="P224" s="17">
        <v>60</v>
      </c>
      <c r="Q224" s="17">
        <v>58</v>
      </c>
      <c r="R224" s="17">
        <v>57</v>
      </c>
      <c r="S224" s="17">
        <v>58</v>
      </c>
      <c r="T224" s="15">
        <f>+AVERAGE(H224:S224)</f>
        <v>59.5</v>
      </c>
      <c r="U224" s="17">
        <v>58</v>
      </c>
      <c r="V224" s="17">
        <v>60</v>
      </c>
      <c r="W224" s="17">
        <v>60</v>
      </c>
      <c r="Y224" s="17">
        <v>60</v>
      </c>
      <c r="Z224" s="17">
        <v>60</v>
      </c>
      <c r="AA224" s="17">
        <v>60</v>
      </c>
      <c r="AB224" s="17">
        <v>58</v>
      </c>
    </row>
    <row r="225" spans="6:28" x14ac:dyDescent="0.3">
      <c r="F225" s="16" t="s">
        <v>3</v>
      </c>
      <c r="G225" s="17"/>
      <c r="H225" s="17">
        <v>60</v>
      </c>
      <c r="I225" s="17">
        <v>60</v>
      </c>
      <c r="J225" s="17">
        <v>60</v>
      </c>
      <c r="K225" s="17">
        <v>60</v>
      </c>
      <c r="L225" s="17">
        <v>59</v>
      </c>
      <c r="M225" s="17">
        <v>59</v>
      </c>
      <c r="N225" s="17">
        <v>59</v>
      </c>
      <c r="O225" s="17">
        <v>59</v>
      </c>
      <c r="P225" s="17">
        <v>59</v>
      </c>
      <c r="Q225" s="17">
        <v>59</v>
      </c>
      <c r="R225" s="17">
        <v>59</v>
      </c>
      <c r="S225" s="17">
        <v>59</v>
      </c>
      <c r="U225" s="17">
        <v>59</v>
      </c>
      <c r="V225" s="17">
        <v>59</v>
      </c>
      <c r="W225" s="17">
        <v>59</v>
      </c>
      <c r="Y225" s="17">
        <v>60</v>
      </c>
      <c r="Z225" s="17">
        <v>59</v>
      </c>
      <c r="AA225" s="17">
        <v>59</v>
      </c>
      <c r="AB225" s="17">
        <v>59</v>
      </c>
    </row>
    <row r="226" spans="6:28" ht="17.100000000000001" customHeight="1" x14ac:dyDescent="0.3"/>
  </sheetData>
  <mergeCells count="138">
    <mergeCell ref="B219:E220"/>
    <mergeCell ref="B221:E222"/>
    <mergeCell ref="B224:E224"/>
    <mergeCell ref="B207:E207"/>
    <mergeCell ref="B208:E209"/>
    <mergeCell ref="B210:E211"/>
    <mergeCell ref="B214:E214"/>
    <mergeCell ref="B215:E216"/>
    <mergeCell ref="B217:E218"/>
    <mergeCell ref="B195:E195"/>
    <mergeCell ref="B196:E197"/>
    <mergeCell ref="B199:E199"/>
    <mergeCell ref="B201:E201"/>
    <mergeCell ref="B202:E203"/>
    <mergeCell ref="B204:E205"/>
    <mergeCell ref="B183:E183"/>
    <mergeCell ref="B185:E185"/>
    <mergeCell ref="B186:E187"/>
    <mergeCell ref="B188:E189"/>
    <mergeCell ref="B190:E191"/>
    <mergeCell ref="B192:E193"/>
    <mergeCell ref="D168:E169"/>
    <mergeCell ref="B170:C171"/>
    <mergeCell ref="D170:E171"/>
    <mergeCell ref="B173:E173"/>
    <mergeCell ref="B176:E176"/>
    <mergeCell ref="B179:E179"/>
    <mergeCell ref="B149:C150"/>
    <mergeCell ref="D149:E150"/>
    <mergeCell ref="B152:E152"/>
    <mergeCell ref="B157:E157"/>
    <mergeCell ref="B158:C169"/>
    <mergeCell ref="D158:E159"/>
    <mergeCell ref="D160:E161"/>
    <mergeCell ref="D162:E163"/>
    <mergeCell ref="D164:E165"/>
    <mergeCell ref="D166:E167"/>
    <mergeCell ref="B137:E138"/>
    <mergeCell ref="B142:E142"/>
    <mergeCell ref="B144:E144"/>
    <mergeCell ref="B145:C148"/>
    <mergeCell ref="D145:E146"/>
    <mergeCell ref="D147:E148"/>
    <mergeCell ref="B126:E126"/>
    <mergeCell ref="B128:E128"/>
    <mergeCell ref="B129:E130"/>
    <mergeCell ref="B131:E132"/>
    <mergeCell ref="B133:E134"/>
    <mergeCell ref="B135:E136"/>
    <mergeCell ref="B120:B121"/>
    <mergeCell ref="C120:D121"/>
    <mergeCell ref="E120:E121"/>
    <mergeCell ref="B122:B123"/>
    <mergeCell ref="C122:D123"/>
    <mergeCell ref="E122:E123"/>
    <mergeCell ref="B114:B119"/>
    <mergeCell ref="C114:D115"/>
    <mergeCell ref="E114:E115"/>
    <mergeCell ref="C116:D117"/>
    <mergeCell ref="E116:E117"/>
    <mergeCell ref="C118:D119"/>
    <mergeCell ref="E118:E119"/>
    <mergeCell ref="E108:E109"/>
    <mergeCell ref="C110:D111"/>
    <mergeCell ref="E110:E111"/>
    <mergeCell ref="B112:B113"/>
    <mergeCell ref="C112:D113"/>
    <mergeCell ref="E112:E113"/>
    <mergeCell ref="B96:E96"/>
    <mergeCell ref="B98:E98"/>
    <mergeCell ref="B100:E100"/>
    <mergeCell ref="C103:D103"/>
    <mergeCell ref="B104:B111"/>
    <mergeCell ref="C104:D105"/>
    <mergeCell ref="E104:E105"/>
    <mergeCell ref="C106:D107"/>
    <mergeCell ref="E106:E107"/>
    <mergeCell ref="C108:D109"/>
    <mergeCell ref="B82:C95"/>
    <mergeCell ref="D82:E83"/>
    <mergeCell ref="D84:E85"/>
    <mergeCell ref="D86:E87"/>
    <mergeCell ref="D88:E89"/>
    <mergeCell ref="D90:E91"/>
    <mergeCell ref="D92:E93"/>
    <mergeCell ref="D94:E95"/>
    <mergeCell ref="B68:C73"/>
    <mergeCell ref="D68:E69"/>
    <mergeCell ref="D70:E71"/>
    <mergeCell ref="D72:E73"/>
    <mergeCell ref="B74:C81"/>
    <mergeCell ref="D74:E75"/>
    <mergeCell ref="D76:E77"/>
    <mergeCell ref="D78:E79"/>
    <mergeCell ref="D80:E81"/>
    <mergeCell ref="B56:C67"/>
    <mergeCell ref="D56:E57"/>
    <mergeCell ref="D58:E59"/>
    <mergeCell ref="D60:E61"/>
    <mergeCell ref="D62:E63"/>
    <mergeCell ref="D64:E65"/>
    <mergeCell ref="D66:E67"/>
    <mergeCell ref="B46:C55"/>
    <mergeCell ref="D46:E47"/>
    <mergeCell ref="D48:E49"/>
    <mergeCell ref="D50:E51"/>
    <mergeCell ref="D52:E53"/>
    <mergeCell ref="D54:E55"/>
    <mergeCell ref="B40:C45"/>
    <mergeCell ref="D40:E41"/>
    <mergeCell ref="D42:E43"/>
    <mergeCell ref="D44:E45"/>
    <mergeCell ref="D24:E25"/>
    <mergeCell ref="D26:E27"/>
    <mergeCell ref="B28:C33"/>
    <mergeCell ref="D28:E29"/>
    <mergeCell ref="D30:E31"/>
    <mergeCell ref="D32:E33"/>
    <mergeCell ref="B14:C27"/>
    <mergeCell ref="D14:E15"/>
    <mergeCell ref="D16:E17"/>
    <mergeCell ref="D18:E19"/>
    <mergeCell ref="D20:E21"/>
    <mergeCell ref="D22:E23"/>
    <mergeCell ref="B34:C39"/>
    <mergeCell ref="D34:E35"/>
    <mergeCell ref="D36:E37"/>
    <mergeCell ref="D38:E39"/>
    <mergeCell ref="B1:H1"/>
    <mergeCell ref="B4:E4"/>
    <mergeCell ref="B7:C7"/>
    <mergeCell ref="D7:E7"/>
    <mergeCell ref="B8:C9"/>
    <mergeCell ref="D8:E9"/>
    <mergeCell ref="B10:C11"/>
    <mergeCell ref="D10:E11"/>
    <mergeCell ref="B12:C13"/>
    <mergeCell ref="D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Consolidado Propios</vt:lpstr>
      <vt:lpstr>Consolidado Contratista</vt:lpstr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Belen Madrid Araya</dc:creator>
  <cp:lastModifiedBy>Michelle Belen Madrid Araya</cp:lastModifiedBy>
  <dcterms:created xsi:type="dcterms:W3CDTF">2015-06-05T18:19:34Z</dcterms:created>
  <dcterms:modified xsi:type="dcterms:W3CDTF">2026-06-25T19:46:26Z</dcterms:modified>
</cp:coreProperties>
</file>