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2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3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4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inerals-my.sharepoint.com/personal/mmadrida_pelambres_cl1/Documents/Documentos/Control Gestión 2026/Presupuesto Corporativo/"/>
    </mc:Choice>
  </mc:AlternateContent>
  <xr:revisionPtr revIDLastSave="81" documentId="8_{F2722C93-6F19-493A-9281-00F847BED4FB}" xr6:coauthVersionLast="47" xr6:coauthVersionMax="47" xr10:uidLastSave="{D373728B-F09E-4296-AB26-2919BF732C17}"/>
  <bookViews>
    <workbookView xWindow="-108" yWindow="-108" windowWidth="23256" windowHeight="12576" activeTab="1" xr2:uid="{32BFF55C-E63E-4C89-AC3E-DC9A237F456B}"/>
  </bookViews>
  <sheets>
    <sheet name="MLP" sheetId="1" r:id="rId1"/>
    <sheet name="ANT" sheetId="9" r:id="rId2"/>
    <sheet name="CEN" sheetId="8" r:id="rId3"/>
    <sheet name="CMZ" sheetId="10" r:id="rId4"/>
    <sheet name="CECOS" sheetId="6" r:id="rId5"/>
  </sheets>
  <definedNames>
    <definedName name="__FPMExcelClient_Connection" localSheetId="0">"_FPM_BPCNW10_[http://10.87.9.254:8000/sap/bpc/]_[AMSA_PLC]_[COSTOS]_[false]_[false]\1"</definedName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1" l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9" i="1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9" i="10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9" i="8"/>
  <c r="A4" i="1"/>
  <c r="A2" i="1"/>
  <c r="A4" i="10"/>
  <c r="A2" i="10"/>
  <c r="A1" i="10" a="1"/>
  <c r="B58" i="8"/>
  <c r="B74" i="8"/>
  <c r="A92" i="8"/>
  <c r="A108" i="8"/>
  <c r="A116" i="8"/>
  <c r="B52" i="8"/>
  <c r="B76" i="8"/>
  <c r="B100" i="8"/>
  <c r="A70" i="8"/>
  <c r="A102" i="8"/>
  <c r="A118" i="8"/>
  <c r="B86" i="8"/>
  <c r="A111" i="8"/>
  <c r="B111" i="8"/>
  <c r="A56" i="8"/>
  <c r="A96" i="8"/>
  <c r="A51" i="8"/>
  <c r="A59" i="8"/>
  <c r="A67" i="8"/>
  <c r="A75" i="8"/>
  <c r="A83" i="8"/>
  <c r="A91" i="8"/>
  <c r="A99" i="8"/>
  <c r="A107" i="8"/>
  <c r="A115" i="8"/>
  <c r="C115" i="8" s="1"/>
  <c r="A77" i="8"/>
  <c r="A93" i="8"/>
  <c r="A101" i="8"/>
  <c r="B69" i="8"/>
  <c r="B85" i="8"/>
  <c r="B117" i="8"/>
  <c r="A54" i="8"/>
  <c r="A63" i="8"/>
  <c r="A87" i="8"/>
  <c r="A2" i="8"/>
  <c r="C107" i="8"/>
  <c r="A72" i="8"/>
  <c r="A88" i="8"/>
  <c r="A112" i="8"/>
  <c r="B51" i="8"/>
  <c r="B59" i="8"/>
  <c r="B67" i="8"/>
  <c r="B75" i="8"/>
  <c r="B83" i="8"/>
  <c r="B91" i="8"/>
  <c r="B99" i="8"/>
  <c r="B107" i="8"/>
  <c r="C116" i="8"/>
  <c r="B108" i="8"/>
  <c r="C101" i="8"/>
  <c r="A85" i="8"/>
  <c r="C85" i="8" s="1"/>
  <c r="A109" i="8"/>
  <c r="B77" i="8"/>
  <c r="B109" i="8"/>
  <c r="C51" i="8"/>
  <c r="C99" i="8"/>
  <c r="A68" i="8"/>
  <c r="C87" i="8"/>
  <c r="A94" i="8"/>
  <c r="B102" i="8"/>
  <c r="A79" i="8"/>
  <c r="A95" i="8"/>
  <c r="A103" i="8"/>
  <c r="A4" i="8"/>
  <c r="A48" i="8"/>
  <c r="C48" i="8" s="1"/>
  <c r="A80" i="8"/>
  <c r="C80" i="8" s="1"/>
  <c r="C54" i="8"/>
  <c r="C70" i="8"/>
  <c r="C102" i="8"/>
  <c r="C118" i="8"/>
  <c r="B53" i="8"/>
  <c r="B61" i="8"/>
  <c r="B93" i="8"/>
  <c r="A110" i="8"/>
  <c r="B78" i="8"/>
  <c r="B110" i="8"/>
  <c r="A55" i="8"/>
  <c r="C55" i="8" s="1"/>
  <c r="A71" i="8"/>
  <c r="C71" i="8" s="1"/>
  <c r="C56" i="8"/>
  <c r="C72" i="8"/>
  <c r="C88" i="8"/>
  <c r="B54" i="8"/>
  <c r="B62" i="8"/>
  <c r="B47" i="8"/>
  <c r="B55" i="8"/>
  <c r="B63" i="8"/>
  <c r="B71" i="8"/>
  <c r="B79" i="8"/>
  <c r="B87" i="8"/>
  <c r="C59" i="8"/>
  <c r="C75" i="8"/>
  <c r="C92" i="8"/>
  <c r="C108" i="8"/>
  <c r="B48" i="8"/>
  <c r="B56" i="8"/>
  <c r="B64" i="8"/>
  <c r="B72" i="8"/>
  <c r="B80" i="8"/>
  <c r="B88" i="8"/>
  <c r="B96" i="8"/>
  <c r="B104" i="8"/>
  <c r="B112" i="8"/>
  <c r="C77" i="8"/>
  <c r="C93" i="8"/>
  <c r="A49" i="8"/>
  <c r="C49" i="8" s="1"/>
  <c r="A57" i="8"/>
  <c r="C57" i="8" s="1"/>
  <c r="A113" i="8"/>
  <c r="C113" i="8" s="1"/>
  <c r="B98" i="8"/>
  <c r="B106" i="8"/>
  <c r="B114" i="8"/>
  <c r="C67" i="8"/>
  <c r="A100" i="8"/>
  <c r="C68" i="8"/>
  <c r="A86" i="8"/>
  <c r="C86" i="8" s="1"/>
  <c r="B95" i="8"/>
  <c r="B103" i="8"/>
  <c r="C91" i="8"/>
  <c r="C109" i="8"/>
  <c r="A65" i="8"/>
  <c r="C65" i="8" s="1"/>
  <c r="A73" i="8"/>
  <c r="C73" i="8" s="1"/>
  <c r="A81" i="8"/>
  <c r="C81" i="8" s="1"/>
  <c r="A89" i="8"/>
  <c r="C89" i="8" s="1"/>
  <c r="A97" i="8"/>
  <c r="C97" i="8" s="1"/>
  <c r="A105" i="8"/>
  <c r="B82" i="8"/>
  <c r="B90" i="8"/>
  <c r="B115" i="8"/>
  <c r="C83" i="8"/>
  <c r="A60" i="8"/>
  <c r="C60" i="8" s="1"/>
  <c r="A76" i="8"/>
  <c r="C76" i="8" s="1"/>
  <c r="C100" i="8"/>
  <c r="B68" i="8"/>
  <c r="B116" i="8"/>
  <c r="A61" i="8"/>
  <c r="C61" i="8" s="1"/>
  <c r="A62" i="8"/>
  <c r="A78" i="8"/>
  <c r="C62" i="8"/>
  <c r="C78" i="8"/>
  <c r="C94" i="8"/>
  <c r="C110" i="8"/>
  <c r="B49" i="8"/>
  <c r="B57" i="8"/>
  <c r="B65" i="8"/>
  <c r="B73" i="8"/>
  <c r="B81" i="8"/>
  <c r="B89" i="8"/>
  <c r="B97" i="8"/>
  <c r="B105" i="8"/>
  <c r="B113" i="8"/>
  <c r="C63" i="8"/>
  <c r="C79" i="8"/>
  <c r="C95" i="8"/>
  <c r="C111" i="8"/>
  <c r="A50" i="8"/>
  <c r="C50" i="8" s="1"/>
  <c r="A66" i="8"/>
  <c r="C66" i="8" s="1"/>
  <c r="A74" i="8"/>
  <c r="C74" i="8" s="1"/>
  <c r="A90" i="8"/>
  <c r="C90" i="8" s="1"/>
  <c r="A106" i="8"/>
  <c r="C106" i="8" s="1"/>
  <c r="A52" i="8"/>
  <c r="C52" i="8" s="1"/>
  <c r="A84" i="8"/>
  <c r="C84" i="8" s="1"/>
  <c r="B60" i="8"/>
  <c r="B84" i="8"/>
  <c r="B92" i="8"/>
  <c r="C105" i="8"/>
  <c r="A64" i="8"/>
  <c r="C64" i="8" s="1"/>
  <c r="A104" i="8"/>
  <c r="C104" i="8" s="1"/>
  <c r="A58" i="8"/>
  <c r="C58" i="8" s="1"/>
  <c r="A82" i="8"/>
  <c r="C82" i="8" s="1"/>
  <c r="A98" i="8"/>
  <c r="C98" i="8" s="1"/>
  <c r="A114" i="8"/>
  <c r="C114" i="8" s="1"/>
  <c r="C96" i="8"/>
  <c r="C112" i="8"/>
  <c r="B50" i="8"/>
  <c r="B66" i="8"/>
  <c r="A53" i="8"/>
  <c r="C53" i="8" s="1"/>
  <c r="A69" i="8"/>
  <c r="C69" i="8" s="1"/>
  <c r="A117" i="8"/>
  <c r="C117" i="8" s="1"/>
  <c r="B101" i="8"/>
  <c r="C103" i="8"/>
  <c r="B70" i="8"/>
  <c r="B94" i="8"/>
  <c r="B118" i="8"/>
  <c r="A47" i="8"/>
  <c r="C47" i="8" s="1"/>
  <c r="A1" i="8" a="1"/>
  <c r="S7" i="8"/>
  <c r="P7" i="8"/>
  <c r="A1" i="10" l="1"/>
  <c r="A1" i="8"/>
  <c r="S8" i="8"/>
  <c r="U8" i="8"/>
  <c r="T8" i="8"/>
  <c r="R8" i="8"/>
  <c r="Q8" i="8"/>
  <c r="P8" i="8"/>
  <c r="M7" i="8"/>
  <c r="J7" i="8"/>
  <c r="G7" i="8"/>
  <c r="U10" i="9" l="1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9" i="9"/>
  <c r="D7" i="8"/>
  <c r="A1" i="1" a="1"/>
  <c r="A59" i="9"/>
  <c r="A67" i="9"/>
  <c r="A75" i="9"/>
  <c r="A83" i="9"/>
  <c r="B83" i="9"/>
  <c r="A61" i="9"/>
  <c r="A78" i="9"/>
  <c r="C78" i="9" s="1"/>
  <c r="B70" i="9"/>
  <c r="B59" i="9"/>
  <c r="B67" i="9"/>
  <c r="B75" i="9"/>
  <c r="B84" i="9"/>
  <c r="A69" i="9"/>
  <c r="A85" i="9"/>
  <c r="A71" i="9"/>
  <c r="A60" i="9"/>
  <c r="A68" i="9"/>
  <c r="A76" i="9"/>
  <c r="A84" i="9"/>
  <c r="B60" i="9"/>
  <c r="B68" i="9"/>
  <c r="B76" i="9"/>
  <c r="A77" i="9"/>
  <c r="A62" i="9"/>
  <c r="C62" i="9" s="1"/>
  <c r="B86" i="9"/>
  <c r="A79" i="9"/>
  <c r="C79" i="9" s="1"/>
  <c r="C67" i="9"/>
  <c r="C83" i="9"/>
  <c r="B61" i="9"/>
  <c r="B69" i="9"/>
  <c r="B77" i="9"/>
  <c r="B85" i="9"/>
  <c r="C68" i="9"/>
  <c r="C84" i="9"/>
  <c r="B62" i="9"/>
  <c r="B71" i="9"/>
  <c r="B79" i="9"/>
  <c r="C69" i="9"/>
  <c r="A64" i="9"/>
  <c r="C64" i="9" s="1"/>
  <c r="A72" i="9"/>
  <c r="C72" i="9" s="1"/>
  <c r="A80" i="9"/>
  <c r="C80" i="9" s="1"/>
  <c r="A88" i="9"/>
  <c r="C88" i="9" s="1"/>
  <c r="B65" i="9"/>
  <c r="B73" i="9"/>
  <c r="B81" i="9"/>
  <c r="A4" i="9"/>
  <c r="A86" i="9"/>
  <c r="C86" i="9" s="1"/>
  <c r="C85" i="9"/>
  <c r="A87" i="9"/>
  <c r="C87" i="9" s="1"/>
  <c r="B64" i="9"/>
  <c r="B72" i="9"/>
  <c r="B80" i="9"/>
  <c r="B88" i="9"/>
  <c r="A2" i="9"/>
  <c r="A65" i="9"/>
  <c r="C65" i="9" s="1"/>
  <c r="A73" i="9"/>
  <c r="C73" i="9" s="1"/>
  <c r="A81" i="9"/>
  <c r="C81" i="9" s="1"/>
  <c r="C75" i="9"/>
  <c r="A66" i="9"/>
  <c r="C66" i="9" s="1"/>
  <c r="A74" i="9"/>
  <c r="C74" i="9" s="1"/>
  <c r="B78" i="9"/>
  <c r="A63" i="9"/>
  <c r="C63" i="9" s="1"/>
  <c r="C71" i="9"/>
  <c r="C59" i="9"/>
  <c r="C60" i="9"/>
  <c r="C76" i="9"/>
  <c r="D7" i="9"/>
  <c r="A82" i="9"/>
  <c r="C82" i="9" s="1"/>
  <c r="B63" i="9"/>
  <c r="B87" i="9"/>
  <c r="C61" i="9"/>
  <c r="C77" i="9"/>
  <c r="D8" i="9"/>
  <c r="B66" i="9"/>
  <c r="B74" i="9"/>
  <c r="B82" i="9"/>
  <c r="A70" i="9"/>
  <c r="C70" i="9" s="1"/>
  <c r="A1" i="9" a="1"/>
  <c r="S7" i="9"/>
  <c r="A1" i="1" l="1"/>
  <c r="A1" i="9"/>
  <c r="S8" i="9"/>
  <c r="T8" i="9"/>
  <c r="U8" i="9"/>
  <c r="P7" i="9"/>
  <c r="R8" i="9"/>
  <c r="Q8" i="9"/>
  <c r="P8" i="9"/>
  <c r="M7" i="9"/>
  <c r="J7" i="9"/>
  <c r="B124" i="1"/>
  <c r="B79" i="1"/>
  <c r="B103" i="1"/>
  <c r="A130" i="1"/>
  <c r="C130" i="1" s="1"/>
  <c r="B143" i="1"/>
  <c r="A56" i="1"/>
  <c r="C56" i="1" s="1"/>
  <c r="A91" i="1"/>
  <c r="C91" i="1" s="1"/>
  <c r="A116" i="1"/>
  <c r="C116" i="1" s="1"/>
  <c r="A58" i="1"/>
  <c r="C58" i="1" s="1"/>
  <c r="B98" i="1"/>
  <c r="B109" i="1"/>
  <c r="B130" i="1"/>
  <c r="A114" i="1"/>
  <c r="C114" i="1" s="1"/>
  <c r="B138" i="1"/>
  <c r="B128" i="1"/>
  <c r="A136" i="1"/>
  <c r="C136" i="1" s="1"/>
  <c r="B131" i="1"/>
  <c r="B59" i="1"/>
  <c r="A92" i="1"/>
  <c r="C92" i="1" s="1"/>
  <c r="B53" i="1"/>
  <c r="A95" i="1"/>
  <c r="C95" i="1" s="1"/>
  <c r="B72" i="1"/>
  <c r="A111" i="1"/>
  <c r="C111" i="1" s="1"/>
  <c r="A139" i="1"/>
  <c r="C139" i="1" s="1"/>
  <c r="A134" i="1"/>
  <c r="C134" i="1" s="1"/>
  <c r="A62" i="1"/>
  <c r="C62" i="1" s="1"/>
  <c r="A137" i="1"/>
  <c r="C137" i="1" s="1"/>
  <c r="B112" i="1"/>
  <c r="B108" i="1"/>
  <c r="B95" i="1"/>
  <c r="B123" i="1"/>
  <c r="B119" i="1"/>
  <c r="B58" i="1"/>
  <c r="B140" i="1"/>
  <c r="A61" i="1"/>
  <c r="C61" i="1" s="1"/>
  <c r="B101" i="1"/>
  <c r="A71" i="1"/>
  <c r="C71" i="1" s="1"/>
  <c r="A131" i="1"/>
  <c r="C131" i="1" s="1"/>
  <c r="A55" i="1"/>
  <c r="C55" i="1" s="1"/>
  <c r="B93" i="1"/>
  <c r="A104" i="1"/>
  <c r="C104" i="1" s="1"/>
  <c r="A59" i="1"/>
  <c r="C59" i="1" s="1"/>
  <c r="B144" i="1"/>
  <c r="A84" i="1"/>
  <c r="C84" i="1" s="1"/>
  <c r="B76" i="1"/>
  <c r="A54" i="1"/>
  <c r="C54" i="1" s="1"/>
  <c r="A110" i="1"/>
  <c r="C110" i="1" s="1"/>
  <c r="A133" i="1"/>
  <c r="C133" i="1" s="1"/>
  <c r="B87" i="1"/>
  <c r="A73" i="1"/>
  <c r="C73" i="1" s="1"/>
  <c r="A68" i="1"/>
  <c r="C68" i="1" s="1"/>
  <c r="B68" i="1"/>
  <c r="A93" i="1"/>
  <c r="C93" i="1" s="1"/>
  <c r="B73" i="1"/>
  <c r="B141" i="1"/>
  <c r="A67" i="1"/>
  <c r="C67" i="1" s="1"/>
  <c r="B61" i="1"/>
  <c r="A75" i="1"/>
  <c r="C75" i="1" s="1"/>
  <c r="B52" i="1"/>
  <c r="A85" i="1"/>
  <c r="C85" i="1" s="1"/>
  <c r="B122" i="1"/>
  <c r="A53" i="1"/>
  <c r="C53" i="1" s="1"/>
  <c r="A142" i="1"/>
  <c r="C142" i="1" s="1"/>
  <c r="A57" i="1"/>
  <c r="C57" i="1" s="1"/>
  <c r="A76" i="1"/>
  <c r="C76" i="1" s="1"/>
  <c r="A79" i="1"/>
  <c r="C79" i="1" s="1"/>
  <c r="B57" i="1"/>
  <c r="B74" i="1"/>
  <c r="B116" i="1"/>
  <c r="B126" i="1"/>
  <c r="A117" i="1"/>
  <c r="C117" i="1" s="1"/>
  <c r="B82" i="1"/>
  <c r="A112" i="1"/>
  <c r="C112" i="1" s="1"/>
  <c r="A122" i="1"/>
  <c r="C122" i="1" s="1"/>
  <c r="B77" i="1"/>
  <c r="B60" i="1"/>
  <c r="A94" i="1"/>
  <c r="C94" i="1" s="1"/>
  <c r="B111" i="1"/>
  <c r="B64" i="1"/>
  <c r="A74" i="1"/>
  <c r="C74" i="1" s="1"/>
  <c r="A108" i="1"/>
  <c r="C108" i="1" s="1"/>
  <c r="B99" i="1"/>
  <c r="B125" i="1"/>
  <c r="A128" i="1"/>
  <c r="C128" i="1" s="1"/>
  <c r="B110" i="1"/>
  <c r="A60" i="1"/>
  <c r="C60" i="1" s="1"/>
  <c r="A63" i="1"/>
  <c r="C63" i="1" s="1"/>
  <c r="B85" i="1"/>
  <c r="B139" i="1"/>
  <c r="B65" i="1"/>
  <c r="A129" i="1"/>
  <c r="C129" i="1" s="1"/>
  <c r="A125" i="1"/>
  <c r="C125" i="1" s="1"/>
  <c r="B92" i="1"/>
  <c r="A64" i="1"/>
  <c r="C64" i="1" s="1"/>
  <c r="A119" i="1"/>
  <c r="C119" i="1" s="1"/>
  <c r="A89" i="1"/>
  <c r="C89" i="1" s="1"/>
  <c r="B97" i="1"/>
  <c r="B75" i="1"/>
  <c r="A83" i="1"/>
  <c r="C83" i="1" s="1"/>
  <c r="B78" i="1"/>
  <c r="B145" i="1"/>
  <c r="A107" i="1"/>
  <c r="C107" i="1" s="1"/>
  <c r="A138" i="1"/>
  <c r="C138" i="1" s="1"/>
  <c r="A69" i="1"/>
  <c r="C69" i="1" s="1"/>
  <c r="A87" i="1"/>
  <c r="C87" i="1" s="1"/>
  <c r="B129" i="1"/>
  <c r="B94" i="1"/>
  <c r="A99" i="1"/>
  <c r="C99" i="1" s="1"/>
  <c r="B135" i="1"/>
  <c r="A86" i="1"/>
  <c r="C86" i="1" s="1"/>
  <c r="B66" i="1"/>
  <c r="B54" i="1"/>
  <c r="B114" i="1"/>
  <c r="A127" i="1"/>
  <c r="C127" i="1" s="1"/>
  <c r="A109" i="1"/>
  <c r="C109" i="1" s="1"/>
  <c r="A126" i="1"/>
  <c r="C126" i="1" s="1"/>
  <c r="B118" i="1"/>
  <c r="B113" i="1"/>
  <c r="B91" i="1"/>
  <c r="B136" i="1"/>
  <c r="B137" i="1"/>
  <c r="B56" i="1"/>
  <c r="A102" i="1"/>
  <c r="C102" i="1" s="1"/>
  <c r="A132" i="1"/>
  <c r="C132" i="1" s="1"/>
  <c r="A103" i="1"/>
  <c r="C103" i="1" s="1"/>
  <c r="B86" i="1"/>
  <c r="B88" i="1"/>
  <c r="A77" i="1"/>
  <c r="C77" i="1" s="1"/>
  <c r="B84" i="1"/>
  <c r="B51" i="1"/>
  <c r="B80" i="1"/>
  <c r="B107" i="1"/>
  <c r="A97" i="1"/>
  <c r="C97" i="1" s="1"/>
  <c r="B104" i="1"/>
  <c r="A140" i="1"/>
  <c r="C140" i="1" s="1"/>
  <c r="B100" i="1"/>
  <c r="A80" i="1"/>
  <c r="C80" i="1" s="1"/>
  <c r="B71" i="1"/>
  <c r="B102" i="1"/>
  <c r="A96" i="1"/>
  <c r="C96" i="1" s="1"/>
  <c r="A72" i="1"/>
  <c r="C72" i="1" s="1"/>
  <c r="A105" i="1"/>
  <c r="C105" i="1" s="1"/>
  <c r="A106" i="1"/>
  <c r="C106" i="1" s="1"/>
  <c r="A123" i="1"/>
  <c r="C123" i="1" s="1"/>
  <c r="A82" i="1"/>
  <c r="C82" i="1" s="1"/>
  <c r="B117" i="1"/>
  <c r="B96" i="1"/>
  <c r="B134" i="1"/>
  <c r="A144" i="1"/>
  <c r="C144" i="1" s="1"/>
  <c r="A124" i="1"/>
  <c r="C124" i="1" s="1"/>
  <c r="B133" i="1"/>
  <c r="A120" i="1"/>
  <c r="C120" i="1" s="1"/>
  <c r="B62" i="1"/>
  <c r="A66" i="1"/>
  <c r="C66" i="1" s="1"/>
  <c r="B83" i="1"/>
  <c r="A135" i="1"/>
  <c r="C135" i="1" s="1"/>
  <c r="A88" i="1"/>
  <c r="C88" i="1" s="1"/>
  <c r="B106" i="1"/>
  <c r="A121" i="1"/>
  <c r="C121" i="1" s="1"/>
  <c r="A98" i="1"/>
  <c r="C98" i="1" s="1"/>
  <c r="A141" i="1"/>
  <c r="C141" i="1" s="1"/>
  <c r="A118" i="1"/>
  <c r="C118" i="1" s="1"/>
  <c r="B90" i="1"/>
  <c r="A78" i="1"/>
  <c r="C78" i="1" s="1"/>
  <c r="B70" i="1"/>
  <c r="B132" i="1"/>
  <c r="A52" i="1"/>
  <c r="C52" i="1" s="1"/>
  <c r="B81" i="1"/>
  <c r="B115" i="1"/>
  <c r="B121" i="1"/>
  <c r="B105" i="1"/>
  <c r="A143" i="1"/>
  <c r="C143" i="1" s="1"/>
  <c r="B69" i="1"/>
  <c r="A90" i="1"/>
  <c r="C90" i="1" s="1"/>
  <c r="A113" i="1"/>
  <c r="C113" i="1" s="1"/>
  <c r="B142" i="1"/>
  <c r="A100" i="1"/>
  <c r="C100" i="1" s="1"/>
  <c r="B89" i="1"/>
  <c r="B55" i="1"/>
  <c r="B67" i="1"/>
  <c r="A51" i="1"/>
  <c r="C51" i="1" s="1"/>
  <c r="B127" i="1"/>
  <c r="A70" i="1"/>
  <c r="C70" i="1" s="1"/>
  <c r="A81" i="1"/>
  <c r="C81" i="1" s="1"/>
  <c r="A115" i="1"/>
  <c r="C115" i="1" s="1"/>
  <c r="A65" i="1"/>
  <c r="C65" i="1" s="1"/>
  <c r="A101" i="1"/>
  <c r="C101" i="1" s="1"/>
  <c r="A145" i="1"/>
  <c r="C145" i="1" s="1"/>
  <c r="B63" i="1"/>
  <c r="B120" i="1"/>
  <c r="G7" i="9"/>
  <c r="B60" i="10"/>
  <c r="A118" i="10"/>
  <c r="C118" i="10" s="1"/>
  <c r="A77" i="10"/>
  <c r="C77" i="10" s="1"/>
  <c r="B104" i="10"/>
  <c r="A93" i="10"/>
  <c r="C93" i="10" s="1"/>
  <c r="B94" i="10"/>
  <c r="A119" i="10"/>
  <c r="C119" i="10" s="1"/>
  <c r="B39" i="10"/>
  <c r="A43" i="10"/>
  <c r="C43" i="10" s="1"/>
  <c r="B62" i="10"/>
  <c r="B70" i="10"/>
  <c r="B74" i="10"/>
  <c r="A89" i="10"/>
  <c r="C89" i="10" s="1"/>
  <c r="A66" i="10"/>
  <c r="C66" i="10" s="1"/>
  <c r="A29" i="10"/>
  <c r="C29" i="10" s="1"/>
  <c r="A33" i="10"/>
  <c r="C33" i="10" s="1"/>
  <c r="A45" i="10"/>
  <c r="C45" i="10" s="1"/>
  <c r="A94" i="10"/>
  <c r="C94" i="10" s="1"/>
  <c r="B67" i="10"/>
  <c r="A56" i="10"/>
  <c r="C56" i="10" s="1"/>
  <c r="B115" i="10"/>
  <c r="B111" i="10"/>
  <c r="B110" i="10"/>
  <c r="A72" i="10"/>
  <c r="C72" i="10" s="1"/>
  <c r="B78" i="10"/>
  <c r="A76" i="10"/>
  <c r="C76" i="10" s="1"/>
  <c r="B73" i="10"/>
  <c r="A70" i="10"/>
  <c r="C70" i="10" s="1"/>
  <c r="B93" i="10"/>
  <c r="B113" i="10"/>
  <c r="B37" i="10"/>
  <c r="B38" i="10"/>
  <c r="A28" i="10"/>
  <c r="C28" i="10" s="1"/>
  <c r="B50" i="10"/>
  <c r="B49" i="10"/>
  <c r="A103" i="10"/>
  <c r="C103" i="10" s="1"/>
  <c r="B48" i="10"/>
  <c r="B100" i="10"/>
  <c r="A86" i="10"/>
  <c r="C86" i="10" s="1"/>
  <c r="A105" i="10"/>
  <c r="C105" i="10" s="1"/>
  <c r="A117" i="10"/>
  <c r="C117" i="10" s="1"/>
  <c r="B119" i="10"/>
  <c r="B88" i="10"/>
  <c r="B90" i="10"/>
  <c r="B56" i="10"/>
  <c r="A42" i="10"/>
  <c r="C42" i="10" s="1"/>
  <c r="A97" i="10"/>
  <c r="C97" i="10" s="1"/>
  <c r="A115" i="10"/>
  <c r="C115" i="10" s="1"/>
  <c r="B35" i="10"/>
  <c r="A82" i="10"/>
  <c r="C82" i="10" s="1"/>
  <c r="B30" i="10"/>
  <c r="B87" i="10"/>
  <c r="A40" i="10"/>
  <c r="C40" i="10" s="1"/>
  <c r="A64" i="10"/>
  <c r="C64" i="10" s="1"/>
  <c r="A30" i="10"/>
  <c r="C30" i="10" s="1"/>
  <c r="B57" i="10"/>
  <c r="A113" i="10"/>
  <c r="C113" i="10" s="1"/>
  <c r="B118" i="10"/>
  <c r="A95" i="10"/>
  <c r="C95" i="10" s="1"/>
  <c r="A69" i="10"/>
  <c r="C69" i="10" s="1"/>
  <c r="B63" i="10"/>
  <c r="A49" i="10"/>
  <c r="C49" i="10" s="1"/>
  <c r="A39" i="10"/>
  <c r="C39" i="10" s="1"/>
  <c r="A32" i="10"/>
  <c r="C32" i="10" s="1"/>
  <c r="B41" i="10"/>
  <c r="B89" i="10"/>
  <c r="A98" i="10"/>
  <c r="C98" i="10" s="1"/>
  <c r="B72" i="10"/>
  <c r="B99" i="10"/>
  <c r="A63" i="10"/>
  <c r="C63" i="10" s="1"/>
  <c r="B116" i="10"/>
  <c r="B33" i="10"/>
  <c r="A80" i="10"/>
  <c r="C80" i="10" s="1"/>
  <c r="B82" i="10"/>
  <c r="B81" i="10"/>
  <c r="A50" i="10"/>
  <c r="C50" i="10" s="1"/>
  <c r="A100" i="10"/>
  <c r="C100" i="10" s="1"/>
  <c r="A116" i="10"/>
  <c r="C116" i="10" s="1"/>
  <c r="A96" i="10"/>
  <c r="C96" i="10" s="1"/>
  <c r="A114" i="10"/>
  <c r="C114" i="10" s="1"/>
  <c r="B79" i="10"/>
  <c r="B76" i="10"/>
  <c r="B58" i="10"/>
  <c r="A34" i="10"/>
  <c r="C34" i="10" s="1"/>
  <c r="A99" i="10"/>
  <c r="C99" i="10" s="1"/>
  <c r="B106" i="10"/>
  <c r="A87" i="10"/>
  <c r="C87" i="10" s="1"/>
  <c r="B51" i="10"/>
  <c r="A110" i="10"/>
  <c r="C110" i="10" s="1"/>
  <c r="B53" i="10"/>
  <c r="B54" i="10"/>
  <c r="B32" i="10"/>
  <c r="A60" i="10"/>
  <c r="C60" i="10" s="1"/>
  <c r="A73" i="10"/>
  <c r="C73" i="10" s="1"/>
  <c r="B114" i="10"/>
  <c r="B77" i="10"/>
  <c r="B85" i="10"/>
  <c r="A61" i="10"/>
  <c r="C61" i="10" s="1"/>
  <c r="A41" i="10"/>
  <c r="C41" i="10" s="1"/>
  <c r="B91" i="10"/>
  <c r="B42" i="10"/>
  <c r="A111" i="10"/>
  <c r="C111" i="10" s="1"/>
  <c r="A101" i="10"/>
  <c r="C101" i="10" s="1"/>
  <c r="A109" i="10"/>
  <c r="C109" i="10" s="1"/>
  <c r="B43" i="10"/>
  <c r="A85" i="10"/>
  <c r="C85" i="10" s="1"/>
  <c r="B65" i="10"/>
  <c r="B69" i="10"/>
  <c r="A88" i="10"/>
  <c r="C88" i="10" s="1"/>
  <c r="B46" i="10"/>
  <c r="A46" i="10"/>
  <c r="C46" i="10" s="1"/>
  <c r="B45" i="10"/>
  <c r="B98" i="10"/>
  <c r="B80" i="10"/>
  <c r="A84" i="10"/>
  <c r="C84" i="10" s="1"/>
  <c r="A58" i="10"/>
  <c r="C58" i="10" s="1"/>
  <c r="A54" i="10"/>
  <c r="C54" i="10" s="1"/>
  <c r="A62" i="10"/>
  <c r="C62" i="10" s="1"/>
  <c r="A55" i="10"/>
  <c r="C55" i="10" s="1"/>
  <c r="A102" i="10"/>
  <c r="C102" i="10" s="1"/>
  <c r="A106" i="10"/>
  <c r="C106" i="10" s="1"/>
  <c r="B105" i="10"/>
  <c r="B92" i="10"/>
  <c r="B55" i="10"/>
  <c r="A78" i="10"/>
  <c r="C78" i="10" s="1"/>
  <c r="B68" i="10"/>
  <c r="B64" i="10"/>
  <c r="B101" i="10"/>
  <c r="A52" i="10"/>
  <c r="C52" i="10" s="1"/>
  <c r="B117" i="10"/>
  <c r="B75" i="10"/>
  <c r="B71" i="10"/>
  <c r="A53" i="10"/>
  <c r="C53" i="10" s="1"/>
  <c r="B95" i="10"/>
  <c r="B59" i="10"/>
  <c r="B84" i="10"/>
  <c r="A57" i="10"/>
  <c r="C57" i="10" s="1"/>
  <c r="B103" i="10"/>
  <c r="B66" i="10"/>
  <c r="A83" i="10"/>
  <c r="C83" i="10" s="1"/>
  <c r="A91" i="10"/>
  <c r="C91" i="10" s="1"/>
  <c r="B108" i="10"/>
  <c r="A37" i="10"/>
  <c r="C37" i="10" s="1"/>
  <c r="A108" i="10"/>
  <c r="C108" i="10" s="1"/>
  <c r="B40" i="10"/>
  <c r="B83" i="10"/>
  <c r="B29" i="10"/>
  <c r="A90" i="10"/>
  <c r="C90" i="10" s="1"/>
  <c r="B112" i="10"/>
  <c r="B44" i="10"/>
  <c r="B107" i="10"/>
  <c r="A81" i="10"/>
  <c r="C81" i="10" s="1"/>
  <c r="A112" i="10"/>
  <c r="C112" i="10" s="1"/>
  <c r="A48" i="10"/>
  <c r="C48" i="10" s="1"/>
  <c r="A59" i="10"/>
  <c r="C59" i="10" s="1"/>
  <c r="B61" i="10"/>
  <c r="A44" i="10"/>
  <c r="C44" i="10" s="1"/>
  <c r="B52" i="10"/>
  <c r="B28" i="10"/>
  <c r="B34" i="10"/>
  <c r="A31" i="10"/>
  <c r="C31" i="10" s="1"/>
  <c r="B86" i="10"/>
  <c r="A104" i="10"/>
  <c r="C104" i="10" s="1"/>
  <c r="B31" i="10"/>
  <c r="B97" i="10"/>
  <c r="A71" i="10"/>
  <c r="C71" i="10" s="1"/>
  <c r="A47" i="10"/>
  <c r="C47" i="10" s="1"/>
  <c r="A65" i="10"/>
  <c r="C65" i="10" s="1"/>
  <c r="A51" i="10"/>
  <c r="C51" i="10" s="1"/>
  <c r="B109" i="10"/>
  <c r="A75" i="10"/>
  <c r="C75" i="10" s="1"/>
  <c r="A67" i="10"/>
  <c r="C67" i="10" s="1"/>
  <c r="A68" i="10"/>
  <c r="C68" i="10" s="1"/>
  <c r="B102" i="10"/>
  <c r="A38" i="10"/>
  <c r="C38" i="10" s="1"/>
  <c r="A107" i="10"/>
  <c r="C107" i="10" s="1"/>
  <c r="A74" i="10"/>
  <c r="C74" i="10" s="1"/>
  <c r="B47" i="10"/>
  <c r="A79" i="10"/>
  <c r="C79" i="10" s="1"/>
  <c r="B96" i="10"/>
  <c r="A92" i="10"/>
  <c r="C92" i="10" s="1"/>
  <c r="A36" i="10"/>
  <c r="C36" i="10" s="1"/>
  <c r="A35" i="10"/>
  <c r="C35" i="10" s="1"/>
  <c r="B36" i="10"/>
  <c r="M8" i="8"/>
  <c r="H8" i="8"/>
  <c r="E8" i="8"/>
  <c r="F8" i="8"/>
  <c r="O8" i="8"/>
  <c r="L8" i="8"/>
  <c r="G8" i="8"/>
  <c r="I8" i="8"/>
  <c r="N8" i="8"/>
  <c r="D8" i="8"/>
  <c r="K8" i="8"/>
  <c r="J8" i="8"/>
  <c r="U8" i="1"/>
  <c r="A148" i="1"/>
  <c r="C148" i="1" s="1"/>
  <c r="A18" i="1"/>
  <c r="C18" i="1" s="1"/>
  <c r="A20" i="1"/>
  <c r="C20" i="1" s="1"/>
  <c r="B16" i="1"/>
  <c r="B22" i="1"/>
  <c r="B48" i="1"/>
  <c r="R8" i="1"/>
  <c r="G7" i="1"/>
  <c r="B24" i="1"/>
  <c r="H8" i="1"/>
  <c r="B32" i="1"/>
  <c r="B29" i="1"/>
  <c r="A16" i="1"/>
  <c r="C16" i="1" s="1"/>
  <c r="A41" i="1"/>
  <c r="C41" i="1" s="1"/>
  <c r="D8" i="1"/>
  <c r="B49" i="1"/>
  <c r="A15" i="1"/>
  <c r="C15" i="1" s="1"/>
  <c r="B30" i="1"/>
  <c r="B35" i="1"/>
  <c r="A10" i="1"/>
  <c r="C10" i="1" s="1"/>
  <c r="G8" i="1"/>
  <c r="B147" i="1"/>
  <c r="B151" i="1"/>
  <c r="A22" i="1"/>
  <c r="C22" i="1" s="1"/>
  <c r="B19" i="1"/>
  <c r="B33" i="1"/>
  <c r="A12" i="1"/>
  <c r="C12" i="1" s="1"/>
  <c r="B149" i="1"/>
  <c r="B148" i="1"/>
  <c r="A21" i="1"/>
  <c r="C21" i="1" s="1"/>
  <c r="B20" i="1"/>
  <c r="L8" i="1"/>
  <c r="P8" i="1"/>
  <c r="A151" i="1"/>
  <c r="C151" i="1" s="1"/>
  <c r="A24" i="1"/>
  <c r="C24" i="1" s="1"/>
  <c r="A14" i="1"/>
  <c r="C14" i="1" s="1"/>
  <c r="A37" i="1"/>
  <c r="C37" i="1" s="1"/>
  <c r="I8" i="1"/>
  <c r="J8" i="1"/>
  <c r="B31" i="1"/>
  <c r="A47" i="1"/>
  <c r="C47" i="1" s="1"/>
  <c r="A30" i="1"/>
  <c r="C30" i="1" s="1"/>
  <c r="B18" i="1"/>
  <c r="B13" i="1"/>
  <c r="B14" i="1"/>
  <c r="T8" i="1"/>
  <c r="A43" i="1"/>
  <c r="C43" i="1" s="1"/>
  <c r="B9" i="1"/>
  <c r="S8" i="1"/>
  <c r="A28" i="1"/>
  <c r="C28" i="1" s="1"/>
  <c r="A35" i="1"/>
  <c r="C35" i="1" s="1"/>
  <c r="A48" i="1"/>
  <c r="C48" i="1" s="1"/>
  <c r="A44" i="1"/>
  <c r="C44" i="1" s="1"/>
  <c r="B46" i="1"/>
  <c r="B28" i="1"/>
  <c r="B36" i="1"/>
  <c r="A23" i="1"/>
  <c r="C23" i="1" s="1"/>
  <c r="A17" i="1"/>
  <c r="C17" i="1" s="1"/>
  <c r="B47" i="1"/>
  <c r="B34" i="1"/>
  <c r="B50" i="1"/>
  <c r="J7" i="1"/>
  <c r="A25" i="1"/>
  <c r="C25" i="1" s="1"/>
  <c r="B38" i="1"/>
  <c r="A26" i="1"/>
  <c r="C26" i="1" s="1"/>
  <c r="A46" i="1"/>
  <c r="C46" i="1" s="1"/>
  <c r="A42" i="1"/>
  <c r="C42" i="1" s="1"/>
  <c r="F8" i="1"/>
  <c r="A19" i="1"/>
  <c r="C19" i="1" s="1"/>
  <c r="A33" i="1"/>
  <c r="C33" i="1" s="1"/>
  <c r="B44" i="1"/>
  <c r="A34" i="1"/>
  <c r="C34" i="1" s="1"/>
  <c r="A40" i="1"/>
  <c r="C40" i="1" s="1"/>
  <c r="B17" i="1"/>
  <c r="B25" i="1"/>
  <c r="A149" i="1"/>
  <c r="C149" i="1" s="1"/>
  <c r="B43" i="1"/>
  <c r="A39" i="1"/>
  <c r="C39" i="1" s="1"/>
  <c r="M8" i="1"/>
  <c r="B27" i="1"/>
  <c r="M7" i="1"/>
  <c r="P7" i="1"/>
  <c r="A27" i="1"/>
  <c r="C27" i="1" s="1"/>
  <c r="Q8" i="1"/>
  <c r="B11" i="1"/>
  <c r="A147" i="1"/>
  <c r="C147" i="1" s="1"/>
  <c r="A11" i="1"/>
  <c r="C11" i="1" s="1"/>
  <c r="A38" i="1"/>
  <c r="C38" i="1" s="1"/>
  <c r="A49" i="1"/>
  <c r="C49" i="1" s="1"/>
  <c r="B150" i="1"/>
  <c r="A13" i="1"/>
  <c r="C13" i="1" s="1"/>
  <c r="B40" i="1"/>
  <c r="B23" i="1"/>
  <c r="A146" i="1"/>
  <c r="C146" i="1" s="1"/>
  <c r="B10" i="1"/>
  <c r="B39" i="1"/>
  <c r="D7" i="1"/>
  <c r="B146" i="1"/>
  <c r="B41" i="1"/>
  <c r="O8" i="1"/>
  <c r="A150" i="1"/>
  <c r="C150" i="1" s="1"/>
  <c r="A45" i="1"/>
  <c r="C45" i="1" s="1"/>
  <c r="A36" i="1"/>
  <c r="C36" i="1" s="1"/>
  <c r="B42" i="1"/>
  <c r="N8" i="1"/>
  <c r="A29" i="1"/>
  <c r="C29" i="1" s="1"/>
  <c r="A31" i="1"/>
  <c r="C31" i="1" s="1"/>
  <c r="A32" i="1"/>
  <c r="C32" i="1" s="1"/>
  <c r="A50" i="1"/>
  <c r="C50" i="1" s="1"/>
  <c r="B15" i="1"/>
  <c r="S7" i="1"/>
  <c r="B12" i="1"/>
  <c r="B21" i="1"/>
  <c r="B26" i="1"/>
  <c r="A9" i="1"/>
  <c r="C9" i="1" s="1"/>
  <c r="B45" i="1"/>
  <c r="B37" i="1"/>
  <c r="K8" i="1"/>
  <c r="E8" i="1"/>
  <c r="U8" i="10"/>
  <c r="A24" i="10"/>
  <c r="C24" i="10" s="1"/>
  <c r="A123" i="10"/>
  <c r="C123" i="10" s="1"/>
  <c r="J8" i="10"/>
  <c r="D7" i="10"/>
  <c r="B19" i="10"/>
  <c r="B12" i="10"/>
  <c r="L8" i="10"/>
  <c r="B123" i="10"/>
  <c r="A18" i="10"/>
  <c r="C18" i="10" s="1"/>
  <c r="A122" i="10"/>
  <c r="C122" i="10" s="1"/>
  <c r="B20" i="10"/>
  <c r="A22" i="10"/>
  <c r="C22" i="10" s="1"/>
  <c r="N8" i="10"/>
  <c r="B16" i="10"/>
  <c r="P7" i="10"/>
  <c r="B26" i="10"/>
  <c r="C7" i="10"/>
  <c r="A11" i="10"/>
  <c r="C11" i="10" s="1"/>
  <c r="G7" i="10"/>
  <c r="B22" i="10"/>
  <c r="A13" i="10"/>
  <c r="C13" i="10" s="1"/>
  <c r="A20" i="10"/>
  <c r="C20" i="10" s="1"/>
  <c r="C8" i="10"/>
  <c r="H8" i="10"/>
  <c r="E8" i="10"/>
  <c r="A21" i="10"/>
  <c r="C21" i="10" s="1"/>
  <c r="M7" i="10"/>
  <c r="A16" i="10"/>
  <c r="C16" i="10" s="1"/>
  <c r="P8" i="10"/>
  <c r="A124" i="10"/>
  <c r="C124" i="10" s="1"/>
  <c r="B121" i="10"/>
  <c r="S8" i="10"/>
  <c r="B25" i="10"/>
  <c r="B23" i="10"/>
  <c r="A15" i="10"/>
  <c r="C15" i="10" s="1"/>
  <c r="K8" i="10"/>
  <c r="Q8" i="10"/>
  <c r="B125" i="10"/>
  <c r="B9" i="10"/>
  <c r="F8" i="10"/>
  <c r="T8" i="10"/>
  <c r="A120" i="10"/>
  <c r="C120" i="10" s="1"/>
  <c r="B122" i="10"/>
  <c r="A25" i="10"/>
  <c r="C25" i="10" s="1"/>
  <c r="D8" i="10"/>
  <c r="B18" i="10"/>
  <c r="B14" i="10"/>
  <c r="B24" i="10"/>
  <c r="M8" i="10"/>
  <c r="A17" i="10"/>
  <c r="C17" i="10" s="1"/>
  <c r="O8" i="10"/>
  <c r="A26" i="10"/>
  <c r="C26" i="10" s="1"/>
  <c r="B27" i="10"/>
  <c r="A125" i="10"/>
  <c r="C125" i="10" s="1"/>
  <c r="A121" i="10"/>
  <c r="C121" i="10" s="1"/>
  <c r="B10" i="10"/>
  <c r="I8" i="10"/>
  <c r="G8" i="10"/>
  <c r="B13" i="10"/>
  <c r="A10" i="10"/>
  <c r="C10" i="10" s="1"/>
  <c r="J7" i="10"/>
  <c r="A27" i="10"/>
  <c r="C27" i="10" s="1"/>
  <c r="B21" i="10"/>
  <c r="A23" i="10"/>
  <c r="C23" i="10" s="1"/>
  <c r="A9" i="10"/>
  <c r="C9" i="10" s="1"/>
  <c r="B17" i="10"/>
  <c r="B11" i="10"/>
  <c r="R8" i="10"/>
  <c r="A19" i="10"/>
  <c r="C19" i="10" s="1"/>
  <c r="A12" i="10"/>
  <c r="C12" i="10" s="1"/>
  <c r="A14" i="10"/>
  <c r="C14" i="10" s="1"/>
  <c r="B120" i="10"/>
  <c r="B15" i="10"/>
  <c r="S7" i="10"/>
  <c r="B124" i="10"/>
  <c r="B22" i="8"/>
  <c r="B17" i="8"/>
  <c r="A17" i="8"/>
  <c r="C17" i="8" s="1"/>
  <c r="A26" i="8"/>
  <c r="C26" i="8" s="1"/>
  <c r="B10" i="8"/>
  <c r="B119" i="8"/>
  <c r="A30" i="8"/>
  <c r="C30" i="8" s="1"/>
  <c r="A10" i="8"/>
  <c r="C10" i="8" s="1"/>
  <c r="B33" i="8"/>
  <c r="B24" i="8"/>
  <c r="A23" i="8"/>
  <c r="C23" i="8" s="1"/>
  <c r="A43" i="8"/>
  <c r="C43" i="8" s="1"/>
  <c r="A11" i="8"/>
  <c r="C11" i="8" s="1"/>
  <c r="B23" i="8"/>
  <c r="B9" i="8"/>
  <c r="B12" i="8"/>
  <c r="A41" i="8"/>
  <c r="C41" i="8" s="1"/>
  <c r="A39" i="8"/>
  <c r="C39" i="8" s="1"/>
  <c r="A27" i="8"/>
  <c r="C27" i="8" s="1"/>
  <c r="A15" i="8"/>
  <c r="C15" i="8" s="1"/>
  <c r="A35" i="8"/>
  <c r="C35" i="8" s="1"/>
  <c r="A24" i="8"/>
  <c r="C24" i="8" s="1"/>
  <c r="B28" i="8"/>
  <c r="B26" i="8"/>
  <c r="A32" i="8"/>
  <c r="C32" i="8" s="1"/>
  <c r="B43" i="8"/>
  <c r="A37" i="8"/>
  <c r="C37" i="8" s="1"/>
  <c r="A46" i="8"/>
  <c r="C46" i="8" s="1"/>
  <c r="B25" i="8"/>
  <c r="A18" i="8"/>
  <c r="C18" i="8" s="1"/>
  <c r="B38" i="8"/>
  <c r="A9" i="8"/>
  <c r="C9" i="8" s="1"/>
  <c r="A119" i="8"/>
  <c r="C119" i="8" s="1"/>
  <c r="B16" i="8"/>
  <c r="A28" i="8"/>
  <c r="C28" i="8" s="1"/>
  <c r="A38" i="8"/>
  <c r="C38" i="8" s="1"/>
  <c r="B35" i="8"/>
  <c r="B27" i="8"/>
  <c r="A31" i="8"/>
  <c r="C31" i="8" s="1"/>
  <c r="A21" i="8"/>
  <c r="C21" i="8" s="1"/>
  <c r="B41" i="8"/>
  <c r="B40" i="8"/>
  <c r="B13" i="8"/>
  <c r="B14" i="8"/>
  <c r="B32" i="8"/>
  <c r="A40" i="8"/>
  <c r="C40" i="8" s="1"/>
  <c r="A25" i="8"/>
  <c r="C25" i="8" s="1"/>
  <c r="A22" i="8"/>
  <c r="C22" i="8" s="1"/>
  <c r="A33" i="8"/>
  <c r="C33" i="8" s="1"/>
  <c r="B20" i="8"/>
  <c r="A44" i="8"/>
  <c r="C44" i="8" s="1"/>
  <c r="B29" i="8"/>
  <c r="B19" i="8"/>
  <c r="B37" i="8"/>
  <c r="B46" i="8"/>
  <c r="A45" i="8"/>
  <c r="C45" i="8" s="1"/>
  <c r="B45" i="8"/>
  <c r="B21" i="8"/>
  <c r="B39" i="8"/>
  <c r="A14" i="8"/>
  <c r="C14" i="8" s="1"/>
  <c r="A36" i="8"/>
  <c r="C36" i="8" s="1"/>
  <c r="C8" i="8"/>
  <c r="A29" i="8"/>
  <c r="C29" i="8" s="1"/>
  <c r="B42" i="8"/>
  <c r="A13" i="8"/>
  <c r="C13" i="8" s="1"/>
  <c r="B11" i="8"/>
  <c r="A16" i="8"/>
  <c r="C16" i="8" s="1"/>
  <c r="A12" i="8"/>
  <c r="C12" i="8" s="1"/>
  <c r="B30" i="8"/>
  <c r="B44" i="8"/>
  <c r="A19" i="8"/>
  <c r="C19" i="8" s="1"/>
  <c r="C7" i="8"/>
  <c r="B34" i="8"/>
  <c r="A42" i="8"/>
  <c r="C42" i="8" s="1"/>
  <c r="B15" i="8"/>
  <c r="B31" i="8"/>
  <c r="B18" i="8"/>
  <c r="A20" i="8"/>
  <c r="C20" i="8" s="1"/>
  <c r="B36" i="8"/>
  <c r="A34" i="8"/>
  <c r="C34" i="8" s="1"/>
  <c r="B17" i="9"/>
  <c r="B95" i="9"/>
  <c r="B40" i="9"/>
  <c r="G8" i="9"/>
  <c r="A95" i="9"/>
  <c r="C95" i="9" s="1"/>
  <c r="B90" i="9"/>
  <c r="A27" i="9"/>
  <c r="C27" i="9" s="1"/>
  <c r="B44" i="9"/>
  <c r="A11" i="9"/>
  <c r="C11" i="9" s="1"/>
  <c r="B13" i="9"/>
  <c r="A49" i="9"/>
  <c r="C49" i="9" s="1"/>
  <c r="B105" i="9"/>
  <c r="A46" i="9"/>
  <c r="C46" i="9" s="1"/>
  <c r="B100" i="9"/>
  <c r="A54" i="9"/>
  <c r="C54" i="9" s="1"/>
  <c r="B14" i="9"/>
  <c r="B24" i="9"/>
  <c r="A89" i="9"/>
  <c r="C89" i="9" s="1"/>
  <c r="B98" i="9"/>
  <c r="F8" i="9"/>
  <c r="B20" i="9"/>
  <c r="B29" i="9"/>
  <c r="A40" i="9"/>
  <c r="C40" i="9" s="1"/>
  <c r="B94" i="9"/>
  <c r="A34" i="9"/>
  <c r="C34" i="9" s="1"/>
  <c r="B48" i="9"/>
  <c r="A92" i="9"/>
  <c r="C92" i="9" s="1"/>
  <c r="B41" i="9"/>
  <c r="B10" i="9"/>
  <c r="B43" i="9"/>
  <c r="A98" i="9"/>
  <c r="C98" i="9" s="1"/>
  <c r="B101" i="9"/>
  <c r="A30" i="9"/>
  <c r="C30" i="9" s="1"/>
  <c r="B56" i="9"/>
  <c r="A101" i="9"/>
  <c r="C101" i="9" s="1"/>
  <c r="A37" i="9"/>
  <c r="C37" i="9" s="1"/>
  <c r="A99" i="9"/>
  <c r="C99" i="9" s="1"/>
  <c r="A15" i="9"/>
  <c r="C15" i="9" s="1"/>
  <c r="A12" i="9"/>
  <c r="C12" i="9" s="1"/>
  <c r="A25" i="9"/>
  <c r="C25" i="9" s="1"/>
  <c r="B50" i="9"/>
  <c r="B97" i="9"/>
  <c r="B49" i="9"/>
  <c r="B54" i="9"/>
  <c r="A97" i="9"/>
  <c r="C97" i="9" s="1"/>
  <c r="A56" i="9"/>
  <c r="C56" i="9" s="1"/>
  <c r="B23" i="9"/>
  <c r="B92" i="9"/>
  <c r="B32" i="9"/>
  <c r="B18" i="9"/>
  <c r="B37" i="9"/>
  <c r="B104" i="9"/>
  <c r="B16" i="9"/>
  <c r="A45" i="9"/>
  <c r="C45" i="9" s="1"/>
  <c r="A41" i="9"/>
  <c r="C41" i="9" s="1"/>
  <c r="A103" i="9"/>
  <c r="C103" i="9" s="1"/>
  <c r="A31" i="9"/>
  <c r="C31" i="9" s="1"/>
  <c r="L8" i="9"/>
  <c r="A44" i="9"/>
  <c r="C44" i="9" s="1"/>
  <c r="A93" i="9"/>
  <c r="C93" i="9" s="1"/>
  <c r="A100" i="9"/>
  <c r="C100" i="9" s="1"/>
  <c r="B89" i="9"/>
  <c r="A32" i="9"/>
  <c r="C32" i="9" s="1"/>
  <c r="A94" i="9"/>
  <c r="C94" i="9" s="1"/>
  <c r="A26" i="9"/>
  <c r="C26" i="9" s="1"/>
  <c r="A18" i="9"/>
  <c r="C18" i="9" s="1"/>
  <c r="A48" i="9"/>
  <c r="C48" i="9" s="1"/>
  <c r="B96" i="9"/>
  <c r="B46" i="9"/>
  <c r="B42" i="9"/>
  <c r="H8" i="9"/>
  <c r="B35" i="9"/>
  <c r="B30" i="9"/>
  <c r="B55" i="9"/>
  <c r="B99" i="9"/>
  <c r="A17" i="9"/>
  <c r="C17" i="9" s="1"/>
  <c r="B12" i="9"/>
  <c r="B25" i="9"/>
  <c r="B93" i="9"/>
  <c r="A10" i="9"/>
  <c r="C10" i="9" s="1"/>
  <c r="A20" i="9"/>
  <c r="C20" i="9" s="1"/>
  <c r="B27" i="9"/>
  <c r="A96" i="9"/>
  <c r="C96" i="9" s="1"/>
  <c r="B36" i="9"/>
  <c r="A13" i="9"/>
  <c r="C13" i="9" s="1"/>
  <c r="A55" i="9"/>
  <c r="C55" i="9" s="1"/>
  <c r="A91" i="9"/>
  <c r="C91" i="9" s="1"/>
  <c r="A47" i="9"/>
  <c r="C47" i="9" s="1"/>
  <c r="A102" i="9"/>
  <c r="C102" i="9" s="1"/>
  <c r="A105" i="9"/>
  <c r="C105" i="9" s="1"/>
  <c r="A29" i="9"/>
  <c r="C29" i="9" s="1"/>
  <c r="A22" i="9"/>
  <c r="C22" i="9" s="1"/>
  <c r="C7" i="9"/>
  <c r="A28" i="9"/>
  <c r="C28" i="9" s="1"/>
  <c r="B31" i="9"/>
  <c r="B57" i="9"/>
  <c r="B21" i="9"/>
  <c r="B52" i="9"/>
  <c r="A35" i="9"/>
  <c r="C35" i="9" s="1"/>
  <c r="A14" i="9"/>
  <c r="C14" i="9" s="1"/>
  <c r="A106" i="9"/>
  <c r="C106" i="9" s="1"/>
  <c r="N8" i="9"/>
  <c r="A90" i="9"/>
  <c r="C90" i="9" s="1"/>
  <c r="A21" i="9"/>
  <c r="C21" i="9" s="1"/>
  <c r="B11" i="9"/>
  <c r="B51" i="9"/>
  <c r="A58" i="9"/>
  <c r="C58" i="9" s="1"/>
  <c r="A42" i="9"/>
  <c r="C42" i="9" s="1"/>
  <c r="A104" i="9"/>
  <c r="C104" i="9" s="1"/>
  <c r="B22" i="9"/>
  <c r="A19" i="9"/>
  <c r="C19" i="9" s="1"/>
  <c r="A16" i="9"/>
  <c r="C16" i="9" s="1"/>
  <c r="B39" i="9"/>
  <c r="B58" i="9"/>
  <c r="B91" i="9"/>
  <c r="A43" i="9"/>
  <c r="C43" i="9" s="1"/>
  <c r="B19" i="9"/>
  <c r="B102" i="9"/>
  <c r="B28" i="9"/>
  <c r="A51" i="9"/>
  <c r="C51" i="9" s="1"/>
  <c r="A50" i="9"/>
  <c r="C50" i="9" s="1"/>
  <c r="E8" i="9"/>
  <c r="B103" i="9"/>
  <c r="J8" i="9"/>
  <c r="B26" i="9"/>
  <c r="M8" i="9"/>
  <c r="A53" i="9"/>
  <c r="C53" i="9" s="1"/>
  <c r="A39" i="9"/>
  <c r="C39" i="9" s="1"/>
  <c r="A33" i="9"/>
  <c r="C33" i="9" s="1"/>
  <c r="B38" i="9"/>
  <c r="B45" i="9"/>
  <c r="A36" i="9"/>
  <c r="C36" i="9" s="1"/>
  <c r="A9" i="9"/>
  <c r="C9" i="9" s="1"/>
  <c r="I8" i="9"/>
  <c r="B53" i="9"/>
  <c r="K8" i="9"/>
  <c r="B106" i="9"/>
  <c r="B34" i="9"/>
  <c r="B47" i="9"/>
  <c r="B33" i="9"/>
  <c r="A57" i="9"/>
  <c r="C57" i="9" s="1"/>
  <c r="A52" i="9"/>
  <c r="C52" i="9" s="1"/>
  <c r="A24" i="9"/>
  <c r="C24" i="9" s="1"/>
  <c r="A38" i="9"/>
  <c r="C38" i="9" s="1"/>
  <c r="O8" i="9"/>
  <c r="B9" i="9"/>
  <c r="A23" i="9"/>
  <c r="C23" i="9" s="1"/>
  <c r="B15" i="9"/>
  <c r="C8" i="9"/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2" i="6"/>
  <c r="C8" i="1"/>
  <c r="C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<sst xmlns="http://schemas.openxmlformats.org/spreadsheetml/2006/main" count="129" uniqueCount="129">
  <si>
    <t>1001AD5501</t>
  </si>
  <si>
    <t>1001AD0502</t>
  </si>
  <si>
    <t>1001AD0503</t>
  </si>
  <si>
    <t>1001AD0504</t>
  </si>
  <si>
    <t>1001AD0505</t>
  </si>
  <si>
    <t>1001AD0506</t>
  </si>
  <si>
    <t>1001AD0507</t>
  </si>
  <si>
    <t>1001AD0508</t>
  </si>
  <si>
    <t>1001AD0509</t>
  </si>
  <si>
    <t>1001AD0510</t>
  </si>
  <si>
    <t>1001AD3011</t>
  </si>
  <si>
    <t>1001AD3503</t>
  </si>
  <si>
    <t>1001AD3504</t>
  </si>
  <si>
    <t>1001AD3505</t>
  </si>
  <si>
    <t>1001AD3508</t>
  </si>
  <si>
    <t>1001AD3515</t>
  </si>
  <si>
    <t>1001AD3521</t>
  </si>
  <si>
    <t>1001AD3522</t>
  </si>
  <si>
    <t>1001AD4020</t>
  </si>
  <si>
    <t>1001AD4500</t>
  </si>
  <si>
    <t>1001AD4505</t>
  </si>
  <si>
    <t>1001AD4506</t>
  </si>
  <si>
    <t>1001AD4507</t>
  </si>
  <si>
    <t>1001AD4511</t>
  </si>
  <si>
    <t>1001AD4513</t>
  </si>
  <si>
    <t>1001AD4514</t>
  </si>
  <si>
    <t>1001AD4517</t>
  </si>
  <si>
    <t>1001AD4518</t>
  </si>
  <si>
    <t>1001AD4519</t>
  </si>
  <si>
    <t>1001AD4520</t>
  </si>
  <si>
    <t>1001AD4521</t>
  </si>
  <si>
    <t>1001AD4523</t>
  </si>
  <si>
    <t>1001AD4524</t>
  </si>
  <si>
    <t>1001AD4525</t>
  </si>
  <si>
    <t>1001AD4526</t>
  </si>
  <si>
    <t>1001AD4530</t>
  </si>
  <si>
    <t>1001AD4533</t>
  </si>
  <si>
    <t>1001AD4534</t>
  </si>
  <si>
    <t>1001AD4541</t>
  </si>
  <si>
    <t>1001AD4542</t>
  </si>
  <si>
    <t>1001AD5007</t>
  </si>
  <si>
    <t>1001AD5500</t>
  </si>
  <si>
    <t>1001AD6000</t>
  </si>
  <si>
    <t>1002AD5500</t>
  </si>
  <si>
    <t>1002AD0503</t>
  </si>
  <si>
    <t>1002AD0504</t>
  </si>
  <si>
    <t>1002AD0505</t>
  </si>
  <si>
    <t>1002AD0506</t>
  </si>
  <si>
    <t>1002AD0507</t>
  </si>
  <si>
    <t>1002AD0508</t>
  </si>
  <si>
    <t>1002AD0509</t>
  </si>
  <si>
    <t>1002AD0510</t>
  </si>
  <si>
    <t>1002AD0511</t>
  </si>
  <si>
    <t>1002AD3502</t>
  </si>
  <si>
    <t>1002AD3503</t>
  </si>
  <si>
    <t>1002AD3520</t>
  </si>
  <si>
    <t>1002AD3521</t>
  </si>
  <si>
    <t>1002AD3522</t>
  </si>
  <si>
    <t>1002AD3523</t>
  </si>
  <si>
    <t>1002AD3524</t>
  </si>
  <si>
    <t>1002AD3526</t>
  </si>
  <si>
    <t>1002AD4020</t>
  </si>
  <si>
    <t>1002AD4502</t>
  </si>
  <si>
    <t>1002AD4503</t>
  </si>
  <si>
    <t>1002AD4505</t>
  </si>
  <si>
    <t>1002AD4506</t>
  </si>
  <si>
    <t>1002AD4507</t>
  </si>
  <si>
    <t>1002AD4508</t>
  </si>
  <si>
    <t>1002AD4509</t>
  </si>
  <si>
    <t>1002AD5005</t>
  </si>
  <si>
    <t>1002AD6000</t>
  </si>
  <si>
    <t>1003AD0503</t>
  </si>
  <si>
    <t>1003AD0504</t>
  </si>
  <si>
    <t>1003AD0505</t>
  </si>
  <si>
    <t>1003AD0506</t>
  </si>
  <si>
    <t>1003AD0507</t>
  </si>
  <si>
    <t>1003AD0508</t>
  </si>
  <si>
    <t>1003AD0509</t>
  </si>
  <si>
    <t>1003AD0511</t>
  </si>
  <si>
    <t>1003AD3502</t>
  </si>
  <si>
    <t>1003AD3503</t>
  </si>
  <si>
    <t>1003AD3507</t>
  </si>
  <si>
    <t>1003AD3509</t>
  </si>
  <si>
    <t>1003AD3510</t>
  </si>
  <si>
    <t>1003AD3520</t>
  </si>
  <si>
    <t>1003AD3521</t>
  </si>
  <si>
    <t>1003AD3522</t>
  </si>
  <si>
    <t>1003AD4005</t>
  </si>
  <si>
    <t>1003AD4020</t>
  </si>
  <si>
    <t>1003AD4505</t>
  </si>
  <si>
    <t>1003AD4506</t>
  </si>
  <si>
    <t>1003AD4507</t>
  </si>
  <si>
    <t>1003AD4509</t>
  </si>
  <si>
    <t>1003AD4510</t>
  </si>
  <si>
    <t>1003AD4511</t>
  </si>
  <si>
    <t>1003AD4512</t>
  </si>
  <si>
    <t>1003AD5500</t>
  </si>
  <si>
    <t>1003AD6000</t>
  </si>
  <si>
    <t>1005AD0504</t>
  </si>
  <si>
    <t>1005AD0505</t>
  </si>
  <si>
    <t>1005AD0506</t>
  </si>
  <si>
    <t>1005AD0507</t>
  </si>
  <si>
    <t>1005AD0508</t>
  </si>
  <si>
    <t>1005AD0509</t>
  </si>
  <si>
    <t>1005AD0510</t>
  </si>
  <si>
    <t>1005AD0511</t>
  </si>
  <si>
    <t>1005AD0512</t>
  </si>
  <si>
    <t>1005AD3503</t>
  </si>
  <si>
    <t>1005AD3504</t>
  </si>
  <si>
    <t>1005AD3507</t>
  </si>
  <si>
    <t>1005AD3520</t>
  </si>
  <si>
    <t>1005AD3521</t>
  </si>
  <si>
    <t>1005AD3522</t>
  </si>
  <si>
    <t>1005AD3525</t>
  </si>
  <si>
    <t>1005AD3527</t>
  </si>
  <si>
    <t>1005AD4020</t>
  </si>
  <si>
    <t>1005AD4501</t>
  </si>
  <si>
    <t>1005AD4504</t>
  </si>
  <si>
    <t>1005AD4506</t>
  </si>
  <si>
    <t>1005AD4507</t>
  </si>
  <si>
    <t>1005AD4508</t>
  </si>
  <si>
    <t>1005AD4509</t>
  </si>
  <si>
    <t>1005AD4510</t>
  </si>
  <si>
    <t>1005AD5004</t>
  </si>
  <si>
    <t>1005AD5501</t>
  </si>
  <si>
    <t>1005AD5502</t>
  </si>
  <si>
    <t>1005AD6001</t>
  </si>
  <si>
    <t>ID CECO</t>
  </si>
  <si>
    <t>ID 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</si>
</sst>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1"/>
    </xf>
    <xf numFmtId="0" fontId="0" fillId="0" borderId="0" xfId="0" applyAlignment="1"/>
    <xf numFmtId="0" fontId="0" fillId="0" borderId="0" xfId="0" applyNumberFormat="1"/>
    <xf numFmtId="0" fontId="0" fillId="0" borderId="0" xfId="0" applyNumberFormat="1" applyAlignment="1"/>
    <xf numFmtId="0" fontId="0" fillId="0" borderId="0" xfId="0" applyNumberForma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4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4" Type="http://schemas.openxmlformats.org/officeDocument/2006/relationships/image" Target="../media/image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5.emf"/><Relationship Id="rId1" Type="http://schemas.openxmlformats.org/officeDocument/2006/relationships/image" Target="../media/image16.emf"/><Relationship Id="rId4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1025" name="FPMExcelClientSheetOptionstb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1026" name="ConnectionDescriptorsInfotb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1027" name="MultipleReportManagerInfotb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1028" name="AnalyzerDynReport000tb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563880</xdr:colOff>
          <xdr:row>0</xdr:row>
          <xdr:rowOff>0</xdr:rowOff>
        </xdr:to>
        <xdr:sp macro="" textlink="">
          <xdr:nvSpPr>
            <xdr:cNvPr id="8193" name="FPMExcelClientSheetOptionstb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563880</xdr:colOff>
          <xdr:row>0</xdr:row>
          <xdr:rowOff>0</xdr:rowOff>
        </xdr:to>
        <xdr:sp macro="" textlink="">
          <xdr:nvSpPr>
            <xdr:cNvPr id="8194" name="ConnectionDescriptorsInfotb1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563880</xdr:colOff>
          <xdr:row>0</xdr:row>
          <xdr:rowOff>0</xdr:rowOff>
        </xdr:to>
        <xdr:sp macro="" textlink="">
          <xdr:nvSpPr>
            <xdr:cNvPr id="8195" name="MultipleReportManagerInfotb1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563880</xdr:colOff>
          <xdr:row>0</xdr:row>
          <xdr:rowOff>0</xdr:rowOff>
        </xdr:to>
        <xdr:sp macro="" textlink="">
          <xdr:nvSpPr>
            <xdr:cNvPr id="8196" name="AnalyzerDynReport000tb1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1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556260</xdr:colOff>
          <xdr:row>0</xdr:row>
          <xdr:rowOff>0</xdr:rowOff>
        </xdr:to>
        <xdr:sp macro="" textlink="">
          <xdr:nvSpPr>
            <xdr:cNvPr id="7169" name="FPMExcelClientSheetOptionstb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556260</xdr:colOff>
          <xdr:row>0</xdr:row>
          <xdr:rowOff>0</xdr:rowOff>
        </xdr:to>
        <xdr:sp macro="" textlink="">
          <xdr:nvSpPr>
            <xdr:cNvPr id="7170" name="ConnectionDescriptorsInfotb1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2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556260</xdr:colOff>
          <xdr:row>0</xdr:row>
          <xdr:rowOff>0</xdr:rowOff>
        </xdr:to>
        <xdr:sp macro="" textlink="">
          <xdr:nvSpPr>
            <xdr:cNvPr id="7171" name="MultipleReportManagerInfotb1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2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556260</xdr:colOff>
          <xdr:row>0</xdr:row>
          <xdr:rowOff>0</xdr:rowOff>
        </xdr:to>
        <xdr:sp macro="" textlink="">
          <xdr:nvSpPr>
            <xdr:cNvPr id="7172" name="AnalyzerDynReport000tb1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2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9217" name="FPMExcelClientSheetOptionstb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3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9218" name="ConnectionDescriptorsInfotb1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3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9219" name="MultipleReportManagerInfotb1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3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9220" name="AnalyzerDynReport000tb1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3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.emf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13" Type="http://schemas.openxmlformats.org/officeDocument/2006/relationships/image" Target="../media/image8.emf"/><Relationship Id="rId3" Type="http://schemas.openxmlformats.org/officeDocument/2006/relationships/customProperty" Target="../customProperty5.bin"/><Relationship Id="rId7" Type="http://schemas.openxmlformats.org/officeDocument/2006/relationships/image" Target="../media/image5.emf"/><Relationship Id="rId12" Type="http://schemas.openxmlformats.org/officeDocument/2006/relationships/control" Target="../activeX/activeX8.xml"/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vmlDrawing" Target="../drawings/vmlDrawing2.vml"/><Relationship Id="rId10" Type="http://schemas.openxmlformats.org/officeDocument/2006/relationships/control" Target="../activeX/activeX7.xml"/><Relationship Id="rId4" Type="http://schemas.openxmlformats.org/officeDocument/2006/relationships/drawing" Target="../drawings/drawing2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drawing" Target="../drawings/drawing3.xml"/><Relationship Id="rId7" Type="http://schemas.openxmlformats.org/officeDocument/2006/relationships/control" Target="../activeX/activeX10.xml"/><Relationship Id="rId12" Type="http://schemas.openxmlformats.org/officeDocument/2006/relationships/image" Target="../media/image12.emf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6" Type="http://schemas.openxmlformats.org/officeDocument/2006/relationships/image" Target="../media/image9.emf"/><Relationship Id="rId11" Type="http://schemas.openxmlformats.org/officeDocument/2006/relationships/control" Target="../activeX/activeX12.xml"/><Relationship Id="rId5" Type="http://schemas.openxmlformats.org/officeDocument/2006/relationships/control" Target="../activeX/activeX9.xml"/><Relationship Id="rId10" Type="http://schemas.openxmlformats.org/officeDocument/2006/relationships/image" Target="../media/image11.emf"/><Relationship Id="rId4" Type="http://schemas.openxmlformats.org/officeDocument/2006/relationships/vmlDrawing" Target="../drawings/vmlDrawing3.vml"/><Relationship Id="rId9" Type="http://schemas.openxmlformats.org/officeDocument/2006/relationships/control" Target="../activeX/activeX1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3" Type="http://schemas.openxmlformats.org/officeDocument/2006/relationships/drawing" Target="../drawings/drawing4.xml"/><Relationship Id="rId7" Type="http://schemas.openxmlformats.org/officeDocument/2006/relationships/control" Target="../activeX/activeX14.xml"/><Relationship Id="rId12" Type="http://schemas.openxmlformats.org/officeDocument/2006/relationships/image" Target="../media/image16.emf"/><Relationship Id="rId2" Type="http://schemas.openxmlformats.org/officeDocument/2006/relationships/customProperty" Target="../customProperty9.bin"/><Relationship Id="rId1" Type="http://schemas.openxmlformats.org/officeDocument/2006/relationships/customProperty" Target="../customProperty8.bin"/><Relationship Id="rId6" Type="http://schemas.openxmlformats.org/officeDocument/2006/relationships/image" Target="../media/image13.emf"/><Relationship Id="rId11" Type="http://schemas.openxmlformats.org/officeDocument/2006/relationships/control" Target="../activeX/activeX16.xml"/><Relationship Id="rId5" Type="http://schemas.openxmlformats.org/officeDocument/2006/relationships/control" Target="../activeX/activeX13.xml"/><Relationship Id="rId10" Type="http://schemas.openxmlformats.org/officeDocument/2006/relationships/image" Target="../media/image15.emf"/><Relationship Id="rId4" Type="http://schemas.openxmlformats.org/officeDocument/2006/relationships/vmlDrawing" Target="../drawings/vmlDrawing4.vml"/><Relationship Id="rId9" Type="http://schemas.openxmlformats.org/officeDocument/2006/relationships/control" Target="../activeX/activeX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E960-8C5B-490F-A34F-DDC6B54A6BAA}">
  <sheetPr codeName="Hoja1"/>
  <dimension ref="A1:U151"/>
  <sheetViews>
    <sheetView topLeftCell="B1" zoomScale="70" zoomScaleNormal="70" workbookViewId="0">
      <selection activeCell="S8" sqref="S8"/>
    </sheetView>
  </sheetViews>
  <sheetFormatPr baseColWidth="10" defaultRowHeight="13.8" x14ac:dyDescent="0.3"/>
  <cols>
    <col min="1" max="1" width="35.88671875" bestFit="1" customWidth="1"/>
    <col min="2" max="2" width="37.109375" bestFit="1" customWidth="1"/>
    <col min="3" max="3" width="30.5546875" bestFit="1" customWidth="1"/>
    <col min="4" max="5" width="11" bestFit="1" customWidth="1"/>
    <col min="6" max="6" width="10.5546875" bestFit="1" customWidth="1"/>
    <col min="7" max="8" width="11" bestFit="1" customWidth="1"/>
    <col min="9" max="9" width="10.5546875" bestFit="1" customWidth="1"/>
    <col min="10" max="11" width="11" bestFit="1" customWidth="1"/>
    <col min="12" max="12" width="10.5546875" bestFit="1" customWidth="1"/>
    <col min="13" max="14" width="11" bestFit="1" customWidth="1"/>
    <col min="15" max="15" width="10.5546875" bestFit="1" customWidth="1"/>
    <col min="16" max="17" width="11" bestFit="1" customWidth="1"/>
    <col min="18" max="18" width="10.5546875" bestFit="1" customWidth="1"/>
    <col min="19" max="19" width="11" bestFit="1" customWidth="1"/>
    <col min="20" max="20" width="12" bestFit="1" customWidth="1"/>
    <col min="21" max="21" width="11.5546875" bestFit="1" customWidth="1"/>
    <col min="22" max="22" width="9.44140625" bestFit="1" customWidth="1"/>
    <col min="23" max="24" width="10" bestFit="1" customWidth="1"/>
    <col min="25" max="25" width="9.44140625" bestFit="1" customWidth="1"/>
    <col min="26" max="27" width="10" bestFit="1" customWidth="1"/>
    <col min="28" max="28" width="9.44140625" bestFit="1" customWidth="1"/>
    <col min="29" max="30" width="10" bestFit="1" customWidth="1"/>
    <col min="31" max="31" width="9.44140625" bestFit="1" customWidth="1"/>
    <col min="32" max="33" width="10" bestFit="1" customWidth="1"/>
    <col min="34" max="34" width="9.44140625" bestFit="1" customWidth="1"/>
    <col min="35" max="36" width="10" bestFit="1" customWidth="1"/>
    <col min="37" max="37" width="9.44140625" bestFit="1" customWidth="1"/>
    <col min="38" max="39" width="10" bestFit="1" customWidth="1"/>
    <col min="40" max="40" width="10.44140625" bestFit="1" customWidth="1"/>
    <col min="41" max="41" width="11" bestFit="1" customWidth="1"/>
    <col min="42" max="42" width="11.44140625" bestFit="1" customWidth="1"/>
  </cols>
  <sheetData>
    <row r="1" spans="1:21" x14ac:dyDescent="0.3">
      <c r="A1" t="str" cm="1">
        <f t="array" ref="A1">_xll.EPMDimensionOverrideRange("000","CECO",CECOS!$B$2:$B$128)</f>
        <v>Expansión de CECO sobrescrita</v>
      </c>
    </row>
    <row r="2" spans="1:21" x14ac:dyDescent="0.3">
      <c r="A2" s="7" t="str">
        <f xml:space="preserve"> _xll.EPMOlapMemberO("[CEBE].[PARENTH1].[JE-]","","Gr Antofagasta Miner","","000")</f>
        <v>Gr Antofagasta Miner</v>
      </c>
    </row>
    <row r="4" spans="1:21" x14ac:dyDescent="0.3">
      <c r="A4" s="7" t="str">
        <f xml:space="preserve"> _xll.EPMOlapMemberO("[ENTITY].[PARENTH1].[1001]","","1001 - Minera Los Pelambres","","000")</f>
        <v>1001 - Minera Los Pelambres</v>
      </c>
    </row>
    <row r="7" spans="1:21" x14ac:dyDescent="0.3">
      <c r="C7" t="str">
        <f xml:space="preserve"> _xll.EPMOlapMemberO("[Blank Member]","","","","000")</f>
        <v/>
      </c>
      <c r="D7" t="str">
        <f xml:space="preserve"> _xll.EPMOlapMemberO("[TIME].[PARENTH1].[2026.01]","","2026.01","","000")</f>
        <v>2026.01</v>
      </c>
      <c r="G7" t="str">
        <f xml:space="preserve"> _xll.EPMOlapMemberO("[TIME].[PARENTH1].[2026.02]","","2026.02","","000")</f>
        <v>2026.02</v>
      </c>
      <c r="J7" t="str">
        <f xml:space="preserve"> _xll.EPMOlapMemberO("[TIME].[PARENTH1].[2026.03]","","2026.03","","000")</f>
        <v>2026.03</v>
      </c>
      <c r="M7" t="str">
        <f xml:space="preserve"> _xll.EPMOlapMemberO("[TIME].[PARENTH1].[2026.04]","","2026.04","","000")</f>
        <v>2026.04</v>
      </c>
      <c r="P7" t="str">
        <f xml:space="preserve"> _xll.EPMOlapMemberO("[TIME].[PARENTH1].[2026.05]","","2026.05","","000")</f>
        <v>2026.05</v>
      </c>
      <c r="S7" t="str">
        <f xml:space="preserve"> _xll.EPMOlapMemberO("[TIME].[PARENTH1].[2026.TOTAL]","","2026.TOTAL","","000")</f>
        <v>2026.TOTAL</v>
      </c>
    </row>
    <row r="8" spans="1:21" x14ac:dyDescent="0.3">
      <c r="C8" t="str">
        <f xml:space="preserve"> _xll.FPMXLClient.TechnicalCategory.EPMLocalMember("CeCo Padre","000","000")</f>
        <v>CeCo Padre</v>
      </c>
      <c r="D8" t="str">
        <f xml:space="preserve"> _xll.EPMOlapMemberO("[CATEGORY].[].[REAL]","","Real - Real","","000")</f>
        <v>Real - Real</v>
      </c>
      <c r="E8" t="str">
        <f xml:space="preserve"> _xll.EPMOlapMemberO("[CATEGORY].[].[PLAN]","","Plan - Plan","","000")</f>
        <v>Plan - Plan</v>
      </c>
      <c r="F8" t="str">
        <f xml:space="preserve"> _xll.FPMXLClient.TechnicalCategory.EPMLocalMember("Var","001","000")</f>
        <v>Var</v>
      </c>
      <c r="G8" t="str">
        <f xml:space="preserve"> _xll.EPMOlapMemberO("[CATEGORY].[].[REAL]","","Real - Real","","000")</f>
        <v>Real - Real</v>
      </c>
      <c r="H8" t="str">
        <f xml:space="preserve"> _xll.EPMOlapMemberO("[CATEGORY].[].[PLAN]","","Plan - Plan","","000")</f>
        <v>Plan - Plan</v>
      </c>
      <c r="I8" t="str">
        <f xml:space="preserve"> _xll.FPMXLClient.TechnicalCategory.EPMLocalMember("Var","001","000")</f>
        <v>Var</v>
      </c>
      <c r="J8" t="str">
        <f xml:space="preserve"> _xll.EPMOlapMemberO("[CATEGORY].[].[REAL]","","Real - Real","","000")</f>
        <v>Real - Real</v>
      </c>
      <c r="K8" t="str">
        <f xml:space="preserve"> _xll.EPMOlapMemberO("[CATEGORY].[].[PLAN]","","Plan - Plan","","000")</f>
        <v>Plan - Plan</v>
      </c>
      <c r="L8" t="str">
        <f xml:space="preserve"> _xll.FPMXLClient.TechnicalCategory.EPMLocalMember("Var","001","000")</f>
        <v>Var</v>
      </c>
      <c r="M8" t="str">
        <f xml:space="preserve"> _xll.EPMOlapMemberO("[CATEGORY].[].[REAL]","","Real - Real","","000")</f>
        <v>Real - Real</v>
      </c>
      <c r="N8" t="str">
        <f xml:space="preserve"> _xll.EPMOlapMemberO("[CATEGORY].[].[PLAN]","","Plan - Plan","","000")</f>
        <v>Plan - Plan</v>
      </c>
      <c r="O8" t="str">
        <f xml:space="preserve"> _xll.FPMXLClient.TechnicalCategory.EPMLocalMember("Var","001","000")</f>
        <v>Var</v>
      </c>
      <c r="P8" t="str">
        <f xml:space="preserve"> _xll.EPMOlapMemberO("[CATEGORY].[].[REAL]","","Real - Real","","000")</f>
        <v>Real - Real</v>
      </c>
      <c r="Q8" t="str">
        <f xml:space="preserve"> _xll.EPMOlapMemberO("[CATEGORY].[].[PLAN]","","Plan - Plan","","000")</f>
        <v>Plan - Plan</v>
      </c>
      <c r="R8" t="str">
        <f xml:space="preserve"> _xll.FPMXLClient.TechnicalCategory.EPMLocalMember("Var","001","000")</f>
        <v>Var</v>
      </c>
      <c r="S8" t="str">
        <f xml:space="preserve"> _xll.EPMOlapMemberO("[CATEGORY].[].[REAL]","","Real - Real","","000")</f>
        <v>Real - Real</v>
      </c>
      <c r="T8" t="str">
        <f xml:space="preserve"> _xll.EPMOlapMemberO("[CATEGORY].[].[PLAN]","","Plan - Plan","","000")</f>
        <v>Plan - Plan</v>
      </c>
      <c r="U8" t="str">
        <f xml:space="preserve"> _xll.FPMXLClient.TechnicalCategory.EPMLocalMember("Var","001","000")</f>
        <v>Var</v>
      </c>
    </row>
    <row r="9" spans="1:21" x14ac:dyDescent="0.3">
      <c r="A9" s="2" t="str">
        <f xml:space="preserve"> _xll.EPMOlapMemberO("[CECO].[PARENTH3].[AMSA1001AD4507]","","AMSA1001AD4507 - Comunidades RCA","","000")</f>
        <v>AMSA1001AD4507 - Comunidades RCA</v>
      </c>
      <c r="B9" s="2" t="str">
        <f xml:space="preserve"> _xll.EPMOlapMemberO("[CLACO].[PARENTH7].[AMSALIQUIDACIO.SEC]","","AMSALIQUIDACIO.SEC - Liquidación Interna","","000")</f>
        <v>AMSALIQUIDACIO.SEC - Liquidación Interna</v>
      </c>
      <c r="C9" s="1" t="str">
        <f>_xlfn.CONCAT(_xll.EPMMemberProperty("COSTOS", _xll.EPMMemberID(A9), "PARENTH3"), " - ", _xll.EPMMemberDesc(_xll.EPMMemberProperty("COSTOS", _xll.EPMMemberID(A9), "PARENTH3"), "COSTOS"))</f>
        <v>N100100551 - Obligaciones Legales</v>
      </c>
      <c r="F9">
        <f>E9-D9</f>
        <v>0</v>
      </c>
      <c r="I9">
        <f>H9-G9</f>
        <v>0</v>
      </c>
      <c r="L9">
        <f>K9-J9</f>
        <v>0</v>
      </c>
      <c r="M9">
        <v>-700.58</v>
      </c>
      <c r="O9">
        <f>N9-M9</f>
        <v>700.58</v>
      </c>
      <c r="R9">
        <f>Q9-P9</f>
        <v>0</v>
      </c>
      <c r="S9">
        <v>-700.58</v>
      </c>
      <c r="U9">
        <f>T9-S9</f>
        <v>700.58</v>
      </c>
    </row>
    <row r="10" spans="1:21" x14ac:dyDescent="0.3">
      <c r="A10" s="2" t="str">
        <f xml:space="preserve"> _xll.EPMOlapMemberO("[CECO].[PARENTH3].[AMSA1001AD4514]","","AMSA1001AD4514 - Acuerdo Caimanes","","000")</f>
        <v>AMSA1001AD4514 - Acuerdo Caimanes</v>
      </c>
      <c r="B10" s="2" t="str">
        <f xml:space="preserve"> _xll.EPMOlapMemberO("[CLACO].[PARENTH7].[AMSASERVICIOS]","","AMSASERVICIOS - Servicios","","000")</f>
        <v>AMSASERVICIOS - Servicios</v>
      </c>
      <c r="C10" s="1" t="str">
        <f>_xlfn.CONCAT(_xll.EPMMemberProperty("COSTOS", _xll.EPMMemberID(A10), "PARENTH3"), " - ", _xll.EPMMemberDesc(_xll.EPMMemberProperty("COSTOS", _xll.EPMMemberID(A10), "PARENTH3"), "COSTOS"))</f>
        <v>N100100551 - Obligaciones Legales</v>
      </c>
      <c r="D10">
        <v>118.93</v>
      </c>
      <c r="E10">
        <v>7756.53</v>
      </c>
      <c r="F10">
        <f t="shared" ref="F10:F73" si="0">E10-D10</f>
        <v>7637.5999999999995</v>
      </c>
      <c r="G10">
        <v>1901.56</v>
      </c>
      <c r="H10">
        <v>7777.74</v>
      </c>
      <c r="I10">
        <f t="shared" ref="I10:I73" si="1">H10-G10</f>
        <v>5876.18</v>
      </c>
      <c r="J10">
        <v>-2020.49</v>
      </c>
      <c r="K10">
        <v>7799.65</v>
      </c>
      <c r="L10">
        <f t="shared" ref="L10:L73" si="2">K10-J10</f>
        <v>9820.14</v>
      </c>
      <c r="M10">
        <v>0</v>
      </c>
      <c r="N10">
        <v>7821.56</v>
      </c>
      <c r="O10">
        <f t="shared" ref="O10:O73" si="3">N10-M10</f>
        <v>7821.56</v>
      </c>
      <c r="P10">
        <v>1964.07</v>
      </c>
      <c r="Q10">
        <v>7843.48</v>
      </c>
      <c r="R10">
        <f t="shared" ref="R10:R73" si="4">Q10-P10</f>
        <v>5879.41</v>
      </c>
      <c r="S10">
        <v>1965.19</v>
      </c>
      <c r="T10">
        <v>94518.28</v>
      </c>
      <c r="U10">
        <f t="shared" ref="U10:U73" si="5">T10-S10</f>
        <v>92553.09</v>
      </c>
    </row>
    <row r="11" spans="1:21" x14ac:dyDescent="0.3">
      <c r="A11" s="2" t="str">
        <f xml:space="preserve"> _xll.EPMOlapMemberO("[CECO].[PARENTH3].[AMSA1001AD4514]","","AMSA1001AD4514 - Acuerdo Caimanes","","000")</f>
        <v>AMSA1001AD4514 - Acuerdo Caimanes</v>
      </c>
      <c r="B11" s="2" t="str">
        <f xml:space="preserve"> _xll.EPMOlapMemberO("[CLACO].[PARENTH7].[AMSALIQUIDACIO.SEC]","","AMSALIQUIDACIO.SEC - Liquidación Interna","","000")</f>
        <v>AMSALIQUIDACIO.SEC - Liquidación Interna</v>
      </c>
      <c r="C11" s="1" t="str">
        <f>_xlfn.CONCAT(_xll.EPMMemberProperty("COSTOS", _xll.EPMMemberID(A11), "PARENTH3"), " - ", _xll.EPMMemberDesc(_xll.EPMMemberProperty("COSTOS", _xll.EPMMemberID(A11), "PARENTH3"), "COSTOS"))</f>
        <v>N100100551 - Obligaciones Legales</v>
      </c>
      <c r="D11">
        <v>4469.04</v>
      </c>
      <c r="F11">
        <f t="shared" si="0"/>
        <v>-4469.04</v>
      </c>
      <c r="G11">
        <v>118.93</v>
      </c>
      <c r="I11">
        <f t="shared" si="1"/>
        <v>-118.93</v>
      </c>
      <c r="J11">
        <v>2987.59</v>
      </c>
      <c r="L11">
        <f t="shared" si="2"/>
        <v>-2987.59</v>
      </c>
      <c r="M11">
        <v>-754.96</v>
      </c>
      <c r="O11">
        <f t="shared" si="3"/>
        <v>754.96</v>
      </c>
      <c r="R11">
        <f t="shared" si="4"/>
        <v>0</v>
      </c>
      <c r="S11">
        <v>6820.6</v>
      </c>
      <c r="U11">
        <f t="shared" si="5"/>
        <v>-6820.6</v>
      </c>
    </row>
    <row r="12" spans="1:21" x14ac:dyDescent="0.3">
      <c r="A12" s="2" t="str">
        <f xml:space="preserve"> _xll.EPMOlapMemberO("[CECO].[PARENTH3].[AMSA1001AD4521]","","AMSA1001AD4521 - Comunic Externa RCA","","000")</f>
        <v>AMSA1001AD4521 - Comunic Externa RCA</v>
      </c>
      <c r="B12" s="2" t="str">
        <f xml:space="preserve"> _xll.EPMOlapMemberO("[CLACO].[PARENTH7].[AMSASERVICIOS]","","AMSASERVICIOS - Servicios","","000")</f>
        <v>AMSASERVICIOS - Servicios</v>
      </c>
      <c r="C12" s="1" t="str">
        <f>_xlfn.CONCAT(_xll.EPMMemberProperty("COSTOS", _xll.EPMMemberID(A12), "PARENTH3"), " - ", _xll.EPMMemberDesc(_xll.EPMMemberProperty("COSTOS", _xll.EPMMemberID(A12), "PARENTH3"), "COSTOS"))</f>
        <v>N100100551 - Obligaciones Legales</v>
      </c>
      <c r="E12">
        <v>45431.11</v>
      </c>
      <c r="F12">
        <f t="shared" si="0"/>
        <v>45431.11</v>
      </c>
      <c r="H12">
        <v>45555.32</v>
      </c>
      <c r="I12">
        <f t="shared" si="1"/>
        <v>45555.32</v>
      </c>
      <c r="K12">
        <v>118109</v>
      </c>
      <c r="L12">
        <f t="shared" si="2"/>
        <v>118109</v>
      </c>
      <c r="N12">
        <v>118440.82</v>
      </c>
      <c r="O12">
        <f t="shared" si="3"/>
        <v>118440.82</v>
      </c>
      <c r="Q12">
        <v>118772.65</v>
      </c>
      <c r="R12">
        <f t="shared" si="4"/>
        <v>118772.65</v>
      </c>
      <c r="T12">
        <v>971402.18</v>
      </c>
      <c r="U12">
        <f t="shared" si="5"/>
        <v>971402.18</v>
      </c>
    </row>
    <row r="13" spans="1:21" x14ac:dyDescent="0.3">
      <c r="A13" s="2" t="str">
        <f xml:space="preserve"> _xll.EPMOlapMemberO("[CECO].[PARENTH3].[AMSA1001AD4521]","","AMSA1001AD4521 - Comunic Externa RCA","","000")</f>
        <v>AMSA1001AD4521 - Comunic Externa RCA</v>
      </c>
      <c r="B13" s="2" t="str">
        <f xml:space="preserve"> _xll.EPMOlapMemberO("[CLACO].[PARENTH7].[AMSALIQUIDACIO.SEC]","","AMSALIQUIDACIO.SEC - Liquidación Interna","","000")</f>
        <v>AMSALIQUIDACIO.SEC - Liquidación Interna</v>
      </c>
      <c r="C13" s="1" t="str">
        <f>_xlfn.CONCAT(_xll.EPMMemberProperty("COSTOS", _xll.EPMMemberID(A13), "PARENTH3"), " - ", _xll.EPMMemberDesc(_xll.EPMMemberProperty("COSTOS", _xll.EPMMemberID(A13), "PARENTH3"), "COSTOS"))</f>
        <v>N100100551 - Obligaciones Legales</v>
      </c>
      <c r="D13">
        <v>85647.18</v>
      </c>
      <c r="F13">
        <f t="shared" si="0"/>
        <v>-85647.18</v>
      </c>
      <c r="G13">
        <v>82372.95</v>
      </c>
      <c r="I13">
        <f t="shared" si="1"/>
        <v>-82372.95</v>
      </c>
      <c r="J13">
        <v>30487.7</v>
      </c>
      <c r="L13">
        <f t="shared" si="2"/>
        <v>-30487.7</v>
      </c>
      <c r="M13">
        <v>130032.94</v>
      </c>
      <c r="O13">
        <f t="shared" si="3"/>
        <v>-130032.94</v>
      </c>
      <c r="P13">
        <v>131433.95000000001</v>
      </c>
      <c r="R13">
        <f t="shared" si="4"/>
        <v>-131433.95000000001</v>
      </c>
      <c r="S13">
        <v>459974.72</v>
      </c>
      <c r="U13">
        <f t="shared" si="5"/>
        <v>-459974.72</v>
      </c>
    </row>
    <row r="14" spans="1:21" x14ac:dyDescent="0.3">
      <c r="A14" s="2" t="str">
        <f xml:space="preserve"> _xll.EPMOlapMemberO("[CECO].[PARENTH3].[AMSA1001AD4500]","","AMSA1001AD4500 - Comun.Mitig. y Comp.","","000")</f>
        <v>AMSA1001AD4500 - Comun.Mitig. y Comp.</v>
      </c>
      <c r="B14" s="2" t="str">
        <f xml:space="preserve"> _xll.EPMOlapMemberO("[CLACO].[PARENTH7].[AMSAASESORIAS]","","AMSAASESORIAS - Asesorías y Consulto","","000")</f>
        <v>AMSAASESORIAS - Asesorías y Consulto</v>
      </c>
      <c r="C14" s="1" t="str">
        <f>_xlfn.CONCAT(_xll.EPMMemberProperty("COSTOS", _xll.EPMMemberID(A14), "PARENTH3"), " - ", _xll.EPMMemberDesc(_xll.EPMMemberProperty("COSTOS", _xll.EPMMemberID(A14), "PARENTH3"), "COSTOS"))</f>
        <v>N100100552 - Mitigación y Compens</v>
      </c>
      <c r="D14">
        <v>6827.61</v>
      </c>
      <c r="F14">
        <f t="shared" si="0"/>
        <v>-6827.61</v>
      </c>
      <c r="I14">
        <f t="shared" si="1"/>
        <v>0</v>
      </c>
      <c r="L14">
        <f t="shared" si="2"/>
        <v>0</v>
      </c>
      <c r="O14">
        <f t="shared" si="3"/>
        <v>0</v>
      </c>
      <c r="R14">
        <f t="shared" si="4"/>
        <v>0</v>
      </c>
      <c r="S14">
        <v>6827.61</v>
      </c>
      <c r="U14">
        <f t="shared" si="5"/>
        <v>-6827.61</v>
      </c>
    </row>
    <row r="15" spans="1:21" x14ac:dyDescent="0.3">
      <c r="A15" s="2" t="str">
        <f xml:space="preserve"> _xll.EPMOlapMemberO("[CECO].[PARENTH3].[AMSA1001AD4500]","","AMSA1001AD4500 - Comun.Mitig. y Comp.","","000")</f>
        <v>AMSA1001AD4500 - Comun.Mitig. y Comp.</v>
      </c>
      <c r="B15" s="2" t="str">
        <f xml:space="preserve"> _xll.EPMOlapMemberO("[CLACO].[PARENTH7].[AMSASERVICIOS]","","AMSASERVICIOS - Servicios","","000")</f>
        <v>AMSASERVICIOS - Servicios</v>
      </c>
      <c r="C15" s="1" t="str">
        <f>_xlfn.CONCAT(_xll.EPMMemberProperty("COSTOS", _xll.EPMMemberID(A15), "PARENTH3"), " - ", _xll.EPMMemberDesc(_xll.EPMMemberProperty("COSTOS", _xll.EPMMemberID(A15), "PARENTH3"), "COSTOS"))</f>
        <v>N100100552 - Mitigación y Compens</v>
      </c>
      <c r="D15">
        <v>26.74</v>
      </c>
      <c r="F15">
        <f t="shared" si="0"/>
        <v>-26.74</v>
      </c>
      <c r="I15">
        <f t="shared" si="1"/>
        <v>0</v>
      </c>
      <c r="L15">
        <f t="shared" si="2"/>
        <v>0</v>
      </c>
      <c r="O15">
        <f t="shared" si="3"/>
        <v>0</v>
      </c>
      <c r="R15">
        <f t="shared" si="4"/>
        <v>0</v>
      </c>
      <c r="S15">
        <v>26.74</v>
      </c>
      <c r="U15">
        <f t="shared" si="5"/>
        <v>-26.74</v>
      </c>
    </row>
    <row r="16" spans="1:21" x14ac:dyDescent="0.3">
      <c r="A16" s="2" t="str">
        <f xml:space="preserve"> _xll.EPMOlapMemberO("[CECO].[PARENTH3].[AMSA1001AD4500]","","AMSA1001AD4500 - Comun.Mitig. y Comp.","","000")</f>
        <v>AMSA1001AD4500 - Comun.Mitig. y Comp.</v>
      </c>
      <c r="B16" s="2" t="str">
        <f xml:space="preserve"> _xll.EPMOlapMemberO("[CLACO].[PARENTH7].[AMSAINFORMATIC]","","AMSAINFORMATIC - Informática y Comuni","","000")</f>
        <v>AMSAINFORMATIC - Informática y Comuni</v>
      </c>
      <c r="C16" s="1" t="str">
        <f>_xlfn.CONCAT(_xll.EPMMemberProperty("COSTOS", _xll.EPMMemberID(A16), "PARENTH3"), " - ", _xll.EPMMemberDesc(_xll.EPMMemberProperty("COSTOS", _xll.EPMMemberID(A16), "PARENTH3"), "COSTOS"))</f>
        <v>N100100552 - Mitigación y Compens</v>
      </c>
      <c r="E16">
        <v>187</v>
      </c>
      <c r="F16">
        <f t="shared" si="0"/>
        <v>187</v>
      </c>
      <c r="G16">
        <v>273.02</v>
      </c>
      <c r="H16">
        <v>187</v>
      </c>
      <c r="I16">
        <f t="shared" si="1"/>
        <v>-86.019999999999982</v>
      </c>
      <c r="J16">
        <v>276.11</v>
      </c>
      <c r="K16">
        <v>187</v>
      </c>
      <c r="L16">
        <f t="shared" si="2"/>
        <v>-89.110000000000014</v>
      </c>
      <c r="N16">
        <v>187</v>
      </c>
      <c r="O16">
        <f t="shared" si="3"/>
        <v>187</v>
      </c>
      <c r="P16">
        <v>187.78</v>
      </c>
      <c r="Q16">
        <v>187</v>
      </c>
      <c r="R16">
        <f t="shared" si="4"/>
        <v>-0.78000000000000114</v>
      </c>
      <c r="S16">
        <v>834.97</v>
      </c>
      <c r="T16">
        <v>2244</v>
      </c>
      <c r="U16">
        <f t="shared" si="5"/>
        <v>1409.03</v>
      </c>
    </row>
    <row r="17" spans="1:21" x14ac:dyDescent="0.3">
      <c r="A17" s="2" t="str">
        <f xml:space="preserve"> _xll.EPMOlapMemberO("[CECO].[PARENTH3].[AMSA1001AD4500]","","AMSA1001AD4500 - Comun.Mitig. y Comp.","","000")</f>
        <v>AMSA1001AD4500 - Comun.Mitig. y Comp.</v>
      </c>
      <c r="B17" s="2" t="str">
        <f xml:space="preserve"> _xll.EPMOlapMemberO("[CLACO].[PARENTH7].[AMSALIQUIDACIO.SEC]","","AMSALIQUIDACIO.SEC - Liquidación Interna","","000")</f>
        <v>AMSALIQUIDACIO.SEC - Liquidación Interna</v>
      </c>
      <c r="C17" s="1" t="str">
        <f>_xlfn.CONCAT(_xll.EPMMemberProperty("COSTOS", _xll.EPMMemberID(A17), "PARENTH3"), " - ", _xll.EPMMemberDesc(_xll.EPMMemberProperty("COSTOS", _xll.EPMMemberID(A17), "PARENTH3"), "COSTOS"))</f>
        <v>N100100552 - Mitigación y Compens</v>
      </c>
      <c r="D17">
        <v>400.72</v>
      </c>
      <c r="F17">
        <f t="shared" si="0"/>
        <v>-400.72</v>
      </c>
      <c r="G17">
        <v>19457.71</v>
      </c>
      <c r="I17">
        <f t="shared" si="1"/>
        <v>-19457.71</v>
      </c>
      <c r="J17">
        <v>-466.14</v>
      </c>
      <c r="L17">
        <f t="shared" si="2"/>
        <v>466.14</v>
      </c>
      <c r="O17">
        <f t="shared" si="3"/>
        <v>0</v>
      </c>
      <c r="R17">
        <f t="shared" si="4"/>
        <v>0</v>
      </c>
      <c r="S17">
        <v>19392.29</v>
      </c>
      <c r="U17">
        <f t="shared" si="5"/>
        <v>-19392.29</v>
      </c>
    </row>
    <row r="18" spans="1:21" x14ac:dyDescent="0.3">
      <c r="A18" s="2" t="str">
        <f xml:space="preserve"> _xll.EPMOlapMemberO("[CECO].[PARENTH3].[AMSA1001AD4534]","","AMSA1001AD4534 - Acuerdo Llimpo","","000")</f>
        <v>AMSA1001AD4534 - Acuerdo Llimpo</v>
      </c>
      <c r="B18" s="2" t="str">
        <f xml:space="preserve"> _xll.EPMOlapMemberO("[CLACO].[PARENTH7].[AMSASERVICIOS]","","AMSASERVICIOS - Servicios","","000")</f>
        <v>AMSASERVICIOS - Servicios</v>
      </c>
      <c r="C18" s="1" t="str">
        <f>_xlfn.CONCAT(_xll.EPMMemberProperty("COSTOS", _xll.EPMMemberID(A18), "PARENTH3"), " - ", _xll.EPMMemberDesc(_xll.EPMMemberProperty("COSTOS", _xll.EPMMemberID(A18), "PARENTH3"), "COSTOS"))</f>
        <v>N100100552 - Mitigación y Compens</v>
      </c>
      <c r="F18">
        <f t="shared" si="0"/>
        <v>0</v>
      </c>
      <c r="H18">
        <v>0</v>
      </c>
      <c r="I18">
        <f t="shared" si="1"/>
        <v>0</v>
      </c>
      <c r="K18">
        <v>0</v>
      </c>
      <c r="L18">
        <f t="shared" si="2"/>
        <v>0</v>
      </c>
      <c r="N18">
        <v>0</v>
      </c>
      <c r="O18">
        <f t="shared" si="3"/>
        <v>0</v>
      </c>
      <c r="Q18">
        <v>0</v>
      </c>
      <c r="R18">
        <f t="shared" si="4"/>
        <v>0</v>
      </c>
      <c r="T18">
        <v>51272.12</v>
      </c>
      <c r="U18">
        <f t="shared" si="5"/>
        <v>51272.12</v>
      </c>
    </row>
    <row r="19" spans="1:21" x14ac:dyDescent="0.3">
      <c r="A19" s="2" t="str">
        <f xml:space="preserve"> _xll.EPMOlapMemberO("[CECO].[PARENTH3].[AMSA1001AD4511]","","AMSA1001AD4511 - Somos Choapa IS","","000")</f>
        <v>AMSA1001AD4511 - Somos Choapa IS</v>
      </c>
      <c r="B19" s="2" t="str">
        <f xml:space="preserve"> _xll.EPMOlapMemberO("[CLACO].[PARENTH7].[AMSASERVICIOS]","","AMSASERVICIOS - Servicios","","000")</f>
        <v>AMSASERVICIOS - Servicios</v>
      </c>
      <c r="C19" s="1" t="str">
        <f>_xlfn.CONCAT(_xll.EPMMemberProperty("COSTOS", _xll.EPMMemberID(A19), "PARENTH3"), " - ", _xll.EPMMemberDesc(_xll.EPMMemberProperty("COSTOS", _xll.EPMMemberID(A19), "PARENTH3"), "COSTOS"))</f>
        <v>N100100553 - Inversión Social</v>
      </c>
      <c r="E19">
        <v>0</v>
      </c>
      <c r="F19">
        <f t="shared" si="0"/>
        <v>0</v>
      </c>
      <c r="I19">
        <f t="shared" si="1"/>
        <v>0</v>
      </c>
      <c r="K19">
        <v>0</v>
      </c>
      <c r="L19">
        <f t="shared" si="2"/>
        <v>0</v>
      </c>
      <c r="O19">
        <f t="shared" si="3"/>
        <v>0</v>
      </c>
      <c r="Q19">
        <v>0</v>
      </c>
      <c r="R19">
        <f t="shared" si="4"/>
        <v>0</v>
      </c>
      <c r="T19">
        <v>0</v>
      </c>
      <c r="U19">
        <f t="shared" si="5"/>
        <v>0</v>
      </c>
    </row>
    <row r="20" spans="1:21" x14ac:dyDescent="0.3">
      <c r="A20" s="2" t="str">
        <f xml:space="preserve"> _xll.EPMOlapMemberO("[CECO].[PARENTH3].[AMSA1001AD4511]","","AMSA1001AD4511 - Somos Choapa IS","","000")</f>
        <v>AMSA1001AD4511 - Somos Choapa IS</v>
      </c>
      <c r="B20" s="2" t="str">
        <f xml:space="preserve"> _xll.EPMOlapMemberO("[CLACO].[PARENTH7].[AMSALIQUIDACIO.SEC]","","AMSALIQUIDACIO.SEC - Liquidación Interna","","000")</f>
        <v>AMSALIQUIDACIO.SEC - Liquidación Interna</v>
      </c>
      <c r="C20" s="1" t="str">
        <f>_xlfn.CONCAT(_xll.EPMMemberProperty("COSTOS", _xll.EPMMemberID(A20), "PARENTH3"), " - ", _xll.EPMMemberDesc(_xll.EPMMemberProperty("COSTOS", _xll.EPMMemberID(A20), "PARENTH3"), "COSTOS"))</f>
        <v>N100100553 - Inversión Social</v>
      </c>
      <c r="F20">
        <f t="shared" si="0"/>
        <v>0</v>
      </c>
      <c r="I20">
        <f t="shared" si="1"/>
        <v>0</v>
      </c>
      <c r="J20">
        <v>47201.01</v>
      </c>
      <c r="L20">
        <f t="shared" si="2"/>
        <v>-47201.01</v>
      </c>
      <c r="M20">
        <v>1275.8699999999999</v>
      </c>
      <c r="O20">
        <f t="shared" si="3"/>
        <v>-1275.8699999999999</v>
      </c>
      <c r="P20">
        <v>-48476.88</v>
      </c>
      <c r="R20">
        <f t="shared" si="4"/>
        <v>48476.88</v>
      </c>
      <c r="S20">
        <v>0</v>
      </c>
      <c r="U20">
        <f t="shared" si="5"/>
        <v>0</v>
      </c>
    </row>
    <row r="21" spans="1:21" x14ac:dyDescent="0.3">
      <c r="A21" s="2" t="str">
        <f xml:space="preserve"> _xll.EPMOlapMemberO("[CECO].[PARENTH3].[AMSA1001AD4518]","","AMSA1001AD4518 - Comunidades IS","","000")</f>
        <v>AMSA1001AD4518 - Comunidades IS</v>
      </c>
      <c r="B21" s="2" t="str">
        <f xml:space="preserve"> _xll.EPMOlapMemberO("[CLACO].[PARENTH7].[AMSASERVICIOS]","","AMSASERVICIOS - Servicios","","000")</f>
        <v>AMSASERVICIOS - Servicios</v>
      </c>
      <c r="C21" s="1" t="str">
        <f>_xlfn.CONCAT(_xll.EPMMemberProperty("COSTOS", _xll.EPMMemberID(A21), "PARENTH3"), " - ", _xll.EPMMemberDesc(_xll.EPMMemberProperty("COSTOS", _xll.EPMMemberID(A21), "PARENTH3"), "COSTOS"))</f>
        <v>N100100553 - Inversión Social</v>
      </c>
      <c r="F21">
        <f t="shared" si="0"/>
        <v>0</v>
      </c>
      <c r="I21">
        <f t="shared" si="1"/>
        <v>0</v>
      </c>
      <c r="L21">
        <f t="shared" si="2"/>
        <v>0</v>
      </c>
      <c r="O21">
        <f t="shared" si="3"/>
        <v>0</v>
      </c>
      <c r="P21">
        <v>-17976.12</v>
      </c>
      <c r="R21">
        <f t="shared" si="4"/>
        <v>17976.12</v>
      </c>
      <c r="S21">
        <v>-17976.12</v>
      </c>
      <c r="U21">
        <f t="shared" si="5"/>
        <v>17976.12</v>
      </c>
    </row>
    <row r="22" spans="1:21" x14ac:dyDescent="0.3">
      <c r="A22" s="2" t="str">
        <f xml:space="preserve"> _xll.EPMOlapMemberO("[CECO].[PARENTH3].[AMSA1001AD4518]","","AMSA1001AD4518 - Comunidades IS","","000")</f>
        <v>AMSA1001AD4518 - Comunidades IS</v>
      </c>
      <c r="B22" s="2" t="str">
        <f xml:space="preserve"> _xll.EPMOlapMemberO("[CLACO].[PARENTH7].[AMSALIQUIDACIO.SEC]","","AMSALIQUIDACIO.SEC - Liquidación Interna","","000")</f>
        <v>AMSALIQUIDACIO.SEC - Liquidación Interna</v>
      </c>
      <c r="C22" s="1" t="str">
        <f>_xlfn.CONCAT(_xll.EPMMemberProperty("COSTOS", _xll.EPMMemberID(A22), "PARENTH3"), " - ", _xll.EPMMemberDesc(_xll.EPMMemberProperty("COSTOS", _xll.EPMMemberID(A22), "PARENTH3"), "COSTOS"))</f>
        <v>N100100553 - Inversión Social</v>
      </c>
      <c r="F22">
        <f t="shared" si="0"/>
        <v>0</v>
      </c>
      <c r="G22">
        <v>34758.43</v>
      </c>
      <c r="I22">
        <f t="shared" si="1"/>
        <v>-34758.43</v>
      </c>
      <c r="J22">
        <v>-89.28</v>
      </c>
      <c r="L22">
        <f t="shared" si="2"/>
        <v>89.28</v>
      </c>
      <c r="O22">
        <f t="shared" si="3"/>
        <v>0</v>
      </c>
      <c r="P22">
        <v>-17976.12</v>
      </c>
      <c r="R22">
        <f t="shared" si="4"/>
        <v>17976.12</v>
      </c>
      <c r="S22">
        <v>16693.03</v>
      </c>
      <c r="U22">
        <f t="shared" si="5"/>
        <v>-16693.03</v>
      </c>
    </row>
    <row r="23" spans="1:21" x14ac:dyDescent="0.3">
      <c r="A23" s="2" t="str">
        <f xml:space="preserve"> _xll.EPMOlapMemberO("[CECO].[PARENTH3].[AMSA1001AD4519]","","AMSA1001AD4519 - Empleabilidad IS","","000")</f>
        <v>AMSA1001AD4519 - Empleabilidad IS</v>
      </c>
      <c r="B23" s="2" t="str">
        <f xml:space="preserve"> _xll.EPMOlapMemberO("[CLACO].[PARENTH7].[AMSASERVICIOS]","","AMSASERVICIOS - Servicios","","000")</f>
        <v>AMSASERVICIOS - Servicios</v>
      </c>
      <c r="C23" s="1" t="str">
        <f>_xlfn.CONCAT(_xll.EPMMemberProperty("COSTOS", _xll.EPMMemberID(A23), "PARENTH3"), " - ", _xll.EPMMemberDesc(_xll.EPMMemberProperty("COSTOS", _xll.EPMMemberID(A23), "PARENTH3"), "COSTOS"))</f>
        <v>N100100553 - Inversión Social</v>
      </c>
      <c r="E23">
        <v>26778.5</v>
      </c>
      <c r="F23">
        <f t="shared" si="0"/>
        <v>26778.5</v>
      </c>
      <c r="H23">
        <v>26851.71</v>
      </c>
      <c r="I23">
        <f t="shared" si="1"/>
        <v>26851.71</v>
      </c>
      <c r="K23">
        <v>26927.37</v>
      </c>
      <c r="L23">
        <f t="shared" si="2"/>
        <v>26927.37</v>
      </c>
      <c r="N23">
        <v>27003.02</v>
      </c>
      <c r="O23">
        <f t="shared" si="3"/>
        <v>27003.02</v>
      </c>
      <c r="Q23">
        <v>0</v>
      </c>
      <c r="R23">
        <f t="shared" si="4"/>
        <v>0</v>
      </c>
      <c r="T23">
        <v>221168.54</v>
      </c>
      <c r="U23">
        <f t="shared" si="5"/>
        <v>221168.54</v>
      </c>
    </row>
    <row r="24" spans="1:21" x14ac:dyDescent="0.3">
      <c r="A24" s="2" t="str">
        <f xml:space="preserve"> _xll.EPMOlapMemberO("[CECO].[PARENTH3].[AMSA1001AD4519]","","AMSA1001AD4519 - Empleabilidad IS","","000")</f>
        <v>AMSA1001AD4519 - Empleabilidad IS</v>
      </c>
      <c r="B24" s="2" t="str">
        <f xml:space="preserve"> _xll.EPMOlapMemberO("[CLACO].[PARENTH7].[AMSALIQUIDACIO.SEC]","","AMSALIQUIDACIO.SEC - Liquidación Interna","","000")</f>
        <v>AMSALIQUIDACIO.SEC - Liquidación Interna</v>
      </c>
      <c r="C24" s="1" t="str">
        <f>_xlfn.CONCAT(_xll.EPMMemberProperty("COSTOS", _xll.EPMMemberID(A24), "PARENTH3"), " - ", _xll.EPMMemberDesc(_xll.EPMMemberProperty("COSTOS", _xll.EPMMemberID(A24), "PARENTH3"), "COSTOS"))</f>
        <v>N100100553 - Inversión Social</v>
      </c>
      <c r="D24">
        <v>19435.7</v>
      </c>
      <c r="F24">
        <f t="shared" si="0"/>
        <v>-19435.7</v>
      </c>
      <c r="I24">
        <f t="shared" si="1"/>
        <v>0</v>
      </c>
      <c r="J24">
        <v>15535.45</v>
      </c>
      <c r="L24">
        <f t="shared" si="2"/>
        <v>-15535.45</v>
      </c>
      <c r="M24">
        <v>-15535.45</v>
      </c>
      <c r="O24">
        <f t="shared" si="3"/>
        <v>15535.45</v>
      </c>
      <c r="R24">
        <f t="shared" si="4"/>
        <v>0</v>
      </c>
      <c r="S24">
        <v>19435.7</v>
      </c>
      <c r="U24">
        <f t="shared" si="5"/>
        <v>-19435.7</v>
      </c>
    </row>
    <row r="25" spans="1:21" x14ac:dyDescent="0.3">
      <c r="A25" s="2" t="str">
        <f xml:space="preserve"> _xll.EPMOlapMemberO("[CECO].[PARENTH3].[AMSA1001AD0506]","","AMSA1001AD0506 - VPACS Corporativo","","000")</f>
        <v>AMSA1001AD0506 - VPACS Corporativo</v>
      </c>
      <c r="B25" s="2" t="str">
        <f xml:space="preserve"> _xll.EPMOlapMemberO("[CLACO].[PARENTH7].[AMSASERV_CORP]","","AMSASERV_CORP - Servicios Corporativ","","000")</f>
        <v>AMSASERV_CORP - Servicios Corporativ</v>
      </c>
      <c r="C25" s="1" t="str">
        <f>_xlfn.CONCAT(_xll.EPMMemberProperty("COSTOS", _xll.EPMMemberID(A25), "PARENTH3"), " - ", _xll.EPMMemberDesc(_xll.EPMMemberProperty("COSTOS", _xll.EPMMemberID(A25), "PARENTH3"), "COSTOS"))</f>
        <v>N100100554 - Otros programas y Op</v>
      </c>
      <c r="D25">
        <v>379633.71</v>
      </c>
      <c r="E25">
        <v>375355.61</v>
      </c>
      <c r="F25">
        <f t="shared" si="0"/>
        <v>-4278.1000000000349</v>
      </c>
      <c r="G25">
        <v>395169.18</v>
      </c>
      <c r="H25">
        <v>376402.89</v>
      </c>
      <c r="I25">
        <f t="shared" si="1"/>
        <v>-18766.289999999979</v>
      </c>
      <c r="J25">
        <v>393306.14</v>
      </c>
      <c r="K25">
        <v>377453.1</v>
      </c>
      <c r="L25">
        <f t="shared" si="2"/>
        <v>-15853.040000000037</v>
      </c>
      <c r="M25">
        <v>369906.09</v>
      </c>
      <c r="N25">
        <v>378506.23999999999</v>
      </c>
      <c r="O25">
        <f t="shared" si="3"/>
        <v>8600.1499999999651</v>
      </c>
      <c r="P25">
        <v>383067.88</v>
      </c>
      <c r="Q25">
        <v>379562.31</v>
      </c>
      <c r="R25">
        <f t="shared" si="4"/>
        <v>-3505.570000000007</v>
      </c>
      <c r="S25">
        <v>1921083</v>
      </c>
      <c r="T25">
        <v>4574035.0599999996</v>
      </c>
      <c r="U25">
        <f t="shared" si="5"/>
        <v>2652952.0599999996</v>
      </c>
    </row>
    <row r="26" spans="1:21" x14ac:dyDescent="0.3">
      <c r="A26" s="2" t="str">
        <f xml:space="preserve"> _xll.EPMOlapMemberO("[CECO].[PARENTH3].[AMSA1001AD4513]","","AMSA1001AD4513 - Fundación","","000")</f>
        <v>AMSA1001AD4513 - Fundación</v>
      </c>
      <c r="B26" s="2" t="str">
        <f xml:space="preserve"> _xll.EPMOlapMemberO("[CLACO].[PARENTH7].[AMSAINFORMATIC]","","AMSAINFORMATIC - Informática y Comuni","","000")</f>
        <v>AMSAINFORMATIC - Informática y Comuni</v>
      </c>
      <c r="C26" s="1" t="str">
        <f>_xlfn.CONCAT(_xll.EPMMemberProperty("COSTOS", _xll.EPMMemberID(A26), "PARENTH3"), " - ", _xll.EPMMemberDesc(_xll.EPMMemberProperty("COSTOS", _xll.EPMMemberID(A26), "PARENTH3"), "COSTOS"))</f>
        <v>N100100554 - Otros programas y Op</v>
      </c>
      <c r="D26">
        <v>765.9</v>
      </c>
      <c r="F26">
        <f t="shared" si="0"/>
        <v>-765.9</v>
      </c>
      <c r="I26">
        <f t="shared" si="1"/>
        <v>0</v>
      </c>
      <c r="L26">
        <f t="shared" si="2"/>
        <v>0</v>
      </c>
      <c r="O26">
        <f t="shared" si="3"/>
        <v>0</v>
      </c>
      <c r="R26">
        <f t="shared" si="4"/>
        <v>0</v>
      </c>
      <c r="S26">
        <v>765.9</v>
      </c>
      <c r="U26">
        <f t="shared" si="5"/>
        <v>-765.9</v>
      </c>
    </row>
    <row r="27" spans="1:21" x14ac:dyDescent="0.3">
      <c r="A27" s="2" t="str">
        <f xml:space="preserve"> _xll.EPMOlapMemberO("[CECO].[PARENTH3].[AMSA1001AD4517]","","AMSA1001AD4517 - Comunicación Externa","","000")</f>
        <v>AMSA1001AD4517 - Comunicación Externa</v>
      </c>
      <c r="B27" s="2" t="str">
        <f xml:space="preserve"> _xll.EPMOlapMemberO("[CLACO].[PARENTH7].[AMSAINFORMATIC]","","AMSAINFORMATIC - Informática y Comuni","","000")</f>
        <v>AMSAINFORMATIC - Informática y Comuni</v>
      </c>
      <c r="C27" s="1" t="str">
        <f>_xlfn.CONCAT(_xll.EPMMemberProperty("COSTOS", _xll.EPMMemberID(A27), "PARENTH3"), " - ", _xll.EPMMemberDesc(_xll.EPMMemberProperty("COSTOS", _xll.EPMMemberID(A27), "PARENTH3"), "COSTOS"))</f>
        <v>N100100554 - Otros programas y Op</v>
      </c>
      <c r="D27">
        <v>0</v>
      </c>
      <c r="E27">
        <v>9788</v>
      </c>
      <c r="F27">
        <f t="shared" si="0"/>
        <v>9788</v>
      </c>
      <c r="G27">
        <v>0</v>
      </c>
      <c r="H27">
        <v>9814.76</v>
      </c>
      <c r="I27">
        <f t="shared" si="1"/>
        <v>9814.76</v>
      </c>
      <c r="J27">
        <v>0</v>
      </c>
      <c r="K27">
        <v>9842.42</v>
      </c>
      <c r="L27">
        <f t="shared" si="2"/>
        <v>9842.42</v>
      </c>
      <c r="M27">
        <v>0</v>
      </c>
      <c r="N27">
        <v>9870.07</v>
      </c>
      <c r="O27">
        <f t="shared" si="3"/>
        <v>9870.07</v>
      </c>
      <c r="Q27">
        <v>21102.69</v>
      </c>
      <c r="R27">
        <f t="shared" si="4"/>
        <v>21102.69</v>
      </c>
      <c r="S27">
        <v>0</v>
      </c>
      <c r="T27">
        <v>136119.65</v>
      </c>
      <c r="U27">
        <f t="shared" si="5"/>
        <v>136119.65</v>
      </c>
    </row>
    <row r="28" spans="1:21" x14ac:dyDescent="0.3">
      <c r="A28" s="2" t="str">
        <f xml:space="preserve"> _xll.EPMOlapMemberO("[CECO].[PARENTH3].[AMSA1001AD4517]","","AMSA1001AD4517 - Comunicación Externa","","000")</f>
        <v>AMSA1001AD4517 - Comunicación Externa</v>
      </c>
      <c r="B28" s="2" t="str">
        <f xml:space="preserve"> _xll.EPMOlapMemberO("[CLACO].[PARENTH7].[AMSAGGENERALES.2]","","AMSAGGENERALES.2 - Otros Gastos","","000")</f>
        <v>AMSAGGENERALES.2 - Otros Gastos</v>
      </c>
      <c r="C28" s="1" t="str">
        <f>_xlfn.CONCAT(_xll.EPMMemberProperty("COSTOS", _xll.EPMMemberID(A28), "PARENTH3"), " - ", _xll.EPMMemberDesc(_xll.EPMMemberProperty("COSTOS", _xll.EPMMemberID(A28), "PARENTH3"), "COSTOS"))</f>
        <v>N100100554 - Otros programas y Op</v>
      </c>
      <c r="E28">
        <v>167762.70000000001</v>
      </c>
      <c r="F28">
        <f t="shared" si="0"/>
        <v>167762.70000000001</v>
      </c>
      <c r="H28">
        <v>42666.45</v>
      </c>
      <c r="I28">
        <f t="shared" si="1"/>
        <v>42666.45</v>
      </c>
      <c r="K28">
        <v>32758.53</v>
      </c>
      <c r="L28">
        <f t="shared" si="2"/>
        <v>32758.53</v>
      </c>
      <c r="N28">
        <v>97657.81</v>
      </c>
      <c r="O28">
        <f t="shared" si="3"/>
        <v>97657.81</v>
      </c>
      <c r="Q28">
        <v>69918.990000000005</v>
      </c>
      <c r="R28">
        <f t="shared" si="4"/>
        <v>69918.990000000005</v>
      </c>
      <c r="T28">
        <v>800990.67</v>
      </c>
      <c r="U28">
        <f t="shared" si="5"/>
        <v>800990.67</v>
      </c>
    </row>
    <row r="29" spans="1:21" x14ac:dyDescent="0.3">
      <c r="A29" s="2" t="str">
        <f xml:space="preserve"> _xll.EPMOlapMemberO("[CECO].[PARENTH3].[AMSA1001AD4517]","","AMSA1001AD4517 - Comunicación Externa","","000")</f>
        <v>AMSA1001AD4517 - Comunicación Externa</v>
      </c>
      <c r="B29" s="2" t="str">
        <f xml:space="preserve"> _xll.EPMOlapMemberO("[CLACO].[PARENTH7].[AMSALIQUIDACIO.SEC]","","AMSALIQUIDACIO.SEC - Liquidación Interna","","000")</f>
        <v>AMSALIQUIDACIO.SEC - Liquidación Interna</v>
      </c>
      <c r="C29" s="1" t="str">
        <f>_xlfn.CONCAT(_xll.EPMMemberProperty("COSTOS", _xll.EPMMemberID(A29), "PARENTH3"), " - ", _xll.EPMMemberDesc(_xll.EPMMemberProperty("COSTOS", _xll.EPMMemberID(A29), "PARENTH3"), "COSTOS"))</f>
        <v>N100100554 - Otros programas y Op</v>
      </c>
      <c r="D29">
        <v>440547.82</v>
      </c>
      <c r="F29">
        <f t="shared" si="0"/>
        <v>-440547.82</v>
      </c>
      <c r="G29">
        <v>47306.15</v>
      </c>
      <c r="I29">
        <f t="shared" si="1"/>
        <v>-47306.15</v>
      </c>
      <c r="J29">
        <v>498828.3</v>
      </c>
      <c r="L29">
        <f t="shared" si="2"/>
        <v>-498828.3</v>
      </c>
      <c r="M29">
        <v>137783.87</v>
      </c>
      <c r="O29">
        <f t="shared" si="3"/>
        <v>-137783.87</v>
      </c>
      <c r="P29">
        <v>100021.72</v>
      </c>
      <c r="R29">
        <f t="shared" si="4"/>
        <v>-100021.72</v>
      </c>
      <c r="S29">
        <v>1224487.8600000001</v>
      </c>
      <c r="U29">
        <f t="shared" si="5"/>
        <v>-1224487.8600000001</v>
      </c>
    </row>
    <row r="30" spans="1:21" x14ac:dyDescent="0.3">
      <c r="A30" s="2" t="str">
        <f xml:space="preserve"> _xll.EPMOlapMemberO("[CECO].[PARENTH3].[AMSA1001AD4520]","","AMSA1001AD4520 - Empleabilidad OP","","000")</f>
        <v>AMSA1001AD4520 - Empleabilidad OP</v>
      </c>
      <c r="B30" s="2" t="str">
        <f xml:space="preserve"> _xll.EPMOlapMemberO("[CLACO].[PARENTH7].[AMSAASESORIAS]","","AMSAASESORIAS - Asesorías y Consulto","","000")</f>
        <v>AMSAASESORIAS - Asesorías y Consulto</v>
      </c>
      <c r="C30" s="1" t="str">
        <f>_xlfn.CONCAT(_xll.EPMMemberProperty("COSTOS", _xll.EPMMemberID(A30), "PARENTH3"), " - ", _xll.EPMMemberDesc(_xll.EPMMemberProperty("COSTOS", _xll.EPMMemberID(A30), "PARENTH3"), "COSTOS"))</f>
        <v>N100100554 - Otros programas y Op</v>
      </c>
      <c r="E30">
        <v>9086.2199999999993</v>
      </c>
      <c r="F30">
        <f t="shared" si="0"/>
        <v>9086.2199999999993</v>
      </c>
      <c r="H30">
        <v>9111.06</v>
      </c>
      <c r="I30">
        <f t="shared" si="1"/>
        <v>9111.06</v>
      </c>
      <c r="K30">
        <v>9136.73</v>
      </c>
      <c r="L30">
        <f t="shared" si="2"/>
        <v>9136.73</v>
      </c>
      <c r="N30">
        <v>9162.4</v>
      </c>
      <c r="O30">
        <f t="shared" si="3"/>
        <v>9162.4</v>
      </c>
      <c r="Q30">
        <v>9188.07</v>
      </c>
      <c r="R30">
        <f t="shared" si="4"/>
        <v>9188.07</v>
      </c>
      <c r="T30">
        <v>110721.39</v>
      </c>
      <c r="U30">
        <f t="shared" si="5"/>
        <v>110721.39</v>
      </c>
    </row>
    <row r="31" spans="1:21" x14ac:dyDescent="0.3">
      <c r="A31" s="2" t="str">
        <f xml:space="preserve"> _xll.EPMOlapMemberO("[CECO].[PARENTH3].[AMSA1001AD4520]","","AMSA1001AD4520 - Empleabilidad OP","","000")</f>
        <v>AMSA1001AD4520 - Empleabilidad OP</v>
      </c>
      <c r="B31" s="2" t="str">
        <f xml:space="preserve"> _xll.EPMOlapMemberO("[CLACO].[PARENTH7].[AMSASERVICIOS]","","AMSASERVICIOS - Servicios","","000")</f>
        <v>AMSASERVICIOS - Servicios</v>
      </c>
      <c r="C31" s="1" t="str">
        <f>_xlfn.CONCAT(_xll.EPMMemberProperty("COSTOS", _xll.EPMMemberID(A31), "PARENTH3"), " - ", _xll.EPMMemberDesc(_xll.EPMMemberProperty("COSTOS", _xll.EPMMemberID(A31), "PARENTH3"), "COSTOS"))</f>
        <v>N100100554 - Otros programas y Op</v>
      </c>
      <c r="D31">
        <v>-10288.6</v>
      </c>
      <c r="E31">
        <v>36104.81</v>
      </c>
      <c r="F31">
        <f t="shared" si="0"/>
        <v>46393.409999999996</v>
      </c>
      <c r="G31">
        <v>9304.33</v>
      </c>
      <c r="H31">
        <v>36203.519999999997</v>
      </c>
      <c r="I31">
        <f t="shared" si="1"/>
        <v>26899.189999999995</v>
      </c>
      <c r="J31">
        <v>10520.16</v>
      </c>
      <c r="K31">
        <v>36639.79</v>
      </c>
      <c r="L31">
        <f t="shared" si="2"/>
        <v>26119.63</v>
      </c>
      <c r="M31">
        <v>10254.01</v>
      </c>
      <c r="N31">
        <v>36742.730000000003</v>
      </c>
      <c r="O31">
        <f t="shared" si="3"/>
        <v>26488.720000000001</v>
      </c>
      <c r="P31">
        <v>8908.99</v>
      </c>
      <c r="Q31">
        <v>36845.660000000003</v>
      </c>
      <c r="R31">
        <f t="shared" si="4"/>
        <v>27936.670000000006</v>
      </c>
      <c r="S31">
        <v>19789.900000000001</v>
      </c>
      <c r="T31">
        <v>444481.32</v>
      </c>
      <c r="U31">
        <f t="shared" si="5"/>
        <v>424691.42</v>
      </c>
    </row>
    <row r="32" spans="1:21" x14ac:dyDescent="0.3">
      <c r="A32" s="2" t="str">
        <f xml:space="preserve"> _xll.EPMOlapMemberO("[CECO].[PARENTH3].[AMSA1001AD4520]","","AMSA1001AD4520 - Empleabilidad OP","","000")</f>
        <v>AMSA1001AD4520 - Empleabilidad OP</v>
      </c>
      <c r="B32" s="2" t="str">
        <f xml:space="preserve"> _xll.EPMOlapMemberO("[CLACO].[PARENTH7].[AMSAG_VIAJES]","","AMSAG_VIAJES - Gastos de Viajes","","000")</f>
        <v>AMSAG_VIAJES - Gastos de Viajes</v>
      </c>
      <c r="C32" s="1" t="str">
        <f>_xlfn.CONCAT(_xll.EPMMemberProperty("COSTOS", _xll.EPMMemberID(A32), "PARENTH3"), " - ", _xll.EPMMemberDesc(_xll.EPMMemberProperty("COSTOS", _xll.EPMMemberID(A32), "PARENTH3"), "COSTOS"))</f>
        <v>N100100554 - Otros programas y Op</v>
      </c>
      <c r="D32">
        <v>5918.79</v>
      </c>
      <c r="E32">
        <v>3545.84</v>
      </c>
      <c r="F32">
        <f t="shared" si="0"/>
        <v>-2372.9499999999998</v>
      </c>
      <c r="G32">
        <v>4159.51</v>
      </c>
      <c r="H32">
        <v>3555.54</v>
      </c>
      <c r="I32">
        <f t="shared" si="1"/>
        <v>-603.97000000000025</v>
      </c>
      <c r="J32">
        <v>3567.28</v>
      </c>
      <c r="K32">
        <v>3565.55</v>
      </c>
      <c r="L32">
        <f t="shared" si="2"/>
        <v>-1.7300000000000182</v>
      </c>
      <c r="M32">
        <v>1647.88</v>
      </c>
      <c r="N32">
        <v>3575.57</v>
      </c>
      <c r="O32">
        <f t="shared" si="3"/>
        <v>1927.69</v>
      </c>
      <c r="P32">
        <v>2848.63</v>
      </c>
      <c r="Q32">
        <v>3585.59</v>
      </c>
      <c r="R32">
        <f t="shared" si="4"/>
        <v>736.96</v>
      </c>
      <c r="S32">
        <v>18135.330000000002</v>
      </c>
      <c r="T32">
        <v>43208.35</v>
      </c>
      <c r="U32">
        <f t="shared" si="5"/>
        <v>25073.019999999997</v>
      </c>
    </row>
    <row r="33" spans="1:21" x14ac:dyDescent="0.3">
      <c r="A33" s="2" t="str">
        <f xml:space="preserve"> _xll.EPMOlapMemberO("[CECO].[PARENTH3].[AMSA1001AD4520]","","AMSA1001AD4520 - Empleabilidad OP","","000")</f>
        <v>AMSA1001AD4520 - Empleabilidad OP</v>
      </c>
      <c r="B33" s="2" t="str">
        <f xml:space="preserve"> _xll.EPMOlapMemberO("[CLACO].[PARENTH7].[AMSALIQUIDACIO.SEC]","","AMSALIQUIDACIO.SEC - Liquidación Interna","","000")</f>
        <v>AMSALIQUIDACIO.SEC - Liquidación Interna</v>
      </c>
      <c r="C33" s="1" t="str">
        <f>_xlfn.CONCAT(_xll.EPMMemberProperty("COSTOS", _xll.EPMMemberID(A33), "PARENTH3"), " - ", _xll.EPMMemberDesc(_xll.EPMMemberProperty("COSTOS", _xll.EPMMemberID(A33), "PARENTH3"), "COSTOS"))</f>
        <v>N100100554 - Otros programas y Op</v>
      </c>
      <c r="D33">
        <v>3199.37</v>
      </c>
      <c r="F33">
        <f t="shared" si="0"/>
        <v>-3199.37</v>
      </c>
      <c r="G33">
        <v>60212.69</v>
      </c>
      <c r="I33">
        <f t="shared" si="1"/>
        <v>-60212.69</v>
      </c>
      <c r="J33">
        <v>18324.45</v>
      </c>
      <c r="L33">
        <f t="shared" si="2"/>
        <v>-18324.45</v>
      </c>
      <c r="M33">
        <v>47751.37</v>
      </c>
      <c r="O33">
        <f t="shared" si="3"/>
        <v>-47751.37</v>
      </c>
      <c r="P33">
        <v>32484.48</v>
      </c>
      <c r="R33">
        <f t="shared" si="4"/>
        <v>-32484.48</v>
      </c>
      <c r="S33">
        <v>161972.35999999999</v>
      </c>
      <c r="U33">
        <f t="shared" si="5"/>
        <v>-161972.35999999999</v>
      </c>
    </row>
    <row r="34" spans="1:21" x14ac:dyDescent="0.3">
      <c r="A34" s="2" t="str">
        <f xml:space="preserve"> _xll.EPMOlapMemberO("[CECO].[PARENTH3].[AMSA1001AD4523]","","AMSA1001AD4523 - Adm Plan Asu Pub C3","","000")</f>
        <v>AMSA1001AD4523 - Adm Plan Asu Pub C3</v>
      </c>
      <c r="B34" s="2" t="str">
        <f xml:space="preserve"> _xll.EPMOlapMemberO("[CLACO].[PARENTH7].[AMSAASESORIAS]","","AMSAASESORIAS - Asesorías y Consulto","","000")</f>
        <v>AMSAASESORIAS - Asesorías y Consulto</v>
      </c>
      <c r="C34" s="1" t="str">
        <f>_xlfn.CONCAT(_xll.EPMMemberProperty("COSTOS", _xll.EPMMemberID(A34), "PARENTH3"), " - ", _xll.EPMMemberDesc(_xll.EPMMemberProperty("COSTOS", _xll.EPMMemberID(A34), "PARENTH3"), "COSTOS"))</f>
        <v>N100100554 - Otros programas y Op</v>
      </c>
      <c r="E34">
        <v>21950.98</v>
      </c>
      <c r="F34">
        <f t="shared" si="0"/>
        <v>21950.98</v>
      </c>
      <c r="H34">
        <v>22011</v>
      </c>
      <c r="I34">
        <f t="shared" si="1"/>
        <v>22011</v>
      </c>
      <c r="K34">
        <v>22073.01</v>
      </c>
      <c r="L34">
        <f t="shared" si="2"/>
        <v>22073.01</v>
      </c>
      <c r="N34">
        <v>22135.03</v>
      </c>
      <c r="O34">
        <f t="shared" si="3"/>
        <v>22135.03</v>
      </c>
      <c r="Q34">
        <v>22197.040000000001</v>
      </c>
      <c r="R34">
        <f t="shared" si="4"/>
        <v>22197.040000000001</v>
      </c>
      <c r="T34">
        <v>267486.73</v>
      </c>
      <c r="U34">
        <f t="shared" si="5"/>
        <v>267486.73</v>
      </c>
    </row>
    <row r="35" spans="1:21" x14ac:dyDescent="0.3">
      <c r="A35" s="2" t="str">
        <f xml:space="preserve"> _xll.EPMOlapMemberO("[CECO].[PARENTH3].[AMSA1001AD4523]","","AMSA1001AD4523 - Adm Plan Asu Pub C3","","000")</f>
        <v>AMSA1001AD4523 - Adm Plan Asu Pub C3</v>
      </c>
      <c r="B35" s="6" t="str">
        <f xml:space="preserve"> _xll.EPMOlapMemberO("[CLACO].[PARENTH7].[AMSASUBREPARTO.SEC]","","AMSASUBREPARTO.SEC - Subrepartos","","000")</f>
        <v>AMSASUBREPARTO.SEC - Subrepartos</v>
      </c>
      <c r="C35" s="1" t="str">
        <f>_xlfn.CONCAT(_xll.EPMMemberProperty("COSTOS", _xll.EPMMemberID(A35), "PARENTH3"), " - ", _xll.EPMMemberDesc(_xll.EPMMemberProperty("COSTOS", _xll.EPMMemberID(A35), "PARENTH3"), "COSTOS"))</f>
        <v>N100100554 - Otros programas y Op</v>
      </c>
      <c r="D35">
        <v>863.78</v>
      </c>
      <c r="E35">
        <v>964.01</v>
      </c>
      <c r="F35">
        <f t="shared" si="0"/>
        <v>100.23000000000002</v>
      </c>
      <c r="G35">
        <v>885.51</v>
      </c>
      <c r="H35">
        <v>884.19</v>
      </c>
      <c r="I35">
        <f t="shared" si="1"/>
        <v>-1.3199999999999363</v>
      </c>
      <c r="J35">
        <v>940.25</v>
      </c>
      <c r="K35">
        <v>907.68</v>
      </c>
      <c r="L35">
        <f t="shared" si="2"/>
        <v>-32.57000000000005</v>
      </c>
      <c r="M35">
        <v>788.6</v>
      </c>
      <c r="N35">
        <v>954.24</v>
      </c>
      <c r="O35">
        <f t="shared" si="3"/>
        <v>165.64</v>
      </c>
      <c r="P35">
        <v>888.06</v>
      </c>
      <c r="Q35">
        <v>915.48</v>
      </c>
      <c r="R35">
        <f t="shared" si="4"/>
        <v>27.420000000000073</v>
      </c>
      <c r="S35">
        <v>4366.2</v>
      </c>
      <c r="T35">
        <v>11437.54</v>
      </c>
      <c r="U35">
        <f t="shared" si="5"/>
        <v>7071.3400000000011</v>
      </c>
    </row>
    <row r="36" spans="1:21" x14ac:dyDescent="0.3">
      <c r="A36" s="2" t="str">
        <f xml:space="preserve"> _xll.EPMOlapMemberO("[CECO].[PARENTH3].[AMSA1001AD4524]","","AMSA1001AD4524 - Somos Choapa Op","","000")</f>
        <v>AMSA1001AD4524 - Somos Choapa Op</v>
      </c>
      <c r="B36" s="6" t="str">
        <f xml:space="preserve"> _xll.EPMOlapMemberO("[CLACO].[PARENTH7].[AMSAASESORIAS]","","AMSAASESORIAS - Asesorías y Consulto","","000")</f>
        <v>AMSAASESORIAS - Asesorías y Consulto</v>
      </c>
      <c r="C36" s="1" t="str">
        <f>_xlfn.CONCAT(_xll.EPMMemberProperty("COSTOS", _xll.EPMMemberID(A36), "PARENTH3"), " - ", _xll.EPMMemberDesc(_xll.EPMMemberProperty("COSTOS", _xll.EPMMemberID(A36), "PARENTH3"), "COSTOS"))</f>
        <v>N100100554 - Otros programas y Op</v>
      </c>
      <c r="E36">
        <v>138509.49</v>
      </c>
      <c r="F36">
        <f t="shared" si="0"/>
        <v>138509.49</v>
      </c>
      <c r="H36">
        <v>138888.17000000001</v>
      </c>
      <c r="I36">
        <f t="shared" si="1"/>
        <v>138888.17000000001</v>
      </c>
      <c r="K36">
        <v>139279.48000000001</v>
      </c>
      <c r="L36">
        <f t="shared" si="2"/>
        <v>139279.48000000001</v>
      </c>
      <c r="N36">
        <v>106879.44</v>
      </c>
      <c r="O36">
        <f t="shared" si="3"/>
        <v>106879.44</v>
      </c>
      <c r="Q36">
        <v>107178.87</v>
      </c>
      <c r="R36">
        <f t="shared" si="4"/>
        <v>107178.87</v>
      </c>
      <c r="T36">
        <v>1389391.09</v>
      </c>
      <c r="U36">
        <f t="shared" si="5"/>
        <v>1389391.09</v>
      </c>
    </row>
    <row r="37" spans="1:21" x14ac:dyDescent="0.3">
      <c r="A37" s="2" t="str">
        <f xml:space="preserve"> _xll.EPMOlapMemberO("[CECO].[PARENTH3].[AMSA1001AD4524]","","AMSA1001AD4524 - Somos Choapa Op","","000")</f>
        <v>AMSA1001AD4524 - Somos Choapa Op</v>
      </c>
      <c r="B37" s="2" t="str">
        <f xml:space="preserve"> _xll.EPMOlapMemberO("[CLACO].[PARENTH7].[AMSASERVICIOS]","","AMSASERVICIOS - Servicios","","000")</f>
        <v>AMSASERVICIOS - Servicios</v>
      </c>
      <c r="C37" s="1" t="str">
        <f>_xlfn.CONCAT(_xll.EPMMemberProperty("COSTOS", _xll.EPMMemberID(A37), "PARENTH3"), " - ", _xll.EPMMemberDesc(_xll.EPMMemberProperty("COSTOS", _xll.EPMMemberID(A37), "PARENTH3"), "COSTOS"))</f>
        <v>N100100554 - Otros programas y Op</v>
      </c>
      <c r="D37">
        <v>529.04999999999995</v>
      </c>
      <c r="E37">
        <v>11191.57</v>
      </c>
      <c r="F37">
        <f t="shared" si="0"/>
        <v>10662.52</v>
      </c>
      <c r="G37">
        <v>1387.07</v>
      </c>
      <c r="H37">
        <v>11222.16</v>
      </c>
      <c r="I37">
        <f t="shared" si="1"/>
        <v>9835.09</v>
      </c>
      <c r="J37">
        <v>849.55</v>
      </c>
      <c r="K37">
        <v>11253.78</v>
      </c>
      <c r="L37">
        <f t="shared" si="2"/>
        <v>10404.230000000001</v>
      </c>
      <c r="M37">
        <v>46531.88</v>
      </c>
      <c r="N37">
        <v>11285.4</v>
      </c>
      <c r="O37">
        <f t="shared" si="3"/>
        <v>-35246.479999999996</v>
      </c>
      <c r="P37">
        <v>13219.4</v>
      </c>
      <c r="Q37">
        <v>11317.02</v>
      </c>
      <c r="R37">
        <f t="shared" si="4"/>
        <v>-1902.3799999999992</v>
      </c>
      <c r="S37">
        <v>62827.25</v>
      </c>
      <c r="T37">
        <v>136376.37</v>
      </c>
      <c r="U37">
        <f t="shared" si="5"/>
        <v>73549.119999999995</v>
      </c>
    </row>
    <row r="38" spans="1:21" x14ac:dyDescent="0.3">
      <c r="A38" s="2" t="str">
        <f xml:space="preserve"> _xll.EPMOlapMemberO("[CECO].[PARENTH3].[AMSA1001AD4524]","","AMSA1001AD4524 - Somos Choapa Op","","000")</f>
        <v>AMSA1001AD4524 - Somos Choapa Op</v>
      </c>
      <c r="B38" s="2" t="str">
        <f xml:space="preserve"> _xll.EPMOlapMemberO("[CLACO].[PARENTH7].[AMSAG_VIAJES]","","AMSAG_VIAJES - Gastos de Viajes","","000")</f>
        <v>AMSAG_VIAJES - Gastos de Viajes</v>
      </c>
      <c r="C38" s="1" t="str">
        <f>_xlfn.CONCAT(_xll.EPMMemberProperty("COSTOS", _xll.EPMMemberID(A38), "PARENTH3"), " - ", _xll.EPMMemberDesc(_xll.EPMMemberProperty("COSTOS", _xll.EPMMemberID(A38), "PARENTH3"), "COSTOS"))</f>
        <v>N100100554 - Otros programas y Op</v>
      </c>
      <c r="D38">
        <v>6765.95</v>
      </c>
      <c r="E38">
        <v>4986.34</v>
      </c>
      <c r="F38">
        <f t="shared" si="0"/>
        <v>-1779.6099999999997</v>
      </c>
      <c r="G38">
        <v>7183.61</v>
      </c>
      <c r="H38">
        <v>4999.97</v>
      </c>
      <c r="I38">
        <f t="shared" si="1"/>
        <v>-2183.6399999999994</v>
      </c>
      <c r="J38">
        <v>4100.53</v>
      </c>
      <c r="K38">
        <v>5014.0600000000004</v>
      </c>
      <c r="L38">
        <f t="shared" si="2"/>
        <v>913.53000000000065</v>
      </c>
      <c r="M38">
        <v>4665.4799999999996</v>
      </c>
      <c r="N38">
        <v>5028.1499999999996</v>
      </c>
      <c r="O38">
        <f t="shared" si="3"/>
        <v>362.67000000000007</v>
      </c>
      <c r="P38">
        <v>12734.65</v>
      </c>
      <c r="Q38">
        <v>5042.24</v>
      </c>
      <c r="R38">
        <f t="shared" si="4"/>
        <v>-7692.41</v>
      </c>
      <c r="S38">
        <v>35078.29</v>
      </c>
      <c r="T38">
        <v>60761.75</v>
      </c>
      <c r="U38">
        <f t="shared" si="5"/>
        <v>25683.46</v>
      </c>
    </row>
    <row r="39" spans="1:21" x14ac:dyDescent="0.3">
      <c r="A39" s="2" t="str">
        <f xml:space="preserve"> _xll.EPMOlapMemberO("[CECO].[PARENTH3].[AMSA1001AD4524]","","AMSA1001AD4524 - Somos Choapa Op","","000")</f>
        <v>AMSA1001AD4524 - Somos Choapa Op</v>
      </c>
      <c r="B39" s="2" t="str">
        <f xml:space="preserve"> _xll.EPMOlapMemberO("[CLACO].[PARENTH7].[AMSALIQUIDACIO.SEC]","","AMSALIQUIDACIO.SEC - Liquidación Interna","","000")</f>
        <v>AMSALIQUIDACIO.SEC - Liquidación Interna</v>
      </c>
      <c r="C39" s="1" t="str">
        <f>_xlfn.CONCAT(_xll.EPMMemberProperty("COSTOS", _xll.EPMMemberID(A39), "PARENTH3"), " - ", _xll.EPMMemberDesc(_xll.EPMMemberProperty("COSTOS", _xll.EPMMemberID(A39), "PARENTH3"), "COSTOS"))</f>
        <v>N100100554 - Otros programas y Op</v>
      </c>
      <c r="D39">
        <v>127867.74</v>
      </c>
      <c r="F39">
        <f t="shared" si="0"/>
        <v>-127867.74</v>
      </c>
      <c r="G39">
        <v>160774.82</v>
      </c>
      <c r="I39">
        <f t="shared" si="1"/>
        <v>-160774.82</v>
      </c>
      <c r="J39">
        <v>127310.45</v>
      </c>
      <c r="L39">
        <f t="shared" si="2"/>
        <v>-127310.45</v>
      </c>
      <c r="M39">
        <v>110234.26</v>
      </c>
      <c r="O39">
        <f t="shared" si="3"/>
        <v>-110234.26</v>
      </c>
      <c r="P39">
        <v>105090</v>
      </c>
      <c r="R39">
        <f t="shared" si="4"/>
        <v>-105090</v>
      </c>
      <c r="S39">
        <v>631277.27</v>
      </c>
      <c r="U39">
        <f t="shared" si="5"/>
        <v>-631277.27</v>
      </c>
    </row>
    <row r="40" spans="1:21" x14ac:dyDescent="0.3">
      <c r="A40" s="2" t="str">
        <f xml:space="preserve"> _xll.EPMOlapMemberO("[CECO].[PARENTH3].[AMSA1001AD4525]","","AMSA1001AD4525 - Comun Exter Op","","000")</f>
        <v>AMSA1001AD4525 - Comun Exter Op</v>
      </c>
      <c r="B40" s="2" t="str">
        <f xml:space="preserve"> _xll.EPMOlapMemberO("[CLACO].[PARENTH7].[AMSASERVICIOS]","","AMSASERVICIOS - Servicios","","000")</f>
        <v>AMSASERVICIOS - Servicios</v>
      </c>
      <c r="C40" s="1" t="str">
        <f>_xlfn.CONCAT(_xll.EPMMemberProperty("COSTOS", _xll.EPMMemberID(A40), "PARENTH3"), " - ", _xll.EPMMemberDesc(_xll.EPMMemberProperty("COSTOS", _xll.EPMMemberID(A40), "PARENTH3"), "COSTOS"))</f>
        <v>N100100554 - Otros programas y Op</v>
      </c>
      <c r="E40">
        <v>47093.23</v>
      </c>
      <c r="F40">
        <f t="shared" si="0"/>
        <v>47093.23</v>
      </c>
      <c r="H40">
        <v>47221.98</v>
      </c>
      <c r="I40">
        <f t="shared" si="1"/>
        <v>47221.98</v>
      </c>
      <c r="K40">
        <v>47355.02</v>
      </c>
      <c r="L40">
        <f t="shared" si="2"/>
        <v>47355.02</v>
      </c>
      <c r="N40">
        <v>47488.07</v>
      </c>
      <c r="O40">
        <f t="shared" si="3"/>
        <v>47488.07</v>
      </c>
      <c r="Q40">
        <v>47621.11</v>
      </c>
      <c r="R40">
        <f t="shared" si="4"/>
        <v>47621.11</v>
      </c>
      <c r="T40">
        <v>604769.09</v>
      </c>
      <c r="U40">
        <f t="shared" si="5"/>
        <v>604769.09</v>
      </c>
    </row>
    <row r="41" spans="1:21" x14ac:dyDescent="0.3">
      <c r="A41" s="2" t="str">
        <f xml:space="preserve"> _xll.EPMOlapMemberO("[CECO].[PARENTH3].[AMSA1001AD4525]","","AMSA1001AD4525 - Comun Exter Op","","000")</f>
        <v>AMSA1001AD4525 - Comun Exter Op</v>
      </c>
      <c r="B41" s="2" t="str">
        <f xml:space="preserve"> _xll.EPMOlapMemberO("[CLACO].[PARENTH7].[AMSAINFORMATIC]","","AMSAINFORMATIC - Informática y Comuni","","000")</f>
        <v>AMSAINFORMATIC - Informática y Comuni</v>
      </c>
      <c r="C41" s="1" t="str">
        <f>_xlfn.CONCAT(_xll.EPMMemberProperty("COSTOS", _xll.EPMMemberID(A41), "PARENTH3"), " - ", _xll.EPMMemberDesc(_xll.EPMMemberProperty("COSTOS", _xll.EPMMemberID(A41), "PARENTH3"), "COSTOS"))</f>
        <v>N100100554 - Otros programas y Op</v>
      </c>
      <c r="E41">
        <v>7368.7</v>
      </c>
      <c r="F41">
        <f t="shared" si="0"/>
        <v>7368.7</v>
      </c>
      <c r="H41">
        <v>7388.85</v>
      </c>
      <c r="I41">
        <f t="shared" si="1"/>
        <v>7388.85</v>
      </c>
      <c r="K41">
        <v>7409.67</v>
      </c>
      <c r="L41">
        <f t="shared" si="2"/>
        <v>7409.67</v>
      </c>
      <c r="N41">
        <v>7430.49</v>
      </c>
      <c r="O41">
        <f t="shared" si="3"/>
        <v>7430.49</v>
      </c>
      <c r="Q41">
        <v>7451.3</v>
      </c>
      <c r="R41">
        <f t="shared" si="4"/>
        <v>7451.3</v>
      </c>
      <c r="S41">
        <v>642.62</v>
      </c>
      <c r="T41">
        <v>89792.37</v>
      </c>
      <c r="U41">
        <f t="shared" si="5"/>
        <v>89149.75</v>
      </c>
    </row>
    <row r="42" spans="1:21" x14ac:dyDescent="0.3">
      <c r="A42" s="2" t="str">
        <f xml:space="preserve"> _xll.EPMOlapMemberO("[CECO].[PARENTH3].[AMSA1001AD4525]","","AMSA1001AD4525 - Comun Exter Op","","000")</f>
        <v>AMSA1001AD4525 - Comun Exter Op</v>
      </c>
      <c r="B42" s="2" t="str">
        <f xml:space="preserve"> _xll.EPMOlapMemberO("[CLACO].[PARENTH7].[AMSALIQUIDACIO.SEC]","","AMSALIQUIDACIO.SEC - Liquidación Interna","","000")</f>
        <v>AMSALIQUIDACIO.SEC - Liquidación Interna</v>
      </c>
      <c r="C42" s="1" t="str">
        <f>_xlfn.CONCAT(_xll.EPMMemberProperty("COSTOS", _xll.EPMMemberID(A42), "PARENTH3"), " - ", _xll.EPMMemberDesc(_xll.EPMMemberProperty("COSTOS", _xll.EPMMemberID(A42), "PARENTH3"), "COSTOS"))</f>
        <v>N100100554 - Otros programas y Op</v>
      </c>
      <c r="D42">
        <v>49289.599999999999</v>
      </c>
      <c r="F42">
        <f t="shared" si="0"/>
        <v>-49289.599999999999</v>
      </c>
      <c r="G42">
        <v>72333.929999999993</v>
      </c>
      <c r="I42">
        <f t="shared" si="1"/>
        <v>-72333.929999999993</v>
      </c>
      <c r="J42">
        <v>6914.53</v>
      </c>
      <c r="L42">
        <f t="shared" si="2"/>
        <v>-6914.53</v>
      </c>
      <c r="M42">
        <v>49341.440000000002</v>
      </c>
      <c r="O42">
        <f t="shared" si="3"/>
        <v>-49341.440000000002</v>
      </c>
      <c r="P42">
        <v>93746.58</v>
      </c>
      <c r="R42">
        <f t="shared" si="4"/>
        <v>-93746.58</v>
      </c>
      <c r="S42">
        <v>271626.08</v>
      </c>
      <c r="U42">
        <f t="shared" si="5"/>
        <v>-271626.08</v>
      </c>
    </row>
    <row r="43" spans="1:21" x14ac:dyDescent="0.3">
      <c r="A43" s="2" t="str">
        <f xml:space="preserve"> _xll.EPMOlapMemberO("[CECO].[PARENTH3].[AMSA1001AD4526]","","AMSA1001AD4526 - Comunidades Op","","000")</f>
        <v>AMSA1001AD4526 - Comunidades Op</v>
      </c>
      <c r="B43" s="2" t="str">
        <f xml:space="preserve"> _xll.EPMOlapMemberO("[CLACO].[PARENTH7].[AMSAARRIENDOS]","","AMSAARRIENDOS - Arriendos","","000")</f>
        <v>AMSAARRIENDOS - Arriendos</v>
      </c>
      <c r="C43" s="1" t="str">
        <f>_xlfn.CONCAT(_xll.EPMMemberProperty("COSTOS", _xll.EPMMemberID(A43), "PARENTH3"), " - ", _xll.EPMMemberDesc(_xll.EPMMemberProperty("COSTOS", _xll.EPMMemberID(A43), "PARENTH3"), "COSTOS"))</f>
        <v>N100100554 - Otros programas y Op</v>
      </c>
      <c r="F43">
        <f t="shared" si="0"/>
        <v>0</v>
      </c>
      <c r="I43">
        <f t="shared" si="1"/>
        <v>0</v>
      </c>
      <c r="L43">
        <f t="shared" si="2"/>
        <v>0</v>
      </c>
      <c r="O43">
        <f t="shared" si="3"/>
        <v>0</v>
      </c>
      <c r="P43">
        <v>2074.2199999999998</v>
      </c>
      <c r="R43">
        <f t="shared" si="4"/>
        <v>-2074.2199999999998</v>
      </c>
      <c r="S43">
        <v>2074.2199999999998</v>
      </c>
      <c r="U43">
        <f t="shared" si="5"/>
        <v>-2074.2199999999998</v>
      </c>
    </row>
    <row r="44" spans="1:21" x14ac:dyDescent="0.3">
      <c r="A44" s="2" t="str">
        <f xml:space="preserve"> _xll.EPMOlapMemberO("[CECO].[PARENTH3].[AMSA1001AD4526]","","AMSA1001AD4526 - Comunidades Op","","000")</f>
        <v>AMSA1001AD4526 - Comunidades Op</v>
      </c>
      <c r="B44" s="2" t="str">
        <f xml:space="preserve"> _xll.EPMOlapMemberO("[CLACO].[PARENTH7].[AMSASERVICIOS]","","AMSASERVICIOS - Servicios","","000")</f>
        <v>AMSASERVICIOS - Servicios</v>
      </c>
      <c r="C44" s="1" t="str">
        <f>_xlfn.CONCAT(_xll.EPMMemberProperty("COSTOS", _xll.EPMMemberID(A44), "PARENTH3"), " - ", _xll.EPMMemberDesc(_xll.EPMMemberProperty("COSTOS", _xll.EPMMemberID(A44), "PARENTH3"), "COSTOS"))</f>
        <v>N100100554 - Otros programas y Op</v>
      </c>
      <c r="D44">
        <v>171554.36</v>
      </c>
      <c r="E44">
        <v>196295.65</v>
      </c>
      <c r="F44">
        <f t="shared" si="0"/>
        <v>24741.290000000008</v>
      </c>
      <c r="G44">
        <v>147404.32</v>
      </c>
      <c r="H44">
        <v>196832.32</v>
      </c>
      <c r="I44">
        <f t="shared" si="1"/>
        <v>49428</v>
      </c>
      <c r="J44">
        <v>253586.16</v>
      </c>
      <c r="K44">
        <v>197386.88</v>
      </c>
      <c r="L44">
        <f t="shared" si="2"/>
        <v>-56199.28</v>
      </c>
      <c r="M44">
        <v>284109.46000000002</v>
      </c>
      <c r="N44">
        <v>197941.44</v>
      </c>
      <c r="O44">
        <f t="shared" si="3"/>
        <v>-86168.020000000019</v>
      </c>
      <c r="P44">
        <v>246189.08</v>
      </c>
      <c r="Q44">
        <v>198495.99</v>
      </c>
      <c r="R44">
        <f t="shared" si="4"/>
        <v>-47693.09</v>
      </c>
      <c r="S44">
        <v>909844.63</v>
      </c>
      <c r="T44">
        <v>2425978.15</v>
      </c>
      <c r="U44">
        <f t="shared" si="5"/>
        <v>1516133.52</v>
      </c>
    </row>
    <row r="45" spans="1:21" x14ac:dyDescent="0.3">
      <c r="A45" s="2" t="str">
        <f xml:space="preserve"> _xll.EPMOlapMemberO("[CECO].[PARENTH3].[AMSA1001AD4526]","","AMSA1001AD4526 - Comunidades Op","","000")</f>
        <v>AMSA1001AD4526 - Comunidades Op</v>
      </c>
      <c r="B45" s="2" t="str">
        <f xml:space="preserve"> _xll.EPMOlapMemberO("[CLACO].[PARENTH7].[AMSAG_VIAJES]","","AMSAG_VIAJES - Gastos de Viajes","","000")</f>
        <v>AMSAG_VIAJES - Gastos de Viajes</v>
      </c>
      <c r="C45" s="1" t="str">
        <f>_xlfn.CONCAT(_xll.EPMMemberProperty("COSTOS", _xll.EPMMemberID(A45), "PARENTH3"), " - ", _xll.EPMMemberDesc(_xll.EPMMemberProperty("COSTOS", _xll.EPMMemberID(A45), "PARENTH3"), "COSTOS"))</f>
        <v>N100100554 - Otros programas y Op</v>
      </c>
      <c r="D45">
        <v>2576.58</v>
      </c>
      <c r="F45">
        <f t="shared" si="0"/>
        <v>-2576.58</v>
      </c>
      <c r="G45">
        <v>-2576.58</v>
      </c>
      <c r="I45">
        <f t="shared" si="1"/>
        <v>2576.58</v>
      </c>
      <c r="L45">
        <f t="shared" si="2"/>
        <v>0</v>
      </c>
      <c r="M45">
        <v>2411.0300000000002</v>
      </c>
      <c r="O45">
        <f t="shared" si="3"/>
        <v>-2411.0300000000002</v>
      </c>
      <c r="P45">
        <v>2466.1</v>
      </c>
      <c r="R45">
        <f t="shared" si="4"/>
        <v>-2466.1</v>
      </c>
      <c r="S45">
        <v>4971.9399999999996</v>
      </c>
      <c r="U45">
        <f t="shared" si="5"/>
        <v>-4971.9399999999996</v>
      </c>
    </row>
    <row r="46" spans="1:21" x14ac:dyDescent="0.3">
      <c r="A46" s="2" t="str">
        <f xml:space="preserve"> _xll.EPMOlapMemberO("[CECO].[PARENTH3].[AMSA1001AD4526]","","AMSA1001AD4526 - Comunidades Op","","000")</f>
        <v>AMSA1001AD4526 - Comunidades Op</v>
      </c>
      <c r="B46" s="2" t="str">
        <f xml:space="preserve"> _xll.EPMOlapMemberO("[CLACO].[PARENTH7].[AMSALIQUIDACIO.SEC]","","AMSALIQUIDACIO.SEC - Liquidación Interna","","000")</f>
        <v>AMSALIQUIDACIO.SEC - Liquidación Interna</v>
      </c>
      <c r="C46" s="1" t="str">
        <f>_xlfn.CONCAT(_xll.EPMMemberProperty("COSTOS", _xll.EPMMemberID(A46), "PARENTH3"), " - ", _xll.EPMMemberDesc(_xll.EPMMemberProperty("COSTOS", _xll.EPMMemberID(A46), "PARENTH3"), "COSTOS"))</f>
        <v>N100100554 - Otros programas y Op</v>
      </c>
      <c r="D46">
        <v>8149.9</v>
      </c>
      <c r="F46">
        <f t="shared" si="0"/>
        <v>-8149.9</v>
      </c>
      <c r="G46">
        <v>14105.49</v>
      </c>
      <c r="I46">
        <f t="shared" si="1"/>
        <v>-14105.49</v>
      </c>
      <c r="L46">
        <f t="shared" si="2"/>
        <v>0</v>
      </c>
      <c r="M46">
        <v>52724.58</v>
      </c>
      <c r="O46">
        <f t="shared" si="3"/>
        <v>-52724.58</v>
      </c>
      <c r="P46">
        <v>54820.72</v>
      </c>
      <c r="R46">
        <f t="shared" si="4"/>
        <v>-54820.72</v>
      </c>
      <c r="S46">
        <v>129800.69</v>
      </c>
      <c r="U46">
        <f t="shared" si="5"/>
        <v>-129800.69</v>
      </c>
    </row>
    <row r="47" spans="1:21" x14ac:dyDescent="0.3">
      <c r="A47" s="2" t="str">
        <f xml:space="preserve"> _xll.EPMOlapMemberO("[CECO].[PARENTH3].[AMSA1001AD4541]","","AMSA1001AD4541 - Comunicaciones Corp","","000")</f>
        <v>AMSA1001AD4541 - Comunicaciones Corp</v>
      </c>
      <c r="B47" s="2" t="str">
        <f xml:space="preserve"> _xll.EPMOlapMemberO("[CLACO].[PARENTH7].[AMSAASESORIAS]","","AMSAASESORIAS - Asesorías y Consulto","","000")</f>
        <v>AMSAASESORIAS - Asesorías y Consulto</v>
      </c>
      <c r="C47" s="1" t="str">
        <f>_xlfn.CONCAT(_xll.EPMMemberProperty("COSTOS", _xll.EPMMemberID(A47), "PARENTH3"), " - ", _xll.EPMMemberDesc(_xll.EPMMemberProperty("COSTOS", _xll.EPMMemberID(A47), "PARENTH3"), "COSTOS"))</f>
        <v>N100100554 - Otros programas y Op</v>
      </c>
      <c r="F47">
        <f t="shared" si="0"/>
        <v>0</v>
      </c>
      <c r="I47">
        <f t="shared" si="1"/>
        <v>0</v>
      </c>
      <c r="L47">
        <f t="shared" si="2"/>
        <v>0</v>
      </c>
      <c r="O47">
        <f t="shared" si="3"/>
        <v>0</v>
      </c>
      <c r="P47">
        <v>129.07</v>
      </c>
      <c r="R47">
        <f t="shared" si="4"/>
        <v>-129.07</v>
      </c>
      <c r="S47">
        <v>0</v>
      </c>
      <c r="U47">
        <f t="shared" si="5"/>
        <v>0</v>
      </c>
    </row>
    <row r="48" spans="1:21" x14ac:dyDescent="0.3">
      <c r="A48" s="2" t="str">
        <f xml:space="preserve"> _xll.EPMOlapMemberO("[CECO].[PARENTH3].[AMSA1001AD4541]","","AMSA1001AD4541 - Comunicaciones Corp","","000")</f>
        <v>AMSA1001AD4541 - Comunicaciones Corp</v>
      </c>
      <c r="B48" s="2" t="str">
        <f xml:space="preserve"> _xll.EPMOlapMemberO("[CLACO].[PARENTH7].[AMSAINFORMATIC]","","AMSAINFORMATIC - Informática y Comuni","","000")</f>
        <v>AMSAINFORMATIC - Informática y Comuni</v>
      </c>
      <c r="C48" s="1" t="str">
        <f>_xlfn.CONCAT(_xll.EPMMemberProperty("COSTOS", _xll.EPMMemberID(A48), "PARENTH3"), " - ", _xll.EPMMemberDesc(_xll.EPMMemberProperty("COSTOS", _xll.EPMMemberID(A48), "PARENTH3"), "COSTOS"))</f>
        <v>N100100554 - Otros programas y Op</v>
      </c>
      <c r="E48">
        <v>738.72</v>
      </c>
      <c r="F48">
        <f t="shared" si="0"/>
        <v>738.72</v>
      </c>
      <c r="H48">
        <v>740.74</v>
      </c>
      <c r="I48">
        <f t="shared" si="1"/>
        <v>740.74</v>
      </c>
      <c r="K48">
        <v>26715.34</v>
      </c>
      <c r="L48">
        <f t="shared" si="2"/>
        <v>26715.34</v>
      </c>
      <c r="N48">
        <v>44701.55</v>
      </c>
      <c r="O48">
        <f t="shared" si="3"/>
        <v>44701.55</v>
      </c>
      <c r="Q48">
        <v>747</v>
      </c>
      <c r="R48">
        <f t="shared" si="4"/>
        <v>747</v>
      </c>
      <c r="T48">
        <v>116747.07</v>
      </c>
      <c r="U48">
        <f t="shared" si="5"/>
        <v>116747.07</v>
      </c>
    </row>
    <row r="49" spans="1:21" x14ac:dyDescent="0.3">
      <c r="A49" s="2" t="str">
        <f xml:space="preserve"> _xll.EPMOlapMemberO("[CECO].[PARENTH3].[AMSA1001AD4541]","","AMSA1001AD4541 - Comunicaciones Corp","","000")</f>
        <v>AMSA1001AD4541 - Comunicaciones Corp</v>
      </c>
      <c r="B49" s="2" t="str">
        <f xml:space="preserve"> _xll.EPMOlapMemberO("[CLACO].[PARENTH7].[AMSAGGENERALES.2]","","AMSAGGENERALES.2 - Otros Gastos","","000")</f>
        <v>AMSAGGENERALES.2 - Otros Gastos</v>
      </c>
      <c r="C49" s="1" t="str">
        <f>_xlfn.CONCAT(_xll.EPMMemberProperty("COSTOS", _xll.EPMMemberID(A49), "PARENTH3"), " - ", _xll.EPMMemberDesc(_xll.EPMMemberProperty("COSTOS", _xll.EPMMemberID(A49), "PARENTH3"), "COSTOS"))</f>
        <v>N100100554 - Otros programas y Op</v>
      </c>
      <c r="D49">
        <v>9863.0400000000009</v>
      </c>
      <c r="E49">
        <v>62206.55</v>
      </c>
      <c r="F49">
        <f t="shared" si="0"/>
        <v>52343.51</v>
      </c>
      <c r="G49">
        <v>0</v>
      </c>
      <c r="H49">
        <v>18518.419999999998</v>
      </c>
      <c r="I49">
        <f t="shared" si="1"/>
        <v>18518.419999999998</v>
      </c>
      <c r="J49">
        <v>25546.05</v>
      </c>
      <c r="K49">
        <v>26709.279999999999</v>
      </c>
      <c r="L49">
        <f t="shared" si="2"/>
        <v>1163.2299999999996</v>
      </c>
      <c r="M49">
        <v>0</v>
      </c>
      <c r="N49">
        <v>18622.77</v>
      </c>
      <c r="O49">
        <f t="shared" si="3"/>
        <v>18622.77</v>
      </c>
      <c r="P49">
        <v>26614.62</v>
      </c>
      <c r="Q49">
        <v>59129.66</v>
      </c>
      <c r="R49">
        <f t="shared" si="4"/>
        <v>32515.040000000005</v>
      </c>
      <c r="S49">
        <v>35409.089999999997</v>
      </c>
      <c r="T49">
        <v>333927.27</v>
      </c>
      <c r="U49">
        <f t="shared" si="5"/>
        <v>298518.18000000005</v>
      </c>
    </row>
    <row r="50" spans="1:21" x14ac:dyDescent="0.3">
      <c r="A50" s="2" t="str">
        <f xml:space="preserve"> _xll.EPMOlapMemberO("[CECO].[PARENTH3].[AMSA1001AD4542]","","AMSA1001AD4542 - AAPP Corporativo","","000")</f>
        <v>AMSA1001AD4542 - AAPP Corporativo</v>
      </c>
      <c r="B50" s="2" t="str">
        <f xml:space="preserve"> _xll.EPMOlapMemberO("[CLACO].[PARENTH7].[AMSAASESORIAS]","","AMSAASESORIAS - Asesorías y Consulto","","000")</f>
        <v>AMSAASESORIAS - Asesorías y Consulto</v>
      </c>
      <c r="C50" s="1" t="str">
        <f>_xlfn.CONCAT(_xll.EPMMemberProperty("COSTOS", _xll.EPMMemberID(A50), "PARENTH3"), " - ", _xll.EPMMemberDesc(_xll.EPMMemberProperty("COSTOS", _xll.EPMMemberID(A50), "PARENTH3"), "COSTOS"))</f>
        <v>N100100554 - Otros programas y Op</v>
      </c>
      <c r="D50">
        <v>39647.14</v>
      </c>
      <c r="E50">
        <v>14210.59</v>
      </c>
      <c r="F50">
        <f t="shared" si="0"/>
        <v>-25436.55</v>
      </c>
      <c r="G50">
        <v>2916.17</v>
      </c>
      <c r="H50">
        <v>14250.24</v>
      </c>
      <c r="I50">
        <f t="shared" si="1"/>
        <v>11334.07</v>
      </c>
      <c r="J50">
        <v>10620.32</v>
      </c>
      <c r="K50">
        <v>14290</v>
      </c>
      <c r="L50">
        <f t="shared" si="2"/>
        <v>3669.6800000000003</v>
      </c>
      <c r="M50">
        <v>14005.53</v>
      </c>
      <c r="N50">
        <v>14329.86</v>
      </c>
      <c r="O50">
        <f t="shared" si="3"/>
        <v>324.32999999999993</v>
      </c>
      <c r="P50">
        <v>23353.39</v>
      </c>
      <c r="Q50">
        <v>14369.85</v>
      </c>
      <c r="R50">
        <f t="shared" si="4"/>
        <v>-8983.5399999999991</v>
      </c>
      <c r="S50">
        <v>67189.16</v>
      </c>
      <c r="T50">
        <v>173168.39</v>
      </c>
      <c r="U50">
        <f t="shared" si="5"/>
        <v>105979.23000000001</v>
      </c>
    </row>
    <row r="51" spans="1:21" x14ac:dyDescent="0.3">
      <c r="A51" s="2" t="str">
        <f xml:space="preserve"> _xll.EPMOlapMemberO("[CECO].[PARENTH3].[AMSA1001AD4542]","","AMSA1001AD4542 - AAPP Corporativo","","000")</f>
        <v>AMSA1001AD4542 - AAPP Corporativo</v>
      </c>
      <c r="B51" s="2" t="str">
        <f xml:space="preserve"> _xll.EPMOlapMemberO("[CLACO].[PARENTH7].[AMSAGGENERALES.2]","","AMSAGGENERALES.2 - Otros Gastos","","000")</f>
        <v>AMSAGGENERALES.2 - Otros Gastos</v>
      </c>
      <c r="C51" s="1" t="str">
        <f>_xlfn.CONCAT(_xll.EPMMemberProperty("COSTOS", _xll.EPMMemberID(A51), "PARENTH3"), " - ", _xll.EPMMemberDesc(_xll.EPMMemberProperty("COSTOS", _xll.EPMMemberID(A51), "PARENTH3"), "COSTOS"))</f>
        <v>N100100554 - Otros programas y Op</v>
      </c>
      <c r="F51">
        <f t="shared" si="0"/>
        <v>0</v>
      </c>
      <c r="I51">
        <f t="shared" si="1"/>
        <v>0</v>
      </c>
      <c r="L51">
        <f t="shared" si="2"/>
        <v>0</v>
      </c>
      <c r="O51">
        <f t="shared" si="3"/>
        <v>0</v>
      </c>
      <c r="R51">
        <f t="shared" si="4"/>
        <v>0</v>
      </c>
      <c r="T51">
        <v>44387.79</v>
      </c>
      <c r="U51">
        <f t="shared" si="5"/>
        <v>44387.79</v>
      </c>
    </row>
    <row r="52" spans="1:21" x14ac:dyDescent="0.3">
      <c r="A52" s="2" t="str">
        <f xml:space="preserve"> _xll.EPMOlapMemberO("[CECO].[PARENTH3].[AMSA1001AD0502]","","AMSA1001AD0502 - Corporativo","","000")</f>
        <v>AMSA1001AD0502 - Corporativo</v>
      </c>
      <c r="B52" s="2" t="str">
        <f xml:space="preserve"> _xll.EPMOlapMemberO("[CLACO].[PARENTH7].[AMSASERV_CORP]","","AMSASERV_CORP - Servicios Corporativ","","000")</f>
        <v>AMSASERV_CORP - Servicios Corporativ</v>
      </c>
      <c r="C52" s="1" t="str">
        <f>_xlfn.CONCAT(_xll.EPMMemberProperty("COSTOS", _xll.EPMMemberID(A52), "PARENTH3"), " - ", _xll.EPMMemberDesc(_xll.EPMMemberProperty("COSTOS", _xll.EPMMemberID(A52), "PARENTH3"), "COSTOS"))</f>
        <v>N1001AD050 - Gerencia General</v>
      </c>
      <c r="D52">
        <v>52158.23</v>
      </c>
      <c r="E52">
        <v>51570.47</v>
      </c>
      <c r="F52">
        <f t="shared" si="0"/>
        <v>-587.76000000000204</v>
      </c>
      <c r="G52">
        <v>54292.66</v>
      </c>
      <c r="H52">
        <v>51714.36</v>
      </c>
      <c r="I52">
        <f t="shared" si="1"/>
        <v>-2578.3000000000029</v>
      </c>
      <c r="J52">
        <v>54036.7</v>
      </c>
      <c r="K52">
        <v>51858.65</v>
      </c>
      <c r="L52">
        <f t="shared" si="2"/>
        <v>-2178.0499999999956</v>
      </c>
      <c r="M52">
        <v>50821.74</v>
      </c>
      <c r="N52">
        <v>52003.34</v>
      </c>
      <c r="O52">
        <f t="shared" si="3"/>
        <v>1181.5999999999985</v>
      </c>
      <c r="P52">
        <v>52630.67</v>
      </c>
      <c r="Q52">
        <v>52148.44</v>
      </c>
      <c r="R52">
        <f t="shared" si="4"/>
        <v>-482.22999999999593</v>
      </c>
      <c r="S52">
        <v>263940</v>
      </c>
      <c r="T52">
        <v>628431.16</v>
      </c>
      <c r="U52">
        <f t="shared" si="5"/>
        <v>364491.16000000003</v>
      </c>
    </row>
    <row r="53" spans="1:21" x14ac:dyDescent="0.3">
      <c r="A53" s="2" t="str">
        <f xml:space="preserve"> _xll.EPMOlapMemberO("[CECO].[PARENTH3].[AMSA1001AD0503]","","AMSA1001AD0503 - Desarrollo Corp","","000")</f>
        <v>AMSA1001AD0503 - Desarrollo Corp</v>
      </c>
      <c r="B53" s="2" t="str">
        <f xml:space="preserve"> _xll.EPMOlapMemberO("[CLACO].[PARENTH7].[AMSAASESORIAS]","","AMSAASESORIAS - Asesorías y Consulto","","000")</f>
        <v>AMSAASESORIAS - Asesorías y Consulto</v>
      </c>
      <c r="C53" s="1" t="str">
        <f>_xlfn.CONCAT(_xll.EPMMemberProperty("COSTOS", _xll.EPMMemberID(A53), "PARENTH3"), " - ", _xll.EPMMemberDesc(_xll.EPMMemberProperty("COSTOS", _xll.EPMMemberID(A53), "PARENTH3"), "COSTOS"))</f>
        <v>N1001AD050 - Gerencia General</v>
      </c>
      <c r="F53">
        <f t="shared" si="0"/>
        <v>0</v>
      </c>
      <c r="I53">
        <f t="shared" si="1"/>
        <v>0</v>
      </c>
      <c r="L53">
        <f t="shared" si="2"/>
        <v>0</v>
      </c>
      <c r="O53">
        <f t="shared" si="3"/>
        <v>0</v>
      </c>
      <c r="Q53">
        <v>45379.13</v>
      </c>
      <c r="R53">
        <f t="shared" si="4"/>
        <v>45379.13</v>
      </c>
      <c r="T53">
        <v>45379.13</v>
      </c>
      <c r="U53">
        <f t="shared" si="5"/>
        <v>45379.13</v>
      </c>
    </row>
    <row r="54" spans="1:21" x14ac:dyDescent="0.3">
      <c r="A54" s="2" t="str">
        <f xml:space="preserve"> _xll.EPMOlapMemberO("[CECO].[PARENTH3].[AMSA1001AD0503]","","AMSA1001AD0503 - Desarrollo Corp","","000")</f>
        <v>AMSA1001AD0503 - Desarrollo Corp</v>
      </c>
      <c r="B54" s="2" t="str">
        <f xml:space="preserve"> _xll.EPMOlapMemberO("[CLACO].[PARENTH7].[AMSASERVICIOS]","","AMSASERVICIOS - Servicios","","000")</f>
        <v>AMSASERVICIOS - Servicios</v>
      </c>
      <c r="C54" s="1" t="str">
        <f>_xlfn.CONCAT(_xll.EPMMemberProperty("COSTOS", _xll.EPMMemberID(A54), "PARENTH3"), " - ", _xll.EPMMemberDesc(_xll.EPMMemberProperty("COSTOS", _xll.EPMMemberID(A54), "PARENTH3"), "COSTOS"))</f>
        <v>N1001AD050 - Gerencia General</v>
      </c>
      <c r="D54">
        <v>4015.19</v>
      </c>
      <c r="F54">
        <f t="shared" si="0"/>
        <v>-4015.19</v>
      </c>
      <c r="G54">
        <v>-3941.22</v>
      </c>
      <c r="I54">
        <f t="shared" si="1"/>
        <v>3941.22</v>
      </c>
      <c r="J54">
        <v>-2606.21</v>
      </c>
      <c r="L54">
        <f t="shared" si="2"/>
        <v>2606.21</v>
      </c>
      <c r="M54">
        <v>2597.94</v>
      </c>
      <c r="O54">
        <f t="shared" si="3"/>
        <v>-2597.94</v>
      </c>
      <c r="P54">
        <v>2486.14</v>
      </c>
      <c r="R54">
        <f t="shared" si="4"/>
        <v>-2486.14</v>
      </c>
      <c r="S54">
        <v>65.7</v>
      </c>
      <c r="U54">
        <f t="shared" si="5"/>
        <v>-65.7</v>
      </c>
    </row>
    <row r="55" spans="1:21" x14ac:dyDescent="0.3">
      <c r="A55" s="2" t="str">
        <f xml:space="preserve"> _xll.EPMOlapMemberO("[CECO].[PARENTH3].[AMSA1001AD0503]","","AMSA1001AD0503 - Desarrollo Corp","","000")</f>
        <v>AMSA1001AD0503 - Desarrollo Corp</v>
      </c>
      <c r="B55" s="2" t="str">
        <f xml:space="preserve"> _xll.EPMOlapMemberO("[CLACO].[PARENTH7].[AMSAINFORMATIC]","","AMSAINFORMATIC - Informática y Comuni","","000")</f>
        <v>AMSAINFORMATIC - Informática y Comuni</v>
      </c>
      <c r="C55" s="1" t="str">
        <f>_xlfn.CONCAT(_xll.EPMMemberProperty("COSTOS", _xll.EPMMemberID(A55), "PARENTH3"), " - ", _xll.EPMMemberDesc(_xll.EPMMemberProperty("COSTOS", _xll.EPMMemberID(A55), "PARENTH3"), "COSTOS"))</f>
        <v>N1001AD050 - Gerencia General</v>
      </c>
      <c r="D55">
        <v>10200</v>
      </c>
      <c r="E55">
        <v>12510.18</v>
      </c>
      <c r="F55">
        <f t="shared" si="0"/>
        <v>2310.1800000000003</v>
      </c>
      <c r="G55">
        <v>0</v>
      </c>
      <c r="I55">
        <f t="shared" si="1"/>
        <v>0</v>
      </c>
      <c r="J55">
        <v>0</v>
      </c>
      <c r="L55">
        <f t="shared" si="2"/>
        <v>0</v>
      </c>
      <c r="M55">
        <v>2237.98</v>
      </c>
      <c r="O55">
        <f t="shared" si="3"/>
        <v>-2237.98</v>
      </c>
      <c r="P55">
        <v>0</v>
      </c>
      <c r="R55">
        <f t="shared" si="4"/>
        <v>0</v>
      </c>
      <c r="S55">
        <v>12437.98</v>
      </c>
      <c r="T55">
        <v>12510.18</v>
      </c>
      <c r="U55">
        <f t="shared" si="5"/>
        <v>72.200000000000728</v>
      </c>
    </row>
    <row r="56" spans="1:21" x14ac:dyDescent="0.3">
      <c r="A56" s="2" t="str">
        <f xml:space="preserve"> _xll.EPMOlapMemberO("[CECO].[PARENTH3].[AMSA1001AD0503]","","AMSA1001AD0503 - Desarrollo Corp","","000")</f>
        <v>AMSA1001AD0503 - Desarrollo Corp</v>
      </c>
      <c r="B56" s="2" t="str">
        <f xml:space="preserve"> _xll.EPMOlapMemberO("[CLACO].[PARENTH7].[AMSAG_VIAJES]","","AMSAG_VIAJES - Gastos de Viajes","","000")</f>
        <v>AMSAG_VIAJES - Gastos de Viajes</v>
      </c>
      <c r="C56" s="1" t="str">
        <f>_xlfn.CONCAT(_xll.EPMMemberProperty("COSTOS", _xll.EPMMemberID(A56), "PARENTH3"), " - ", _xll.EPMMemberDesc(_xll.EPMMemberProperty("COSTOS", _xll.EPMMemberID(A56), "PARENTH3"), "COSTOS"))</f>
        <v>N1001AD050 - Gerencia General</v>
      </c>
      <c r="E56">
        <v>534.42999999999995</v>
      </c>
      <c r="F56">
        <f t="shared" si="0"/>
        <v>534.42999999999995</v>
      </c>
      <c r="H56">
        <v>535.45000000000005</v>
      </c>
      <c r="I56">
        <f t="shared" si="1"/>
        <v>535.45000000000005</v>
      </c>
      <c r="K56">
        <v>536.45000000000005</v>
      </c>
      <c r="L56">
        <f t="shared" si="2"/>
        <v>536.45000000000005</v>
      </c>
      <c r="N56">
        <v>537.48</v>
      </c>
      <c r="O56">
        <f t="shared" si="3"/>
        <v>537.48</v>
      </c>
      <c r="Q56">
        <v>538.5</v>
      </c>
      <c r="R56">
        <f t="shared" si="4"/>
        <v>538.5</v>
      </c>
      <c r="T56">
        <v>5400.42</v>
      </c>
      <c r="U56">
        <f t="shared" si="5"/>
        <v>5400.42</v>
      </c>
    </row>
    <row r="57" spans="1:21" x14ac:dyDescent="0.3">
      <c r="A57" s="2" t="str">
        <f xml:space="preserve"> _xll.EPMOlapMemberO("[CECO].[PARENTH3].[AMSA1001AD0503]","","AMSA1001AD0503 - Desarrollo Corp","","000")</f>
        <v>AMSA1001AD0503 - Desarrollo Corp</v>
      </c>
      <c r="B57" s="2" t="str">
        <f xml:space="preserve"> _xll.EPMOlapMemberO("[CLACO].[PARENTH7].[AMSASERV_CORP]","","AMSASERV_CORP - Servicios Corporativ","","000")</f>
        <v>AMSASERV_CORP - Servicios Corporativ</v>
      </c>
      <c r="C57" s="1" t="str">
        <f>_xlfn.CONCAT(_xll.EPMMemberProperty("COSTOS", _xll.EPMMemberID(A57), "PARENTH3"), " - ", _xll.EPMMemberDesc(_xll.EPMMemberProperty("COSTOS", _xll.EPMMemberID(A57), "PARENTH3"), "COSTOS"))</f>
        <v>N1001AD050 - Gerencia General</v>
      </c>
      <c r="D57">
        <v>29596.32</v>
      </c>
      <c r="E57">
        <v>29262.91</v>
      </c>
      <c r="F57">
        <f t="shared" si="0"/>
        <v>-333.40999999999985</v>
      </c>
      <c r="G57">
        <v>30807.46</v>
      </c>
      <c r="H57">
        <v>29344.55</v>
      </c>
      <c r="I57">
        <f t="shared" si="1"/>
        <v>-1462.9099999999999</v>
      </c>
      <c r="J57">
        <v>30662.22</v>
      </c>
      <c r="K57">
        <v>29426.43</v>
      </c>
      <c r="L57">
        <f t="shared" si="2"/>
        <v>-1235.7900000000009</v>
      </c>
      <c r="M57">
        <v>28837.95</v>
      </c>
      <c r="N57">
        <v>29508.53</v>
      </c>
      <c r="O57">
        <f t="shared" si="3"/>
        <v>670.57999999999811</v>
      </c>
      <c r="P57">
        <v>29863.05</v>
      </c>
      <c r="Q57">
        <v>29590.86</v>
      </c>
      <c r="R57">
        <f t="shared" si="4"/>
        <v>-272.18999999999869</v>
      </c>
      <c r="S57">
        <v>149767</v>
      </c>
      <c r="T57">
        <v>356594.01</v>
      </c>
      <c r="U57">
        <f t="shared" si="5"/>
        <v>206827.01</v>
      </c>
    </row>
    <row r="58" spans="1:21" x14ac:dyDescent="0.3">
      <c r="A58" s="2" t="str">
        <f xml:space="preserve"> _xll.EPMOlapMemberO("[CECO].[PARENTH3].[AMSA1001AD0504]","","AMSA1001AD0504 - Estrateg e Inn Corp","","000")</f>
        <v>AMSA1001AD0504 - Estrateg e Inn Corp</v>
      </c>
      <c r="B58" s="2" t="str">
        <f xml:space="preserve"> _xll.EPMOlapMemberO("[CLACO].[PARENTH7].[AMSASERVICIOS]","","AMSASERVICIOS - Servicios","","000")</f>
        <v>AMSASERVICIOS - Servicios</v>
      </c>
      <c r="C58" s="1" t="str">
        <f>_xlfn.CONCAT(_xll.EPMMemberProperty("COSTOS", _xll.EPMMemberID(A58), "PARENTH3"), " - ", _xll.EPMMemberDesc(_xll.EPMMemberProperty("COSTOS", _xll.EPMMemberID(A58), "PARENTH3"), "COSTOS"))</f>
        <v>N1001AD050 - Gerencia General</v>
      </c>
      <c r="D58">
        <v>0</v>
      </c>
      <c r="E58">
        <v>5525.13</v>
      </c>
      <c r="F58">
        <f t="shared" si="0"/>
        <v>5525.13</v>
      </c>
      <c r="G58">
        <v>27904.48</v>
      </c>
      <c r="H58">
        <v>5525.68</v>
      </c>
      <c r="I58">
        <f t="shared" si="1"/>
        <v>-22378.799999999999</v>
      </c>
      <c r="J58">
        <v>274.43</v>
      </c>
      <c r="K58">
        <v>5526.63</v>
      </c>
      <c r="L58">
        <f t="shared" si="2"/>
        <v>5252.2</v>
      </c>
      <c r="M58">
        <v>49594.080000000002</v>
      </c>
      <c r="N58">
        <v>5527.11</v>
      </c>
      <c r="O58">
        <f t="shared" si="3"/>
        <v>-44066.97</v>
      </c>
      <c r="P58">
        <v>36514.42</v>
      </c>
      <c r="Q58">
        <v>5527.98</v>
      </c>
      <c r="R58">
        <f t="shared" si="4"/>
        <v>-30986.44</v>
      </c>
      <c r="S58">
        <v>114287.41</v>
      </c>
      <c r="T58">
        <v>261580.36</v>
      </c>
      <c r="U58">
        <f t="shared" si="5"/>
        <v>147292.94999999998</v>
      </c>
    </row>
    <row r="59" spans="1:21" x14ac:dyDescent="0.3">
      <c r="A59" s="2" t="str">
        <f xml:space="preserve"> _xll.EPMOlapMemberO("[CECO].[PARENTH3].[AMSA1001AD0504]","","AMSA1001AD0504 - Estrateg e Inn Corp","","000")</f>
        <v>AMSA1001AD0504 - Estrateg e Inn Corp</v>
      </c>
      <c r="B59" s="2" t="str">
        <f xml:space="preserve"> _xll.EPMOlapMemberO("[CLACO].[PARENTH7].[AMSAINFORMATIC]","","AMSAINFORMATIC - Informática y Comuni","","000")</f>
        <v>AMSAINFORMATIC - Informática y Comuni</v>
      </c>
      <c r="C59" s="1" t="str">
        <f>_xlfn.CONCAT(_xll.EPMMemberProperty("COSTOS", _xll.EPMMemberID(A59), "PARENTH3"), " - ", _xll.EPMMemberDesc(_xll.EPMMemberProperty("COSTOS", _xll.EPMMemberID(A59), "PARENTH3"), "COSTOS"))</f>
        <v>N1001AD050 - Gerencia General</v>
      </c>
      <c r="D59">
        <v>107309.74</v>
      </c>
      <c r="E59">
        <v>105063.81</v>
      </c>
      <c r="F59">
        <f t="shared" si="0"/>
        <v>-2245.9300000000076</v>
      </c>
      <c r="G59">
        <v>109215.45</v>
      </c>
      <c r="H59">
        <v>105049.27</v>
      </c>
      <c r="I59">
        <f t="shared" si="1"/>
        <v>-4166.179999999993</v>
      </c>
      <c r="J59">
        <v>36632.550000000003</v>
      </c>
      <c r="K59">
        <v>105040.45</v>
      </c>
      <c r="L59">
        <f t="shared" si="2"/>
        <v>68407.899999999994</v>
      </c>
      <c r="M59">
        <v>151480.87</v>
      </c>
      <c r="N59">
        <v>105033.89</v>
      </c>
      <c r="O59">
        <f t="shared" si="3"/>
        <v>-46446.979999999996</v>
      </c>
      <c r="P59">
        <v>130441.3</v>
      </c>
      <c r="Q59">
        <v>105022.29</v>
      </c>
      <c r="R59">
        <f t="shared" si="4"/>
        <v>-25419.010000000009</v>
      </c>
      <c r="S59">
        <v>404638.61</v>
      </c>
      <c r="T59">
        <v>1266430.81</v>
      </c>
      <c r="U59">
        <f t="shared" si="5"/>
        <v>861792.20000000007</v>
      </c>
    </row>
    <row r="60" spans="1:21" x14ac:dyDescent="0.3">
      <c r="A60" s="2" t="str">
        <f xml:space="preserve"> _xll.EPMOlapMemberO("[CECO].[PARENTH3].[AMSA1001AD0504]","","AMSA1001AD0504 - Estrateg e Inn Corp","","000")</f>
        <v>AMSA1001AD0504 - Estrateg e Inn Corp</v>
      </c>
      <c r="B60" s="2" t="str">
        <f xml:space="preserve"> _xll.EPMOlapMemberO("[CLACO].[PARENTH7].[AMSASERV_CORP]","","AMSASERV_CORP - Servicios Corporativ","","000")</f>
        <v>AMSASERV_CORP - Servicios Corporativ</v>
      </c>
      <c r="C60" s="1" t="str">
        <f>_xlfn.CONCAT(_xll.EPMMemberProperty("COSTOS", _xll.EPMMemberID(A60), "PARENTH3"), " - ", _xll.EPMMemberDesc(_xll.EPMMemberProperty("COSTOS", _xll.EPMMemberID(A60), "PARENTH3"), "COSTOS"))</f>
        <v>N1001AD050 - Gerencia General</v>
      </c>
      <c r="D60">
        <v>80701.789999999994</v>
      </c>
      <c r="E60">
        <v>79792.44</v>
      </c>
      <c r="F60">
        <f t="shared" si="0"/>
        <v>-909.34999999999127</v>
      </c>
      <c r="G60">
        <v>84004.29</v>
      </c>
      <c r="H60">
        <v>80015.070000000007</v>
      </c>
      <c r="I60">
        <f t="shared" si="1"/>
        <v>-3989.2199999999866</v>
      </c>
      <c r="J60">
        <v>83608.25</v>
      </c>
      <c r="K60">
        <v>80238.320000000007</v>
      </c>
      <c r="L60">
        <f t="shared" si="2"/>
        <v>-3369.929999999993</v>
      </c>
      <c r="M60">
        <v>78633.91</v>
      </c>
      <c r="N60">
        <v>80462.19</v>
      </c>
      <c r="O60">
        <f t="shared" si="3"/>
        <v>1828.2799999999988</v>
      </c>
      <c r="P60">
        <v>81431.759999999995</v>
      </c>
      <c r="Q60">
        <v>80686.69</v>
      </c>
      <c r="R60">
        <f t="shared" si="4"/>
        <v>-745.06999999999243</v>
      </c>
      <c r="S60">
        <v>408380</v>
      </c>
      <c r="T60">
        <v>972340.36</v>
      </c>
      <c r="U60">
        <f t="shared" si="5"/>
        <v>563960.36</v>
      </c>
    </row>
    <row r="61" spans="1:21" x14ac:dyDescent="0.3">
      <c r="A61" s="2" t="str">
        <f xml:space="preserve"> _xll.EPMOlapMemberO("[CECO].[PARENTH3].[AMSA1001AD0505]","","AMSA1001AD0505 - Operaciones Corp","","000")</f>
        <v>AMSA1001AD0505 - Operaciones Corp</v>
      </c>
      <c r="B61" s="2" t="str">
        <f xml:space="preserve"> _xll.EPMOlapMemberO("[CLACO].[PARENTH7].[AMSAENTRENAMI]","","AMSAENTRENAMI - Entrenamiento","","000")</f>
        <v>AMSAENTRENAMI - Entrenamiento</v>
      </c>
      <c r="C61" s="1" t="str">
        <f>_xlfn.CONCAT(_xll.EPMMemberProperty("COSTOS", _xll.EPMMemberID(A61), "PARENTH3"), " - ", _xll.EPMMemberDesc(_xll.EPMMemberProperty("COSTOS", _xll.EPMMemberID(A61), "PARENTH3"), "COSTOS"))</f>
        <v>N1001AD050 - Gerencia General</v>
      </c>
      <c r="D61">
        <v>1177.53</v>
      </c>
      <c r="F61">
        <f t="shared" si="0"/>
        <v>-1177.53</v>
      </c>
      <c r="G61">
        <v>0</v>
      </c>
      <c r="I61">
        <f t="shared" si="1"/>
        <v>0</v>
      </c>
      <c r="J61">
        <v>0</v>
      </c>
      <c r="L61">
        <f t="shared" si="2"/>
        <v>0</v>
      </c>
      <c r="M61">
        <v>0</v>
      </c>
      <c r="O61">
        <f t="shared" si="3"/>
        <v>0</v>
      </c>
      <c r="R61">
        <f t="shared" si="4"/>
        <v>0</v>
      </c>
      <c r="S61">
        <v>1177.53</v>
      </c>
      <c r="U61">
        <f t="shared" si="5"/>
        <v>-1177.53</v>
      </c>
    </row>
    <row r="62" spans="1:21" x14ac:dyDescent="0.3">
      <c r="A62" s="2" t="str">
        <f xml:space="preserve"> _xll.EPMOlapMemberO("[CECO].[PARENTH3].[AMSA1001AD0505]","","AMSA1001AD0505 - Operaciones Corp","","000")</f>
        <v>AMSA1001AD0505 - Operaciones Corp</v>
      </c>
      <c r="B62" s="2" t="str">
        <f xml:space="preserve"> _xll.EPMOlapMemberO("[CLACO].[PARENTH7].[AMSAASESORIAS]","","AMSAASESORIAS - Asesorías y Consulto","","000")</f>
        <v>AMSAASESORIAS - Asesorías y Consulto</v>
      </c>
      <c r="C62" s="1" t="str">
        <f>_xlfn.CONCAT(_xll.EPMMemberProperty("COSTOS", _xll.EPMMemberID(A62), "PARENTH3"), " - ", _xll.EPMMemberDesc(_xll.EPMMemberProperty("COSTOS", _xll.EPMMemberID(A62), "PARENTH3"), "COSTOS"))</f>
        <v>N1001AD050 - Gerencia General</v>
      </c>
      <c r="D62">
        <v>29108.49</v>
      </c>
      <c r="E62">
        <v>37669.01</v>
      </c>
      <c r="F62">
        <f t="shared" si="0"/>
        <v>8560.52</v>
      </c>
      <c r="G62">
        <v>2577.21</v>
      </c>
      <c r="H62">
        <v>18297.48</v>
      </c>
      <c r="I62">
        <f t="shared" si="1"/>
        <v>15720.27</v>
      </c>
      <c r="J62">
        <v>88924.59</v>
      </c>
      <c r="K62">
        <v>129024.05</v>
      </c>
      <c r="L62">
        <f t="shared" si="2"/>
        <v>40099.460000000006</v>
      </c>
      <c r="M62">
        <v>106152.14</v>
      </c>
      <c r="N62">
        <v>35304.620000000003</v>
      </c>
      <c r="O62">
        <f t="shared" si="3"/>
        <v>-70847.51999999999</v>
      </c>
      <c r="P62">
        <v>-56900.76</v>
      </c>
      <c r="Q62">
        <v>74165.02</v>
      </c>
      <c r="R62">
        <f t="shared" si="4"/>
        <v>131065.78</v>
      </c>
      <c r="S62">
        <v>159502.17000000001</v>
      </c>
      <c r="T62">
        <v>1058838.6499999999</v>
      </c>
      <c r="U62">
        <f t="shared" si="5"/>
        <v>899336.47999999986</v>
      </c>
    </row>
    <row r="63" spans="1:21" x14ac:dyDescent="0.3">
      <c r="A63" s="2" t="str">
        <f xml:space="preserve"> _xll.EPMOlapMemberO("[CECO].[PARENTH3].[AMSA1001AD0505]","","AMSA1001AD0505 - Operaciones Corp","","000")</f>
        <v>AMSA1001AD0505 - Operaciones Corp</v>
      </c>
      <c r="B63" s="2" t="str">
        <f xml:space="preserve"> _xll.EPMOlapMemberO("[CLACO].[PARENTH7].[AMSASERVICIOS]","","AMSASERVICIOS - Servicios","","000")</f>
        <v>AMSASERVICIOS - Servicios</v>
      </c>
      <c r="C63" s="1" t="str">
        <f>_xlfn.CONCAT(_xll.EPMMemberProperty("COSTOS", _xll.EPMMemberID(A63), "PARENTH3"), " - ", _xll.EPMMemberDesc(_xll.EPMMemberProperty("COSTOS", _xll.EPMMemberID(A63), "PARENTH3"), "COSTOS"))</f>
        <v>N1001AD050 - Gerencia General</v>
      </c>
      <c r="D63">
        <v>37500.99</v>
      </c>
      <c r="E63">
        <v>34254.25</v>
      </c>
      <c r="F63">
        <f t="shared" si="0"/>
        <v>-3246.739999999998</v>
      </c>
      <c r="G63">
        <v>32219.15</v>
      </c>
      <c r="H63">
        <v>51112.57</v>
      </c>
      <c r="I63">
        <f t="shared" si="1"/>
        <v>18893.419999999998</v>
      </c>
      <c r="J63">
        <v>34721.589999999997</v>
      </c>
      <c r="K63">
        <v>46192.33</v>
      </c>
      <c r="L63">
        <f t="shared" si="2"/>
        <v>11470.740000000005</v>
      </c>
      <c r="M63">
        <v>60907.54</v>
      </c>
      <c r="N63">
        <v>30460.29</v>
      </c>
      <c r="O63">
        <f t="shared" si="3"/>
        <v>-30447.25</v>
      </c>
      <c r="P63">
        <v>40186.080000000002</v>
      </c>
      <c r="Q63">
        <v>13419.37</v>
      </c>
      <c r="R63">
        <f t="shared" si="4"/>
        <v>-26766.71</v>
      </c>
      <c r="S63">
        <v>165349.26999999999</v>
      </c>
      <c r="T63">
        <v>618239.47</v>
      </c>
      <c r="U63">
        <f t="shared" si="5"/>
        <v>452890.19999999995</v>
      </c>
    </row>
    <row r="64" spans="1:21" x14ac:dyDescent="0.3">
      <c r="A64" s="2" t="str">
        <f xml:space="preserve"> _xll.EPMOlapMemberO("[CECO].[PARENTH3].[AMSA1001AD0505]","","AMSA1001AD0505 - Operaciones Corp","","000")</f>
        <v>AMSA1001AD0505 - Operaciones Corp</v>
      </c>
      <c r="B64" s="2" t="str">
        <f xml:space="preserve"> _xll.EPMOlapMemberO("[CLACO].[PARENTH7].[AMSAINFORMATIC]","","AMSAINFORMATIC - Informática y Comuni","","000")</f>
        <v>AMSAINFORMATIC - Informática y Comuni</v>
      </c>
      <c r="C64" s="1" t="str">
        <f>_xlfn.CONCAT(_xll.EPMMemberProperty("COSTOS", _xll.EPMMemberID(A64), "PARENTH3"), " - ", _xll.EPMMemberDesc(_xll.EPMMemberProperty("COSTOS", _xll.EPMMemberID(A64), "PARENTH3"), "COSTOS"))</f>
        <v>N1001AD050 - Gerencia General</v>
      </c>
      <c r="D64">
        <v>0</v>
      </c>
      <c r="E64">
        <v>374.43</v>
      </c>
      <c r="F64">
        <f t="shared" si="0"/>
        <v>374.43</v>
      </c>
      <c r="G64">
        <v>0</v>
      </c>
      <c r="H64">
        <v>374.27</v>
      </c>
      <c r="I64">
        <f t="shared" si="1"/>
        <v>374.27</v>
      </c>
      <c r="J64">
        <v>0</v>
      </c>
      <c r="K64">
        <v>28307.06</v>
      </c>
      <c r="L64">
        <f t="shared" si="2"/>
        <v>28307.06</v>
      </c>
      <c r="M64">
        <v>2923.76</v>
      </c>
      <c r="N64">
        <v>373.95</v>
      </c>
      <c r="O64">
        <f t="shared" si="3"/>
        <v>-2549.8100000000004</v>
      </c>
      <c r="P64">
        <v>-28.1</v>
      </c>
      <c r="Q64">
        <v>373.8</v>
      </c>
      <c r="R64">
        <f t="shared" si="4"/>
        <v>401.90000000000003</v>
      </c>
      <c r="S64">
        <v>2923.76</v>
      </c>
      <c r="T64">
        <v>216609.05</v>
      </c>
      <c r="U64">
        <f t="shared" si="5"/>
        <v>213685.28999999998</v>
      </c>
    </row>
    <row r="65" spans="1:21" x14ac:dyDescent="0.3">
      <c r="A65" s="2" t="str">
        <f xml:space="preserve"> _xll.EPMOlapMemberO("[CECO].[PARENTH3].[AMSA1001AD0505]","","AMSA1001AD0505 - Operaciones Corp","","000")</f>
        <v>AMSA1001AD0505 - Operaciones Corp</v>
      </c>
      <c r="B65" s="2" t="str">
        <f xml:space="preserve"> _xll.EPMOlapMemberO("[CLACO].[PARENTH7].[AMSASERV_CORP]","","AMSASERV_CORP - Servicios Corporativ","","000")</f>
        <v>AMSASERV_CORP - Servicios Corporativ</v>
      </c>
      <c r="C65" s="1" t="str">
        <f>_xlfn.CONCAT(_xll.EPMMemberProperty("COSTOS", _xll.EPMMemberID(A65), "PARENTH3"), " - ", _xll.EPMMemberDesc(_xll.EPMMemberProperty("COSTOS", _xll.EPMMemberID(A65), "PARENTH3"), "COSTOS"))</f>
        <v>N1001AD050 - Gerencia General</v>
      </c>
      <c r="D65">
        <v>137753.26999999999</v>
      </c>
      <c r="E65">
        <v>136201.04999999999</v>
      </c>
      <c r="F65">
        <f t="shared" si="0"/>
        <v>-1552.2200000000012</v>
      </c>
      <c r="G65">
        <v>143390.45000000001</v>
      </c>
      <c r="H65">
        <v>136581.06</v>
      </c>
      <c r="I65">
        <f t="shared" si="1"/>
        <v>-6809.390000000014</v>
      </c>
      <c r="J65">
        <v>142714.43</v>
      </c>
      <c r="K65">
        <v>136962.14000000001</v>
      </c>
      <c r="L65">
        <f t="shared" si="2"/>
        <v>-5752.289999999979</v>
      </c>
      <c r="M65">
        <v>134223.51999999999</v>
      </c>
      <c r="N65">
        <v>137344.28</v>
      </c>
      <c r="O65">
        <f t="shared" si="3"/>
        <v>3120.7600000000093</v>
      </c>
      <c r="P65">
        <v>138998.32999999999</v>
      </c>
      <c r="Q65">
        <v>137727.49</v>
      </c>
      <c r="R65">
        <f t="shared" si="4"/>
        <v>-1270.8399999999965</v>
      </c>
      <c r="S65">
        <v>697080</v>
      </c>
      <c r="T65">
        <v>1659728.42</v>
      </c>
      <c r="U65">
        <f t="shared" si="5"/>
        <v>962648.41999999993</v>
      </c>
    </row>
    <row r="66" spans="1:21" x14ac:dyDescent="0.3">
      <c r="A66" s="4" t="str">
        <f xml:space="preserve"> _xll.EPMOlapMemberO("[CECO].[PARENTH3].[AMSA1001AD3011]","","AMSA1001AD3011 - Abaste. Corporativos","","000")</f>
        <v>AMSA1001AD3011 - Abaste. Corporativos</v>
      </c>
      <c r="B66" s="2" t="str">
        <f xml:space="preserve"> _xll.EPMOlapMemberO("[CLACO].[PARENTH7].[AMSAADM_PERSON]","","AMSAADM_PERSON - Administración Perso","","000")</f>
        <v>AMSAADM_PERSON - Administración Perso</v>
      </c>
      <c r="C66" s="1" t="str">
        <f>_xlfn.CONCAT(_xll.EPMMemberProperty("COSTOS", _xll.EPMMemberID(A66), "PARENTH3"), " - ", _xll.EPMMemberDesc(_xll.EPMMemberProperty("COSTOS", _xll.EPMMemberID(A66), "PARENTH3"), "COSTOS"))</f>
        <v>N1001AD300 - Gerencia Servicios</v>
      </c>
      <c r="D66">
        <v>0</v>
      </c>
      <c r="F66">
        <f t="shared" si="0"/>
        <v>0</v>
      </c>
      <c r="G66">
        <v>0</v>
      </c>
      <c r="I66">
        <f t="shared" si="1"/>
        <v>0</v>
      </c>
      <c r="J66">
        <v>0</v>
      </c>
      <c r="L66">
        <f t="shared" si="2"/>
        <v>0</v>
      </c>
      <c r="M66">
        <v>0</v>
      </c>
      <c r="O66">
        <f t="shared" si="3"/>
        <v>0</v>
      </c>
      <c r="R66">
        <f t="shared" si="4"/>
        <v>0</v>
      </c>
      <c r="S66">
        <v>0</v>
      </c>
      <c r="U66">
        <f t="shared" si="5"/>
        <v>0</v>
      </c>
    </row>
    <row r="67" spans="1:21" x14ac:dyDescent="0.3">
      <c r="A67" s="4" t="str">
        <f xml:space="preserve"> _xll.EPMOlapMemberO("[CECO].[PARENTH3].[AMSA1001AD3011]","","AMSA1001AD3011 - Abaste. Corporativos","","000")</f>
        <v>AMSA1001AD3011 - Abaste. Corporativos</v>
      </c>
      <c r="B67" s="2" t="str">
        <f xml:space="preserve"> _xll.EPMOlapMemberO("[CLACO].[PARENTH7].[AMSAENTRENAMI]","","AMSAENTRENAMI - Entrenamiento","","000")</f>
        <v>AMSAENTRENAMI - Entrenamiento</v>
      </c>
      <c r="C67" s="1" t="str">
        <f>_xlfn.CONCAT(_xll.EPMMemberProperty("COSTOS", _xll.EPMMemberID(A67), "PARENTH3"), " - ", _xll.EPMMemberDesc(_xll.EPMMemberProperty("COSTOS", _xll.EPMMemberID(A67), "PARENTH3"), "COSTOS"))</f>
        <v>N1001AD300 - Gerencia Servicios</v>
      </c>
      <c r="F67">
        <f t="shared" si="0"/>
        <v>0</v>
      </c>
      <c r="H67">
        <v>759.97</v>
      </c>
      <c r="I67">
        <f t="shared" si="1"/>
        <v>759.97</v>
      </c>
      <c r="K67">
        <v>41196.04</v>
      </c>
      <c r="L67">
        <f t="shared" si="2"/>
        <v>41196.04</v>
      </c>
      <c r="N67">
        <v>7203.26</v>
      </c>
      <c r="O67">
        <f t="shared" si="3"/>
        <v>7203.26</v>
      </c>
      <c r="Q67">
        <v>12629.73</v>
      </c>
      <c r="R67">
        <f t="shared" si="4"/>
        <v>12629.73</v>
      </c>
      <c r="T67">
        <v>108093.01</v>
      </c>
      <c r="U67">
        <f t="shared" si="5"/>
        <v>108093.01</v>
      </c>
    </row>
    <row r="68" spans="1:21" x14ac:dyDescent="0.3">
      <c r="A68" s="4" t="str">
        <f xml:space="preserve"> _xll.EPMOlapMemberO("[CECO].[PARENTH3].[AMSA1001AD3011]","","AMSA1001AD3011 - Abaste. Corporativos","","000")</f>
        <v>AMSA1001AD3011 - Abaste. Corporativos</v>
      </c>
      <c r="B68" s="2" t="str">
        <f xml:space="preserve"> _xll.EPMOlapMemberO("[CLACO].[PARENTH7].[AMSASERVICIOS]","","AMSASERVICIOS - Servicios","","000")</f>
        <v>AMSASERVICIOS - Servicios</v>
      </c>
      <c r="C68" s="1" t="str">
        <f>_xlfn.CONCAT(_xll.EPMMemberProperty("COSTOS", _xll.EPMMemberID(A68), "PARENTH3"), " - ", _xll.EPMMemberDesc(_xll.EPMMemberProperty("COSTOS", _xll.EPMMemberID(A68), "PARENTH3"), "COSTOS"))</f>
        <v>N1001AD300 - Gerencia Servicios</v>
      </c>
      <c r="D68">
        <v>37810.67</v>
      </c>
      <c r="E68">
        <v>29981.94</v>
      </c>
      <c r="F68">
        <f t="shared" si="0"/>
        <v>-7828.73</v>
      </c>
      <c r="G68">
        <v>45883.73</v>
      </c>
      <c r="H68">
        <v>30078.93</v>
      </c>
      <c r="I68">
        <f t="shared" si="1"/>
        <v>-15804.800000000003</v>
      </c>
      <c r="J68">
        <v>40569.360000000001</v>
      </c>
      <c r="K68">
        <v>30145.46</v>
      </c>
      <c r="L68">
        <f t="shared" si="2"/>
        <v>-10423.900000000001</v>
      </c>
      <c r="M68">
        <v>43567.64</v>
      </c>
      <c r="N68">
        <v>31061.09</v>
      </c>
      <c r="O68">
        <f t="shared" si="3"/>
        <v>-12506.55</v>
      </c>
      <c r="P68">
        <v>39086.92</v>
      </c>
      <c r="Q68">
        <v>31279.58</v>
      </c>
      <c r="R68">
        <f t="shared" si="4"/>
        <v>-7807.3399999999965</v>
      </c>
      <c r="S68">
        <v>167831.4</v>
      </c>
      <c r="T68">
        <v>366172.8</v>
      </c>
      <c r="U68">
        <f t="shared" si="5"/>
        <v>198341.4</v>
      </c>
    </row>
    <row r="69" spans="1:21" x14ac:dyDescent="0.3">
      <c r="A69" s="4" t="str">
        <f xml:space="preserve"> _xll.EPMOlapMemberO("[CECO].[PARENTH3].[AMSA1001AD3011]","","AMSA1001AD3011 - Abaste. Corporativos","","000")</f>
        <v>AMSA1001AD3011 - Abaste. Corporativos</v>
      </c>
      <c r="B69" s="2" t="str">
        <f xml:space="preserve"> _xll.EPMOlapMemberO("[CLACO].[PARENTH7].[AMSAINFORMATIC]","","AMSAINFORMATIC - Informática y Comuni","","000")</f>
        <v>AMSAINFORMATIC - Informática y Comuni</v>
      </c>
      <c r="C69" s="1" t="str">
        <f>_xlfn.CONCAT(_xll.EPMMemberProperty("COSTOS", _xll.EPMMemberID(A69), "PARENTH3"), " - ", _xll.EPMMemberDesc(_xll.EPMMemberProperty("COSTOS", _xll.EPMMemberID(A69), "PARENTH3"), "COSTOS"))</f>
        <v>N1001AD300 - Gerencia Servicios</v>
      </c>
      <c r="D69">
        <v>-26553.02</v>
      </c>
      <c r="E69">
        <v>19749.63</v>
      </c>
      <c r="F69">
        <f t="shared" si="0"/>
        <v>46302.65</v>
      </c>
      <c r="G69">
        <v>39374.11</v>
      </c>
      <c r="H69">
        <v>15660.81</v>
      </c>
      <c r="I69">
        <f t="shared" si="1"/>
        <v>-23713.300000000003</v>
      </c>
      <c r="J69">
        <v>10422.35</v>
      </c>
      <c r="K69">
        <v>34886.519999999997</v>
      </c>
      <c r="L69">
        <f t="shared" si="2"/>
        <v>24464.17</v>
      </c>
      <c r="M69">
        <v>1267.78</v>
      </c>
      <c r="N69">
        <v>1674.24</v>
      </c>
      <c r="O69">
        <f t="shared" si="3"/>
        <v>406.46000000000004</v>
      </c>
      <c r="P69">
        <v>3860.66</v>
      </c>
      <c r="Q69">
        <v>35958.31</v>
      </c>
      <c r="R69">
        <f t="shared" si="4"/>
        <v>32097.649999999998</v>
      </c>
      <c r="S69">
        <v>24511.22</v>
      </c>
      <c r="T69">
        <v>181356.36</v>
      </c>
      <c r="U69">
        <f t="shared" si="5"/>
        <v>156845.13999999998</v>
      </c>
    </row>
    <row r="70" spans="1:21" x14ac:dyDescent="0.3">
      <c r="A70" s="4" t="str">
        <f xml:space="preserve"> _xll.EPMOlapMemberO("[CECO].[PARENTH3].[AMSA1001AD3011]","","AMSA1001AD3011 - Abaste. Corporativos","","000")</f>
        <v>AMSA1001AD3011 - Abaste. Corporativos</v>
      </c>
      <c r="B70" s="2" t="str">
        <f xml:space="preserve"> _xll.EPMOlapMemberO("[CLACO].[PARENTH7].[AMSAG_VIAJES]","","AMSAG_VIAJES - Gastos de Viajes","","000")</f>
        <v>AMSAG_VIAJES - Gastos de Viajes</v>
      </c>
      <c r="C70" s="1" t="str">
        <f>_xlfn.CONCAT(_xll.EPMMemberProperty("COSTOS", _xll.EPMMemberID(A70), "PARENTH3"), " - ", _xll.EPMMemberDesc(_xll.EPMMemberProperty("COSTOS", _xll.EPMMemberID(A70), "PARENTH3"), "COSTOS"))</f>
        <v>N1001AD300 - Gerencia Servicios</v>
      </c>
      <c r="F70">
        <f t="shared" si="0"/>
        <v>0</v>
      </c>
      <c r="I70">
        <f t="shared" si="1"/>
        <v>0</v>
      </c>
      <c r="L70">
        <f t="shared" si="2"/>
        <v>0</v>
      </c>
      <c r="O70">
        <f t="shared" si="3"/>
        <v>0</v>
      </c>
      <c r="P70">
        <v>918.46</v>
      </c>
      <c r="R70">
        <f t="shared" si="4"/>
        <v>-918.46</v>
      </c>
      <c r="S70">
        <v>918.46</v>
      </c>
      <c r="U70">
        <f t="shared" si="5"/>
        <v>-918.46</v>
      </c>
    </row>
    <row r="71" spans="1:21" x14ac:dyDescent="0.3">
      <c r="A71" s="4" t="str">
        <f xml:space="preserve"> _xll.EPMOlapMemberO("[CECO].[PARENTH3].[AMSA1001AD0507]","","AMSA1001AD0507 - Finanzas Corporativo","","000")</f>
        <v>AMSA1001AD0507 - Finanzas Corporativo</v>
      </c>
      <c r="B71" s="2" t="str">
        <f xml:space="preserve"> _xll.EPMOlapMemberO("[CLACO].[PARENTH7].[AMSASERV_CORP]","","AMSASERV_CORP - Servicios Corporativ","","000")</f>
        <v>AMSASERV_CORP - Servicios Corporativ</v>
      </c>
      <c r="C71" s="1" t="str">
        <f>_xlfn.CONCAT(_xll.EPMMemberProperty("COSTOS", _xll.EPMMemberID(A71), "PARENTH3"), " - ", _xll.EPMMemberDesc(_xll.EPMMemberProperty("COSTOS", _xll.EPMMemberID(A71), "PARENTH3"), "COSTOS"))</f>
        <v>N1001AD352 - Adm. Administración</v>
      </c>
      <c r="D71">
        <v>328246</v>
      </c>
      <c r="E71">
        <v>324547.09999999998</v>
      </c>
      <c r="F71">
        <f t="shared" si="0"/>
        <v>-3698.9000000000233</v>
      </c>
      <c r="G71">
        <v>341678.57</v>
      </c>
      <c r="H71">
        <v>325452.62</v>
      </c>
      <c r="I71">
        <f t="shared" si="1"/>
        <v>-16225.950000000012</v>
      </c>
      <c r="J71">
        <v>340067.71</v>
      </c>
      <c r="K71">
        <v>326360.67</v>
      </c>
      <c r="L71">
        <f t="shared" si="2"/>
        <v>-13707.040000000037</v>
      </c>
      <c r="M71">
        <v>319835.12</v>
      </c>
      <c r="N71">
        <v>327271.26</v>
      </c>
      <c r="O71">
        <f t="shared" si="3"/>
        <v>7436.140000000014</v>
      </c>
      <c r="P71">
        <v>331216.59999999998</v>
      </c>
      <c r="Q71">
        <v>328184.38</v>
      </c>
      <c r="R71">
        <f t="shared" si="4"/>
        <v>-3032.2199999999721</v>
      </c>
      <c r="S71">
        <v>1661044</v>
      </c>
      <c r="T71">
        <v>3954889.09</v>
      </c>
      <c r="U71">
        <f t="shared" si="5"/>
        <v>2293845.09</v>
      </c>
    </row>
    <row r="72" spans="1:21" x14ac:dyDescent="0.3">
      <c r="A72" s="4" t="str">
        <f xml:space="preserve"> _xll.EPMOlapMemberO("[CECO].[PARENTH3].[AMSA1001AD3503]","","AMSA1001AD3503 - Finanzas","","000")</f>
        <v>AMSA1001AD3503 - Finanzas</v>
      </c>
      <c r="B72" s="2" t="str">
        <f xml:space="preserve"> _xll.EPMOlapMemberO("[CLACO].[PARENTH7].[AMSAASESORIAS]","","AMSAASESORIAS - Asesorías y Consulto","","000")</f>
        <v>AMSAASESORIAS - Asesorías y Consulto</v>
      </c>
      <c r="C72" s="1" t="str">
        <f>_xlfn.CONCAT(_xll.EPMMemberProperty("COSTOS", _xll.EPMMemberID(A72), "PARENTH3"), " - ", _xll.EPMMemberDesc(_xll.EPMMemberProperty("COSTOS", _xll.EPMMemberID(A72), "PARENTH3"), "COSTOS"))</f>
        <v>N1001AD354 - Finanzas</v>
      </c>
      <c r="F72">
        <f t="shared" si="0"/>
        <v>0</v>
      </c>
      <c r="I72">
        <f t="shared" si="1"/>
        <v>0</v>
      </c>
      <c r="L72">
        <f t="shared" si="2"/>
        <v>0</v>
      </c>
      <c r="O72">
        <f t="shared" si="3"/>
        <v>0</v>
      </c>
      <c r="P72">
        <v>0</v>
      </c>
      <c r="R72">
        <f t="shared" si="4"/>
        <v>0</v>
      </c>
      <c r="S72">
        <v>10318.4</v>
      </c>
      <c r="T72">
        <v>1458.07</v>
      </c>
      <c r="U72">
        <f t="shared" si="5"/>
        <v>-8860.33</v>
      </c>
    </row>
    <row r="73" spans="1:21" x14ac:dyDescent="0.3">
      <c r="A73" s="4" t="str">
        <f xml:space="preserve"> _xll.EPMOlapMemberO("[CECO].[PARENTH3].[AMSA1001AD3503]","","AMSA1001AD3503 - Finanzas","","000")</f>
        <v>AMSA1001AD3503 - Finanzas</v>
      </c>
      <c r="B73" s="2" t="str">
        <f xml:space="preserve"> _xll.EPMOlapMemberO("[CLACO].[PARENTH7].[AMSAINFORMATIC]","","AMSAINFORMATIC - Informática y Comuni","","000")</f>
        <v>AMSAINFORMATIC - Informática y Comuni</v>
      </c>
      <c r="C73" s="1" t="str">
        <f>_xlfn.CONCAT(_xll.EPMMemberProperty("COSTOS", _xll.EPMMemberID(A73), "PARENTH3"), " - ", _xll.EPMMemberDesc(_xll.EPMMemberProperty("COSTOS", _xll.EPMMemberID(A73), "PARENTH3"), "COSTOS"))</f>
        <v>N1001AD354 - Finanzas</v>
      </c>
      <c r="D73">
        <v>0</v>
      </c>
      <c r="F73">
        <f t="shared" si="0"/>
        <v>0</v>
      </c>
      <c r="G73">
        <v>0</v>
      </c>
      <c r="I73">
        <f t="shared" si="1"/>
        <v>0</v>
      </c>
      <c r="J73">
        <v>0</v>
      </c>
      <c r="L73">
        <f t="shared" si="2"/>
        <v>0</v>
      </c>
      <c r="M73">
        <v>0</v>
      </c>
      <c r="O73">
        <f t="shared" si="3"/>
        <v>0</v>
      </c>
      <c r="P73">
        <v>9731.99</v>
      </c>
      <c r="R73">
        <f t="shared" si="4"/>
        <v>-9731.99</v>
      </c>
      <c r="S73">
        <v>-29215</v>
      </c>
      <c r="T73">
        <v>1496.31</v>
      </c>
      <c r="U73">
        <f t="shared" si="5"/>
        <v>30711.31</v>
      </c>
    </row>
    <row r="74" spans="1:21" x14ac:dyDescent="0.3">
      <c r="A74" s="4" t="str">
        <f xml:space="preserve"> _xll.EPMOlapMemberO("[CECO].[PARENTH3].[AMSA1001AD3504]","","AMSA1001AD3504 - Contabilidad","","000")</f>
        <v>AMSA1001AD3504 - Contabilidad</v>
      </c>
      <c r="B74" s="2" t="str">
        <f xml:space="preserve"> _xll.EPMOlapMemberO("[CLACO].[PARENTH7].[AMSAMAT_Y_REP.2]","","AMSAMAT_Y_REP.2 - Materiales y repuest","","000")</f>
        <v>AMSAMAT_Y_REP.2 - Materiales y repuest</v>
      </c>
      <c r="C74" s="1" t="str">
        <f>_xlfn.CONCAT(_xll.EPMMemberProperty("COSTOS", _xll.EPMMemberID(A74), "PARENTH3"), " - ", _xll.EPMMemberDesc(_xll.EPMMemberProperty("COSTOS", _xll.EPMMemberID(A74), "PARENTH3"), "COSTOS"))</f>
        <v>N1001AD354 - Finanzas</v>
      </c>
      <c r="F74">
        <f t="shared" ref="F74:F137" si="6">E74-D74</f>
        <v>0</v>
      </c>
      <c r="I74">
        <f t="shared" ref="I74:I137" si="7">H74-G74</f>
        <v>0</v>
      </c>
      <c r="K74">
        <v>120.55</v>
      </c>
      <c r="L74">
        <f t="shared" ref="L74:L137" si="8">K74-J74</f>
        <v>120.55</v>
      </c>
      <c r="O74">
        <f t="shared" ref="O74:O137" si="9">N74-M74</f>
        <v>0</v>
      </c>
      <c r="R74">
        <f t="shared" ref="R74:R137" si="10">Q74-P74</f>
        <v>0</v>
      </c>
      <c r="T74">
        <v>120.55</v>
      </c>
      <c r="U74">
        <f t="shared" ref="U74:U137" si="11">T74-S74</f>
        <v>120.55</v>
      </c>
    </row>
    <row r="75" spans="1:21" x14ac:dyDescent="0.3">
      <c r="A75" s="4" t="str">
        <f xml:space="preserve"> _xll.EPMOlapMemberO("[CECO].[PARENTH3].[AMSA1001AD3504]","","AMSA1001AD3504 - Contabilidad","","000")</f>
        <v>AMSA1001AD3504 - Contabilidad</v>
      </c>
      <c r="B75" s="2" t="str">
        <f xml:space="preserve"> _xll.EPMOlapMemberO("[CLACO].[PARENTH7].[AMSAASESORIAS]","","AMSAASESORIAS - Asesorías y Consulto","","000")</f>
        <v>AMSAASESORIAS - Asesorías y Consulto</v>
      </c>
      <c r="C75" s="1" t="str">
        <f>_xlfn.CONCAT(_xll.EPMMemberProperty("COSTOS", _xll.EPMMemberID(A75), "PARENTH3"), " - ", _xll.EPMMemberDesc(_xll.EPMMemberProperty("COSTOS", _xll.EPMMemberID(A75), "PARENTH3"), "COSTOS"))</f>
        <v>N1001AD354 - Finanzas</v>
      </c>
      <c r="D75">
        <v>1780.37</v>
      </c>
      <c r="F75">
        <f t="shared" si="6"/>
        <v>-1780.37</v>
      </c>
      <c r="G75">
        <v>-194.19</v>
      </c>
      <c r="I75">
        <f t="shared" si="7"/>
        <v>194.19</v>
      </c>
      <c r="J75">
        <v>-1096.31</v>
      </c>
      <c r="K75">
        <v>524.70000000000005</v>
      </c>
      <c r="L75">
        <f t="shared" si="8"/>
        <v>1621.01</v>
      </c>
      <c r="M75">
        <v>21.53</v>
      </c>
      <c r="O75">
        <f t="shared" si="9"/>
        <v>-21.53</v>
      </c>
      <c r="Q75">
        <v>7493.48</v>
      </c>
      <c r="R75">
        <f t="shared" si="10"/>
        <v>7493.48</v>
      </c>
      <c r="S75">
        <v>511.4</v>
      </c>
      <c r="T75">
        <v>204315.73</v>
      </c>
      <c r="U75">
        <f t="shared" si="11"/>
        <v>203804.33000000002</v>
      </c>
    </row>
    <row r="76" spans="1:21" x14ac:dyDescent="0.3">
      <c r="A76" s="4" t="str">
        <f xml:space="preserve"> _xll.EPMOlapMemberO("[CECO].[PARENTH3].[AMSA1001AD3504]","","AMSA1001AD3504 - Contabilidad","","000")</f>
        <v>AMSA1001AD3504 - Contabilidad</v>
      </c>
      <c r="B76" s="2" t="str">
        <f xml:space="preserve"> _xll.EPMOlapMemberO("[CLACO].[PARENTH7].[AMSASERVICIOS]","","AMSASERVICIOS - Servicios","","000")</f>
        <v>AMSASERVICIOS - Servicios</v>
      </c>
      <c r="C76" s="1" t="str">
        <f>_xlfn.CONCAT(_xll.EPMMemberProperty("COSTOS", _xll.EPMMemberID(A76), "PARENTH3"), " - ", _xll.EPMMemberDesc(_xll.EPMMemberProperty("COSTOS", _xll.EPMMemberID(A76), "PARENTH3"), "COSTOS"))</f>
        <v>N1001AD354 - Finanzas</v>
      </c>
      <c r="E76">
        <v>305.14</v>
      </c>
      <c r="F76">
        <f t="shared" si="6"/>
        <v>305.14</v>
      </c>
      <c r="G76">
        <v>2519.9</v>
      </c>
      <c r="H76">
        <v>305.99</v>
      </c>
      <c r="I76">
        <f t="shared" si="7"/>
        <v>-2213.91</v>
      </c>
      <c r="J76">
        <v>0</v>
      </c>
      <c r="K76">
        <v>306.83999999999997</v>
      </c>
      <c r="L76">
        <f t="shared" si="8"/>
        <v>306.83999999999997</v>
      </c>
      <c r="M76">
        <v>8537.49</v>
      </c>
      <c r="N76">
        <v>307.7</v>
      </c>
      <c r="O76">
        <f t="shared" si="9"/>
        <v>-8229.7899999999991</v>
      </c>
      <c r="P76">
        <v>579.42999999999995</v>
      </c>
      <c r="Q76">
        <v>308.55</v>
      </c>
      <c r="R76">
        <f t="shared" si="10"/>
        <v>-270.87999999999994</v>
      </c>
      <c r="S76">
        <v>11057.39</v>
      </c>
      <c r="T76">
        <v>3718.34</v>
      </c>
      <c r="U76">
        <f t="shared" si="11"/>
        <v>-7339.0499999999993</v>
      </c>
    </row>
    <row r="77" spans="1:21" x14ac:dyDescent="0.3">
      <c r="A77" s="4" t="str">
        <f xml:space="preserve"> _xll.EPMOlapMemberO("[CECO].[PARENTH3].[AMSA1001AD3504]","","AMSA1001AD3504 - Contabilidad","","000")</f>
        <v>AMSA1001AD3504 - Contabilidad</v>
      </c>
      <c r="B77" s="2" t="str">
        <f xml:space="preserve"> _xll.EPMOlapMemberO("[CLACO].[PARENTH7].[AMSAINFORMATIC]","","AMSAINFORMATIC - Informática y Comuni","","000")</f>
        <v>AMSAINFORMATIC - Informática y Comuni</v>
      </c>
      <c r="C77" s="1" t="str">
        <f>_xlfn.CONCAT(_xll.EPMMemberProperty("COSTOS", _xll.EPMMemberID(A77), "PARENTH3"), " - ", _xll.EPMMemberDesc(_xll.EPMMemberProperty("COSTOS", _xll.EPMMemberID(A77), "PARENTH3"), "COSTOS"))</f>
        <v>N1001AD354 - Finanzas</v>
      </c>
      <c r="D77">
        <v>4888</v>
      </c>
      <c r="E77">
        <v>6364.25</v>
      </c>
      <c r="F77">
        <f t="shared" si="6"/>
        <v>1476.25</v>
      </c>
      <c r="G77">
        <v>4820.8500000000004</v>
      </c>
      <c r="H77">
        <v>6382.01</v>
      </c>
      <c r="I77">
        <f t="shared" si="7"/>
        <v>1561.1599999999999</v>
      </c>
      <c r="J77">
        <v>4513.3100000000004</v>
      </c>
      <c r="K77">
        <v>6399.81</v>
      </c>
      <c r="L77">
        <f t="shared" si="8"/>
        <v>1886.5</v>
      </c>
      <c r="M77">
        <v>4771.3500000000004</v>
      </c>
      <c r="N77">
        <v>6417.67</v>
      </c>
      <c r="O77">
        <f t="shared" si="9"/>
        <v>1646.3199999999997</v>
      </c>
      <c r="P77">
        <v>5025.2700000000004</v>
      </c>
      <c r="Q77">
        <v>6435.58</v>
      </c>
      <c r="R77">
        <f t="shared" si="10"/>
        <v>1410.3099999999995</v>
      </c>
      <c r="S77">
        <v>23926.720000000001</v>
      </c>
      <c r="T77">
        <v>77553.929999999993</v>
      </c>
      <c r="U77">
        <f t="shared" si="11"/>
        <v>53627.209999999992</v>
      </c>
    </row>
    <row r="78" spans="1:21" x14ac:dyDescent="0.3">
      <c r="A78" s="4" t="str">
        <f xml:space="preserve"> _xll.EPMOlapMemberO("[CECO].[PARENTH3].[AMSA1001AD3504]","","AMSA1001AD3504 - Contabilidad","","000")</f>
        <v>AMSA1001AD3504 - Contabilidad</v>
      </c>
      <c r="B78" s="2" t="str">
        <f xml:space="preserve"> _xll.EPMOlapMemberO("[CLACO].[PARENTH7].[AMSAG_VIAJES]","","AMSAG_VIAJES - Gastos de Viajes","","000")</f>
        <v>AMSAG_VIAJES - Gastos de Viajes</v>
      </c>
      <c r="C78" s="1" t="str">
        <f>_xlfn.CONCAT(_xll.EPMMemberProperty("COSTOS", _xll.EPMMemberID(A78), "PARENTH3"), " - ", _xll.EPMMemberDesc(_xll.EPMMemberProperty("COSTOS", _xll.EPMMemberID(A78), "PARENTH3"), "COSTOS"))</f>
        <v>N1001AD354 - Finanzas</v>
      </c>
      <c r="F78">
        <f t="shared" si="6"/>
        <v>0</v>
      </c>
      <c r="I78">
        <f t="shared" si="7"/>
        <v>0</v>
      </c>
      <c r="K78">
        <v>567.6</v>
      </c>
      <c r="L78">
        <f t="shared" si="8"/>
        <v>567.6</v>
      </c>
      <c r="O78">
        <f t="shared" si="9"/>
        <v>0</v>
      </c>
      <c r="R78">
        <f t="shared" si="10"/>
        <v>0</v>
      </c>
      <c r="T78">
        <v>2866.17</v>
      </c>
      <c r="U78">
        <f t="shared" si="11"/>
        <v>2866.17</v>
      </c>
    </row>
    <row r="79" spans="1:21" x14ac:dyDescent="0.3">
      <c r="A79" s="4" t="str">
        <f xml:space="preserve"> _xll.EPMOlapMemberO("[CECO].[PARENTH3].[AMSA1001AD3504]","","AMSA1001AD3504 - Contabilidad","","000")</f>
        <v>AMSA1001AD3504 - Contabilidad</v>
      </c>
      <c r="B79" s="2" t="str">
        <f xml:space="preserve"> _xll.EPMOlapMemberO("[CLACO].[PARENTH7].[AMSASERV_CORP]","","AMSASERV_CORP - Servicios Corporativ","","000")</f>
        <v>AMSASERV_CORP - Servicios Corporativ</v>
      </c>
      <c r="C79" s="1" t="str">
        <f>_xlfn.CONCAT(_xll.EPMMemberProperty("COSTOS", _xll.EPMMemberID(A79), "PARENTH3"), " - ", _xll.EPMMemberDesc(_xll.EPMMemberProperty("COSTOS", _xll.EPMMemberID(A79), "PARENTH3"), "COSTOS"))</f>
        <v>N1001AD354 - Finanzas</v>
      </c>
      <c r="D79">
        <v>1429.55</v>
      </c>
      <c r="E79">
        <v>7756.53</v>
      </c>
      <c r="F79">
        <f t="shared" si="6"/>
        <v>6326.98</v>
      </c>
      <c r="G79">
        <v>13887.21</v>
      </c>
      <c r="H79">
        <v>7777.74</v>
      </c>
      <c r="I79">
        <f t="shared" si="7"/>
        <v>-6109.4699999999993</v>
      </c>
      <c r="J79">
        <v>6845.96</v>
      </c>
      <c r="K79">
        <v>7799.65</v>
      </c>
      <c r="L79">
        <f t="shared" si="8"/>
        <v>953.6899999999996</v>
      </c>
      <c r="M79">
        <v>6766.67</v>
      </c>
      <c r="N79">
        <v>7821.56</v>
      </c>
      <c r="O79">
        <f t="shared" si="9"/>
        <v>1054.8900000000003</v>
      </c>
      <c r="P79">
        <v>7353.66</v>
      </c>
      <c r="Q79">
        <v>7843.48</v>
      </c>
      <c r="R79">
        <f t="shared" si="10"/>
        <v>489.81999999999971</v>
      </c>
      <c r="S79">
        <v>28929.39</v>
      </c>
      <c r="T79">
        <v>94518.28</v>
      </c>
      <c r="U79">
        <f t="shared" si="11"/>
        <v>65588.89</v>
      </c>
    </row>
    <row r="80" spans="1:21" x14ac:dyDescent="0.3">
      <c r="A80" s="4" t="str">
        <f xml:space="preserve"> _xll.EPMOlapMemberO("[CECO].[PARENTH3].[AMSA1001AD3505]","","AMSA1001AD3505 - Gestión de Seguros","","000")</f>
        <v>AMSA1001AD3505 - Gestión de Seguros</v>
      </c>
      <c r="B80" s="2" t="str">
        <f xml:space="preserve"> _xll.EPMOlapMemberO("[CLACO].[PARENTH7].[AMSAG_VIAJES]","","AMSAG_VIAJES - Gastos de Viajes","","000")</f>
        <v>AMSAG_VIAJES - Gastos de Viajes</v>
      </c>
      <c r="C80" s="1" t="str">
        <f>_xlfn.CONCAT(_xll.EPMMemberProperty("COSTOS", _xll.EPMMemberID(A80), "PARENTH3"), " - ", _xll.EPMMemberDesc(_xll.EPMMemberProperty("COSTOS", _xll.EPMMemberID(A80), "PARENTH3"), "COSTOS"))</f>
        <v>N1001AD354 - Finanzas</v>
      </c>
      <c r="F80">
        <f t="shared" si="6"/>
        <v>0</v>
      </c>
      <c r="I80">
        <f t="shared" si="7"/>
        <v>0</v>
      </c>
      <c r="L80">
        <f t="shared" si="8"/>
        <v>0</v>
      </c>
      <c r="O80">
        <f t="shared" si="9"/>
        <v>0</v>
      </c>
      <c r="R80">
        <f t="shared" si="10"/>
        <v>0</v>
      </c>
      <c r="T80">
        <v>15357.64</v>
      </c>
      <c r="U80">
        <f t="shared" si="11"/>
        <v>15357.64</v>
      </c>
    </row>
    <row r="81" spans="1:21" x14ac:dyDescent="0.3">
      <c r="A81" s="4" t="str">
        <f xml:space="preserve"> _xll.EPMOlapMemberO("[CECO].[PARENTH3].[AMSA1001AD3505]","","AMSA1001AD3505 - Gestión de Seguros","","000")</f>
        <v>AMSA1001AD3505 - Gestión de Seguros</v>
      </c>
      <c r="B81" s="2" t="str">
        <f xml:space="preserve"> _xll.EPMOlapMemberO("[CLACO].[PARENTH7].[AMSASEGUROS]","","AMSASEGUROS - Seguros","","000")</f>
        <v>AMSASEGUROS - Seguros</v>
      </c>
      <c r="C81" s="1" t="str">
        <f>_xlfn.CONCAT(_xll.EPMMemberProperty("COSTOS", _xll.EPMMemberID(A81), "PARENTH3"), " - ", _xll.EPMMemberDesc(_xll.EPMMemberProperty("COSTOS", _xll.EPMMemberID(A81), "PARENTH3"), "COSTOS"))</f>
        <v>N1001AD354 - Finanzas</v>
      </c>
      <c r="D81">
        <v>1042394.51</v>
      </c>
      <c r="E81">
        <v>1119298.96</v>
      </c>
      <c r="F81">
        <f t="shared" si="6"/>
        <v>76904.449999999953</v>
      </c>
      <c r="G81">
        <v>1174001.3400000001</v>
      </c>
      <c r="H81">
        <v>1339629.57</v>
      </c>
      <c r="I81">
        <f t="shared" si="7"/>
        <v>165628.22999999998</v>
      </c>
      <c r="J81">
        <v>1014499.95</v>
      </c>
      <c r="K81">
        <v>1118308.03</v>
      </c>
      <c r="L81">
        <f t="shared" si="8"/>
        <v>103808.08000000007</v>
      </c>
      <c r="M81">
        <v>1175004.51</v>
      </c>
      <c r="N81">
        <v>1154795.23</v>
      </c>
      <c r="O81">
        <f t="shared" si="9"/>
        <v>-20209.280000000028</v>
      </c>
      <c r="P81">
        <v>1142323.0900000001</v>
      </c>
      <c r="Q81">
        <v>1214899.99</v>
      </c>
      <c r="R81">
        <f t="shared" si="10"/>
        <v>72576.899999999907</v>
      </c>
      <c r="S81">
        <v>9988124.4100000001</v>
      </c>
      <c r="T81">
        <v>14065900.470000001</v>
      </c>
      <c r="U81">
        <f t="shared" si="11"/>
        <v>4077776.0600000005</v>
      </c>
    </row>
    <row r="82" spans="1:21" x14ac:dyDescent="0.3">
      <c r="A82" s="4" t="str">
        <f xml:space="preserve"> _xll.EPMOlapMemberO("[CECO].[PARENTH3].[AMSA1001AD3521]","","AMSA1001AD3521 - Gestión de Impuestos","","000")</f>
        <v>AMSA1001AD3521 - Gestión de Impuestos</v>
      </c>
      <c r="B82" s="2" t="str">
        <f xml:space="preserve"> _xll.EPMOlapMemberO("[CLACO].[PARENTH7].[AMSAENTRENAMI]","","AMSAENTRENAMI - Entrenamiento","","000")</f>
        <v>AMSAENTRENAMI - Entrenamiento</v>
      </c>
      <c r="C82" s="1" t="str">
        <f>_xlfn.CONCAT(_xll.EPMMemberProperty("COSTOS", _xll.EPMMemberID(A82), "PARENTH3"), " - ", _xll.EPMMemberDesc(_xll.EPMMemberProperty("COSTOS", _xll.EPMMemberID(A82), "PARENTH3"), "COSTOS"))</f>
        <v>N1001AD354 - Finanzas</v>
      </c>
      <c r="F82">
        <f t="shared" si="6"/>
        <v>0</v>
      </c>
      <c r="I82">
        <f t="shared" si="7"/>
        <v>0</v>
      </c>
      <c r="L82">
        <f t="shared" si="8"/>
        <v>0</v>
      </c>
      <c r="O82">
        <f t="shared" si="9"/>
        <v>0</v>
      </c>
      <c r="R82">
        <f t="shared" si="10"/>
        <v>0</v>
      </c>
      <c r="T82">
        <v>1023.6</v>
      </c>
      <c r="U82">
        <f t="shared" si="11"/>
        <v>1023.6</v>
      </c>
    </row>
    <row r="83" spans="1:21" x14ac:dyDescent="0.3">
      <c r="A83" s="4" t="str">
        <f xml:space="preserve"> _xll.EPMOlapMemberO("[CECO].[PARENTH3].[AMSA1001AD3521]","","AMSA1001AD3521 - Gestión de Impuestos","","000")</f>
        <v>AMSA1001AD3521 - Gestión de Impuestos</v>
      </c>
      <c r="B83" s="2" t="str">
        <f xml:space="preserve"> _xll.EPMOlapMemberO("[CLACO].[PARENTH7].[AMSAASESORIAS]","","AMSAASESORIAS - Asesorías y Consulto","","000")</f>
        <v>AMSAASESORIAS - Asesorías y Consulto</v>
      </c>
      <c r="C83" s="1" t="str">
        <f>_xlfn.CONCAT(_xll.EPMMemberProperty("COSTOS", _xll.EPMMemberID(A83), "PARENTH3"), " - ", _xll.EPMMemberDesc(_xll.EPMMemberProperty("COSTOS", _xll.EPMMemberID(A83), "PARENTH3"), "COSTOS"))</f>
        <v>N1001AD354 - Finanzas</v>
      </c>
      <c r="D83">
        <v>-21509.86</v>
      </c>
      <c r="E83">
        <v>1768.62</v>
      </c>
      <c r="F83">
        <f t="shared" si="6"/>
        <v>23278.48</v>
      </c>
      <c r="G83">
        <v>-6719.27</v>
      </c>
      <c r="H83">
        <v>1767.8</v>
      </c>
      <c r="I83">
        <f t="shared" si="7"/>
        <v>8487.07</v>
      </c>
      <c r="J83">
        <v>44026.49</v>
      </c>
      <c r="K83">
        <v>1767.05</v>
      </c>
      <c r="L83">
        <f t="shared" si="8"/>
        <v>-42259.439999999995</v>
      </c>
      <c r="M83">
        <v>1060.25</v>
      </c>
      <c r="N83">
        <v>1766.35</v>
      </c>
      <c r="O83">
        <f t="shared" si="9"/>
        <v>706.09999999999991</v>
      </c>
      <c r="P83">
        <v>1326.05</v>
      </c>
      <c r="Q83">
        <v>1765.61</v>
      </c>
      <c r="R83">
        <f t="shared" si="10"/>
        <v>439.55999999999995</v>
      </c>
      <c r="S83">
        <v>-7565.49</v>
      </c>
      <c r="T83">
        <v>49977.4</v>
      </c>
      <c r="U83">
        <f t="shared" si="11"/>
        <v>57542.89</v>
      </c>
    </row>
    <row r="84" spans="1:21" x14ac:dyDescent="0.3">
      <c r="A84" s="4" t="str">
        <f xml:space="preserve"> _xll.EPMOlapMemberO("[CECO].[PARENTH3].[AMSA1001AD3521]","","AMSA1001AD3521 - Gestión de Impuestos","","000")</f>
        <v>AMSA1001AD3521 - Gestión de Impuestos</v>
      </c>
      <c r="B84" s="2" t="str">
        <f xml:space="preserve"> _xll.EPMOlapMemberO("[CLACO].[PARENTH7].[AMSAG_VIAJES]","","AMSAG_VIAJES - Gastos de Viajes","","000")</f>
        <v>AMSAG_VIAJES - Gastos de Viajes</v>
      </c>
      <c r="C84" s="1" t="str">
        <f>_xlfn.CONCAT(_xll.EPMMemberProperty("COSTOS", _xll.EPMMemberID(A84), "PARENTH3"), " - ", _xll.EPMMemberDesc(_xll.EPMMemberProperty("COSTOS", _xll.EPMMemberID(A84), "PARENTH3"), "COSTOS"))</f>
        <v>N1001AD354 - Finanzas</v>
      </c>
      <c r="F84">
        <f t="shared" si="6"/>
        <v>0</v>
      </c>
      <c r="I84">
        <f t="shared" si="7"/>
        <v>0</v>
      </c>
      <c r="L84">
        <f t="shared" si="8"/>
        <v>0</v>
      </c>
      <c r="O84">
        <f t="shared" si="9"/>
        <v>0</v>
      </c>
      <c r="R84">
        <f t="shared" si="10"/>
        <v>0</v>
      </c>
      <c r="T84">
        <v>1281.96</v>
      </c>
      <c r="U84">
        <f t="shared" si="11"/>
        <v>1281.96</v>
      </c>
    </row>
    <row r="85" spans="1:21" x14ac:dyDescent="0.3">
      <c r="A85" s="4" t="str">
        <f xml:space="preserve"> _xll.EPMOlapMemberO("[CECO].[PARENTH3].[AMSA1001AD3521]","","AMSA1001AD3521 - Gestión de Impuestos","","000")</f>
        <v>AMSA1001AD3521 - Gestión de Impuestos</v>
      </c>
      <c r="B85" s="2" t="str">
        <f xml:space="preserve"> _xll.EPMOlapMemberO("[CLACO].[PARENTH7].[AMSAIMP_PATEN]","","AMSAIMP_PATEN - Impuestos / Patentes","","000")</f>
        <v>AMSAIMP_PATEN - Impuestos / Patentes</v>
      </c>
      <c r="C85" s="1" t="str">
        <f>_xlfn.CONCAT(_xll.EPMMemberProperty("COSTOS", _xll.EPMMemberID(A85), "PARENTH3"), " - ", _xll.EPMMemberDesc(_xll.EPMMemberProperty("COSTOS", _xll.EPMMemberID(A85), "PARENTH3"), "COSTOS"))</f>
        <v>N1001AD354 - Finanzas</v>
      </c>
      <c r="D85">
        <v>315332.87</v>
      </c>
      <c r="E85">
        <v>615473.06000000006</v>
      </c>
      <c r="F85">
        <f t="shared" si="6"/>
        <v>300140.19000000006</v>
      </c>
      <c r="I85">
        <f t="shared" si="7"/>
        <v>0</v>
      </c>
      <c r="L85">
        <f t="shared" si="8"/>
        <v>0</v>
      </c>
      <c r="M85">
        <v>746890.73</v>
      </c>
      <c r="N85">
        <v>848080.53</v>
      </c>
      <c r="O85">
        <f t="shared" si="9"/>
        <v>101189.80000000005</v>
      </c>
      <c r="P85">
        <v>188025.87</v>
      </c>
      <c r="R85">
        <f t="shared" si="10"/>
        <v>-188025.87</v>
      </c>
      <c r="S85">
        <v>1062223.6000000001</v>
      </c>
      <c r="T85">
        <v>2560437.75</v>
      </c>
      <c r="U85">
        <f t="shared" si="11"/>
        <v>1498214.15</v>
      </c>
    </row>
    <row r="86" spans="1:21" x14ac:dyDescent="0.3">
      <c r="A86" s="4" t="str">
        <f xml:space="preserve"> _xll.EPMOlapMemberO("[CECO].[PARENTH3].[AMSA1001AD3515]","","AMSA1001AD3515 - TICA Corporativo","","000")</f>
        <v>AMSA1001AD3515 - TICA Corporativo</v>
      </c>
      <c r="B86" s="2" t="str">
        <f xml:space="preserve"> _xll.EPMOlapMemberO("[CLACO].[PARENTH7].[AMSAMAT_Y_REP.2]","","AMSAMAT_Y_REP.2 - Materiales y repuest","","000")</f>
        <v>AMSAMAT_Y_REP.2 - Materiales y repuest</v>
      </c>
      <c r="C86" s="1" t="str">
        <f>_xlfn.CONCAT(_xll.EPMMemberProperty("COSTOS", _xll.EPMMemberID(A86), "PARENTH3"), " - ", _xll.EPMMemberDesc(_xll.EPMMemberProperty("COSTOS", _xll.EPMMemberID(A86), "PARENTH3"), "COSTOS"))</f>
        <v>N1001AD355 - TICA</v>
      </c>
      <c r="D86">
        <v>335.62</v>
      </c>
      <c r="E86">
        <v>775.65</v>
      </c>
      <c r="F86">
        <f t="shared" si="6"/>
        <v>440.03</v>
      </c>
      <c r="G86">
        <v>204.95</v>
      </c>
      <c r="H86">
        <v>777.77</v>
      </c>
      <c r="I86">
        <f t="shared" si="7"/>
        <v>572.81999999999994</v>
      </c>
      <c r="J86">
        <v>1169.44</v>
      </c>
      <c r="K86">
        <v>779.97</v>
      </c>
      <c r="L86">
        <f t="shared" si="8"/>
        <v>-389.47</v>
      </c>
      <c r="M86">
        <v>2084.1999999999998</v>
      </c>
      <c r="N86">
        <v>782.16</v>
      </c>
      <c r="O86">
        <f t="shared" si="9"/>
        <v>-1302.04</v>
      </c>
      <c r="P86">
        <v>2488.58</v>
      </c>
      <c r="Q86">
        <v>784.35</v>
      </c>
      <c r="R86">
        <f t="shared" si="10"/>
        <v>-1704.23</v>
      </c>
      <c r="S86">
        <v>7904.92</v>
      </c>
      <c r="T86">
        <v>9451.83</v>
      </c>
      <c r="U86">
        <f t="shared" si="11"/>
        <v>1546.9099999999999</v>
      </c>
    </row>
    <row r="87" spans="1:21" x14ac:dyDescent="0.3">
      <c r="A87" s="4" t="str">
        <f xml:space="preserve"> _xll.EPMOlapMemberO("[CECO].[PARENTH3].[AMSA1001AD3515]","","AMSA1001AD3515 - TICA Corporativo","","000")</f>
        <v>AMSA1001AD3515 - TICA Corporativo</v>
      </c>
      <c r="B87" s="2" t="str">
        <f xml:space="preserve"> _xll.EPMOlapMemberO("[CLACO].[PARENTH7].[AMSACOMBUSTIBL]","","AMSACOMBUSTIBL - Combustibles  / Lubr","","000")</f>
        <v>AMSACOMBUSTIBL - Combustibles  / Lubr</v>
      </c>
      <c r="C87" s="1" t="str">
        <f>_xlfn.CONCAT(_xll.EPMMemberProperty("COSTOS", _xll.EPMMemberID(A87), "PARENTH3"), " - ", _xll.EPMMemberDesc(_xll.EPMMemberProperty("COSTOS", _xll.EPMMemberID(A87), "PARENTH3"), "COSTOS"))</f>
        <v>N1001AD355 - TICA</v>
      </c>
      <c r="E87">
        <v>500.41</v>
      </c>
      <c r="F87">
        <f t="shared" si="6"/>
        <v>500.41</v>
      </c>
      <c r="H87">
        <v>501.35</v>
      </c>
      <c r="I87">
        <f t="shared" si="7"/>
        <v>501.35</v>
      </c>
      <c r="K87">
        <v>502.29</v>
      </c>
      <c r="L87">
        <f t="shared" si="8"/>
        <v>502.29</v>
      </c>
      <c r="N87">
        <v>503.25</v>
      </c>
      <c r="O87">
        <f t="shared" si="9"/>
        <v>503.25</v>
      </c>
      <c r="Q87">
        <v>504.21</v>
      </c>
      <c r="R87">
        <f t="shared" si="10"/>
        <v>504.21</v>
      </c>
      <c r="T87">
        <v>6067.87</v>
      </c>
      <c r="U87">
        <f t="shared" si="11"/>
        <v>6067.87</v>
      </c>
    </row>
    <row r="88" spans="1:21" x14ac:dyDescent="0.3">
      <c r="A88" s="4" t="str">
        <f xml:space="preserve"> _xll.EPMOlapMemberO("[CECO].[PARENTH3].[AMSA1001AD3515]","","AMSA1001AD3515 - TICA Corporativo","","000")</f>
        <v>AMSA1001AD3515 - TICA Corporativo</v>
      </c>
      <c r="B88" s="2" t="str">
        <f xml:space="preserve"> _xll.EPMOlapMemberO("[CLACO].[PARENTH7].[AMSASERVICIOS]","","AMSASERVICIOS - Servicios","","000")</f>
        <v>AMSASERVICIOS - Servicios</v>
      </c>
      <c r="C88" s="1" t="str">
        <f>_xlfn.CONCAT(_xll.EPMMemberProperty("COSTOS", _xll.EPMMemberID(A88), "PARENTH3"), " - ", _xll.EPMMemberDesc(_xll.EPMMemberProperty("COSTOS", _xll.EPMMemberID(A88), "PARENTH3"), "COSTOS"))</f>
        <v>N1001AD355 - TICA</v>
      </c>
      <c r="D88">
        <v>7665.83</v>
      </c>
      <c r="F88">
        <f t="shared" si="6"/>
        <v>-7665.83</v>
      </c>
      <c r="G88">
        <v>8071.99</v>
      </c>
      <c r="I88">
        <f t="shared" si="7"/>
        <v>-8071.99</v>
      </c>
      <c r="J88">
        <v>6479.04</v>
      </c>
      <c r="L88">
        <f t="shared" si="8"/>
        <v>-6479.04</v>
      </c>
      <c r="M88">
        <v>9737.99</v>
      </c>
      <c r="O88">
        <f t="shared" si="9"/>
        <v>-9737.99</v>
      </c>
      <c r="P88">
        <v>23018.66</v>
      </c>
      <c r="R88">
        <f t="shared" si="10"/>
        <v>-23018.66</v>
      </c>
      <c r="S88">
        <v>39981.51</v>
      </c>
      <c r="U88">
        <f t="shared" si="11"/>
        <v>-39981.51</v>
      </c>
    </row>
    <row r="89" spans="1:21" x14ac:dyDescent="0.3">
      <c r="A89" s="4" t="str">
        <f xml:space="preserve"> _xll.EPMOlapMemberO("[CECO].[PARENTH3].[AMSA1001AD3515]","","AMSA1001AD3515 - TICA Corporativo","","000")</f>
        <v>AMSA1001AD3515 - TICA Corporativo</v>
      </c>
      <c r="B89" s="2" t="str">
        <f xml:space="preserve"> _xll.EPMOlapMemberO("[CLACO].[PARENTH7].[AMSASERMANTO.REPA]","","AMSASERMANTO.REPA - Servicios Mantenimie","","000")</f>
        <v>AMSASERMANTO.REPA - Servicios Mantenimie</v>
      </c>
      <c r="C89" s="1" t="str">
        <f>_xlfn.CONCAT(_xll.EPMMemberProperty("COSTOS", _xll.EPMMemberID(A89), "PARENTH3"), " - ", _xll.EPMMemberDesc(_xll.EPMMemberProperty("COSTOS", _xll.EPMMemberID(A89), "PARENTH3"), "COSTOS"))</f>
        <v>N1001AD355 - TICA</v>
      </c>
      <c r="F89">
        <f t="shared" si="6"/>
        <v>0</v>
      </c>
      <c r="I89">
        <f t="shared" si="7"/>
        <v>0</v>
      </c>
      <c r="L89">
        <f t="shared" si="8"/>
        <v>0</v>
      </c>
      <c r="M89">
        <v>17243.41</v>
      </c>
      <c r="O89">
        <f t="shared" si="9"/>
        <v>-17243.41</v>
      </c>
      <c r="P89">
        <v>10810.57</v>
      </c>
      <c r="R89">
        <f t="shared" si="10"/>
        <v>-10810.57</v>
      </c>
      <c r="S89">
        <v>28053.98</v>
      </c>
      <c r="U89">
        <f t="shared" si="11"/>
        <v>-28053.98</v>
      </c>
    </row>
    <row r="90" spans="1:21" x14ac:dyDescent="0.3">
      <c r="A90" s="4" t="str">
        <f xml:space="preserve"> _xll.EPMOlapMemberO("[CECO].[PARENTH3].[AMSA1001AD3515]","","AMSA1001AD3515 - TICA Corporativo","","000")</f>
        <v>AMSA1001AD3515 - TICA Corporativo</v>
      </c>
      <c r="B90" s="2" t="str">
        <f xml:space="preserve"> _xll.EPMOlapMemberO("[CLACO].[PARENTH7].[AMSAINFORMATIC]","","AMSAINFORMATIC - Informática y Comuni","","000")</f>
        <v>AMSAINFORMATIC - Informática y Comuni</v>
      </c>
      <c r="C90" s="1" t="str">
        <f>_xlfn.CONCAT(_xll.EPMMemberProperty("COSTOS", _xll.EPMMemberID(A90), "PARENTH3"), " - ", _xll.EPMMemberDesc(_xll.EPMMemberProperty("COSTOS", _xll.EPMMemberID(A90), "PARENTH3"), "COSTOS"))</f>
        <v>N1001AD355 - TICA</v>
      </c>
      <c r="D90">
        <v>807351.57</v>
      </c>
      <c r="E90">
        <v>1117200.8400000001</v>
      </c>
      <c r="F90">
        <f t="shared" si="6"/>
        <v>309849.27000000014</v>
      </c>
      <c r="G90">
        <v>1096745.8899999999</v>
      </c>
      <c r="H90">
        <v>809439.54</v>
      </c>
      <c r="I90">
        <f t="shared" si="7"/>
        <v>-287306.34999999986</v>
      </c>
      <c r="J90">
        <v>722066.27</v>
      </c>
      <c r="K90">
        <v>803844.07</v>
      </c>
      <c r="L90">
        <f t="shared" si="8"/>
        <v>81777.79999999993</v>
      </c>
      <c r="M90">
        <v>843433.08</v>
      </c>
      <c r="N90">
        <v>769811.61</v>
      </c>
      <c r="O90">
        <f t="shared" si="9"/>
        <v>-73621.469999999972</v>
      </c>
      <c r="P90">
        <v>757579.45</v>
      </c>
      <c r="Q90">
        <v>804056.87</v>
      </c>
      <c r="R90">
        <f t="shared" si="10"/>
        <v>46477.420000000042</v>
      </c>
      <c r="S90">
        <v>4039136.36</v>
      </c>
      <c r="T90">
        <v>9797383.5800000001</v>
      </c>
      <c r="U90">
        <f t="shared" si="11"/>
        <v>5758247.2200000007</v>
      </c>
    </row>
    <row r="91" spans="1:21" x14ac:dyDescent="0.3">
      <c r="A91" s="4" t="str">
        <f xml:space="preserve"> _xll.EPMOlapMemberO("[CECO].[PARENTH3].[AMSA1001AD3515]","","AMSA1001AD3515 - TICA Corporativo","","000")</f>
        <v>AMSA1001AD3515 - TICA Corporativo</v>
      </c>
      <c r="B91" s="2" t="str">
        <f xml:space="preserve"> _xll.EPMOlapMemberO("[CLACO].[PARENTH7].[AMSAG_VIAJES]","","AMSAG_VIAJES - Gastos de Viajes","","000")</f>
        <v>AMSAG_VIAJES - Gastos de Viajes</v>
      </c>
      <c r="C91" s="1" t="str">
        <f>_xlfn.CONCAT(_xll.EPMMemberProperty("COSTOS", _xll.EPMMemberID(A91), "PARENTH3"), " - ", _xll.EPMMemberDesc(_xll.EPMMemberProperty("COSTOS", _xll.EPMMemberID(A91), "PARENTH3"), "COSTOS"))</f>
        <v>N1001AD355 - TICA</v>
      </c>
      <c r="D91">
        <v>5530.21</v>
      </c>
      <c r="E91">
        <v>11657.48</v>
      </c>
      <c r="F91">
        <f t="shared" si="6"/>
        <v>6127.2699999999995</v>
      </c>
      <c r="G91">
        <v>7178.65</v>
      </c>
      <c r="H91">
        <v>11486.95</v>
      </c>
      <c r="I91">
        <f t="shared" si="7"/>
        <v>4308.3000000000011</v>
      </c>
      <c r="J91">
        <v>1013.98</v>
      </c>
      <c r="K91">
        <v>11508.57</v>
      </c>
      <c r="L91">
        <f t="shared" si="8"/>
        <v>10494.59</v>
      </c>
      <c r="M91">
        <v>6254.95</v>
      </c>
      <c r="N91">
        <v>11530.54</v>
      </c>
      <c r="O91">
        <f t="shared" si="9"/>
        <v>5275.5900000000011</v>
      </c>
      <c r="P91">
        <v>5319.92</v>
      </c>
      <c r="Q91">
        <v>11552.52</v>
      </c>
      <c r="R91">
        <f t="shared" si="10"/>
        <v>6232.6</v>
      </c>
      <c r="S91">
        <v>25453.52</v>
      </c>
      <c r="T91">
        <v>139219.35</v>
      </c>
      <c r="U91">
        <f t="shared" si="11"/>
        <v>113765.83</v>
      </c>
    </row>
    <row r="92" spans="1:21" x14ac:dyDescent="0.3">
      <c r="A92" s="4" t="str">
        <f xml:space="preserve"> _xll.EPMOlapMemberO("[CECO].[PARENTH3].[AMSA1001AD3515]","","AMSA1001AD3515 - TICA Corporativo","","000")</f>
        <v>AMSA1001AD3515 - TICA Corporativo</v>
      </c>
      <c r="B92" s="2" t="str">
        <f xml:space="preserve"> _xll.EPMOlapMemberO("[CLACO].[PARENTH7].[AMSAIMP_PATEN]","","AMSAIMP_PATEN - Impuestos / Patentes","","000")</f>
        <v>AMSAIMP_PATEN - Impuestos / Patentes</v>
      </c>
      <c r="C92" s="1" t="str">
        <f>_xlfn.CONCAT(_xll.EPMMemberProperty("COSTOS", _xll.EPMMemberID(A92), "PARENTH3"), " - ", _xll.EPMMemberDesc(_xll.EPMMemberProperty("COSTOS", _xll.EPMMemberID(A92), "PARENTH3"), "COSTOS"))</f>
        <v>N1001AD355 - TICA</v>
      </c>
      <c r="D92">
        <v>163848.71</v>
      </c>
      <c r="E92">
        <v>152393.26999999999</v>
      </c>
      <c r="F92">
        <f t="shared" si="6"/>
        <v>-11455.440000000002</v>
      </c>
      <c r="G92">
        <v>-1136.98</v>
      </c>
      <c r="I92">
        <f t="shared" si="7"/>
        <v>1136.98</v>
      </c>
      <c r="J92">
        <v>-13900.47</v>
      </c>
      <c r="L92">
        <f t="shared" si="8"/>
        <v>13900.47</v>
      </c>
      <c r="M92">
        <v>6265.65</v>
      </c>
      <c r="O92">
        <f t="shared" si="9"/>
        <v>-6265.65</v>
      </c>
      <c r="P92">
        <v>3426.85</v>
      </c>
      <c r="R92">
        <f t="shared" si="10"/>
        <v>-3426.85</v>
      </c>
      <c r="S92">
        <v>20142.04</v>
      </c>
      <c r="T92">
        <v>152393.26999999999</v>
      </c>
      <c r="U92">
        <f t="shared" si="11"/>
        <v>132251.22999999998</v>
      </c>
    </row>
    <row r="93" spans="1:21" x14ac:dyDescent="0.3">
      <c r="A93" s="4" t="str">
        <f xml:space="preserve"> _xll.EPMOlapMemberO("[CECO].[PARENTH3].[AMSA1001AD3515]","","AMSA1001AD3515 - TICA Corporativo","","000")</f>
        <v>AMSA1001AD3515 - TICA Corporativo</v>
      </c>
      <c r="B93" s="2" t="str">
        <f xml:space="preserve"> _xll.EPMOlapMemberO("[CLACO].[PARENTH7].[AMSAGGENERALES.2]","","AMSAGGENERALES.2 - Otros Gastos","","000")</f>
        <v>AMSAGGENERALES.2 - Otros Gastos</v>
      </c>
      <c r="C93" s="1" t="str">
        <f>_xlfn.CONCAT(_xll.EPMMemberProperty("COSTOS", _xll.EPMMemberID(A93), "PARENTH3"), " - ", _xll.EPMMemberDesc(_xll.EPMMemberProperty("COSTOS", _xll.EPMMemberID(A93), "PARENTH3"), "COSTOS"))</f>
        <v>N1001AD355 - TICA</v>
      </c>
      <c r="D93">
        <v>73509.38</v>
      </c>
      <c r="F93">
        <f t="shared" si="6"/>
        <v>-73509.38</v>
      </c>
      <c r="G93">
        <v>-3550.65</v>
      </c>
      <c r="I93">
        <f t="shared" si="7"/>
        <v>3550.65</v>
      </c>
      <c r="J93">
        <v>2434.0100000000002</v>
      </c>
      <c r="L93">
        <f t="shared" si="8"/>
        <v>-2434.0100000000002</v>
      </c>
      <c r="M93">
        <v>-14254.79</v>
      </c>
      <c r="O93">
        <f t="shared" si="9"/>
        <v>14254.79</v>
      </c>
      <c r="R93">
        <f t="shared" si="10"/>
        <v>0</v>
      </c>
      <c r="S93">
        <v>58867.13</v>
      </c>
      <c r="U93">
        <f t="shared" si="11"/>
        <v>-58867.13</v>
      </c>
    </row>
    <row r="94" spans="1:21" x14ac:dyDescent="0.3">
      <c r="A94" s="4" t="str">
        <f xml:space="preserve"> _xll.EPMOlapMemberO("[CECO].[PARENTH3].[AMSA1001AD3515]","","AMSA1001AD3515 - TICA Corporativo","","000")</f>
        <v>AMSA1001AD3515 - TICA Corporativo</v>
      </c>
      <c r="B94" s="2" t="str">
        <f xml:space="preserve"> _xll.EPMOlapMemberO("[CLACO].[PARENTH7].[AMSASERV_CORP]","","AMSASERV_CORP - Servicios Corporativ","","000")</f>
        <v>AMSASERV_CORP - Servicios Corporativ</v>
      </c>
      <c r="C94" s="1" t="str">
        <f>_xlfn.CONCAT(_xll.EPMMemberProperty("COSTOS", _xll.EPMMemberID(A94), "PARENTH3"), " - ", _xll.EPMMemberDesc(_xll.EPMMemberProperty("COSTOS", _xll.EPMMemberID(A94), "PARENTH3"), "COSTOS"))</f>
        <v>N1001AD355 - TICA</v>
      </c>
      <c r="D94">
        <v>174594.3</v>
      </c>
      <c r="E94">
        <v>175709.96</v>
      </c>
      <c r="F94">
        <f t="shared" si="6"/>
        <v>1115.6600000000035</v>
      </c>
      <c r="G94">
        <v>174594.29</v>
      </c>
      <c r="H94">
        <v>176200.21</v>
      </c>
      <c r="I94">
        <f t="shared" si="7"/>
        <v>1605.9199999999837</v>
      </c>
      <c r="J94">
        <v>174594.3</v>
      </c>
      <c r="K94">
        <v>176691.83</v>
      </c>
      <c r="L94">
        <f t="shared" si="8"/>
        <v>2097.5299999999988</v>
      </c>
      <c r="M94">
        <v>174594</v>
      </c>
      <c r="N94">
        <v>177184.82</v>
      </c>
      <c r="O94">
        <f t="shared" si="9"/>
        <v>2590.820000000007</v>
      </c>
      <c r="P94">
        <v>174593.71</v>
      </c>
      <c r="Q94">
        <v>177679.19</v>
      </c>
      <c r="R94">
        <f t="shared" si="10"/>
        <v>3085.4800000000105</v>
      </c>
      <c r="S94">
        <v>872970.6</v>
      </c>
      <c r="T94">
        <v>2141178.9500000002</v>
      </c>
      <c r="U94">
        <f t="shared" si="11"/>
        <v>1268208.3500000001</v>
      </c>
    </row>
    <row r="95" spans="1:21" x14ac:dyDescent="0.3">
      <c r="A95" s="4" t="str">
        <f xml:space="preserve"> _xll.EPMOlapMemberO("[CECO].[PARENTH3].[AMSA1001AD3508]","","AMSA1001AD3508 - Ctrol Inter y Riesgo","","000")</f>
        <v>AMSA1001AD3508 - Ctrol Inter y Riesgo</v>
      </c>
      <c r="B95" s="6" t="str">
        <f xml:space="preserve"> _xll.EPMOlapMemberO("[CLACO].[PARENTH7].[AMSAENTRENAMI]","","AMSAENTRENAMI - Entrenamiento","","000")</f>
        <v>AMSAENTRENAMI - Entrenamiento</v>
      </c>
      <c r="C95" s="1" t="str">
        <f>_xlfn.CONCAT(_xll.EPMMemberProperty("COSTOS", _xll.EPMMemberID(A95), "PARENTH3"), " - ", _xll.EPMMemberDesc(_xll.EPMMemberProperty("COSTOS", _xll.EPMMemberID(A95), "PARENTH3"), "COSTOS"))</f>
        <v>N1001AD356 - Control Interno y Ri</v>
      </c>
      <c r="F95">
        <f t="shared" si="6"/>
        <v>0</v>
      </c>
      <c r="G95">
        <v>1305.53</v>
      </c>
      <c r="I95">
        <f t="shared" si="7"/>
        <v>-1305.53</v>
      </c>
      <c r="J95">
        <v>0</v>
      </c>
      <c r="L95">
        <f t="shared" si="8"/>
        <v>0</v>
      </c>
      <c r="M95">
        <v>0</v>
      </c>
      <c r="O95">
        <f t="shared" si="9"/>
        <v>0</v>
      </c>
      <c r="R95">
        <f t="shared" si="10"/>
        <v>0</v>
      </c>
      <c r="S95">
        <v>1305.53</v>
      </c>
      <c r="T95">
        <v>1108.1400000000001</v>
      </c>
      <c r="U95">
        <f t="shared" si="11"/>
        <v>-197.38999999999987</v>
      </c>
    </row>
    <row r="96" spans="1:21" x14ac:dyDescent="0.3">
      <c r="A96" s="4" t="str">
        <f xml:space="preserve"> _xll.EPMOlapMemberO("[CECO].[PARENTH3].[AMSA1001AD3508]","","AMSA1001AD3508 - Ctrol Inter y Riesgo","","000")</f>
        <v>AMSA1001AD3508 - Ctrol Inter y Riesgo</v>
      </c>
      <c r="B96" s="6" t="str">
        <f xml:space="preserve"> _xll.EPMOlapMemberO("[CLACO].[PARENTH7].[AMSAASESORIAS]","","AMSAASESORIAS - Asesorías y Consulto","","000")</f>
        <v>AMSAASESORIAS - Asesorías y Consulto</v>
      </c>
      <c r="C96" s="1" t="str">
        <f>_xlfn.CONCAT(_xll.EPMMemberProperty("COSTOS", _xll.EPMMemberID(A96), "PARENTH3"), " - ", _xll.EPMMemberDesc(_xll.EPMMemberProperty("COSTOS", _xll.EPMMemberID(A96), "PARENTH3"), "COSTOS"))</f>
        <v>N1001AD356 - Control Interno y Ri</v>
      </c>
      <c r="D96">
        <v>-10895.93</v>
      </c>
      <c r="F96">
        <f t="shared" si="6"/>
        <v>10895.93</v>
      </c>
      <c r="G96">
        <v>14361.12</v>
      </c>
      <c r="I96">
        <f t="shared" si="7"/>
        <v>-14361.12</v>
      </c>
      <c r="J96">
        <v>-604.33000000000004</v>
      </c>
      <c r="K96">
        <v>5043.47</v>
      </c>
      <c r="L96">
        <f t="shared" si="8"/>
        <v>5647.8</v>
      </c>
      <c r="M96">
        <v>243.67</v>
      </c>
      <c r="O96">
        <f t="shared" si="9"/>
        <v>-243.67</v>
      </c>
      <c r="P96">
        <v>122.18</v>
      </c>
      <c r="Q96">
        <v>4356.3999999999996</v>
      </c>
      <c r="R96">
        <f t="shared" si="10"/>
        <v>4234.2199999999993</v>
      </c>
      <c r="S96">
        <v>3104.53</v>
      </c>
      <c r="T96">
        <v>33471.339999999997</v>
      </c>
      <c r="U96">
        <f t="shared" si="11"/>
        <v>30366.809999999998</v>
      </c>
    </row>
    <row r="97" spans="1:21" x14ac:dyDescent="0.3">
      <c r="A97" s="4" t="str">
        <f xml:space="preserve"> _xll.EPMOlapMemberO("[CECO].[PARENTH3].[AMSA1001AD3508]","","AMSA1001AD3508 - Ctrol Inter y Riesgo","","000")</f>
        <v>AMSA1001AD3508 - Ctrol Inter y Riesgo</v>
      </c>
      <c r="B97" s="6" t="str">
        <f xml:space="preserve"> _xll.EPMOlapMemberO("[CLACO].[PARENTH7].[AMSASERVICIOS]","","AMSASERVICIOS - Servicios","","000")</f>
        <v>AMSASERVICIOS - Servicios</v>
      </c>
      <c r="C97" s="1" t="str">
        <f>_xlfn.CONCAT(_xll.EPMMemberProperty("COSTOS", _xll.EPMMemberID(A97), "PARENTH3"), " - ", _xll.EPMMemberDesc(_xll.EPMMemberProperty("COSTOS", _xll.EPMMemberID(A97), "PARENTH3"), "COSTOS"))</f>
        <v>N1001AD356 - Control Interno y Ri</v>
      </c>
      <c r="D97">
        <v>8318.5</v>
      </c>
      <c r="E97">
        <v>5199.5</v>
      </c>
      <c r="F97">
        <f t="shared" si="6"/>
        <v>-3119</v>
      </c>
      <c r="G97">
        <v>20675.490000000002</v>
      </c>
      <c r="I97">
        <f t="shared" si="7"/>
        <v>-20675.490000000002</v>
      </c>
      <c r="J97">
        <v>6667.36</v>
      </c>
      <c r="K97">
        <v>35723.4</v>
      </c>
      <c r="L97">
        <f t="shared" si="8"/>
        <v>29056.04</v>
      </c>
      <c r="M97">
        <v>23287.31</v>
      </c>
      <c r="N97">
        <v>5243.15</v>
      </c>
      <c r="O97">
        <f t="shared" si="9"/>
        <v>-18044.160000000003</v>
      </c>
      <c r="P97">
        <v>8038.29</v>
      </c>
      <c r="R97">
        <f t="shared" si="10"/>
        <v>-8038.29</v>
      </c>
      <c r="S97">
        <v>58948.66</v>
      </c>
      <c r="T97">
        <v>165747.38</v>
      </c>
      <c r="U97">
        <f t="shared" si="11"/>
        <v>106798.72</v>
      </c>
    </row>
    <row r="98" spans="1:21" x14ac:dyDescent="0.3">
      <c r="A98" s="4" t="str">
        <f xml:space="preserve"> _xll.EPMOlapMemberO("[CECO].[PARENTH3].[AMSA1001AD3508]","","AMSA1001AD3508 - Ctrol Inter y Riesgo","","000")</f>
        <v>AMSA1001AD3508 - Ctrol Inter y Riesgo</v>
      </c>
      <c r="B98" s="6" t="str">
        <f xml:space="preserve"> _xll.EPMOlapMemberO("[CLACO].[PARENTH7].[AMSAINFORMATIC]","","AMSAINFORMATIC - Informática y Comuni","","000")</f>
        <v>AMSAINFORMATIC - Informática y Comuni</v>
      </c>
      <c r="C98" s="1" t="str">
        <f>_xlfn.CONCAT(_xll.EPMMemberProperty("COSTOS", _xll.EPMMemberID(A98), "PARENTH3"), " - ", _xll.EPMMemberDesc(_xll.EPMMemberProperty("COSTOS", _xll.EPMMemberID(A98), "PARENTH3"), "COSTOS"))</f>
        <v>N1001AD356 - Control Interno y Ri</v>
      </c>
      <c r="D98">
        <v>-28782.73</v>
      </c>
      <c r="F98">
        <f t="shared" si="6"/>
        <v>28782.73</v>
      </c>
      <c r="G98">
        <v>29289.62</v>
      </c>
      <c r="I98">
        <f t="shared" si="7"/>
        <v>-29289.62</v>
      </c>
      <c r="J98">
        <v>51926.239999999998</v>
      </c>
      <c r="K98">
        <v>6302.49</v>
      </c>
      <c r="L98">
        <f t="shared" si="8"/>
        <v>-45623.75</v>
      </c>
      <c r="M98">
        <v>442.21</v>
      </c>
      <c r="N98">
        <v>65108.55</v>
      </c>
      <c r="O98">
        <f t="shared" si="9"/>
        <v>64666.340000000004</v>
      </c>
      <c r="P98">
        <v>5605.29</v>
      </c>
      <c r="Q98">
        <v>8642.6299999999992</v>
      </c>
      <c r="R98">
        <f t="shared" si="10"/>
        <v>3037.3399999999992</v>
      </c>
      <c r="S98">
        <v>52875.34</v>
      </c>
      <c r="T98">
        <v>118102.81</v>
      </c>
      <c r="U98">
        <f t="shared" si="11"/>
        <v>65227.47</v>
      </c>
    </row>
    <row r="99" spans="1:21" x14ac:dyDescent="0.3">
      <c r="A99" s="4" t="str">
        <f xml:space="preserve"> _xll.EPMOlapMemberO("[CECO].[PARENTH3].[AMSA1001AD3508]","","AMSA1001AD3508 - Ctrol Inter y Riesgo","","000")</f>
        <v>AMSA1001AD3508 - Ctrol Inter y Riesgo</v>
      </c>
      <c r="B99" s="6" t="str">
        <f xml:space="preserve"> _xll.EPMOlapMemberO("[CLACO].[PARENTH7].[AMSAGGENERALES.2]","","AMSAGGENERALES.2 - Otros Gastos","","000")</f>
        <v>AMSAGGENERALES.2 - Otros Gastos</v>
      </c>
      <c r="C99" s="1" t="str">
        <f>_xlfn.CONCAT(_xll.EPMMemberProperty("COSTOS", _xll.EPMMemberID(A99), "PARENTH3"), " - ", _xll.EPMMemberDesc(_xll.EPMMemberProperty("COSTOS", _xll.EPMMemberID(A99), "PARENTH3"), "COSTOS"))</f>
        <v>N1001AD356 - Control Interno y Ri</v>
      </c>
      <c r="F99">
        <f t="shared" si="6"/>
        <v>0</v>
      </c>
      <c r="I99">
        <f t="shared" si="7"/>
        <v>0</v>
      </c>
      <c r="K99">
        <v>2043.12</v>
      </c>
      <c r="L99">
        <f t="shared" si="8"/>
        <v>2043.12</v>
      </c>
      <c r="M99">
        <v>595.91999999999996</v>
      </c>
      <c r="O99">
        <f t="shared" si="9"/>
        <v>-595.91999999999996</v>
      </c>
      <c r="P99">
        <v>0</v>
      </c>
      <c r="R99">
        <f t="shared" si="10"/>
        <v>0</v>
      </c>
      <c r="S99">
        <v>595.91999999999996</v>
      </c>
      <c r="T99">
        <v>8275.9500000000007</v>
      </c>
      <c r="U99">
        <f t="shared" si="11"/>
        <v>7680.0300000000007</v>
      </c>
    </row>
    <row r="100" spans="1:21" x14ac:dyDescent="0.3">
      <c r="A100" s="5" t="str">
        <f xml:space="preserve"> _xll.EPMOlapMemberO("[CECO].[PARENTH3].[AMSA1001AD3522]","","AMSA1001AD3522 - Servicios Generales","","000")</f>
        <v>AMSA1001AD3522 - Servicios Generales</v>
      </c>
      <c r="B100" s="2" t="str">
        <f xml:space="preserve"> _xll.EPMOlapMemberO("[CLACO].[PARENTH7].[AMSAENERGIA]","","AMSAENERGIA - Energía","","000")</f>
        <v>AMSAENERGIA - Energía</v>
      </c>
      <c r="C100" s="1" t="str">
        <f>_xlfn.CONCAT(_xll.EPMMemberProperty("COSTOS", _xll.EPMMemberID(A100), "PARENTH3"), " - ", _xll.EPMMemberDesc(_xll.EPMMemberProperty("COSTOS", _xll.EPMMemberID(A100), "PARENTH3"), "COSTOS"))</f>
        <v>N1001AD401 - Adm. de Recursos Hum</v>
      </c>
      <c r="D100">
        <v>802.29</v>
      </c>
      <c r="E100">
        <v>1027.98</v>
      </c>
      <c r="F100">
        <f t="shared" si="6"/>
        <v>225.69000000000005</v>
      </c>
      <c r="G100">
        <v>822.35</v>
      </c>
      <c r="H100">
        <v>1030.79</v>
      </c>
      <c r="I100">
        <f t="shared" si="7"/>
        <v>208.43999999999994</v>
      </c>
      <c r="J100">
        <v>846.39</v>
      </c>
      <c r="K100">
        <v>1033.7</v>
      </c>
      <c r="L100">
        <f t="shared" si="8"/>
        <v>187.31000000000006</v>
      </c>
      <c r="M100">
        <v>799.99</v>
      </c>
      <c r="N100">
        <v>1036.5999999999999</v>
      </c>
      <c r="O100">
        <f t="shared" si="9"/>
        <v>236.6099999999999</v>
      </c>
      <c r="P100">
        <v>856.36</v>
      </c>
      <c r="Q100">
        <v>1039.51</v>
      </c>
      <c r="R100">
        <f t="shared" si="10"/>
        <v>183.14999999999998</v>
      </c>
      <c r="S100">
        <v>4902.5200000000004</v>
      </c>
      <c r="T100">
        <v>12526.64</v>
      </c>
      <c r="U100">
        <f t="shared" si="11"/>
        <v>7624.119999999999</v>
      </c>
    </row>
    <row r="101" spans="1:21" x14ac:dyDescent="0.3">
      <c r="A101" s="5" t="str">
        <f xml:space="preserve"> _xll.EPMOlapMemberO("[CECO].[PARENTH3].[AMSA1001AD3522]","","AMSA1001AD3522 - Servicios Generales","","000")</f>
        <v>AMSA1001AD3522 - Servicios Generales</v>
      </c>
      <c r="B101" s="2" t="str">
        <f xml:space="preserve"> _xll.EPMOlapMemberO("[CLACO].[PARENTH7].[AMSAARRIENDOS]","","AMSAARRIENDOS - Arriendos","","000")</f>
        <v>AMSAARRIENDOS - Arriendos</v>
      </c>
      <c r="C101" s="1" t="str">
        <f>_xlfn.CONCAT(_xll.EPMMemberProperty("COSTOS", _xll.EPMMemberID(A101), "PARENTH3"), " - ", _xll.EPMMemberDesc(_xll.EPMMemberProperty("COSTOS", _xll.EPMMemberID(A101), "PARENTH3"), "COSTOS"))</f>
        <v>N1001AD401 - Adm. de Recursos Hum</v>
      </c>
      <c r="E101">
        <v>31090.23</v>
      </c>
      <c r="F101">
        <f t="shared" si="6"/>
        <v>31090.23</v>
      </c>
      <c r="H101">
        <v>31176.97</v>
      </c>
      <c r="I101">
        <f t="shared" si="7"/>
        <v>31176.97</v>
      </c>
      <c r="J101">
        <v>92866.28</v>
      </c>
      <c r="K101">
        <v>31263.97</v>
      </c>
      <c r="L101">
        <f t="shared" si="8"/>
        <v>-61602.31</v>
      </c>
      <c r="M101">
        <v>31608.13</v>
      </c>
      <c r="N101">
        <v>31351.200000000001</v>
      </c>
      <c r="O101">
        <f t="shared" si="9"/>
        <v>-256.93000000000029</v>
      </c>
      <c r="P101">
        <v>31749.61</v>
      </c>
      <c r="Q101">
        <v>31438.67</v>
      </c>
      <c r="R101">
        <f t="shared" si="10"/>
        <v>-310.94000000000233</v>
      </c>
      <c r="S101">
        <v>188680.13</v>
      </c>
      <c r="T101">
        <v>378861.58</v>
      </c>
      <c r="U101">
        <f t="shared" si="11"/>
        <v>190181.45</v>
      </c>
    </row>
    <row r="102" spans="1:21" x14ac:dyDescent="0.3">
      <c r="A102" s="5" t="str">
        <f xml:space="preserve"> _xll.EPMOlapMemberO("[CECO].[PARENTH3].[AMSA1001AD3522]","","AMSA1001AD3522 - Servicios Generales","","000")</f>
        <v>AMSA1001AD3522 - Servicios Generales</v>
      </c>
      <c r="B102" s="2" t="str">
        <f xml:space="preserve"> _xll.EPMOlapMemberO("[CLACO].[PARENTH7].[AMSASERMANTO.REPA]","","AMSASERMANTO.REPA - Servicios Mantenimie","","000")</f>
        <v>AMSASERMANTO.REPA - Servicios Mantenimie</v>
      </c>
      <c r="C102" s="1" t="str">
        <f>_xlfn.CONCAT(_xll.EPMMemberProperty("COSTOS", _xll.EPMMemberID(A102), "PARENTH3"), " - ", _xll.EPMMemberDesc(_xll.EPMMemberProperty("COSTOS", _xll.EPMMemberID(A102), "PARENTH3"), "COSTOS"))</f>
        <v>N1001AD401 - Adm. de Recursos Hum</v>
      </c>
      <c r="D102">
        <v>37374.949999999997</v>
      </c>
      <c r="E102">
        <v>4936.21</v>
      </c>
      <c r="F102">
        <f t="shared" si="6"/>
        <v>-32438.739999999998</v>
      </c>
      <c r="G102">
        <v>38038.86</v>
      </c>
      <c r="H102">
        <v>5038.57</v>
      </c>
      <c r="I102">
        <f t="shared" si="7"/>
        <v>-33000.29</v>
      </c>
      <c r="J102">
        <v>-57203.06</v>
      </c>
      <c r="K102">
        <v>5052.78</v>
      </c>
      <c r="L102">
        <f t="shared" si="8"/>
        <v>62255.839999999997</v>
      </c>
      <c r="M102">
        <v>5122.33</v>
      </c>
      <c r="N102">
        <v>5066.97</v>
      </c>
      <c r="O102">
        <f t="shared" si="9"/>
        <v>-55.359999999999673</v>
      </c>
      <c r="P102">
        <v>5491.58</v>
      </c>
      <c r="Q102">
        <v>5081.17</v>
      </c>
      <c r="R102">
        <f t="shared" si="10"/>
        <v>-410.40999999999985</v>
      </c>
      <c r="S102">
        <v>33929.300000000003</v>
      </c>
      <c r="T102">
        <v>61142.19</v>
      </c>
      <c r="U102">
        <f t="shared" si="11"/>
        <v>27212.89</v>
      </c>
    </row>
    <row r="103" spans="1:21" x14ac:dyDescent="0.3">
      <c r="A103" s="5" t="str">
        <f xml:space="preserve"> _xll.EPMOlapMemberO("[CECO].[PARENTH3].[AMSA1001AD3522]","","AMSA1001AD3522 - Servicios Generales","","000")</f>
        <v>AMSA1001AD3522 - Servicios Generales</v>
      </c>
      <c r="B103" s="2" t="str">
        <f xml:space="preserve"> _xll.EPMOlapMemberO("[CLACO].[PARENTH7].[AMSAGGENERALES.2]","","AMSAGGENERALES.2 - Otros Gastos","","000")</f>
        <v>AMSAGGENERALES.2 - Otros Gastos</v>
      </c>
      <c r="C103" s="1" t="str">
        <f>_xlfn.CONCAT(_xll.EPMMemberProperty("COSTOS", _xll.EPMMemberID(A103), "PARENTH3"), " - ", _xll.EPMMemberDesc(_xll.EPMMemberProperty("COSTOS", _xll.EPMMemberID(A103), "PARENTH3"), "COSTOS"))</f>
        <v>N1001AD401 - Adm. de Recursos Hum</v>
      </c>
      <c r="D103">
        <v>4890.28</v>
      </c>
      <c r="E103">
        <v>5293.21</v>
      </c>
      <c r="F103">
        <f t="shared" si="6"/>
        <v>402.93000000000029</v>
      </c>
      <c r="G103">
        <v>5035.66</v>
      </c>
      <c r="H103">
        <v>5307.68</v>
      </c>
      <c r="I103">
        <f t="shared" si="7"/>
        <v>272.02000000000044</v>
      </c>
      <c r="J103">
        <v>4940.29</v>
      </c>
      <c r="K103">
        <v>5322.63</v>
      </c>
      <c r="L103">
        <f t="shared" si="8"/>
        <v>382.34000000000015</v>
      </c>
      <c r="M103">
        <v>4893.92</v>
      </c>
      <c r="N103">
        <v>5337.58</v>
      </c>
      <c r="O103">
        <f t="shared" si="9"/>
        <v>443.65999999999985</v>
      </c>
      <c r="P103">
        <v>4852.59</v>
      </c>
      <c r="Q103">
        <v>5352.54</v>
      </c>
      <c r="R103">
        <f t="shared" si="10"/>
        <v>499.94999999999982</v>
      </c>
      <c r="S103">
        <v>29354.560000000001</v>
      </c>
      <c r="T103">
        <v>64501.08</v>
      </c>
      <c r="U103">
        <f t="shared" si="11"/>
        <v>35146.520000000004</v>
      </c>
    </row>
    <row r="104" spans="1:21" x14ac:dyDescent="0.3">
      <c r="A104" s="5" t="str">
        <f xml:space="preserve"> _xll.EPMOlapMemberO("[CECO].[PARENTH3].[AMSA1001AD4020]","","AMSA1001AD4020 - RRHH  Corporativo","","000")</f>
        <v>AMSA1001AD4020 - RRHH  Corporativo</v>
      </c>
      <c r="B104" s="2" t="str">
        <f xml:space="preserve"> _xll.EPMOlapMemberO("[CLACO].[PARENTH7].[AMSAADM_PERSON]","","AMSAADM_PERSON - Administración Perso","","000")</f>
        <v>AMSAADM_PERSON - Administración Perso</v>
      </c>
      <c r="C104" s="1" t="str">
        <f>_xlfn.CONCAT(_xll.EPMMemberProperty("COSTOS", _xll.EPMMemberID(A104), "PARENTH3"), " - ", _xll.EPMMemberDesc(_xll.EPMMemberProperty("COSTOS", _xll.EPMMemberID(A104), "PARENTH3"), "COSTOS"))</f>
        <v>N1001AD401 - Adm. de Recursos Hum</v>
      </c>
      <c r="D104">
        <v>-56973.18</v>
      </c>
      <c r="E104">
        <v>41271.440000000002</v>
      </c>
      <c r="F104">
        <f t="shared" si="6"/>
        <v>98244.62</v>
      </c>
      <c r="G104">
        <v>22745.68</v>
      </c>
      <c r="H104">
        <v>41385.31</v>
      </c>
      <c r="I104">
        <f t="shared" si="7"/>
        <v>18639.629999999997</v>
      </c>
      <c r="J104">
        <v>15153.18</v>
      </c>
      <c r="K104">
        <v>41501.410000000003</v>
      </c>
      <c r="L104">
        <f t="shared" si="8"/>
        <v>26348.230000000003</v>
      </c>
      <c r="M104">
        <v>42812.05</v>
      </c>
      <c r="N104">
        <v>41617.64</v>
      </c>
      <c r="O104">
        <f t="shared" si="9"/>
        <v>-1194.4100000000035</v>
      </c>
      <c r="P104">
        <v>87847.6</v>
      </c>
      <c r="Q104">
        <v>41734.04</v>
      </c>
      <c r="R104">
        <f t="shared" si="10"/>
        <v>-46113.560000000005</v>
      </c>
      <c r="S104">
        <v>50497.13</v>
      </c>
      <c r="T104">
        <v>507212.51</v>
      </c>
      <c r="U104">
        <f t="shared" si="11"/>
        <v>456715.38</v>
      </c>
    </row>
    <row r="105" spans="1:21" x14ac:dyDescent="0.3">
      <c r="A105" s="5" t="str">
        <f xml:space="preserve"> _xll.EPMOlapMemberO("[CECO].[PARENTH3].[AMSA1001AD4020]","","AMSA1001AD4020 - RRHH  Corporativo","","000")</f>
        <v>AMSA1001AD4020 - RRHH  Corporativo</v>
      </c>
      <c r="B105" s="2" t="str">
        <f xml:space="preserve"> _xll.EPMOlapMemberO("[CLACO].[PARENTH7].[AMSAENTRENAMI]","","AMSAENTRENAMI - Entrenamiento","","000")</f>
        <v>AMSAENTRENAMI - Entrenamiento</v>
      </c>
      <c r="C105" s="1" t="str">
        <f>_xlfn.CONCAT(_xll.EPMMemberProperty("COSTOS", _xll.EPMMemberID(A105), "PARENTH3"), " - ", _xll.EPMMemberDesc(_xll.EPMMemberProperty("COSTOS", _xll.EPMMemberID(A105), "PARENTH3"), "COSTOS"))</f>
        <v>N1001AD401 - Adm. de Recursos Hum</v>
      </c>
      <c r="D105">
        <v>180.83</v>
      </c>
      <c r="F105">
        <f t="shared" si="6"/>
        <v>-180.83</v>
      </c>
      <c r="G105">
        <v>990.98</v>
      </c>
      <c r="H105">
        <v>2799.99</v>
      </c>
      <c r="I105">
        <f t="shared" si="7"/>
        <v>1809.0099999999998</v>
      </c>
      <c r="J105">
        <v>20708.43</v>
      </c>
      <c r="K105">
        <v>27451.53</v>
      </c>
      <c r="L105">
        <f t="shared" si="8"/>
        <v>6743.0999999999985</v>
      </c>
      <c r="M105">
        <v>48050.04</v>
      </c>
      <c r="N105">
        <v>40051.660000000003</v>
      </c>
      <c r="O105">
        <f t="shared" si="9"/>
        <v>-7998.3799999999974</v>
      </c>
      <c r="P105">
        <v>2343.7199999999998</v>
      </c>
      <c r="R105">
        <f t="shared" si="10"/>
        <v>-2343.7199999999998</v>
      </c>
      <c r="S105">
        <v>69930.28</v>
      </c>
      <c r="T105">
        <v>170245.35</v>
      </c>
      <c r="U105">
        <f t="shared" si="11"/>
        <v>100315.07</v>
      </c>
    </row>
    <row r="106" spans="1:21" x14ac:dyDescent="0.3">
      <c r="A106" s="5" t="str">
        <f xml:space="preserve"> _xll.EPMOlapMemberO("[CECO].[PARENTH3].[AMSA1001AD4020]","","AMSA1001AD4020 - RRHH  Corporativo","","000")</f>
        <v>AMSA1001AD4020 - RRHH  Corporativo</v>
      </c>
      <c r="B106" s="2" t="str">
        <f xml:space="preserve"> _xll.EPMOlapMemberO("[CLACO].[PARENTH7].[AMSAASESORIAS]","","AMSAASESORIAS - Asesorías y Consulto","","000")</f>
        <v>AMSAASESORIAS - Asesorías y Consulto</v>
      </c>
      <c r="C106" s="1" t="str">
        <f>_xlfn.CONCAT(_xll.EPMMemberProperty("COSTOS", _xll.EPMMemberID(A106), "PARENTH3"), " - ", _xll.EPMMemberDesc(_xll.EPMMemberProperty("COSTOS", _xll.EPMMemberID(A106), "PARENTH3"), "COSTOS"))</f>
        <v>N1001AD401 - Adm. de Recursos Hum</v>
      </c>
      <c r="D106">
        <v>-5619.51</v>
      </c>
      <c r="E106">
        <v>3718.72</v>
      </c>
      <c r="F106">
        <f t="shared" si="6"/>
        <v>9338.23</v>
      </c>
      <c r="G106">
        <v>3794.49</v>
      </c>
      <c r="H106">
        <v>3729.11</v>
      </c>
      <c r="I106">
        <f t="shared" si="7"/>
        <v>-65.379999999999654</v>
      </c>
      <c r="J106">
        <v>5317.05</v>
      </c>
      <c r="K106">
        <v>7483.35</v>
      </c>
      <c r="L106">
        <f t="shared" si="8"/>
        <v>2166.3000000000002</v>
      </c>
      <c r="M106">
        <v>5390.9</v>
      </c>
      <c r="N106">
        <v>6326.76</v>
      </c>
      <c r="O106">
        <f t="shared" si="9"/>
        <v>935.86000000000058</v>
      </c>
      <c r="P106">
        <v>7365.34</v>
      </c>
      <c r="Q106">
        <v>12718.9</v>
      </c>
      <c r="R106">
        <f t="shared" si="10"/>
        <v>5353.5599999999995</v>
      </c>
      <c r="S106">
        <v>8882.93</v>
      </c>
      <c r="T106">
        <v>104337.61</v>
      </c>
      <c r="U106">
        <f t="shared" si="11"/>
        <v>95454.68</v>
      </c>
    </row>
    <row r="107" spans="1:21" x14ac:dyDescent="0.3">
      <c r="A107" s="5" t="str">
        <f xml:space="preserve"> _xll.EPMOlapMemberO("[CECO].[PARENTH3].[AMSA1001AD4020]","","AMSA1001AD4020 - RRHH  Corporativo","","000")</f>
        <v>AMSA1001AD4020 - RRHH  Corporativo</v>
      </c>
      <c r="B107" s="2" t="str">
        <f xml:space="preserve"> _xll.EPMOlapMemberO("[CLACO].[PARENTH7].[AMSASERVICIOS]","","AMSASERVICIOS - Servicios","","000")</f>
        <v>AMSASERVICIOS - Servicios</v>
      </c>
      <c r="C107" s="1" t="str">
        <f>_xlfn.CONCAT(_xll.EPMMemberProperty("COSTOS", _xll.EPMMemberID(A107), "PARENTH3"), " - ", _xll.EPMMemberDesc(_xll.EPMMemberProperty("COSTOS", _xll.EPMMemberID(A107), "PARENTH3"), "COSTOS"))</f>
        <v>N1001AD401 - Adm. de Recursos Hum</v>
      </c>
      <c r="D107">
        <v>709.77</v>
      </c>
      <c r="F107">
        <f t="shared" si="6"/>
        <v>-709.77</v>
      </c>
      <c r="G107">
        <v>811.22</v>
      </c>
      <c r="I107">
        <f t="shared" si="7"/>
        <v>-811.22</v>
      </c>
      <c r="L107">
        <f t="shared" si="8"/>
        <v>0</v>
      </c>
      <c r="O107">
        <f t="shared" si="9"/>
        <v>0</v>
      </c>
      <c r="R107">
        <f t="shared" si="10"/>
        <v>0</v>
      </c>
      <c r="S107">
        <v>1520.99</v>
      </c>
      <c r="U107">
        <f t="shared" si="11"/>
        <v>-1520.99</v>
      </c>
    </row>
    <row r="108" spans="1:21" x14ac:dyDescent="0.3">
      <c r="A108" s="5" t="str">
        <f xml:space="preserve"> _xll.EPMOlapMemberO("[CECO].[PARENTH3].[AMSA1001AD4020]","","AMSA1001AD4020 - RRHH  Corporativo","","000")</f>
        <v>AMSA1001AD4020 - RRHH  Corporativo</v>
      </c>
      <c r="B108" s="2" t="str">
        <f xml:space="preserve"> _xll.EPMOlapMemberO("[CLACO].[PARENTH7].[AMSAINFORMATIC]","","AMSAINFORMATIC - Informática y Comuni","","000")</f>
        <v>AMSAINFORMATIC - Informática y Comuni</v>
      </c>
      <c r="C108" s="1" t="str">
        <f>_xlfn.CONCAT(_xll.EPMMemberProperty("COSTOS", _xll.EPMMemberID(A108), "PARENTH3"), " - ", _xll.EPMMemberDesc(_xll.EPMMemberProperty("COSTOS", _xll.EPMMemberID(A108), "PARENTH3"), "COSTOS"))</f>
        <v>N1001AD401 - Adm. de Recursos Hum</v>
      </c>
      <c r="D108">
        <v>28694.02</v>
      </c>
      <c r="E108">
        <v>25313.62</v>
      </c>
      <c r="F108">
        <f t="shared" si="6"/>
        <v>-3380.4000000000015</v>
      </c>
      <c r="G108">
        <v>25033.59</v>
      </c>
      <c r="H108">
        <v>44469.14</v>
      </c>
      <c r="I108">
        <f t="shared" si="7"/>
        <v>19435.55</v>
      </c>
      <c r="J108">
        <v>28924.62</v>
      </c>
      <c r="K108">
        <v>19617.61</v>
      </c>
      <c r="L108">
        <f t="shared" si="8"/>
        <v>-9307.0099999999984</v>
      </c>
      <c r="M108">
        <v>30296.639999999999</v>
      </c>
      <c r="N108">
        <v>28696.16</v>
      </c>
      <c r="O108">
        <f t="shared" si="9"/>
        <v>-1600.4799999999996</v>
      </c>
      <c r="P108">
        <v>42236.1</v>
      </c>
      <c r="Q108">
        <v>37682.19</v>
      </c>
      <c r="R108">
        <f t="shared" si="10"/>
        <v>-4553.9099999999962</v>
      </c>
      <c r="S108">
        <v>134524.76</v>
      </c>
      <c r="T108">
        <v>533535.44999999995</v>
      </c>
      <c r="U108">
        <f t="shared" si="11"/>
        <v>399010.68999999994</v>
      </c>
    </row>
    <row r="109" spans="1:21" x14ac:dyDescent="0.3">
      <c r="A109" s="5" t="str">
        <f xml:space="preserve"> _xll.EPMOlapMemberO("[CECO].[PARENTH3].[AMSA1001AD4020]","","AMSA1001AD4020 - RRHH  Corporativo","","000")</f>
        <v>AMSA1001AD4020 - RRHH  Corporativo</v>
      </c>
      <c r="B109" s="2" t="str">
        <f xml:space="preserve"> _xll.EPMOlapMemberO("[CLACO].[PARENTH7].[AMSAG_VIAJES]","","AMSAG_VIAJES - Gastos de Viajes","","000")</f>
        <v>AMSAG_VIAJES - Gastos de Viajes</v>
      </c>
      <c r="C109" s="1" t="str">
        <f>_xlfn.CONCAT(_xll.EPMMemberProperty("COSTOS", _xll.EPMMemberID(A109), "PARENTH3"), " - ", _xll.EPMMemberDesc(_xll.EPMMemberProperty("COSTOS", _xll.EPMMemberID(A109), "PARENTH3"), "COSTOS"))</f>
        <v>N1001AD401 - Adm. de Recursos Hum</v>
      </c>
      <c r="F109">
        <f t="shared" si="6"/>
        <v>0</v>
      </c>
      <c r="I109">
        <f t="shared" si="7"/>
        <v>0</v>
      </c>
      <c r="L109">
        <f t="shared" si="8"/>
        <v>0</v>
      </c>
      <c r="O109">
        <f t="shared" si="9"/>
        <v>0</v>
      </c>
      <c r="R109">
        <f t="shared" si="10"/>
        <v>0</v>
      </c>
      <c r="T109">
        <v>703.2</v>
      </c>
      <c r="U109">
        <f t="shared" si="11"/>
        <v>703.2</v>
      </c>
    </row>
    <row r="110" spans="1:21" x14ac:dyDescent="0.3">
      <c r="A110" s="5" t="str">
        <f xml:space="preserve"> _xll.EPMOlapMemberO("[CECO].[PARENTH3].[AMSA1001AD4020]","","AMSA1001AD4020 - RRHH  Corporativo","","000")</f>
        <v>AMSA1001AD4020 - RRHH  Corporativo</v>
      </c>
      <c r="B110" s="2" t="str">
        <f xml:space="preserve"> _xll.EPMOlapMemberO("[CLACO].[PARENTH7].[AMSAGGENERALES.2]","","AMSAGGENERALES.2 - Otros Gastos","","000")</f>
        <v>AMSAGGENERALES.2 - Otros Gastos</v>
      </c>
      <c r="C110" s="1" t="str">
        <f>_xlfn.CONCAT(_xll.EPMMemberProperty("COSTOS", _xll.EPMMemberID(A110), "PARENTH3"), " - ", _xll.EPMMemberDesc(_xll.EPMMemberProperty("COSTOS", _xll.EPMMemberID(A110), "PARENTH3"), "COSTOS"))</f>
        <v>N1001AD401 - Adm. de Recursos Hum</v>
      </c>
      <c r="F110">
        <f t="shared" si="6"/>
        <v>0</v>
      </c>
      <c r="I110">
        <f t="shared" si="7"/>
        <v>0</v>
      </c>
      <c r="L110">
        <f t="shared" si="8"/>
        <v>0</v>
      </c>
      <c r="M110">
        <v>10657.39</v>
      </c>
      <c r="N110">
        <v>19692.57</v>
      </c>
      <c r="O110">
        <f t="shared" si="9"/>
        <v>9035.18</v>
      </c>
      <c r="P110">
        <v>235.38</v>
      </c>
      <c r="R110">
        <f t="shared" si="10"/>
        <v>-235.38</v>
      </c>
      <c r="S110">
        <v>10657.39</v>
      </c>
      <c r="T110">
        <v>37992.69</v>
      </c>
      <c r="U110">
        <f t="shared" si="11"/>
        <v>27335.300000000003</v>
      </c>
    </row>
    <row r="111" spans="1:21" x14ac:dyDescent="0.3">
      <c r="A111" s="5" t="str">
        <f xml:space="preserve"> _xll.EPMOlapMemberO("[CECO].[PARENTH3].[AMSA1001AD4020]","","AMSA1001AD4020 - RRHH  Corporativo","","000")</f>
        <v>AMSA1001AD4020 - RRHH  Corporativo</v>
      </c>
      <c r="B111" s="2" t="str">
        <f xml:space="preserve"> _xll.EPMOlapMemberO("[CLACO].[PARENTH7].[AMSASERV_CORP]","","AMSASERV_CORP - Servicios Corporativ","","000")</f>
        <v>AMSASERV_CORP - Servicios Corporativ</v>
      </c>
      <c r="C111" s="1" t="str">
        <f>_xlfn.CONCAT(_xll.EPMMemberProperty("COSTOS", _xll.EPMMemberID(A111), "PARENTH3"), " - ", _xll.EPMMemberDesc(_xll.EPMMemberProperty("COSTOS", _xll.EPMMemberID(A111), "PARENTH3"), "COSTOS"))</f>
        <v>N1001AD401 - Adm. de Recursos Hum</v>
      </c>
      <c r="D111">
        <v>71527.08</v>
      </c>
      <c r="E111">
        <v>70721.2</v>
      </c>
      <c r="F111">
        <f t="shared" si="6"/>
        <v>-805.88000000000466</v>
      </c>
      <c r="G111">
        <v>74454.13</v>
      </c>
      <c r="H111">
        <v>70918.52</v>
      </c>
      <c r="I111">
        <f t="shared" si="7"/>
        <v>-3535.6100000000006</v>
      </c>
      <c r="J111">
        <v>74103.12</v>
      </c>
      <c r="K111">
        <v>71116.39</v>
      </c>
      <c r="L111">
        <f t="shared" si="8"/>
        <v>-2986.7299999999959</v>
      </c>
      <c r="M111">
        <v>69694.289999999994</v>
      </c>
      <c r="N111">
        <v>71314.81</v>
      </c>
      <c r="O111">
        <f t="shared" si="9"/>
        <v>1620.5200000000041</v>
      </c>
      <c r="P111">
        <v>72173.38</v>
      </c>
      <c r="Q111">
        <v>71513.789999999994</v>
      </c>
      <c r="R111">
        <f t="shared" si="10"/>
        <v>-659.59000000001106</v>
      </c>
      <c r="S111">
        <v>361952</v>
      </c>
      <c r="T111">
        <v>861799.41</v>
      </c>
      <c r="U111">
        <f t="shared" si="11"/>
        <v>499847.41000000003</v>
      </c>
    </row>
    <row r="112" spans="1:21" x14ac:dyDescent="0.3">
      <c r="A112" s="2" t="str">
        <f xml:space="preserve"> _xll.EPMOlapMemberO("[CECO].[PARENTH3].[AMSA1001AD0510]","","AMSA1001AD0510 - Reporting VPACS Corp","","000")</f>
        <v>AMSA1001AD0510 - Reporting VPACS Corp</v>
      </c>
      <c r="B112" s="2" t="str">
        <f xml:space="preserve"> _xll.EPMOlapMemberO("[CLACO].[PARENTH7].[AMSAASESORIAS]","","AMSAASESORIAS - Asesorías y Consulto","","000")</f>
        <v>AMSAASESORIAS - Asesorías y Consulto</v>
      </c>
      <c r="C112" s="1" t="str">
        <f>_xlfn.CONCAT(_xll.EPMMemberProperty("COSTOS", _xll.EPMMemberID(A112), "PARENTH3"), " - ", _xll.EPMMemberDesc(_xll.EPMMemberProperty("COSTOS", _xll.EPMMemberID(A112), "PARENTH3"), "COSTOS"))</f>
        <v>N1001AD450 - Asuntos Externos y S</v>
      </c>
      <c r="D112">
        <v>4302.59</v>
      </c>
      <c r="F112">
        <f t="shared" si="6"/>
        <v>-4302.59</v>
      </c>
      <c r="G112">
        <v>0</v>
      </c>
      <c r="I112">
        <f t="shared" si="7"/>
        <v>0</v>
      </c>
      <c r="J112">
        <v>0</v>
      </c>
      <c r="L112">
        <f t="shared" si="8"/>
        <v>0</v>
      </c>
      <c r="M112">
        <v>0</v>
      </c>
      <c r="O112">
        <f t="shared" si="9"/>
        <v>0</v>
      </c>
      <c r="R112">
        <f t="shared" si="10"/>
        <v>0</v>
      </c>
      <c r="S112">
        <v>4302.59</v>
      </c>
      <c r="U112">
        <f t="shared" si="11"/>
        <v>-4302.59</v>
      </c>
    </row>
    <row r="113" spans="1:21" x14ac:dyDescent="0.3">
      <c r="A113" s="2" t="str">
        <f xml:space="preserve"> _xll.EPMOlapMemberO("[CECO].[PARENTH3].[AMSA1001AD0510]","","AMSA1001AD0510 - Reporting VPACS Corp","","000")</f>
        <v>AMSA1001AD0510 - Reporting VPACS Corp</v>
      </c>
      <c r="B113" s="2" t="str">
        <f xml:space="preserve"> _xll.EPMOlapMemberO("[CLACO].[PARENTH7].[AMSASERVICIOS]","","AMSASERVICIOS - Servicios","","000")</f>
        <v>AMSASERVICIOS - Servicios</v>
      </c>
      <c r="C113" s="1" t="str">
        <f>_xlfn.CONCAT(_xll.EPMMemberProperty("COSTOS", _xll.EPMMemberID(A113), "PARENTH3"), " - ", _xll.EPMMemberDesc(_xll.EPMMemberProperty("COSTOS", _xll.EPMMemberID(A113), "PARENTH3"), "COSTOS"))</f>
        <v>N1001AD450 - Asuntos Externos y S</v>
      </c>
      <c r="D113">
        <v>0</v>
      </c>
      <c r="F113">
        <f t="shared" si="6"/>
        <v>0</v>
      </c>
      <c r="G113">
        <v>1156.4000000000001</v>
      </c>
      <c r="H113">
        <v>20054.03</v>
      </c>
      <c r="I113">
        <f t="shared" si="7"/>
        <v>18897.629999999997</v>
      </c>
      <c r="J113">
        <v>912.04</v>
      </c>
      <c r="K113">
        <v>22796.720000000001</v>
      </c>
      <c r="L113">
        <f t="shared" si="8"/>
        <v>21884.68</v>
      </c>
      <c r="M113">
        <v>16105.51</v>
      </c>
      <c r="N113">
        <v>22943.37</v>
      </c>
      <c r="O113">
        <f t="shared" si="9"/>
        <v>6837.8599999999988</v>
      </c>
      <c r="P113">
        <v>1302.21</v>
      </c>
      <c r="Q113">
        <v>2821.07</v>
      </c>
      <c r="R113">
        <f t="shared" si="10"/>
        <v>1518.8600000000001</v>
      </c>
      <c r="S113">
        <v>18173.95</v>
      </c>
      <c r="T113">
        <v>179191.3</v>
      </c>
      <c r="U113">
        <f t="shared" si="11"/>
        <v>161017.34999999998</v>
      </c>
    </row>
    <row r="114" spans="1:21" x14ac:dyDescent="0.3">
      <c r="A114" s="2" t="str">
        <f xml:space="preserve"> _xll.EPMOlapMemberO("[CECO].[PARENTH3].[AMSA1001AD0510]","","AMSA1001AD0510 - Reporting VPACS Corp","","000")</f>
        <v>AMSA1001AD0510 - Reporting VPACS Corp</v>
      </c>
      <c r="B114" s="2" t="str">
        <f xml:space="preserve"> _xll.EPMOlapMemberO("[CLACO].[PARENTH7].[AMSAGGENERALES.2]","","AMSAGGENERALES.2 - Otros Gastos","","000")</f>
        <v>AMSAGGENERALES.2 - Otros Gastos</v>
      </c>
      <c r="C114" s="1" t="str">
        <f>_xlfn.CONCAT(_xll.EPMMemberProperty("COSTOS", _xll.EPMMemberID(A114), "PARENTH3"), " - ", _xll.EPMMemberDesc(_xll.EPMMemberProperty("COSTOS", _xll.EPMMemberID(A114), "PARENTH3"), "COSTOS"))</f>
        <v>N1001AD450 - Asuntos Externos y S</v>
      </c>
      <c r="F114">
        <f t="shared" si="6"/>
        <v>0</v>
      </c>
      <c r="I114">
        <f t="shared" si="7"/>
        <v>0</v>
      </c>
      <c r="K114">
        <v>8036.71</v>
      </c>
      <c r="L114">
        <f t="shared" si="8"/>
        <v>8036.71</v>
      </c>
      <c r="O114">
        <f t="shared" si="9"/>
        <v>0</v>
      </c>
      <c r="P114">
        <v>161430.85</v>
      </c>
      <c r="R114">
        <f t="shared" si="10"/>
        <v>-161430.85</v>
      </c>
      <c r="S114">
        <v>0</v>
      </c>
      <c r="T114">
        <v>174047.61</v>
      </c>
      <c r="U114">
        <f t="shared" si="11"/>
        <v>174047.61</v>
      </c>
    </row>
    <row r="115" spans="1:21" x14ac:dyDescent="0.3">
      <c r="A115" s="2" t="str">
        <f xml:space="preserve"> _xll.EPMOlapMemberO("[CECO].[PARENTH3].[AMSA1001AD4505]","","AMSA1001AD4505 - Op. y Territorio","","000")</f>
        <v>AMSA1001AD4505 - Op. y Territorio</v>
      </c>
      <c r="B115" s="2" t="str">
        <f xml:space="preserve"> _xll.EPMOlapMemberO("[CLACO].[PARENTH7].[AMSASERVICIOS]","","AMSASERVICIOS - Servicios","","000")</f>
        <v>AMSASERVICIOS - Servicios</v>
      </c>
      <c r="C115" s="1" t="str">
        <f>_xlfn.CONCAT(_xll.EPMMemberProperty("COSTOS", _xll.EPMMemberID(A115), "PARENTH3"), " - ", _xll.EPMMemberDesc(_xll.EPMMemberProperty("COSTOS", _xll.EPMMemberID(A115), "PARENTH3"), "COSTOS"))</f>
        <v>N1001AD450 - Asuntos Externos y S</v>
      </c>
      <c r="D115">
        <v>27499.05</v>
      </c>
      <c r="E115">
        <v>105384.17</v>
      </c>
      <c r="F115">
        <f t="shared" si="6"/>
        <v>77885.119999999995</v>
      </c>
      <c r="G115">
        <v>16381.4</v>
      </c>
      <c r="H115">
        <v>125390.62</v>
      </c>
      <c r="I115">
        <f t="shared" si="7"/>
        <v>109009.22</v>
      </c>
      <c r="J115">
        <v>16381</v>
      </c>
      <c r="K115">
        <v>125743.9</v>
      </c>
      <c r="L115">
        <f t="shared" si="8"/>
        <v>109362.9</v>
      </c>
      <c r="M115">
        <v>0</v>
      </c>
      <c r="N115">
        <v>126097.18</v>
      </c>
      <c r="O115">
        <f t="shared" si="9"/>
        <v>126097.18</v>
      </c>
      <c r="P115">
        <v>1008.1</v>
      </c>
      <c r="Q115">
        <v>93948.86</v>
      </c>
      <c r="R115">
        <f t="shared" si="10"/>
        <v>92940.76</v>
      </c>
      <c r="S115">
        <v>61269.55</v>
      </c>
      <c r="T115">
        <v>1269277.25</v>
      </c>
      <c r="U115">
        <f t="shared" si="11"/>
        <v>1208007.7</v>
      </c>
    </row>
    <row r="116" spans="1:21" x14ac:dyDescent="0.3">
      <c r="A116" s="2" t="str">
        <f xml:space="preserve"> _xll.EPMOlapMemberO("[CECO].[PARENTH3].[AMSA1001AD4505]","","AMSA1001AD4505 - Op. y Territorio","","000")</f>
        <v>AMSA1001AD4505 - Op. y Territorio</v>
      </c>
      <c r="B116" s="2" t="str">
        <f xml:space="preserve"> _xll.EPMOlapMemberO("[CLACO].[PARENTH7].[AMSALIQUIDACIO.SEC]","","AMSALIQUIDACIO.SEC - Liquidación Interna","","000")</f>
        <v>AMSALIQUIDACIO.SEC - Liquidación Interna</v>
      </c>
      <c r="C116" s="1" t="str">
        <f>_xlfn.CONCAT(_xll.EPMMemberProperty("COSTOS", _xll.EPMMemberID(A116), "PARENTH3"), " - ", _xll.EPMMemberDesc(_xll.EPMMemberProperty("COSTOS", _xll.EPMMemberID(A116), "PARENTH3"), "COSTOS"))</f>
        <v>N1001AD450 - Asuntos Externos y S</v>
      </c>
      <c r="D116">
        <v>74680.639999999999</v>
      </c>
      <c r="F116">
        <f t="shared" si="6"/>
        <v>-74680.639999999999</v>
      </c>
      <c r="G116">
        <v>91003.34</v>
      </c>
      <c r="I116">
        <f t="shared" si="7"/>
        <v>-91003.34</v>
      </c>
      <c r="J116">
        <v>110840.79</v>
      </c>
      <c r="L116">
        <f t="shared" si="8"/>
        <v>-110840.79</v>
      </c>
      <c r="M116">
        <v>49884.87</v>
      </c>
      <c r="O116">
        <f t="shared" si="9"/>
        <v>-49884.87</v>
      </c>
      <c r="P116">
        <v>97432.639999999999</v>
      </c>
      <c r="R116">
        <f t="shared" si="10"/>
        <v>-97432.639999999999</v>
      </c>
      <c r="S116">
        <v>423842.28</v>
      </c>
      <c r="U116">
        <f t="shared" si="11"/>
        <v>-423842.28</v>
      </c>
    </row>
    <row r="117" spans="1:21" x14ac:dyDescent="0.3">
      <c r="A117" s="2" t="str">
        <f xml:space="preserve"> _xll.EPMOlapMemberO("[CECO].[PARENTH3].[AMSA1001AD4506]","","AMSA1001AD4506 - Adm Plan. Asun Publi","","000")</f>
        <v>AMSA1001AD4506 - Adm Plan. Asun Publi</v>
      </c>
      <c r="B117" s="2" t="str">
        <f xml:space="preserve"> _xll.EPMOlapMemberO("[CLACO].[PARENTH7].[AMSAMAT_Y_REP.2]","","AMSAMAT_Y_REP.2 - Materiales y repuest","","000")</f>
        <v>AMSAMAT_Y_REP.2 - Materiales y repuest</v>
      </c>
      <c r="C117" s="1" t="str">
        <f>_xlfn.CONCAT(_xll.EPMMemberProperty("COSTOS", _xll.EPMMemberID(A117), "PARENTH3"), " - ", _xll.EPMMemberDesc(_xll.EPMMemberProperty("COSTOS", _xll.EPMMemberID(A117), "PARENTH3"), "COSTOS"))</f>
        <v>N1001AD450 - Asuntos Externos y S</v>
      </c>
      <c r="F117">
        <f t="shared" si="6"/>
        <v>0</v>
      </c>
      <c r="I117">
        <f t="shared" si="7"/>
        <v>0</v>
      </c>
      <c r="L117">
        <f t="shared" si="8"/>
        <v>0</v>
      </c>
      <c r="M117">
        <v>1697.38</v>
      </c>
      <c r="O117">
        <f t="shared" si="9"/>
        <v>-1697.38</v>
      </c>
      <c r="R117">
        <f t="shared" si="10"/>
        <v>0</v>
      </c>
      <c r="S117">
        <v>8540.7800000000007</v>
      </c>
      <c r="T117">
        <v>5649.44</v>
      </c>
      <c r="U117">
        <f t="shared" si="11"/>
        <v>-2891.3400000000011</v>
      </c>
    </row>
    <row r="118" spans="1:21" x14ac:dyDescent="0.3">
      <c r="A118" s="2" t="str">
        <f xml:space="preserve"> _xll.EPMOlapMemberO("[CECO].[PARENTH3].[AMSA1001AD4506]","","AMSA1001AD4506 - Adm Plan. Asun Publi","","000")</f>
        <v>AMSA1001AD4506 - Adm Plan. Asun Publi</v>
      </c>
      <c r="B118" s="2" t="str">
        <f xml:space="preserve"> _xll.EPMOlapMemberO("[CLACO].[PARENTH7].[AMSACOMBUSTIBL]","","AMSACOMBUSTIBL - Combustibles  / Lubr","","000")</f>
        <v>AMSACOMBUSTIBL - Combustibles  / Lubr</v>
      </c>
      <c r="C118" s="1" t="str">
        <f>_xlfn.CONCAT(_xll.EPMMemberProperty("COSTOS", _xll.EPMMemberID(A118), "PARENTH3"), " - ", _xll.EPMMemberDesc(_xll.EPMMemberProperty("COSTOS", _xll.EPMMemberID(A118), "PARENTH3"), "COSTOS"))</f>
        <v>N1001AD450 - Asuntos Externos y S</v>
      </c>
      <c r="D118">
        <v>65.16</v>
      </c>
      <c r="F118">
        <f t="shared" si="6"/>
        <v>-65.16</v>
      </c>
      <c r="G118">
        <v>-65.16</v>
      </c>
      <c r="I118">
        <f t="shared" si="7"/>
        <v>65.16</v>
      </c>
      <c r="L118">
        <f t="shared" si="8"/>
        <v>0</v>
      </c>
      <c r="M118">
        <v>229.34</v>
      </c>
      <c r="O118">
        <f t="shared" si="9"/>
        <v>-229.34</v>
      </c>
      <c r="P118">
        <v>-1.53</v>
      </c>
      <c r="R118">
        <f t="shared" si="10"/>
        <v>1.53</v>
      </c>
      <c r="S118">
        <v>227.81</v>
      </c>
      <c r="U118">
        <f t="shared" si="11"/>
        <v>-227.81</v>
      </c>
    </row>
    <row r="119" spans="1:21" x14ac:dyDescent="0.3">
      <c r="A119" s="2" t="str">
        <f xml:space="preserve"> _xll.EPMOlapMemberO("[CECO].[PARENTH3].[AMSA1001AD4506]","","AMSA1001AD4506 - Adm Plan. Asun Publi","","000")</f>
        <v>AMSA1001AD4506 - Adm Plan. Asun Publi</v>
      </c>
      <c r="B119" s="2" t="str">
        <f xml:space="preserve"> _xll.EPMOlapMemberO("[CLACO].[PARENTH7].[AMSAREACTIVOS]","","AMSAREACTIVOS - Reactivos","","000")</f>
        <v>AMSAREACTIVOS - Reactivos</v>
      </c>
      <c r="C119" s="1" t="str">
        <f>_xlfn.CONCAT(_xll.EPMMemberProperty("COSTOS", _xll.EPMMemberID(A119), "PARENTH3"), " - ", _xll.EPMMemberDesc(_xll.EPMMemberProperty("COSTOS", _xll.EPMMemberID(A119), "PARENTH3"), "COSTOS"))</f>
        <v>N1001AD450 - Asuntos Externos y S</v>
      </c>
      <c r="D119">
        <v>162.65</v>
      </c>
      <c r="F119">
        <f t="shared" si="6"/>
        <v>-162.65</v>
      </c>
      <c r="G119">
        <v>239.56</v>
      </c>
      <c r="I119">
        <f t="shared" si="7"/>
        <v>-239.56</v>
      </c>
      <c r="J119">
        <v>189.09</v>
      </c>
      <c r="L119">
        <f t="shared" si="8"/>
        <v>-189.09</v>
      </c>
      <c r="M119">
        <v>52.08</v>
      </c>
      <c r="O119">
        <f t="shared" si="9"/>
        <v>-52.08</v>
      </c>
      <c r="P119">
        <v>184.52</v>
      </c>
      <c r="R119">
        <f t="shared" si="10"/>
        <v>-184.52</v>
      </c>
      <c r="S119">
        <v>855.89</v>
      </c>
      <c r="U119">
        <f t="shared" si="11"/>
        <v>-855.89</v>
      </c>
    </row>
    <row r="120" spans="1:21" x14ac:dyDescent="0.3">
      <c r="A120" s="2" t="str">
        <f xml:space="preserve"> _xll.EPMOlapMemberO("[CECO].[PARENTH3].[AMSA1001AD4506]","","AMSA1001AD4506 - Adm Plan. Asun Publi","","000")</f>
        <v>AMSA1001AD4506 - Adm Plan. Asun Publi</v>
      </c>
      <c r="B120" s="2" t="str">
        <f xml:space="preserve"> _xll.EPMOlapMemberO("[CLACO].[PARENTH7].[AMSAENTRENAMI]","","AMSAENTRENAMI - Entrenamiento","","000")</f>
        <v>AMSAENTRENAMI - Entrenamiento</v>
      </c>
      <c r="C120" s="1" t="str">
        <f>_xlfn.CONCAT(_xll.EPMMemberProperty("COSTOS", _xll.EPMMemberID(A120), "PARENTH3"), " - ", _xll.EPMMemberDesc(_xll.EPMMemberProperty("COSTOS", _xll.EPMMemberID(A120), "PARENTH3"), "COSTOS"))</f>
        <v>N1001AD450 - Asuntos Externos y S</v>
      </c>
      <c r="E120">
        <v>554.04</v>
      </c>
      <c r="F120">
        <f t="shared" si="6"/>
        <v>554.04</v>
      </c>
      <c r="H120">
        <v>555.54999999999995</v>
      </c>
      <c r="I120">
        <f t="shared" si="7"/>
        <v>555.54999999999995</v>
      </c>
      <c r="K120">
        <v>557.12</v>
      </c>
      <c r="L120">
        <f t="shared" si="8"/>
        <v>557.12</v>
      </c>
      <c r="N120">
        <v>558.67999999999995</v>
      </c>
      <c r="O120">
        <f t="shared" si="9"/>
        <v>558.67999999999995</v>
      </c>
      <c r="Q120">
        <v>560.25</v>
      </c>
      <c r="R120">
        <f t="shared" si="10"/>
        <v>560.25</v>
      </c>
      <c r="T120">
        <v>18066.34</v>
      </c>
      <c r="U120">
        <f t="shared" si="11"/>
        <v>18066.34</v>
      </c>
    </row>
    <row r="121" spans="1:21" x14ac:dyDescent="0.3">
      <c r="A121" s="2" t="str">
        <f xml:space="preserve"> _xll.EPMOlapMemberO("[CECO].[PARENTH3].[AMSA1001AD4506]","","AMSA1001AD4506 - Adm Plan. Asun Publi","","000")</f>
        <v>AMSA1001AD4506 - Adm Plan. Asun Publi</v>
      </c>
      <c r="B121" s="2" t="str">
        <f xml:space="preserve"> _xll.EPMOlapMemberO("[CLACO].[PARENTH7].[AMSAASESORIAS]","","AMSAASESORIAS - Asesorías y Consulto","","000")</f>
        <v>AMSAASESORIAS - Asesorías y Consulto</v>
      </c>
      <c r="C121" s="1" t="str">
        <f>_xlfn.CONCAT(_xll.EPMMemberProperty("COSTOS", _xll.EPMMemberID(A121), "PARENTH3"), " - ", _xll.EPMMemberDesc(_xll.EPMMemberProperty("COSTOS", _xll.EPMMemberID(A121), "PARENTH3"), "COSTOS"))</f>
        <v>N1001AD450 - Asuntos Externos y S</v>
      </c>
      <c r="D121">
        <v>30124.38</v>
      </c>
      <c r="E121">
        <v>22161.52</v>
      </c>
      <c r="F121">
        <f t="shared" si="6"/>
        <v>-7962.8600000000006</v>
      </c>
      <c r="G121">
        <v>64994.96</v>
      </c>
      <c r="H121">
        <v>22222.11</v>
      </c>
      <c r="I121">
        <f t="shared" si="7"/>
        <v>-42772.85</v>
      </c>
      <c r="J121">
        <v>37292.120000000003</v>
      </c>
      <c r="K121">
        <v>22284.720000000001</v>
      </c>
      <c r="L121">
        <f t="shared" si="8"/>
        <v>-15007.400000000001</v>
      </c>
      <c r="M121">
        <v>38041.96</v>
      </c>
      <c r="N121">
        <v>22347.33</v>
      </c>
      <c r="O121">
        <f t="shared" si="9"/>
        <v>-15694.629999999997</v>
      </c>
      <c r="P121">
        <v>104217.38</v>
      </c>
      <c r="Q121">
        <v>22409.93</v>
      </c>
      <c r="R121">
        <f t="shared" si="10"/>
        <v>-81807.450000000012</v>
      </c>
      <c r="S121">
        <v>235702.33</v>
      </c>
      <c r="T121">
        <v>270052.24</v>
      </c>
      <c r="U121">
        <f t="shared" si="11"/>
        <v>34349.910000000003</v>
      </c>
    </row>
    <row r="122" spans="1:21" x14ac:dyDescent="0.3">
      <c r="A122" s="2" t="str">
        <f xml:space="preserve"> _xll.EPMOlapMemberO("[CECO].[PARENTH3].[AMSA1001AD4506]","","AMSA1001AD4506 - Adm Plan. Asun Publi","","000")</f>
        <v>AMSA1001AD4506 - Adm Plan. Asun Publi</v>
      </c>
      <c r="B122" s="2" t="str">
        <f xml:space="preserve"> _xll.EPMOlapMemberO("[CLACO].[PARENTH7].[AMSAARRIENDOS]","","AMSAARRIENDOS - Arriendos","","000")</f>
        <v>AMSAARRIENDOS - Arriendos</v>
      </c>
      <c r="C122" s="1" t="str">
        <f>_xlfn.CONCAT(_xll.EPMMemberProperty("COSTOS", _xll.EPMMemberID(A122), "PARENTH3"), " - ", _xll.EPMMemberDesc(_xll.EPMMemberProperty("COSTOS", _xll.EPMMemberID(A122), "PARENTH3"), "COSTOS"))</f>
        <v>N1001AD450 - Asuntos Externos y S</v>
      </c>
      <c r="D122">
        <v>8339.4599999999991</v>
      </c>
      <c r="E122">
        <v>12188.84</v>
      </c>
      <c r="F122">
        <f t="shared" si="6"/>
        <v>3849.380000000001</v>
      </c>
      <c r="G122">
        <v>11446.5</v>
      </c>
      <c r="H122">
        <v>12222.16</v>
      </c>
      <c r="I122">
        <f t="shared" si="7"/>
        <v>775.65999999999985</v>
      </c>
      <c r="J122">
        <v>20998.81</v>
      </c>
      <c r="K122">
        <v>12256.59</v>
      </c>
      <c r="L122">
        <f t="shared" si="8"/>
        <v>-8742.2200000000012</v>
      </c>
      <c r="M122">
        <v>2757.04</v>
      </c>
      <c r="N122">
        <v>12291.03</v>
      </c>
      <c r="O122">
        <f t="shared" si="9"/>
        <v>9533.9900000000016</v>
      </c>
      <c r="P122">
        <v>10038.75</v>
      </c>
      <c r="Q122">
        <v>12325.46</v>
      </c>
      <c r="R122">
        <f t="shared" si="10"/>
        <v>2286.7099999999991</v>
      </c>
      <c r="S122">
        <v>65302.79</v>
      </c>
      <c r="T122">
        <v>148528.72</v>
      </c>
      <c r="U122">
        <f t="shared" si="11"/>
        <v>83225.929999999993</v>
      </c>
    </row>
    <row r="123" spans="1:21" x14ac:dyDescent="0.3">
      <c r="A123" s="2" t="str">
        <f xml:space="preserve"> _xll.EPMOlapMemberO("[CECO].[PARENTH3].[AMSA1001AD4506]","","AMSA1001AD4506 - Adm Plan. Asun Publi","","000")</f>
        <v>AMSA1001AD4506 - Adm Plan. Asun Publi</v>
      </c>
      <c r="B123" s="2" t="str">
        <f xml:space="preserve"> _xll.EPMOlapMemberO("[CLACO].[PARENTH7].[AMSASERVICIOS]","","AMSASERVICIOS - Servicios","","000")</f>
        <v>AMSASERVICIOS - Servicios</v>
      </c>
      <c r="C123" s="1" t="str">
        <f>_xlfn.CONCAT(_xll.EPMMemberProperty("COSTOS", _xll.EPMMemberID(A123), "PARENTH3"), " - ", _xll.EPMMemberDesc(_xll.EPMMemberProperty("COSTOS", _xll.EPMMemberID(A123), "PARENTH3"), "COSTOS"))</f>
        <v>N1001AD450 - Asuntos Externos y S</v>
      </c>
      <c r="D123">
        <v>121243.28</v>
      </c>
      <c r="E123">
        <v>88092.04</v>
      </c>
      <c r="F123">
        <f t="shared" si="6"/>
        <v>-33151.240000000005</v>
      </c>
      <c r="G123">
        <v>92539.48</v>
      </c>
      <c r="H123">
        <v>88332.86</v>
      </c>
      <c r="I123">
        <f t="shared" si="7"/>
        <v>-4206.6199999999953</v>
      </c>
      <c r="J123">
        <v>124619.77</v>
      </c>
      <c r="K123">
        <v>88581.75</v>
      </c>
      <c r="L123">
        <f t="shared" si="8"/>
        <v>-36038.020000000004</v>
      </c>
      <c r="M123">
        <v>123215.55</v>
      </c>
      <c r="N123">
        <v>88830.63</v>
      </c>
      <c r="O123">
        <f t="shared" si="9"/>
        <v>-34384.92</v>
      </c>
      <c r="P123">
        <v>132070.01</v>
      </c>
      <c r="Q123">
        <v>89079.49</v>
      </c>
      <c r="R123">
        <f t="shared" si="10"/>
        <v>-42990.520000000004</v>
      </c>
      <c r="S123">
        <v>595958.93000000005</v>
      </c>
      <c r="T123">
        <v>1073457.6000000001</v>
      </c>
      <c r="U123">
        <f t="shared" si="11"/>
        <v>477498.67000000004</v>
      </c>
    </row>
    <row r="124" spans="1:21" x14ac:dyDescent="0.3">
      <c r="A124" s="2" t="str">
        <f xml:space="preserve"> _xll.EPMOlapMemberO("[CECO].[PARENTH3].[AMSA1001AD4506]","","AMSA1001AD4506 - Adm Plan. Asun Publi","","000")</f>
        <v>AMSA1001AD4506 - Adm Plan. Asun Publi</v>
      </c>
      <c r="B124" s="2" t="str">
        <f xml:space="preserve"> _xll.EPMOlapMemberO("[CLACO].[PARENTH7].[AMSAINFORMATIC]","","AMSAINFORMATIC - Informática y Comuni","","000")</f>
        <v>AMSAINFORMATIC - Informática y Comuni</v>
      </c>
      <c r="C124" s="1" t="str">
        <f>_xlfn.CONCAT(_xll.EPMMemberProperty("COSTOS", _xll.EPMMemberID(A124), "PARENTH3"), " - ", _xll.EPMMemberDesc(_xll.EPMMemberProperty("COSTOS", _xll.EPMMemberID(A124), "PARENTH3"), "COSTOS"))</f>
        <v>N1001AD450 - Asuntos Externos y S</v>
      </c>
      <c r="D124">
        <v>612.29</v>
      </c>
      <c r="E124">
        <v>2031.12</v>
      </c>
      <c r="F124">
        <f t="shared" si="6"/>
        <v>1418.83</v>
      </c>
      <c r="G124">
        <v>2159.6</v>
      </c>
      <c r="H124">
        <v>2035.66</v>
      </c>
      <c r="I124">
        <f t="shared" si="7"/>
        <v>-123.93999999999983</v>
      </c>
      <c r="J124">
        <v>773.52</v>
      </c>
      <c r="K124">
        <v>2040.36</v>
      </c>
      <c r="L124">
        <f t="shared" si="8"/>
        <v>1266.8399999999999</v>
      </c>
      <c r="M124">
        <v>1681.24</v>
      </c>
      <c r="N124">
        <v>2045.05</v>
      </c>
      <c r="O124">
        <f t="shared" si="9"/>
        <v>363.80999999999995</v>
      </c>
      <c r="P124">
        <v>16586.38</v>
      </c>
      <c r="Q124">
        <v>2049.75</v>
      </c>
      <c r="R124">
        <f t="shared" si="10"/>
        <v>-14536.630000000001</v>
      </c>
      <c r="S124">
        <v>22102.26</v>
      </c>
      <c r="T124">
        <v>24681.94</v>
      </c>
      <c r="U124">
        <f t="shared" si="11"/>
        <v>2579.6800000000003</v>
      </c>
    </row>
    <row r="125" spans="1:21" x14ac:dyDescent="0.3">
      <c r="A125" s="2" t="str">
        <f xml:space="preserve"> _xll.EPMOlapMemberO("[CECO].[PARENTH3].[AMSA1001AD4506]","","AMSA1001AD4506 - Adm Plan. Asun Publi","","000")</f>
        <v>AMSA1001AD4506 - Adm Plan. Asun Publi</v>
      </c>
      <c r="B125" s="2" t="str">
        <f xml:space="preserve"> _xll.EPMOlapMemberO("[CLACO].[PARENTH7].[AMSAG_VIAJES]","","AMSAG_VIAJES - Gastos de Viajes","","000")</f>
        <v>AMSAG_VIAJES - Gastos de Viajes</v>
      </c>
      <c r="C125" s="1" t="str">
        <f>_xlfn.CONCAT(_xll.EPMMemberProperty("COSTOS", _xll.EPMMemberID(A125), "PARENTH3"), " - ", _xll.EPMMemberDesc(_xll.EPMMemberProperty("COSTOS", _xll.EPMMemberID(A125), "PARENTH3"), "COSTOS"))</f>
        <v>N1001AD450 - Asuntos Externos y S</v>
      </c>
      <c r="D125">
        <v>1892.09</v>
      </c>
      <c r="E125">
        <v>4210.6899999999996</v>
      </c>
      <c r="F125">
        <f t="shared" si="6"/>
        <v>2318.5999999999995</v>
      </c>
      <c r="G125">
        <v>4957.38</v>
      </c>
      <c r="H125">
        <v>4222.2</v>
      </c>
      <c r="I125">
        <f t="shared" si="7"/>
        <v>-735.18000000000029</v>
      </c>
      <c r="J125">
        <v>5987.99</v>
      </c>
      <c r="K125">
        <v>4234.09</v>
      </c>
      <c r="L125">
        <f t="shared" si="8"/>
        <v>-1753.8999999999996</v>
      </c>
      <c r="M125">
        <v>3807.19</v>
      </c>
      <c r="N125">
        <v>4245.99</v>
      </c>
      <c r="O125">
        <f t="shared" si="9"/>
        <v>438.79999999999973</v>
      </c>
      <c r="P125">
        <v>8099.86</v>
      </c>
      <c r="Q125">
        <v>4257.88</v>
      </c>
      <c r="R125">
        <f t="shared" si="10"/>
        <v>-3841.9799999999996</v>
      </c>
      <c r="S125">
        <v>26671.42</v>
      </c>
      <c r="T125">
        <v>51309.91</v>
      </c>
      <c r="U125">
        <f t="shared" si="11"/>
        <v>24638.490000000005</v>
      </c>
    </row>
    <row r="126" spans="1:21" x14ac:dyDescent="0.3">
      <c r="A126" s="2" t="str">
        <f xml:space="preserve"> _xll.EPMOlapMemberO("[CECO].[PARENTH3].[AMSA1001AD4506]","","AMSA1001AD4506 - Adm Plan. Asun Publi","","000")</f>
        <v>AMSA1001AD4506 - Adm Plan. Asun Publi</v>
      </c>
      <c r="B126" s="2" t="str">
        <f xml:space="preserve"> _xll.EPMOlapMemberO("[CLACO].[PARENTH7].[AMSAGGENERALES.2]","","AMSAGGENERALES.2 - Otros Gastos","","000")</f>
        <v>AMSAGGENERALES.2 - Otros Gastos</v>
      </c>
      <c r="C126" s="1" t="str">
        <f>_xlfn.CONCAT(_xll.EPMMemberProperty("COSTOS", _xll.EPMMemberID(A126), "PARENTH3"), " - ", _xll.EPMMemberDesc(_xll.EPMMemberProperty("COSTOS", _xll.EPMMemberID(A126), "PARENTH3"), "COSTOS"))</f>
        <v>N1001AD450 - Asuntos Externos y S</v>
      </c>
      <c r="D126">
        <v>8553.0300000000007</v>
      </c>
      <c r="E126">
        <v>3874.12</v>
      </c>
      <c r="F126">
        <f t="shared" si="6"/>
        <v>-4678.9100000000008</v>
      </c>
      <c r="G126">
        <v>105.18</v>
      </c>
      <c r="H126">
        <v>3878.66</v>
      </c>
      <c r="I126">
        <f t="shared" si="7"/>
        <v>3773.48</v>
      </c>
      <c r="J126">
        <v>41.08</v>
      </c>
      <c r="K126">
        <v>3883.36</v>
      </c>
      <c r="L126">
        <f t="shared" si="8"/>
        <v>3842.28</v>
      </c>
      <c r="M126">
        <v>6097.97</v>
      </c>
      <c r="N126">
        <v>7006.05</v>
      </c>
      <c r="O126">
        <f t="shared" si="9"/>
        <v>908.07999999999993</v>
      </c>
      <c r="P126">
        <v>3155.91</v>
      </c>
      <c r="Q126">
        <v>3892.75</v>
      </c>
      <c r="R126">
        <f t="shared" si="10"/>
        <v>736.84000000000015</v>
      </c>
      <c r="S126">
        <v>21424.99</v>
      </c>
      <c r="T126">
        <v>49915.94</v>
      </c>
      <c r="U126">
        <f t="shared" si="11"/>
        <v>28490.95</v>
      </c>
    </row>
    <row r="127" spans="1:21" x14ac:dyDescent="0.3">
      <c r="A127" s="2" t="str">
        <f xml:space="preserve"> _xll.EPMOlapMemberO("[CECO].[PARENTH3].[AMSA1001AD4506]","","AMSA1001AD4506 - Adm Plan. Asun Publi","","000")</f>
        <v>AMSA1001AD4506 - Adm Plan. Asun Publi</v>
      </c>
      <c r="B127" s="2" t="str">
        <f xml:space="preserve"> _xll.EPMOlapMemberO("[CLACO].[PARENTH7].[AMSASUBREPARTO.SEC]","","AMSASUBREPARTO.SEC - Subrepartos","","000")</f>
        <v>AMSASUBREPARTO.SEC - Subrepartos</v>
      </c>
      <c r="C127" s="1" t="str">
        <f>_xlfn.CONCAT(_xll.EPMMemberProperty("COSTOS", _xll.EPMMemberID(A127), "PARENTH3"), " - ", _xll.EPMMemberDesc(_xll.EPMMemberProperty("COSTOS", _xll.EPMMemberID(A127), "PARENTH3"), "COSTOS"))</f>
        <v>N1001AD450 - Asuntos Externos y S</v>
      </c>
      <c r="D127">
        <v>7971.74</v>
      </c>
      <c r="E127">
        <v>6102.44</v>
      </c>
      <c r="F127">
        <f t="shared" si="6"/>
        <v>-1869.3000000000002</v>
      </c>
      <c r="G127">
        <v>7578.15</v>
      </c>
      <c r="H127">
        <v>5820.18</v>
      </c>
      <c r="I127">
        <f t="shared" si="7"/>
        <v>-1757.9699999999993</v>
      </c>
      <c r="J127">
        <v>7823.72</v>
      </c>
      <c r="K127">
        <v>5820.18</v>
      </c>
      <c r="L127">
        <f t="shared" si="8"/>
        <v>-2003.54</v>
      </c>
      <c r="M127">
        <v>7706.59</v>
      </c>
      <c r="N127">
        <v>5820.18</v>
      </c>
      <c r="O127">
        <f t="shared" si="9"/>
        <v>-1886.4099999999999</v>
      </c>
      <c r="P127">
        <v>7671.08</v>
      </c>
      <c r="Q127">
        <v>5820.18</v>
      </c>
      <c r="R127">
        <f t="shared" si="10"/>
        <v>-1850.8999999999996</v>
      </c>
      <c r="S127">
        <v>38751.279999999999</v>
      </c>
      <c r="T127">
        <v>71594.98</v>
      </c>
      <c r="U127">
        <f t="shared" si="11"/>
        <v>32843.699999999997</v>
      </c>
    </row>
    <row r="128" spans="1:21" x14ac:dyDescent="0.3">
      <c r="A128" s="2" t="str">
        <f xml:space="preserve"> _xll.EPMOlapMemberO("[CECO].[PARENTH3].[AMSA1001AD4530]","","AMSA1001AD4530 - Med.Ambte Corporativ","","000")</f>
        <v>AMSA1001AD4530 - Med.Ambte Corporativ</v>
      </c>
      <c r="B128" s="2" t="str">
        <f xml:space="preserve"> _xll.EPMOlapMemberO("[CLACO].[PARENTH7].[AMSAASESORIAS]","","AMSAASESORIAS - Asesorías y Consulto","","000")</f>
        <v>AMSAASESORIAS - Asesorías y Consulto</v>
      </c>
      <c r="C128" s="1" t="str">
        <f>_xlfn.CONCAT(_xll.EPMMemberProperty("COSTOS", _xll.EPMMemberID(A128), "PARENTH3"), " - ", _xll.EPMMemberDesc(_xll.EPMMemberProperty("COSTOS", _xll.EPMMemberID(A128), "PARENTH3"), "COSTOS"))</f>
        <v>N1001AD470 - Medio Ambiente</v>
      </c>
      <c r="D128">
        <v>0</v>
      </c>
      <c r="E128">
        <v>2578.1</v>
      </c>
      <c r="F128">
        <f t="shared" si="6"/>
        <v>2578.1</v>
      </c>
      <c r="G128">
        <v>0</v>
      </c>
      <c r="H128">
        <v>2589.7800000000002</v>
      </c>
      <c r="I128">
        <f t="shared" si="7"/>
        <v>2589.7800000000002</v>
      </c>
      <c r="J128">
        <v>0</v>
      </c>
      <c r="K128">
        <v>2601.88</v>
      </c>
      <c r="L128">
        <f t="shared" si="8"/>
        <v>2601.88</v>
      </c>
      <c r="M128">
        <v>0</v>
      </c>
      <c r="N128">
        <v>22743.84</v>
      </c>
      <c r="O128">
        <f t="shared" si="9"/>
        <v>22743.84</v>
      </c>
      <c r="Q128">
        <v>2625.54</v>
      </c>
      <c r="R128">
        <f t="shared" si="10"/>
        <v>2625.54</v>
      </c>
      <c r="S128">
        <v>0</v>
      </c>
      <c r="T128">
        <v>51852.46</v>
      </c>
      <c r="U128">
        <f t="shared" si="11"/>
        <v>51852.46</v>
      </c>
    </row>
    <row r="129" spans="1:21" x14ac:dyDescent="0.3">
      <c r="A129" s="2" t="str">
        <f xml:space="preserve"> _xll.EPMOlapMemberO("[CECO].[PARENTH3].[AMSA1001AD4530]","","AMSA1001AD4530 - Med.Ambte Corporativ","","000")</f>
        <v>AMSA1001AD4530 - Med.Ambte Corporativ</v>
      </c>
      <c r="B129" s="2" t="str">
        <f xml:space="preserve"> _xll.EPMOlapMemberO("[CLACO].[PARENTH7].[AMSASERVICIOS]","","AMSASERVICIOS - Servicios","","000")</f>
        <v>AMSASERVICIOS - Servicios</v>
      </c>
      <c r="C129" s="1" t="str">
        <f>_xlfn.CONCAT(_xll.EPMMemberProperty("COSTOS", _xll.EPMMemberID(A129), "PARENTH3"), " - ", _xll.EPMMemberDesc(_xll.EPMMemberProperty("COSTOS", _xll.EPMMemberID(A129), "PARENTH3"), "COSTOS"))</f>
        <v>N1001AD470 - Medio Ambiente</v>
      </c>
      <c r="F129">
        <f t="shared" si="6"/>
        <v>0</v>
      </c>
      <c r="I129">
        <f t="shared" si="7"/>
        <v>0</v>
      </c>
      <c r="J129">
        <v>1557.28</v>
      </c>
      <c r="L129">
        <f t="shared" si="8"/>
        <v>-1557.28</v>
      </c>
      <c r="M129">
        <v>0</v>
      </c>
      <c r="O129">
        <f t="shared" si="9"/>
        <v>0</v>
      </c>
      <c r="P129">
        <v>0</v>
      </c>
      <c r="R129">
        <f t="shared" si="10"/>
        <v>0</v>
      </c>
      <c r="S129">
        <v>1557.28</v>
      </c>
      <c r="U129">
        <f t="shared" si="11"/>
        <v>-1557.28</v>
      </c>
    </row>
    <row r="130" spans="1:21" x14ac:dyDescent="0.3">
      <c r="A130" s="2" t="str">
        <f xml:space="preserve"> _xll.EPMOlapMemberO("[CECO].[PARENTH3].[AMSA1001AD4530]","","AMSA1001AD4530 - Med.Ambte Corporativ","","000")</f>
        <v>AMSA1001AD4530 - Med.Ambte Corporativ</v>
      </c>
      <c r="B130" s="2" t="str">
        <f xml:space="preserve"> _xll.EPMOlapMemberO("[CLACO].[PARENTH7].[AMSAINFORMATIC]","","AMSAINFORMATIC - Informática y Comuni","","000")</f>
        <v>AMSAINFORMATIC - Informática y Comuni</v>
      </c>
      <c r="C130" s="1" t="str">
        <f>_xlfn.CONCAT(_xll.EPMMemberProperty("COSTOS", _xll.EPMMemberID(A130), "PARENTH3"), " - ", _xll.EPMMemberDesc(_xll.EPMMemberProperty("COSTOS", _xll.EPMMemberID(A130), "PARENTH3"), "COSTOS"))</f>
        <v>N1001AD470 - Medio Ambiente</v>
      </c>
      <c r="D130">
        <v>8653.84</v>
      </c>
      <c r="F130">
        <f t="shared" si="6"/>
        <v>-8653.84</v>
      </c>
      <c r="G130">
        <v>-3235.54</v>
      </c>
      <c r="I130">
        <f t="shared" si="7"/>
        <v>3235.54</v>
      </c>
      <c r="J130">
        <v>-20659.3</v>
      </c>
      <c r="L130">
        <f t="shared" si="8"/>
        <v>20659.3</v>
      </c>
      <c r="M130">
        <v>-4420.92</v>
      </c>
      <c r="N130">
        <v>13419.76</v>
      </c>
      <c r="O130">
        <f t="shared" si="9"/>
        <v>17840.68</v>
      </c>
      <c r="P130">
        <v>-4282.22</v>
      </c>
      <c r="Q130">
        <v>53782.35</v>
      </c>
      <c r="R130">
        <f t="shared" si="10"/>
        <v>58064.57</v>
      </c>
      <c r="S130">
        <v>-19661.919999999998</v>
      </c>
      <c r="T130">
        <v>162035.97</v>
      </c>
      <c r="U130">
        <f t="shared" si="11"/>
        <v>181697.89</v>
      </c>
    </row>
    <row r="131" spans="1:21" x14ac:dyDescent="0.3">
      <c r="A131" s="2" t="str">
        <f xml:space="preserve"> _xll.EPMOlapMemberO("[CECO].[PARENTH3].[AMSA1001AD5007]","","AMSA1001AD5007 - SSO Corporativo","","000")</f>
        <v>AMSA1001AD5007 - SSO Corporativo</v>
      </c>
      <c r="B131" s="2" t="str">
        <f xml:space="preserve"> _xll.EPMOlapMemberO("[CLACO].[PARENTH7].[AMSAASESORIAS]","","AMSAASESORIAS - Asesorías y Consulto","","000")</f>
        <v>AMSAASESORIAS - Asesorías y Consulto</v>
      </c>
      <c r="C131" s="1" t="str">
        <f>_xlfn.CONCAT(_xll.EPMMemberProperty("COSTOS", _xll.EPMMemberID(A131), "PARENTH3"), " - ", _xll.EPMMemberDesc(_xll.EPMMemberProperty("COSTOS", _xll.EPMMemberID(A131), "PARENTH3"), "COSTOS"))</f>
        <v>N1001AD500 - Seguridad y Salud Oc</v>
      </c>
      <c r="D131">
        <v>25.71</v>
      </c>
      <c r="F131">
        <f t="shared" si="6"/>
        <v>-25.71</v>
      </c>
      <c r="G131">
        <v>30931.17</v>
      </c>
      <c r="I131">
        <f t="shared" si="7"/>
        <v>-30931.17</v>
      </c>
      <c r="J131">
        <v>20313.32</v>
      </c>
      <c r="L131">
        <f t="shared" si="8"/>
        <v>-20313.32</v>
      </c>
      <c r="M131">
        <v>42014.89</v>
      </c>
      <c r="O131">
        <f t="shared" si="9"/>
        <v>-42014.89</v>
      </c>
      <c r="P131">
        <v>20314.54</v>
      </c>
      <c r="R131">
        <f t="shared" si="10"/>
        <v>-20314.54</v>
      </c>
      <c r="S131">
        <v>93285.09</v>
      </c>
      <c r="U131">
        <f t="shared" si="11"/>
        <v>-93285.09</v>
      </c>
    </row>
    <row r="132" spans="1:21" x14ac:dyDescent="0.3">
      <c r="A132" s="2" t="str">
        <f xml:space="preserve"> _xll.EPMOlapMemberO("[CECO].[PARENTH3].[AMSA1001AD5007]","","AMSA1001AD5007 - SSO Corporativo","","000")</f>
        <v>AMSA1001AD5007 - SSO Corporativo</v>
      </c>
      <c r="B132" s="2" t="str">
        <f xml:space="preserve"> _xll.EPMOlapMemberO("[CLACO].[PARENTH7].[AMSASERVICIOS]","","AMSASERVICIOS - Servicios","","000")</f>
        <v>AMSASERVICIOS - Servicios</v>
      </c>
      <c r="C132" s="1" t="str">
        <f>_xlfn.CONCAT(_xll.EPMMemberProperty("COSTOS", _xll.EPMMemberID(A132), "PARENTH3"), " - ", _xll.EPMMemberDesc(_xll.EPMMemberProperty("COSTOS", _xll.EPMMemberID(A132), "PARENTH3"), "COSTOS"))</f>
        <v>N1001AD500 - Seguridad y Salud Oc</v>
      </c>
      <c r="E132">
        <v>21405.81</v>
      </c>
      <c r="F132">
        <f t="shared" si="6"/>
        <v>21405.81</v>
      </c>
      <c r="H132">
        <v>21464.33</v>
      </c>
      <c r="I132">
        <f t="shared" si="7"/>
        <v>21464.33</v>
      </c>
      <c r="K132">
        <v>21524.81</v>
      </c>
      <c r="L132">
        <f t="shared" si="8"/>
        <v>21524.81</v>
      </c>
      <c r="N132">
        <v>21585.279999999999</v>
      </c>
      <c r="O132">
        <f t="shared" si="9"/>
        <v>21585.279999999999</v>
      </c>
      <c r="Q132">
        <v>21645.759999999998</v>
      </c>
      <c r="R132">
        <f t="shared" si="10"/>
        <v>21645.759999999998</v>
      </c>
      <c r="T132">
        <v>260843.45</v>
      </c>
      <c r="U132">
        <f t="shared" si="11"/>
        <v>260843.45</v>
      </c>
    </row>
    <row r="133" spans="1:21" x14ac:dyDescent="0.3">
      <c r="A133" s="2" t="str">
        <f xml:space="preserve"> _xll.EPMOlapMemberO("[CECO].[PARENTH3].[AMSA1001AD5007]","","AMSA1001AD5007 - SSO Corporativo","","000")</f>
        <v>AMSA1001AD5007 - SSO Corporativo</v>
      </c>
      <c r="B133" s="2" t="str">
        <f xml:space="preserve"> _xll.EPMOlapMemberO("[CLACO].[PARENTH7].[AMSAINFORMATIC]","","AMSAINFORMATIC - Informática y Comuni","","000")</f>
        <v>AMSAINFORMATIC - Informática y Comuni</v>
      </c>
      <c r="C133" s="1" t="str">
        <f>_xlfn.CONCAT(_xll.EPMMemberProperty("COSTOS", _xll.EPMMemberID(A133), "PARENTH3"), " - ", _xll.EPMMemberDesc(_xll.EPMMemberProperty("COSTOS", _xll.EPMMemberID(A133), "PARENTH3"), "COSTOS"))</f>
        <v>N1001AD500 - Seguridad y Salud Oc</v>
      </c>
      <c r="E133">
        <v>8006.51</v>
      </c>
      <c r="F133">
        <f t="shared" si="6"/>
        <v>8006.51</v>
      </c>
      <c r="H133">
        <v>8021.61</v>
      </c>
      <c r="I133">
        <f t="shared" si="7"/>
        <v>8021.61</v>
      </c>
      <c r="K133">
        <v>8036.71</v>
      </c>
      <c r="L133">
        <f t="shared" si="8"/>
        <v>8036.71</v>
      </c>
      <c r="M133">
        <v>899.62</v>
      </c>
      <c r="N133">
        <v>8052.06</v>
      </c>
      <c r="O133">
        <f t="shared" si="9"/>
        <v>7152.4400000000005</v>
      </c>
      <c r="P133">
        <v>906.98</v>
      </c>
      <c r="Q133">
        <v>9075.83</v>
      </c>
      <c r="R133">
        <f t="shared" si="10"/>
        <v>8168.85</v>
      </c>
      <c r="S133">
        <v>899.62</v>
      </c>
      <c r="T133">
        <v>97045.68</v>
      </c>
      <c r="U133">
        <f t="shared" si="11"/>
        <v>96146.06</v>
      </c>
    </row>
    <row r="134" spans="1:21" x14ac:dyDescent="0.3">
      <c r="A134" s="2" t="str">
        <f xml:space="preserve"> _xll.EPMOlapMemberO("[CECO].[PARENTH3].[AMSA1001AD5501]","","AMSA1001AD5501 - Propiedad Minera","","000")</f>
        <v>AMSA1001AD5501 - Propiedad Minera</v>
      </c>
      <c r="B134" s="6" t="str">
        <f xml:space="preserve"> _xll.EPMOlapMemberO("[CLACO].[PARENTH7].[AMSAASESORIAS]","","AMSAASESORIAS - Asesorías y Consulto","","000")</f>
        <v>AMSAASESORIAS - Asesorías y Consulto</v>
      </c>
      <c r="C134" t="str">
        <f>_xlfn.CONCAT(_xll.EPMMemberProperty("COSTOS", _xll.EPMMemberID(A134), "PARENTH3"), " - ", _xll.EPMMemberDesc(_xll.EPMMemberProperty("COSTOS", _xll.EPMMemberID(A134), "PARENTH3"), "COSTOS"))</f>
        <v>N1001AD550 - Legal</v>
      </c>
      <c r="D134">
        <v>10814.11</v>
      </c>
      <c r="E134">
        <v>2311.54</v>
      </c>
      <c r="F134">
        <f t="shared" si="6"/>
        <v>-8502.57</v>
      </c>
      <c r="G134">
        <v>9884.4699999999993</v>
      </c>
      <c r="H134">
        <v>2317.62</v>
      </c>
      <c r="I134">
        <f t="shared" si="7"/>
        <v>-7566.8499999999995</v>
      </c>
      <c r="J134">
        <v>2803.67</v>
      </c>
      <c r="K134">
        <v>2323.7199999999998</v>
      </c>
      <c r="L134">
        <f t="shared" si="8"/>
        <v>-479.95000000000027</v>
      </c>
      <c r="M134">
        <v>1307.04</v>
      </c>
      <c r="N134">
        <v>2329.83</v>
      </c>
      <c r="O134">
        <f t="shared" si="9"/>
        <v>1022.79</v>
      </c>
      <c r="P134">
        <v>1359.91</v>
      </c>
      <c r="Q134">
        <v>2335.96</v>
      </c>
      <c r="R134">
        <f t="shared" si="10"/>
        <v>976.05</v>
      </c>
      <c r="S134">
        <v>27714.69</v>
      </c>
      <c r="T134">
        <v>28143.55</v>
      </c>
      <c r="U134">
        <f t="shared" si="11"/>
        <v>428.86000000000058</v>
      </c>
    </row>
    <row r="135" spans="1:21" x14ac:dyDescent="0.3">
      <c r="A135" s="2" t="str">
        <f xml:space="preserve"> _xll.EPMOlapMemberO("[CECO].[PARENTH3].[AMSA1001AD5501]","","AMSA1001AD5501 - Propiedad Minera","","000")</f>
        <v>AMSA1001AD5501 - Propiedad Minera</v>
      </c>
      <c r="B135" s="6" t="str">
        <f xml:space="preserve"> _xll.EPMOlapMemberO("[CLACO].[PARENTH7].[AMSASERVICIOS]","","AMSASERVICIOS - Servicios","","000")</f>
        <v>AMSASERVICIOS - Servicios</v>
      </c>
      <c r="C135" t="str">
        <f>_xlfn.CONCAT(_xll.EPMMemberProperty("COSTOS", _xll.EPMMemberID(A135), "PARENTH3"), " - ", _xll.EPMMemberDesc(_xll.EPMMemberProperty("COSTOS", _xll.EPMMemberID(A135), "PARENTH3"), "COSTOS"))</f>
        <v>N1001AD550 - Legal</v>
      </c>
      <c r="D135">
        <v>300.24</v>
      </c>
      <c r="E135">
        <v>771.85</v>
      </c>
      <c r="F135">
        <f t="shared" si="6"/>
        <v>471.61</v>
      </c>
      <c r="G135">
        <v>280.13</v>
      </c>
      <c r="H135">
        <v>773.97</v>
      </c>
      <c r="I135">
        <f t="shared" si="7"/>
        <v>493.84000000000003</v>
      </c>
      <c r="J135">
        <v>836.52</v>
      </c>
      <c r="K135">
        <v>2196.6799999999998</v>
      </c>
      <c r="L135">
        <f t="shared" si="8"/>
        <v>1360.1599999999999</v>
      </c>
      <c r="M135">
        <v>271.3</v>
      </c>
      <c r="N135">
        <v>1418.47</v>
      </c>
      <c r="O135">
        <f t="shared" si="9"/>
        <v>1147.17</v>
      </c>
      <c r="P135">
        <v>268.95</v>
      </c>
      <c r="Q135">
        <v>774.79</v>
      </c>
      <c r="R135">
        <f t="shared" si="10"/>
        <v>505.84</v>
      </c>
      <c r="S135">
        <v>1691.15</v>
      </c>
      <c r="T135">
        <v>12888.92</v>
      </c>
      <c r="U135">
        <f t="shared" si="11"/>
        <v>11197.77</v>
      </c>
    </row>
    <row r="136" spans="1:21" x14ac:dyDescent="0.3">
      <c r="A136" s="2" t="str">
        <f xml:space="preserve"> _xll.EPMOlapMemberO("[CECO].[PARENTH3].[AMSA1001AD5501]","","AMSA1001AD5501 - Propiedad Minera","","000")</f>
        <v>AMSA1001AD5501 - Propiedad Minera</v>
      </c>
      <c r="B136" s="6" t="str">
        <f xml:space="preserve"> _xll.EPMOlapMemberO("[CLACO].[PARENTH7].[AMSAIMP_PATEN]","","AMSAIMP_PATEN - Impuestos / Patentes","","000")</f>
        <v>AMSAIMP_PATEN - Impuestos / Patentes</v>
      </c>
      <c r="C136" t="str">
        <f>_xlfn.CONCAT(_xll.EPMMemberProperty("COSTOS", _xll.EPMMemberID(A136), "PARENTH3"), " - ", _xll.EPMMemberDesc(_xll.EPMMemberProperty("COSTOS", _xll.EPMMemberID(A136), "PARENTH3"), "COSTOS"))</f>
        <v>N1001AD550 - Legal</v>
      </c>
      <c r="E136">
        <v>309.22000000000003</v>
      </c>
      <c r="F136">
        <f t="shared" si="6"/>
        <v>309.22000000000003</v>
      </c>
      <c r="H136">
        <v>201.2</v>
      </c>
      <c r="I136">
        <f t="shared" si="7"/>
        <v>201.2</v>
      </c>
      <c r="J136">
        <v>889247.17</v>
      </c>
      <c r="K136">
        <v>1264406.54</v>
      </c>
      <c r="L136">
        <f t="shared" si="8"/>
        <v>375159.37</v>
      </c>
      <c r="M136">
        <v>-37849.01</v>
      </c>
      <c r="N136">
        <v>40256.26</v>
      </c>
      <c r="O136">
        <f t="shared" si="9"/>
        <v>78105.27</v>
      </c>
      <c r="Q136">
        <v>112.05</v>
      </c>
      <c r="R136">
        <f t="shared" si="10"/>
        <v>112.05</v>
      </c>
      <c r="S136">
        <v>967359.73</v>
      </c>
      <c r="T136">
        <v>1326514.8700000001</v>
      </c>
      <c r="U136">
        <f t="shared" si="11"/>
        <v>359155.14000000013</v>
      </c>
    </row>
    <row r="137" spans="1:21" x14ac:dyDescent="0.3">
      <c r="A137" s="2" t="str">
        <f xml:space="preserve"> _xll.EPMOlapMemberO("[CECO].[PARENTH3].[AMSA1001AD5501]","","AMSA1001AD5501 - Propiedad Minera","","000")</f>
        <v>AMSA1001AD5501 - Propiedad Minera</v>
      </c>
      <c r="B137" s="6" t="str">
        <f xml:space="preserve"> _xll.EPMOlapMemberO("[CLACO].[PARENTH7].[AMSAGGENERALES.2]","","AMSAGGENERALES.2 - Otros Gastos","","000")</f>
        <v>AMSAGGENERALES.2 - Otros Gastos</v>
      </c>
      <c r="C137" t="str">
        <f>_xlfn.CONCAT(_xll.EPMMemberProperty("COSTOS", _xll.EPMMemberID(A137), "PARENTH3"), " - ", _xll.EPMMemberDesc(_xll.EPMMemberProperty("COSTOS", _xll.EPMMemberID(A137), "PARENTH3"), "COSTOS"))</f>
        <v>N1001AD550 - Legal</v>
      </c>
      <c r="E137">
        <v>6.09</v>
      </c>
      <c r="F137">
        <f t="shared" si="6"/>
        <v>6.09</v>
      </c>
      <c r="H137">
        <v>6.11</v>
      </c>
      <c r="I137">
        <f t="shared" si="7"/>
        <v>6.11</v>
      </c>
      <c r="K137">
        <v>7665.33</v>
      </c>
      <c r="L137">
        <f t="shared" si="8"/>
        <v>7665.33</v>
      </c>
      <c r="N137">
        <v>1367.99</v>
      </c>
      <c r="O137">
        <f t="shared" si="9"/>
        <v>1367.99</v>
      </c>
      <c r="R137">
        <f t="shared" si="10"/>
        <v>0</v>
      </c>
      <c r="T137">
        <v>12737.37</v>
      </c>
      <c r="U137">
        <f t="shared" si="11"/>
        <v>12737.37</v>
      </c>
    </row>
    <row r="138" spans="1:21" x14ac:dyDescent="0.3">
      <c r="A138" s="2" t="str">
        <f xml:space="preserve"> _xll.EPMOlapMemberO("[CECO].[PARENTH3].[AMSA1001AD0508]","","AMSA1001AD0508 - Legal Corporativo","","000")</f>
        <v>AMSA1001AD0508 - Legal Corporativo</v>
      </c>
      <c r="B138" s="2" t="str">
        <f xml:space="preserve"> _xll.EPMOlapMemberO("[CLACO].[PARENTH7].[AMSASERV_CORP]","","AMSASERV_CORP - Servicios Corporativ","","000")</f>
        <v>AMSASERV_CORP - Servicios Corporativ</v>
      </c>
      <c r="C138" s="1" t="str">
        <f>_xlfn.CONCAT(_xll.EPMMemberProperty("COSTOS", _xll.EPMMemberID(A138), "PARENTH3"), " - ", _xll.EPMMemberDesc(_xll.EPMMemberProperty("COSTOS", _xll.EPMMemberID(A138), "PARENTH3"), "COSTOS"))</f>
        <v>N1001AD550 - Legal</v>
      </c>
      <c r="D138">
        <v>103153.14</v>
      </c>
      <c r="E138">
        <v>101990.59</v>
      </c>
      <c r="F138">
        <f t="shared" ref="F138:F151" si="12">E138-D138</f>
        <v>-1162.5500000000029</v>
      </c>
      <c r="G138">
        <v>107374.41</v>
      </c>
      <c r="H138">
        <v>102275.16</v>
      </c>
      <c r="I138">
        <f t="shared" ref="I138:I151" si="13">H138-G138</f>
        <v>-5099.25</v>
      </c>
      <c r="J138">
        <v>106868.19</v>
      </c>
      <c r="K138">
        <v>102560.52</v>
      </c>
      <c r="L138">
        <f t="shared" ref="L138:L151" si="14">K138-J138</f>
        <v>-4307.6699999999983</v>
      </c>
      <c r="M138">
        <v>100509.98</v>
      </c>
      <c r="N138">
        <v>102846.67</v>
      </c>
      <c r="O138">
        <f t="shared" ref="O138:O151" si="15">N138-M138</f>
        <v>2336.6900000000023</v>
      </c>
      <c r="P138">
        <v>104085.28</v>
      </c>
      <c r="Q138">
        <v>103133.63</v>
      </c>
      <c r="R138">
        <f t="shared" ref="R138:R151" si="16">Q138-P138</f>
        <v>-951.64999999999418</v>
      </c>
      <c r="S138">
        <v>521991</v>
      </c>
      <c r="T138">
        <v>1242844.2</v>
      </c>
      <c r="U138">
        <f t="shared" ref="U138:U151" si="17">T138-S138</f>
        <v>720853.2</v>
      </c>
    </row>
    <row r="139" spans="1:21" x14ac:dyDescent="0.3">
      <c r="A139" s="2" t="str">
        <f xml:space="preserve"> _xll.EPMOlapMemberO("[CECO].[PARENTH3].[AMSA1001AD5500]","","AMSA1001AD5500 - Admin Legal","","000")</f>
        <v>AMSA1001AD5500 - Admin Legal</v>
      </c>
      <c r="B139" s="2" t="str">
        <f xml:space="preserve"> _xll.EPMOlapMemberO("[CLACO].[PARENTH7].[AMSAMAT_Y_REP.2]","","AMSAMAT_Y_REP.2 - Materiales y repuest","","000")</f>
        <v>AMSAMAT_Y_REP.2 - Materiales y repuest</v>
      </c>
      <c r="C139" s="1" t="str">
        <f>_xlfn.CONCAT(_xll.EPMMemberProperty("COSTOS", _xll.EPMMemberID(A139), "PARENTH3"), " - ", _xll.EPMMemberDesc(_xll.EPMMemberProperty("COSTOS", _xll.EPMMemberID(A139), "PARENTH3"), "COSTOS"))</f>
        <v>N1001AD550 - Legal</v>
      </c>
      <c r="E139">
        <v>244</v>
      </c>
      <c r="F139">
        <f t="shared" si="12"/>
        <v>244</v>
      </c>
      <c r="H139">
        <v>244</v>
      </c>
      <c r="I139">
        <f t="shared" si="13"/>
        <v>244</v>
      </c>
      <c r="K139">
        <v>244</v>
      </c>
      <c r="L139">
        <f t="shared" si="14"/>
        <v>244</v>
      </c>
      <c r="N139">
        <v>244</v>
      </c>
      <c r="O139">
        <f t="shared" si="15"/>
        <v>244</v>
      </c>
      <c r="Q139">
        <v>244</v>
      </c>
      <c r="R139">
        <f t="shared" si="16"/>
        <v>244</v>
      </c>
      <c r="T139">
        <v>2928</v>
      </c>
      <c r="U139">
        <f t="shared" si="17"/>
        <v>2928</v>
      </c>
    </row>
    <row r="140" spans="1:21" x14ac:dyDescent="0.3">
      <c r="A140" s="2" t="str">
        <f xml:space="preserve"> _xll.EPMOlapMemberO("[CECO].[PARENTH3].[AMSA1001AD5500]","","AMSA1001AD5500 - Admin Legal","","000")</f>
        <v>AMSA1001AD5500 - Admin Legal</v>
      </c>
      <c r="B140" s="2" t="str">
        <f xml:space="preserve"> _xll.EPMOlapMemberO("[CLACO].[PARENTH7].[AMSAASESORIAS]","","AMSAASESORIAS - Asesorías y Consulto","","000")</f>
        <v>AMSAASESORIAS - Asesorías y Consulto</v>
      </c>
      <c r="C140" s="1" t="str">
        <f>_xlfn.CONCAT(_xll.EPMMemberProperty("COSTOS", _xll.EPMMemberID(A140), "PARENTH3"), " - ", _xll.EPMMemberDesc(_xll.EPMMemberProperty("COSTOS", _xll.EPMMemberID(A140), "PARENTH3"), "COSTOS"))</f>
        <v>N1001AD550 - Legal</v>
      </c>
      <c r="D140">
        <v>118653.25</v>
      </c>
      <c r="E140">
        <v>139805.42000000001</v>
      </c>
      <c r="F140">
        <f t="shared" si="12"/>
        <v>21152.170000000013</v>
      </c>
      <c r="G140">
        <v>47004.25</v>
      </c>
      <c r="H140">
        <v>140194.60999999999</v>
      </c>
      <c r="I140">
        <f t="shared" si="13"/>
        <v>93190.359999999986</v>
      </c>
      <c r="J140">
        <v>193166.43</v>
      </c>
      <c r="K140">
        <v>140584.88</v>
      </c>
      <c r="L140">
        <f t="shared" si="14"/>
        <v>-52581.549999999988</v>
      </c>
      <c r="M140">
        <v>90371.3</v>
      </c>
      <c r="N140">
        <v>140976.24</v>
      </c>
      <c r="O140">
        <f t="shared" si="15"/>
        <v>50604.939999999988</v>
      </c>
      <c r="P140">
        <v>90359.53</v>
      </c>
      <c r="Q140">
        <v>141368.71</v>
      </c>
      <c r="R140">
        <f t="shared" si="16"/>
        <v>51009.179999999993</v>
      </c>
      <c r="S140">
        <v>655112.80000000005</v>
      </c>
      <c r="T140">
        <v>1739939.16</v>
      </c>
      <c r="U140">
        <f t="shared" si="17"/>
        <v>1084826.3599999999</v>
      </c>
    </row>
    <row r="141" spans="1:21" x14ac:dyDescent="0.3">
      <c r="A141" s="2" t="str">
        <f xml:space="preserve"> _xll.EPMOlapMemberO("[CECO].[PARENTH3].[AMSA1001AD5500]","","AMSA1001AD5500 - Admin Legal","","000")</f>
        <v>AMSA1001AD5500 - Admin Legal</v>
      </c>
      <c r="B141" s="6" t="str">
        <f xml:space="preserve"> _xll.EPMOlapMemberO("[CLACO].[PARENTH7].[AMSASERVICIOS]","","AMSASERVICIOS - Servicios","","000")</f>
        <v>AMSASERVICIOS - Servicios</v>
      </c>
      <c r="C141" s="1" t="str">
        <f>_xlfn.CONCAT(_xll.EPMMemberProperty("COSTOS", _xll.EPMMemberID(A141), "PARENTH3"), " - ", _xll.EPMMemberDesc(_xll.EPMMemberProperty("COSTOS", _xll.EPMMemberID(A141), "PARENTH3"), "COSTOS"))</f>
        <v>N1001AD550 - Legal</v>
      </c>
      <c r="D141">
        <v>2910.5</v>
      </c>
      <c r="E141">
        <v>1654</v>
      </c>
      <c r="F141">
        <f t="shared" si="12"/>
        <v>-1256.5</v>
      </c>
      <c r="H141">
        <v>1654</v>
      </c>
      <c r="I141">
        <f t="shared" si="13"/>
        <v>1654</v>
      </c>
      <c r="J141">
        <v>1149.8800000000001</v>
      </c>
      <c r="K141">
        <v>1654</v>
      </c>
      <c r="L141">
        <f t="shared" si="14"/>
        <v>504.11999999999989</v>
      </c>
      <c r="N141">
        <v>1654</v>
      </c>
      <c r="O141">
        <f t="shared" si="15"/>
        <v>1654</v>
      </c>
      <c r="Q141">
        <v>1654</v>
      </c>
      <c r="R141">
        <f t="shared" si="16"/>
        <v>1654</v>
      </c>
      <c r="S141">
        <v>4705.76</v>
      </c>
      <c r="T141">
        <v>19848</v>
      </c>
      <c r="U141">
        <f t="shared" si="17"/>
        <v>15142.24</v>
      </c>
    </row>
    <row r="142" spans="1:21" x14ac:dyDescent="0.3">
      <c r="A142" s="2" t="str">
        <f xml:space="preserve"> _xll.EPMOlapMemberO("[CECO].[PARENTH3].[AMSA1001AD5500]","","AMSA1001AD5500 - Admin Legal","","000")</f>
        <v>AMSA1001AD5500 - Admin Legal</v>
      </c>
      <c r="B142" s="6" t="str">
        <f xml:space="preserve"> _xll.EPMOlapMemberO("[CLACO].[PARENTH7].[AMSAG_VIAJES]","","AMSAG_VIAJES - Gastos de Viajes","","000")</f>
        <v>AMSAG_VIAJES - Gastos de Viajes</v>
      </c>
      <c r="C142" s="1" t="str">
        <f>_xlfn.CONCAT(_xll.EPMMemberProperty("COSTOS", _xll.EPMMemberID(A142), "PARENTH3"), " - ", _xll.EPMMemberDesc(_xll.EPMMemberProperty("COSTOS", _xll.EPMMemberID(A142), "PARENTH3"), "COSTOS"))</f>
        <v>N1001AD550 - Legal</v>
      </c>
      <c r="D142">
        <v>138.96</v>
      </c>
      <c r="E142">
        <v>1185.96</v>
      </c>
      <c r="F142">
        <f t="shared" si="12"/>
        <v>1047</v>
      </c>
      <c r="G142">
        <v>1158.9100000000001</v>
      </c>
      <c r="H142">
        <v>1188.2</v>
      </c>
      <c r="I142">
        <f t="shared" si="13"/>
        <v>29.289999999999964</v>
      </c>
      <c r="J142">
        <v>140.76</v>
      </c>
      <c r="K142">
        <v>1190.44</v>
      </c>
      <c r="L142">
        <f t="shared" si="14"/>
        <v>1049.68</v>
      </c>
      <c r="M142">
        <v>0</v>
      </c>
      <c r="N142">
        <v>1192.72</v>
      </c>
      <c r="O142">
        <f t="shared" si="15"/>
        <v>1192.72</v>
      </c>
      <c r="P142">
        <v>293.45</v>
      </c>
      <c r="Q142">
        <v>1194.98</v>
      </c>
      <c r="R142">
        <f t="shared" si="16"/>
        <v>901.53</v>
      </c>
      <c r="S142">
        <v>1438.63</v>
      </c>
      <c r="T142">
        <v>14380.88</v>
      </c>
      <c r="U142">
        <f t="shared" si="17"/>
        <v>12942.25</v>
      </c>
    </row>
    <row r="143" spans="1:21" x14ac:dyDescent="0.3">
      <c r="A143" s="2" t="str">
        <f xml:space="preserve"> _xll.EPMOlapMemberO("[CECO].[PARENTH3].[AMSA1001AD5500]","","AMSA1001AD5500 - Admin Legal","","000")</f>
        <v>AMSA1001AD5500 - Admin Legal</v>
      </c>
      <c r="B143" s="6" t="str">
        <f xml:space="preserve"> _xll.EPMOlapMemberO("[CLACO].[PARENTH7].[AMSAIMP_PATEN]","","AMSAIMP_PATEN - Impuestos / Patentes","","000")</f>
        <v>AMSAIMP_PATEN - Impuestos / Patentes</v>
      </c>
      <c r="C143" s="1" t="str">
        <f>_xlfn.CONCAT(_xll.EPMMemberProperty("COSTOS", _xll.EPMMemberID(A143), "PARENTH3"), " - ", _xll.EPMMemberDesc(_xll.EPMMemberProperty("COSTOS", _xll.EPMMemberID(A143), "PARENTH3"), "COSTOS"))</f>
        <v>N1001AD550 - Legal</v>
      </c>
      <c r="D143">
        <v>616</v>
      </c>
      <c r="E143">
        <v>799.4</v>
      </c>
      <c r="F143">
        <f t="shared" si="12"/>
        <v>183.39999999999998</v>
      </c>
      <c r="G143">
        <v>0</v>
      </c>
      <c r="H143">
        <v>799.56</v>
      </c>
      <c r="I143">
        <f t="shared" si="13"/>
        <v>799.56</v>
      </c>
      <c r="J143">
        <v>278.31</v>
      </c>
      <c r="K143">
        <v>799.71</v>
      </c>
      <c r="L143">
        <f t="shared" si="14"/>
        <v>521.40000000000009</v>
      </c>
      <c r="M143">
        <v>1818.32</v>
      </c>
      <c r="N143">
        <v>799.87</v>
      </c>
      <c r="O143">
        <f t="shared" si="15"/>
        <v>-1018.4499999999999</v>
      </c>
      <c r="P143">
        <v>3790.68</v>
      </c>
      <c r="Q143">
        <v>800.02</v>
      </c>
      <c r="R143">
        <f t="shared" si="16"/>
        <v>-2990.66</v>
      </c>
      <c r="S143">
        <v>6503.31</v>
      </c>
      <c r="T143">
        <v>9603.1299999999992</v>
      </c>
      <c r="U143">
        <f t="shared" si="17"/>
        <v>3099.8199999999988</v>
      </c>
    </row>
    <row r="144" spans="1:21" x14ac:dyDescent="0.3">
      <c r="A144" s="2" t="str">
        <f xml:space="preserve"> _xll.EPMOlapMemberO("[CECO].[PARENTH3].[AMSA1001AD5500]","","AMSA1001AD5500 - Admin Legal","","000")</f>
        <v>AMSA1001AD5500 - Admin Legal</v>
      </c>
      <c r="B144" s="6" t="str">
        <f xml:space="preserve"> _xll.EPMOlapMemberO("[CLACO].[PARENTH7].[AMSAGGENERALES.2]","","AMSAGGENERALES.2 - Otros Gastos","","000")</f>
        <v>AMSAGGENERALES.2 - Otros Gastos</v>
      </c>
      <c r="C144" s="1" t="str">
        <f>_xlfn.CONCAT(_xll.EPMMemberProperty("COSTOS", _xll.EPMMemberID(A144), "PARENTH3"), " - ", _xll.EPMMemberDesc(_xll.EPMMemberProperty("COSTOS", _xll.EPMMemberID(A144), "PARENTH3"), "COSTOS"))</f>
        <v>N1001AD550 - Legal</v>
      </c>
      <c r="E144">
        <v>61.4</v>
      </c>
      <c r="F144">
        <f t="shared" si="12"/>
        <v>61.4</v>
      </c>
      <c r="H144">
        <v>61.56</v>
      </c>
      <c r="I144">
        <f t="shared" si="13"/>
        <v>61.56</v>
      </c>
      <c r="K144">
        <v>61.71</v>
      </c>
      <c r="L144">
        <f t="shared" si="14"/>
        <v>61.71</v>
      </c>
      <c r="N144">
        <v>61.87</v>
      </c>
      <c r="O144">
        <f t="shared" si="15"/>
        <v>61.87</v>
      </c>
      <c r="Q144">
        <v>62.02</v>
      </c>
      <c r="R144">
        <f t="shared" si="16"/>
        <v>62.02</v>
      </c>
      <c r="T144">
        <v>747.13</v>
      </c>
      <c r="U144">
        <f t="shared" si="17"/>
        <v>747.13</v>
      </c>
    </row>
    <row r="145" spans="1:21" x14ac:dyDescent="0.3">
      <c r="A145" s="2" t="str">
        <f xml:space="preserve"> _xll.EPMOlapMemberO("[CECO].[PARENTH3].[AMSA1001AD6000]","","AMSA1001AD6000 - Adm Comercialización","","000")</f>
        <v>AMSA1001AD6000 - Adm Comercialización</v>
      </c>
      <c r="B145" s="6" t="str">
        <f xml:space="preserve"> _xll.EPMOlapMemberO("[CLACO].[PARENTH7].[AMSAASESORIAS]","","AMSAASESORIAS - Asesorías y Consulto","","000")</f>
        <v>AMSAASESORIAS - Asesorías y Consulto</v>
      </c>
      <c r="C145" t="str">
        <f>_xlfn.CONCAT(_xll.EPMMemberProperty("COSTOS", _xll.EPMMemberID(A145), "PARENTH3"), " - ", _xll.EPMMemberDesc(_xll.EPMMemberProperty("COSTOS", _xll.EPMMemberID(A145), "PARENTH3"), "COSTOS"))</f>
        <v>N1001AD610 - Gastos Cu</v>
      </c>
      <c r="F145">
        <f t="shared" si="12"/>
        <v>0</v>
      </c>
      <c r="I145">
        <f t="shared" si="13"/>
        <v>0</v>
      </c>
      <c r="L145">
        <f t="shared" si="14"/>
        <v>0</v>
      </c>
      <c r="O145">
        <f t="shared" si="15"/>
        <v>0</v>
      </c>
      <c r="R145">
        <f t="shared" si="16"/>
        <v>0</v>
      </c>
      <c r="T145">
        <v>21175.47</v>
      </c>
      <c r="U145">
        <f t="shared" si="17"/>
        <v>21175.47</v>
      </c>
    </row>
    <row r="146" spans="1:21" x14ac:dyDescent="0.3">
      <c r="A146" s="2" t="str">
        <f xml:space="preserve"> _xll.EPMOlapMemberO("[CECO].[PARENTH3].[AMSA1001AD6000]","","AMSA1001AD6000 - Adm Comercialización","","000")</f>
        <v>AMSA1001AD6000 - Adm Comercialización</v>
      </c>
      <c r="B146" s="6" t="str">
        <f xml:space="preserve"> _xll.EPMOlapMemberO("[CLACO].[PARENTH7].[AMSASERVICIOS]","","AMSASERVICIOS - Servicios","","000")</f>
        <v>AMSASERVICIOS - Servicios</v>
      </c>
      <c r="C146" t="str">
        <f>_xlfn.CONCAT(_xll.EPMMemberProperty("COSTOS", _xll.EPMMemberID(A146), "PARENTH3"), " - ", _xll.EPMMemberDesc(_xll.EPMMemberProperty("COSTOS", _xll.EPMMemberID(A146), "PARENTH3"), "COSTOS"))</f>
        <v>N1001AD610 - Gastos Cu</v>
      </c>
      <c r="D146">
        <v>19596.28</v>
      </c>
      <c r="E146">
        <v>41524</v>
      </c>
      <c r="F146">
        <f t="shared" si="12"/>
        <v>21927.72</v>
      </c>
      <c r="G146">
        <v>150.96</v>
      </c>
      <c r="H146">
        <v>41524</v>
      </c>
      <c r="I146">
        <f t="shared" si="13"/>
        <v>41373.040000000001</v>
      </c>
      <c r="J146">
        <v>38974.199999999997</v>
      </c>
      <c r="K146">
        <v>41524</v>
      </c>
      <c r="L146">
        <f t="shared" si="14"/>
        <v>2549.8000000000029</v>
      </c>
      <c r="M146">
        <v>28878.93</v>
      </c>
      <c r="N146">
        <v>41524</v>
      </c>
      <c r="O146">
        <f t="shared" si="15"/>
        <v>12645.07</v>
      </c>
      <c r="P146">
        <v>341.68</v>
      </c>
      <c r="Q146">
        <v>41524</v>
      </c>
      <c r="R146">
        <f t="shared" si="16"/>
        <v>41182.32</v>
      </c>
      <c r="S146">
        <v>87942.05</v>
      </c>
      <c r="T146">
        <v>498288</v>
      </c>
      <c r="U146">
        <f t="shared" si="17"/>
        <v>410345.95</v>
      </c>
    </row>
    <row r="147" spans="1:21" x14ac:dyDescent="0.3">
      <c r="A147" s="2" t="str">
        <f xml:space="preserve"> _xll.EPMOlapMemberO("[CECO].[PARENTH3].[AMSA1001AD6000]","","AMSA1001AD6000 - Adm Comercialización","","000")</f>
        <v>AMSA1001AD6000 - Adm Comercialización</v>
      </c>
      <c r="B147" s="6" t="str">
        <f xml:space="preserve"> _xll.EPMOlapMemberO("[CLACO].[PARENTH7].[AMSAINFORMATIC]","","AMSAINFORMATIC - Informática y Comuni","","000")</f>
        <v>AMSAINFORMATIC - Informática y Comuni</v>
      </c>
      <c r="C147" t="str">
        <f>_xlfn.CONCAT(_xll.EPMMemberProperty("COSTOS", _xll.EPMMemberID(A147), "PARENTH3"), " - ", _xll.EPMMemberDesc(_xll.EPMMemberProperty("COSTOS", _xll.EPMMemberID(A147), "PARENTH3"), "COSTOS"))</f>
        <v>N1001AD610 - Gastos Cu</v>
      </c>
      <c r="F147">
        <f t="shared" si="12"/>
        <v>0</v>
      </c>
      <c r="H147">
        <v>33430.07</v>
      </c>
      <c r="I147">
        <f t="shared" si="13"/>
        <v>33430.07</v>
      </c>
      <c r="L147">
        <f t="shared" si="14"/>
        <v>0</v>
      </c>
      <c r="O147">
        <f t="shared" si="15"/>
        <v>0</v>
      </c>
      <c r="R147">
        <f t="shared" si="16"/>
        <v>0</v>
      </c>
      <c r="T147">
        <v>33430.07</v>
      </c>
      <c r="U147">
        <f t="shared" si="17"/>
        <v>33430.07</v>
      </c>
    </row>
    <row r="148" spans="1:21" x14ac:dyDescent="0.3">
      <c r="A148" s="2" t="str">
        <f xml:space="preserve"> _xll.EPMOlapMemberO("[CECO].[PARENTH3].[AMSA1001AD6000]","","AMSA1001AD6000 - Adm Comercialización","","000")</f>
        <v>AMSA1001AD6000 - Adm Comercialización</v>
      </c>
      <c r="B148" s="6" t="str">
        <f xml:space="preserve"> _xll.EPMOlapMemberO("[CLACO].[PARENTH7].[AMSAG_VIAJES]","","AMSAG_VIAJES - Gastos de Viajes","","000")</f>
        <v>AMSAG_VIAJES - Gastos de Viajes</v>
      </c>
      <c r="C148" t="str">
        <f>_xlfn.CONCAT(_xll.EPMMemberProperty("COSTOS", _xll.EPMMemberID(A148), "PARENTH3"), " - ", _xll.EPMMemberDesc(_xll.EPMMemberProperty("COSTOS", _xll.EPMMemberID(A148), "PARENTH3"), "COSTOS"))</f>
        <v>N1001AD610 - Gastos Cu</v>
      </c>
      <c r="D148">
        <v>682.21</v>
      </c>
      <c r="E148">
        <v>3433.52</v>
      </c>
      <c r="F148">
        <f t="shared" si="12"/>
        <v>2751.31</v>
      </c>
      <c r="G148">
        <v>319.77999999999997</v>
      </c>
      <c r="H148">
        <v>2473.6999999999998</v>
      </c>
      <c r="I148">
        <f t="shared" si="13"/>
        <v>2153.92</v>
      </c>
      <c r="J148">
        <v>1277.6500000000001</v>
      </c>
      <c r="K148">
        <v>21574.85</v>
      </c>
      <c r="L148">
        <f t="shared" si="14"/>
        <v>20297.199999999997</v>
      </c>
      <c r="M148">
        <v>9986.2199999999993</v>
      </c>
      <c r="N148">
        <v>1440.02</v>
      </c>
      <c r="O148">
        <f t="shared" si="15"/>
        <v>-8546.1999999999989</v>
      </c>
      <c r="P148">
        <v>3755.18</v>
      </c>
      <c r="Q148">
        <v>2487.83</v>
      </c>
      <c r="R148">
        <f t="shared" si="16"/>
        <v>-1267.3499999999999</v>
      </c>
      <c r="S148">
        <v>12265.86</v>
      </c>
      <c r="T148">
        <v>189268.21</v>
      </c>
      <c r="U148">
        <f t="shared" si="17"/>
        <v>177002.34999999998</v>
      </c>
    </row>
    <row r="149" spans="1:21" x14ac:dyDescent="0.3">
      <c r="A149" s="2" t="str">
        <f xml:space="preserve"> _xll.EPMOlapMemberO("[CECO].[PARENTH3].[AMSA1001AD6000]","","AMSA1001AD6000 - Adm Comercialización","","000")</f>
        <v>AMSA1001AD6000 - Adm Comercialización</v>
      </c>
      <c r="B149" s="6" t="str">
        <f xml:space="preserve"> _xll.EPMOlapMemberO("[CLACO].[PARENTH7].[AMSAGGENERALES.2]","","AMSAGGENERALES.2 - Otros Gastos","","000")</f>
        <v>AMSAGGENERALES.2 - Otros Gastos</v>
      </c>
      <c r="C149" t="str">
        <f>_xlfn.CONCAT(_xll.EPMMemberProperty("COSTOS", _xll.EPMMemberID(A149), "PARENTH3"), " - ", _xll.EPMMemberDesc(_xll.EPMMemberProperty("COSTOS", _xll.EPMMemberID(A149), "PARENTH3"), "COSTOS"))</f>
        <v>N1001AD610 - Gastos Cu</v>
      </c>
      <c r="D149">
        <v>-1389.73</v>
      </c>
      <c r="E149">
        <v>306876.42</v>
      </c>
      <c r="F149">
        <f t="shared" si="12"/>
        <v>308266.14999999997</v>
      </c>
      <c r="G149">
        <v>77793.98</v>
      </c>
      <c r="H149">
        <v>2639.94</v>
      </c>
      <c r="I149">
        <f t="shared" si="13"/>
        <v>-75154.039999999994</v>
      </c>
      <c r="J149">
        <v>51273.9</v>
      </c>
      <c r="K149">
        <v>15940.91</v>
      </c>
      <c r="L149">
        <f t="shared" si="14"/>
        <v>-35332.990000000005</v>
      </c>
      <c r="M149">
        <v>23484.41</v>
      </c>
      <c r="N149">
        <v>186062.19</v>
      </c>
      <c r="O149">
        <f t="shared" si="15"/>
        <v>162577.78</v>
      </c>
      <c r="P149">
        <v>1946.47</v>
      </c>
      <c r="Q149">
        <v>157179.39000000001</v>
      </c>
      <c r="R149">
        <f t="shared" si="16"/>
        <v>155232.92000000001</v>
      </c>
      <c r="S149">
        <v>151162.56</v>
      </c>
      <c r="T149">
        <v>1046841.84</v>
      </c>
      <c r="U149">
        <f t="shared" si="17"/>
        <v>895679.28</v>
      </c>
    </row>
    <row r="150" spans="1:21" x14ac:dyDescent="0.3">
      <c r="A150" s="2" t="str">
        <f xml:space="preserve"> _xll.EPMOlapMemberO("[CECO].[PARENTH3].[AMSA1001AD6000]","","AMSA1001AD6000 - Adm Comercialización","","000")</f>
        <v>AMSA1001AD6000 - Adm Comercialización</v>
      </c>
      <c r="B150" s="6" t="str">
        <f xml:space="preserve"> _xll.EPMOlapMemberO("[CLACO].[PARENTH7].[AMSASERV_CORP]","","AMSASERV_CORP - Servicios Corporativ","","000")</f>
        <v>AMSASERV_CORP - Servicios Corporativ</v>
      </c>
      <c r="C150" t="str">
        <f>_xlfn.CONCAT(_xll.EPMMemberProperty("COSTOS", _xll.EPMMemberID(A150), "PARENTH3"), " - ", _xll.EPMMemberDesc(_xll.EPMMemberProperty("COSTOS", _xll.EPMMemberID(A150), "PARENTH3"), "COSTOS"))</f>
        <v>N1001AD610 - Gastos Cu</v>
      </c>
      <c r="D150">
        <v>231790.17</v>
      </c>
      <c r="E150">
        <v>226711.06</v>
      </c>
      <c r="F150">
        <f t="shared" si="12"/>
        <v>-5079.1100000000151</v>
      </c>
      <c r="G150">
        <v>237320</v>
      </c>
      <c r="H150">
        <v>227484.91</v>
      </c>
      <c r="I150">
        <f t="shared" si="13"/>
        <v>-9835.0899999999965</v>
      </c>
      <c r="J150">
        <v>236656.86</v>
      </c>
      <c r="K150">
        <v>228260.03</v>
      </c>
      <c r="L150">
        <f t="shared" si="14"/>
        <v>-8396.8299999999872</v>
      </c>
      <c r="M150">
        <v>228327.64</v>
      </c>
      <c r="N150">
        <v>229043.52</v>
      </c>
      <c r="O150">
        <f t="shared" si="15"/>
        <v>715.87999999997555</v>
      </c>
      <c r="P150">
        <v>233013.33</v>
      </c>
      <c r="Q150">
        <v>229828.34</v>
      </c>
      <c r="R150">
        <f t="shared" si="16"/>
        <v>-3184.9899999999907</v>
      </c>
      <c r="S150">
        <v>1167108</v>
      </c>
      <c r="T150">
        <v>2772219.54</v>
      </c>
      <c r="U150">
        <f t="shared" si="17"/>
        <v>1605111.54</v>
      </c>
    </row>
    <row r="151" spans="1:21" x14ac:dyDescent="0.3">
      <c r="A151" s="2" t="str">
        <f xml:space="preserve"> _xll.EPMOlapMemberO("[CECO].[PARENTH3].[AMSA1001AD0509]","","AMSA1001AD0509 - Proyectos Corporativ","","000")</f>
        <v>AMSA1001AD0509 - Proyectos Corporativ</v>
      </c>
      <c r="B151" s="2" t="str">
        <f xml:space="preserve"> _xll.EPMOlapMemberO("[CLACO].[PARENTH7].[AMSASERV_CORP]","","AMSASERV_CORP - Servicios Corporativ","","000")</f>
        <v>AMSASERV_CORP - Servicios Corporativ</v>
      </c>
      <c r="C151" s="1" t="str">
        <f>_xlfn.CONCAT(_xll.EPMMemberProperty("COSTOS", _xll.EPMMemberID(A151), "PARENTH3"), " - ", _xll.EPMMemberDesc(_xll.EPMMemberProperty("COSTOS", _xll.EPMMemberID(A151), "PARENTH3"), "COSTOS"))</f>
        <v>N1001SS701 - Gerencia Proyectos</v>
      </c>
      <c r="D151">
        <v>222508.19</v>
      </c>
      <c r="E151">
        <v>220000.78</v>
      </c>
      <c r="F151">
        <f t="shared" si="12"/>
        <v>-2507.4100000000035</v>
      </c>
      <c r="G151">
        <v>231613.73</v>
      </c>
      <c r="H151">
        <v>220614.61</v>
      </c>
      <c r="I151">
        <f t="shared" si="13"/>
        <v>-10999.120000000024</v>
      </c>
      <c r="J151">
        <v>230521.78</v>
      </c>
      <c r="K151">
        <v>221230.15</v>
      </c>
      <c r="L151">
        <f t="shared" si="14"/>
        <v>-9291.6300000000047</v>
      </c>
      <c r="M151">
        <v>216806.71</v>
      </c>
      <c r="N151">
        <v>221847.41</v>
      </c>
      <c r="O151">
        <f t="shared" si="15"/>
        <v>5040.7000000000116</v>
      </c>
      <c r="P151">
        <v>224521.59</v>
      </c>
      <c r="Q151">
        <v>222466.39</v>
      </c>
      <c r="R151">
        <f t="shared" si="16"/>
        <v>-2055.1999999999825</v>
      </c>
      <c r="S151">
        <v>1125972</v>
      </c>
      <c r="T151">
        <v>2680901.17</v>
      </c>
      <c r="U151">
        <f t="shared" si="17"/>
        <v>1554929.17</v>
      </c>
    </row>
  </sheetData>
  <pageMargins left="0.7" right="0.7" top="0.75" bottom="0.75" header="0.3" footer="0.3"/>
  <customProperties>
    <customPr name="FPMExcelClientCellBasedFunctionStatus" r:id="rId1"/>
    <customPr name="FPMExcelClientRefreshTime" r:id="rId2"/>
  </customProperties>
  <drawing r:id="rId3"/>
  <legacyDrawing r:id="rId4"/>
  <controls>
    <mc:AlternateContent xmlns:mc="http://schemas.openxmlformats.org/markup-compatibility/2006">
      <mc:Choice Requires="x14">
        <control shapeId="1028" r:id="rId5" name="AnalyzerDynReport000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1028" r:id="rId5" name="AnalyzerDynReport000tb1"/>
      </mc:Fallback>
    </mc:AlternateContent>
    <mc:AlternateContent xmlns:mc="http://schemas.openxmlformats.org/markup-compatibility/2006">
      <mc:Choice Requires="x14">
        <control shapeId="1027" r:id="rId7" name="MultipleReportManagerInfo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1027" r:id="rId7" name="MultipleReportManagerInfotb1"/>
      </mc:Fallback>
    </mc:AlternateContent>
    <mc:AlternateContent xmlns:mc="http://schemas.openxmlformats.org/markup-compatibility/2006">
      <mc:Choice Requires="x14">
        <control shapeId="1026" r:id="rId9" name="ConnectionDescriptors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1026" r:id="rId9" name="ConnectionDescriptorsInfotb1"/>
      </mc:Fallback>
    </mc:AlternateContent>
    <mc:AlternateContent xmlns:mc="http://schemas.openxmlformats.org/markup-compatibility/2006">
      <mc:Choice Requires="x14">
        <control shapeId="1025" r:id="rId11" name="FPMExcelClientSheetOptionstb1">
          <controlPr defaultSize="0" autoLine="0" autoPict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1025" r:id="rId11" name="FPMExcelClientSheetOptionstb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8114-7DCD-49F3-89BB-77B791410722}">
  <sheetPr codeName="Hoja3"/>
  <dimension ref="A1:U106"/>
  <sheetViews>
    <sheetView tabSelected="1" topLeftCell="A31" zoomScale="70" zoomScaleNormal="70" workbookViewId="0">
      <selection activeCell="U6" sqref="U6"/>
    </sheetView>
  </sheetViews>
  <sheetFormatPr baseColWidth="10" defaultRowHeight="13.8" x14ac:dyDescent="0.3"/>
  <cols>
    <col min="1" max="1" width="37.5546875" bestFit="1" customWidth="1"/>
    <col min="2" max="2" width="17.77734375" bestFit="1" customWidth="1"/>
    <col min="3" max="3" width="29.77734375" bestFit="1" customWidth="1"/>
    <col min="4" max="4" width="10" bestFit="1" customWidth="1"/>
    <col min="5" max="5" width="9" bestFit="1" customWidth="1"/>
    <col min="6" max="6" width="10.5546875" bestFit="1" customWidth="1"/>
    <col min="7" max="7" width="10" bestFit="1" customWidth="1"/>
    <col min="8" max="8" width="9" bestFit="1" customWidth="1"/>
    <col min="9" max="9" width="10.5546875" bestFit="1" customWidth="1"/>
    <col min="10" max="10" width="10" bestFit="1" customWidth="1"/>
    <col min="11" max="11" width="9" bestFit="1" customWidth="1"/>
    <col min="12" max="12" width="10.5546875" bestFit="1" customWidth="1"/>
    <col min="13" max="13" width="10" bestFit="1" customWidth="1"/>
    <col min="14" max="14" width="9" bestFit="1" customWidth="1"/>
    <col min="15" max="15" width="10.5546875" bestFit="1" customWidth="1"/>
    <col min="16" max="16" width="10" bestFit="1" customWidth="1"/>
    <col min="17" max="17" width="9" bestFit="1" customWidth="1"/>
    <col min="18" max="18" width="10.5546875" bestFit="1" customWidth="1"/>
    <col min="19" max="19" width="11" bestFit="1" customWidth="1"/>
    <col min="20" max="20" width="9" bestFit="1" customWidth="1"/>
    <col min="21" max="21" width="11.5546875" bestFit="1" customWidth="1"/>
    <col min="22" max="23" width="9.44140625" bestFit="1" customWidth="1"/>
    <col min="24" max="24" width="7" bestFit="1" customWidth="1"/>
    <col min="25" max="26" width="9.44140625" bestFit="1" customWidth="1"/>
    <col min="27" max="27" width="7" bestFit="1" customWidth="1"/>
    <col min="28" max="29" width="9.44140625" bestFit="1" customWidth="1"/>
    <col min="30" max="30" width="7" bestFit="1" customWidth="1"/>
    <col min="31" max="32" width="9.44140625" bestFit="1" customWidth="1"/>
    <col min="33" max="33" width="7" bestFit="1" customWidth="1"/>
    <col min="34" max="35" width="9.44140625" bestFit="1" customWidth="1"/>
    <col min="36" max="36" width="7" bestFit="1" customWidth="1"/>
    <col min="37" max="38" width="9.44140625" bestFit="1" customWidth="1"/>
    <col min="39" max="39" width="7" bestFit="1" customWidth="1"/>
    <col min="40" max="40" width="11" bestFit="1" customWidth="1"/>
    <col min="41" max="41" width="9.44140625" bestFit="1" customWidth="1"/>
    <col min="42" max="42" width="11.44140625" bestFit="1" customWidth="1"/>
  </cols>
  <sheetData>
    <row r="1" spans="1:21" x14ac:dyDescent="0.3">
      <c r="A1" t="str" cm="1">
        <f t="array" ref="A1">_xll.EPMDimensionOverrideRange("000","CECO",CECOS!$B$2:$B$128)</f>
        <v>Expansión de CECO sobrescrita</v>
      </c>
    </row>
    <row r="2" spans="1:21" x14ac:dyDescent="0.3">
      <c r="A2" s="7" t="str">
        <f xml:space="preserve"> _xll.EPMOlapMemberO("[CEBE].[PARENTH1].[JE-]","","Gr Antofagasta Miner","","000")</f>
        <v>Gr Antofagasta Miner</v>
      </c>
    </row>
    <row r="4" spans="1:21" x14ac:dyDescent="0.3">
      <c r="A4" s="7" t="str">
        <f xml:space="preserve"> _xll.EPMOlapMemberO("[ENTITY].[PARENTH1].[1003]","","1003 - Minera Antucoya","","000")</f>
        <v>1003 - Minera Antucoya</v>
      </c>
    </row>
    <row r="7" spans="1:21" x14ac:dyDescent="0.3">
      <c r="C7" t="str">
        <f xml:space="preserve"> _xll.EPMOlapMemberO("[Blank Member]","","","","000")</f>
        <v/>
      </c>
      <c r="D7" s="7" t="str">
        <f xml:space="preserve"> _xll.EPMOlapMemberO("[TIME].[PARENTH1].[2026.01]","","2026.01","","000")</f>
        <v>2026.01</v>
      </c>
      <c r="G7" t="str">
        <f xml:space="preserve"> _xll.EPMOlapMemberO("[TIME].[PARENTH1].[2026.02]","","2026.02","","000")</f>
        <v>2026.02</v>
      </c>
      <c r="J7" t="str">
        <f xml:space="preserve"> _xll.EPMOlapMemberO("[TIME].[PARENTH1].[2026.03]","","2026.03","","000")</f>
        <v>2026.03</v>
      </c>
      <c r="M7" t="str">
        <f xml:space="preserve"> _xll.EPMOlapMemberO("[TIME].[PARENTH1].[2026.04]","","2026.04","","000")</f>
        <v>2026.04</v>
      </c>
      <c r="P7" t="str">
        <f xml:space="preserve"> _xll.EPMOlapMemberO("[TIME].[PARENTH1].[2026.05]","","2026.05","","000")</f>
        <v>2026.05</v>
      </c>
      <c r="S7" t="str">
        <f xml:space="preserve"> _xll.EPMOlapMemberO("[TIME].[PARENTH1].[2026.TOTAL]","","2026.TOTAL","","000")</f>
        <v>2026.TOTAL</v>
      </c>
    </row>
    <row r="8" spans="1:21" x14ac:dyDescent="0.3">
      <c r="C8" t="str">
        <f xml:space="preserve"> _xll.FPMXLClient.TechnicalCategory.EPMLocalMember("CeCo Padre","000","000")</f>
        <v>CeCo Padre</v>
      </c>
      <c r="D8" s="7" t="str">
        <f xml:space="preserve"> _xll.EPMOlapMemberO("[CATEGORY].[].[REAL]","","Real - Real","","000")</f>
        <v>Real - Real</v>
      </c>
      <c r="E8" t="str">
        <f xml:space="preserve"> _xll.EPMOlapMemberO("[CATEGORY].[].[PLAN]","","Plan - Plan","","000")</f>
        <v>Plan - Plan</v>
      </c>
      <c r="F8" t="str">
        <f xml:space="preserve"> _xll.FPMXLClient.TechnicalCategory.EPMLocalMember("Var","001","000")</f>
        <v>Var</v>
      </c>
      <c r="G8" t="str">
        <f xml:space="preserve"> _xll.EPMOlapMemberO("[CATEGORY].[].[REAL]","","Real - Real","","000")</f>
        <v>Real - Real</v>
      </c>
      <c r="H8" t="str">
        <f xml:space="preserve"> _xll.EPMOlapMemberO("[CATEGORY].[].[PLAN]","","Plan - Plan","","000")</f>
        <v>Plan - Plan</v>
      </c>
      <c r="I8" t="str">
        <f xml:space="preserve"> _xll.FPMXLClient.TechnicalCategory.EPMLocalMember("Var","001","000")</f>
        <v>Var</v>
      </c>
      <c r="J8" t="str">
        <f xml:space="preserve"> _xll.EPMOlapMemberO("[CATEGORY].[].[REAL]","","Real - Real","","000")</f>
        <v>Real - Real</v>
      </c>
      <c r="K8" t="str">
        <f xml:space="preserve"> _xll.EPMOlapMemberO("[CATEGORY].[].[PLAN]","","Plan - Plan","","000")</f>
        <v>Plan - Plan</v>
      </c>
      <c r="L8" t="str">
        <f xml:space="preserve"> _xll.FPMXLClient.TechnicalCategory.EPMLocalMember("Var","001","000")</f>
        <v>Var</v>
      </c>
      <c r="M8" t="str">
        <f xml:space="preserve"> _xll.EPMOlapMemberO("[CATEGORY].[].[REAL]","","Real - Real","","000")</f>
        <v>Real - Real</v>
      </c>
      <c r="N8" t="str">
        <f xml:space="preserve"> _xll.EPMOlapMemberO("[CATEGORY].[].[PLAN]","","Plan - Plan","","000")</f>
        <v>Plan - Plan</v>
      </c>
      <c r="O8" t="str">
        <f xml:space="preserve"> _xll.FPMXLClient.TechnicalCategory.EPMLocalMember("Var","001","000")</f>
        <v>Var</v>
      </c>
      <c r="P8" t="str">
        <f xml:space="preserve"> _xll.EPMOlapMemberO("[CATEGORY].[].[REAL]","","Real - Real","","000")</f>
        <v>Real - Real</v>
      </c>
      <c r="Q8" t="str">
        <f xml:space="preserve"> _xll.EPMOlapMemberO("[CATEGORY].[].[PLAN]","","Plan - Plan","","000")</f>
        <v>Plan - Plan</v>
      </c>
      <c r="R8" t="str">
        <f xml:space="preserve"> _xll.FPMXLClient.TechnicalCategory.EPMLocalMember("Var","001","000")</f>
        <v>Var</v>
      </c>
      <c r="S8" t="str">
        <f xml:space="preserve"> _xll.EPMOlapMemberO("[CATEGORY].[].[REAL]","","Real - Real","","000")</f>
        <v>Real - Real</v>
      </c>
      <c r="T8" t="str">
        <f xml:space="preserve"> _xll.EPMOlapMemberO("[CATEGORY].[].[PLAN]","","Plan - Plan","","000")</f>
        <v>Plan - Plan</v>
      </c>
      <c r="U8" t="str">
        <f xml:space="preserve"> _xll.FPMXLClient.TechnicalCategory.EPMLocalMember("Var","001","000")</f>
        <v>Var</v>
      </c>
    </row>
    <row r="9" spans="1:21" x14ac:dyDescent="0.3">
      <c r="A9" s="6" t="str">
        <f xml:space="preserve"> _xll.EPMOlapMemberO("[CECO].[PARENTH3].[AMSA1003AD0507]","","AMSA1003AD0507 - VPACS Corporativo","","000")</f>
        <v>AMSA1003AD0507 - VPACS Corporativo</v>
      </c>
      <c r="B9" s="6" t="str">
        <f xml:space="preserve"> _xll.EPMOlapMemberO("[CLACO].[PARENTH7].[AMSASERV_CORP]","","Servicios Corporativ","","000")</f>
        <v>Servicios Corporativ</v>
      </c>
      <c r="C9" t="str">
        <f>_xlfn.CONCAT(_xll.EPMMemberProperty("COSTOS", _xll.EPMMemberID(A9), "PARENTH3"), " - ", _xll.EPMMemberDesc(_xll.EPMMemberProperty("COSTOS", _xll.EPMMemberID(A9), "PARENTH3"), "COSTOS"))</f>
        <v>N100300500 - Antucoya No Operacio</v>
      </c>
      <c r="D9">
        <v>88871.7</v>
      </c>
      <c r="E9">
        <v>89540</v>
      </c>
      <c r="F9">
        <f>E9-D9</f>
        <v>668.30000000000291</v>
      </c>
      <c r="G9">
        <v>92508.54</v>
      </c>
      <c r="H9">
        <v>89790</v>
      </c>
      <c r="I9">
        <f>H9-G9</f>
        <v>-2718.5399999999936</v>
      </c>
      <c r="J9">
        <v>92072.4</v>
      </c>
      <c r="K9">
        <v>90040</v>
      </c>
      <c r="L9">
        <f>K9-J9</f>
        <v>-2032.3999999999942</v>
      </c>
      <c r="M9">
        <v>86594.48</v>
      </c>
      <c r="N9">
        <v>90290</v>
      </c>
      <c r="O9">
        <f>N9-M9</f>
        <v>3695.5200000000041</v>
      </c>
      <c r="P9">
        <v>89675.88</v>
      </c>
      <c r="Q9">
        <v>90540</v>
      </c>
      <c r="R9">
        <f>Q9-P9</f>
        <v>864.11999999999534</v>
      </c>
      <c r="S9">
        <v>449723</v>
      </c>
      <c r="T9">
        <v>1091110</v>
      </c>
      <c r="U9">
        <f>T9-S9</f>
        <v>641387</v>
      </c>
    </row>
    <row r="10" spans="1:21" x14ac:dyDescent="0.3">
      <c r="A10" s="6" t="str">
        <f xml:space="preserve"> _xll.EPMOlapMemberO("[CECO].[PARENTH3].[AMSA1003AD4505]","","AMSA1003AD4505 - Asunt Publ y Comunid","","000")</f>
        <v>AMSA1003AD4505 - Asunt Publ y Comunid</v>
      </c>
      <c r="B10" s="6" t="str">
        <f xml:space="preserve"> _xll.EPMOlapMemberO("[CLACO].[PARENTH7].[AMSAASESORIAS]","","Asesorías y Consulto","","000")</f>
        <v>Asesorías y Consulto</v>
      </c>
      <c r="C10" t="str">
        <f>_xlfn.CONCAT(_xll.EPMMemberProperty("COSTOS", _xll.EPMMemberID(A10), "PARENTH3"), " - ", _xll.EPMMemberDesc(_xll.EPMMemberProperty("COSTOS", _xll.EPMMemberID(A10), "PARENTH3"), "COSTOS"))</f>
        <v>N100300500 - Antucoya No Operacio</v>
      </c>
      <c r="D10">
        <v>1399.02</v>
      </c>
      <c r="E10">
        <v>1090</v>
      </c>
      <c r="F10">
        <f t="shared" ref="F10:F73" si="0">E10-D10</f>
        <v>-309.02</v>
      </c>
      <c r="G10">
        <v>2548.5500000000002</v>
      </c>
      <c r="H10">
        <v>1090</v>
      </c>
      <c r="I10">
        <f t="shared" ref="I10:I73" si="1">H10-G10</f>
        <v>-1458.5500000000002</v>
      </c>
      <c r="J10">
        <v>-922.73</v>
      </c>
      <c r="K10">
        <v>1100</v>
      </c>
      <c r="L10">
        <f t="shared" ref="L10:L73" si="2">K10-J10</f>
        <v>2022.73</v>
      </c>
      <c r="M10">
        <v>360.57</v>
      </c>
      <c r="N10">
        <v>1100</v>
      </c>
      <c r="O10">
        <f t="shared" ref="O10:O73" si="3">N10-M10</f>
        <v>739.43000000000006</v>
      </c>
      <c r="P10">
        <v>358.55</v>
      </c>
      <c r="Q10">
        <v>1100</v>
      </c>
      <c r="R10">
        <f t="shared" ref="R10:R73" si="4">Q10-P10</f>
        <v>741.45</v>
      </c>
      <c r="S10">
        <v>3385.41</v>
      </c>
      <c r="T10">
        <v>13280</v>
      </c>
      <c r="U10">
        <f t="shared" ref="U10:U73" si="5">T10-S10</f>
        <v>9894.59</v>
      </c>
    </row>
    <row r="11" spans="1:21" x14ac:dyDescent="0.3">
      <c r="A11" s="6" t="str">
        <f xml:space="preserve"> _xll.EPMOlapMemberO("[CECO].[PARENTH3].[AMSA1003AD4505]","","AMSA1003AD4505 - Asunt Publ y Comunid","","000")</f>
        <v>AMSA1003AD4505 - Asunt Publ y Comunid</v>
      </c>
      <c r="B11" s="6" t="str">
        <f xml:space="preserve"> _xll.EPMOlapMemberO("[CLACO].[PARENTH7].[AMSASERVICIOS]","","Servicios","","000")</f>
        <v>Servicios</v>
      </c>
      <c r="C11" t="str">
        <f>_xlfn.CONCAT(_xll.EPMMemberProperty("COSTOS", _xll.EPMMemberID(A11), "PARENTH3"), " - ", _xll.EPMMemberDesc(_xll.EPMMemberProperty("COSTOS", _xll.EPMMemberID(A11), "PARENTH3"), "COSTOS"))</f>
        <v>N100300500 - Antucoya No Operacio</v>
      </c>
      <c r="D11">
        <v>0</v>
      </c>
      <c r="E11">
        <v>240</v>
      </c>
      <c r="F11">
        <f t="shared" si="0"/>
        <v>240</v>
      </c>
      <c r="G11">
        <v>959.18</v>
      </c>
      <c r="H11">
        <v>240</v>
      </c>
      <c r="I11">
        <f t="shared" si="1"/>
        <v>-719.18</v>
      </c>
      <c r="J11">
        <v>-959.18</v>
      </c>
      <c r="K11">
        <v>240</v>
      </c>
      <c r="L11">
        <f t="shared" si="2"/>
        <v>1199.1799999999998</v>
      </c>
      <c r="M11">
        <v>6787.53</v>
      </c>
      <c r="N11">
        <v>12530</v>
      </c>
      <c r="O11">
        <f t="shared" si="3"/>
        <v>5742.47</v>
      </c>
      <c r="P11">
        <v>35.450000000000003</v>
      </c>
      <c r="Q11">
        <v>240</v>
      </c>
      <c r="R11">
        <f t="shared" si="4"/>
        <v>204.55</v>
      </c>
      <c r="S11">
        <v>6822.98</v>
      </c>
      <c r="T11">
        <v>40200</v>
      </c>
      <c r="U11">
        <f t="shared" si="5"/>
        <v>33377.020000000004</v>
      </c>
    </row>
    <row r="12" spans="1:21" x14ac:dyDescent="0.3">
      <c r="A12" s="6" t="str">
        <f xml:space="preserve"> _xll.EPMOlapMemberO("[CECO].[PARENTH3].[AMSA1003AD4505]","","AMSA1003AD4505 - Asunt Publ y Comunid","","000")</f>
        <v>AMSA1003AD4505 - Asunt Publ y Comunid</v>
      </c>
      <c r="B12" s="6" t="str">
        <f xml:space="preserve"> _xll.EPMOlapMemberO("[CLACO].[PARENTH7].[AMSAG_VIAJES]","","Gastos de Viajes","","000")</f>
        <v>Gastos de Viajes</v>
      </c>
      <c r="C12" t="str">
        <f>_xlfn.CONCAT(_xll.EPMMemberProperty("COSTOS", _xll.EPMMemberID(A12), "PARENTH3"), " - ", _xll.EPMMemberDesc(_xll.EPMMemberProperty("COSTOS", _xll.EPMMemberID(A12), "PARENTH3"), "COSTOS"))</f>
        <v>N100300500 - Antucoya No Operacio</v>
      </c>
      <c r="F12">
        <f t="shared" si="0"/>
        <v>0</v>
      </c>
      <c r="I12">
        <f t="shared" si="1"/>
        <v>0</v>
      </c>
      <c r="J12">
        <v>140.24</v>
      </c>
      <c r="L12">
        <f t="shared" si="2"/>
        <v>-140.24</v>
      </c>
      <c r="M12">
        <v>160.27000000000001</v>
      </c>
      <c r="O12">
        <f t="shared" si="3"/>
        <v>-160.27000000000001</v>
      </c>
      <c r="P12">
        <v>296.41000000000003</v>
      </c>
      <c r="R12">
        <f t="shared" si="4"/>
        <v>-296.41000000000003</v>
      </c>
      <c r="S12">
        <v>596.91999999999996</v>
      </c>
      <c r="U12">
        <f t="shared" si="5"/>
        <v>-596.91999999999996</v>
      </c>
    </row>
    <row r="13" spans="1:21" x14ac:dyDescent="0.3">
      <c r="A13" s="6" t="str">
        <f xml:space="preserve"> _xll.EPMOlapMemberO("[CECO].[PARENTH3].[AMSA1003AD4505]","","AMSA1003AD4505 - Asunt Publ y Comunid","","000")</f>
        <v>AMSA1003AD4505 - Asunt Publ y Comunid</v>
      </c>
      <c r="B13" s="6" t="str">
        <f xml:space="preserve"> _xll.EPMOlapMemberO("[CLACO].[PARENTH7].[AMSAGGENERALES.2]","","Otros Gastos","","000")</f>
        <v>Otros Gastos</v>
      </c>
      <c r="C13" t="str">
        <f>_xlfn.CONCAT(_xll.EPMMemberProperty("COSTOS", _xll.EPMMemberID(A13), "PARENTH3"), " - ", _xll.EPMMemberDesc(_xll.EPMMemberProperty("COSTOS", _xll.EPMMemberID(A13), "PARENTH3"), "COSTOS"))</f>
        <v>N100300500 - Antucoya No Operacio</v>
      </c>
      <c r="D13">
        <v>337.25</v>
      </c>
      <c r="F13">
        <f t="shared" si="0"/>
        <v>-337.25</v>
      </c>
      <c r="G13">
        <v>6019.83</v>
      </c>
      <c r="I13">
        <f t="shared" si="1"/>
        <v>-6019.83</v>
      </c>
      <c r="J13">
        <v>-17.329999999999998</v>
      </c>
      <c r="K13">
        <v>1670</v>
      </c>
      <c r="L13">
        <f t="shared" si="2"/>
        <v>1687.33</v>
      </c>
      <c r="M13">
        <v>727.77</v>
      </c>
      <c r="N13">
        <v>1680</v>
      </c>
      <c r="O13">
        <f t="shared" si="3"/>
        <v>952.23</v>
      </c>
      <c r="P13">
        <v>2228.5500000000002</v>
      </c>
      <c r="Q13">
        <v>1680</v>
      </c>
      <c r="R13">
        <f t="shared" si="4"/>
        <v>-548.55000000000018</v>
      </c>
      <c r="S13">
        <v>9329.09</v>
      </c>
      <c r="T13">
        <v>185460</v>
      </c>
      <c r="U13">
        <f t="shared" si="5"/>
        <v>176130.91</v>
      </c>
    </row>
    <row r="14" spans="1:21" x14ac:dyDescent="0.3">
      <c r="A14" s="6" t="str">
        <f xml:space="preserve"> _xll.EPMOlapMemberO("[CECO].[PARENTH3].[AMSA1003AD4509]","","AMSA1003AD4509 - AAPP Corporativo","","000")</f>
        <v>AMSA1003AD4509 - AAPP Corporativo</v>
      </c>
      <c r="B14" s="6" t="str">
        <f xml:space="preserve"> _xll.EPMOlapMemberO("[CLACO].[PARENTH7].[AMSAASESORIAS]","","Asesorías y Consulto","","000")</f>
        <v>Asesorías y Consulto</v>
      </c>
      <c r="C14" t="str">
        <f>_xlfn.CONCAT(_xll.EPMMemberProperty("COSTOS", _xll.EPMMemberID(A14), "PARENTH3"), " - ", _xll.EPMMemberDesc(_xll.EPMMemberProperty("COSTOS", _xll.EPMMemberID(A14), "PARENTH3"), "COSTOS"))</f>
        <v>N100300500 - Antucoya No Operacio</v>
      </c>
      <c r="D14">
        <v>2849.01</v>
      </c>
      <c r="E14">
        <v>2660</v>
      </c>
      <c r="F14">
        <f t="shared" si="0"/>
        <v>-189.01000000000022</v>
      </c>
      <c r="G14">
        <v>3867.21</v>
      </c>
      <c r="H14">
        <v>2670</v>
      </c>
      <c r="I14">
        <f t="shared" si="1"/>
        <v>-1197.21</v>
      </c>
      <c r="J14">
        <v>3223.81</v>
      </c>
      <c r="K14">
        <v>2670</v>
      </c>
      <c r="L14">
        <f t="shared" si="2"/>
        <v>-553.80999999999995</v>
      </c>
      <c r="M14">
        <v>4089.68</v>
      </c>
      <c r="N14">
        <v>2680</v>
      </c>
      <c r="O14">
        <f t="shared" si="3"/>
        <v>-1409.6799999999998</v>
      </c>
      <c r="P14">
        <v>6584.31</v>
      </c>
      <c r="Q14">
        <v>2690</v>
      </c>
      <c r="R14">
        <f t="shared" si="4"/>
        <v>-3894.3100000000004</v>
      </c>
      <c r="S14">
        <v>14029.71</v>
      </c>
      <c r="T14">
        <v>32400</v>
      </c>
      <c r="U14">
        <f t="shared" si="5"/>
        <v>18370.29</v>
      </c>
    </row>
    <row r="15" spans="1:21" x14ac:dyDescent="0.3">
      <c r="A15" s="6" t="str">
        <f xml:space="preserve"> _xll.EPMOlapMemberO("[CECO].[PARENTH3].[AMSA1003AD4509]","","AMSA1003AD4509 - AAPP Corporativo","","000")</f>
        <v>AMSA1003AD4509 - AAPP Corporativo</v>
      </c>
      <c r="B15" s="6" t="str">
        <f xml:space="preserve"> _xll.EPMOlapMemberO("[CLACO].[PARENTH7].[AMSAGGENERALES.2]","","Otros Gastos","","000")</f>
        <v>Otros Gastos</v>
      </c>
      <c r="C15" t="str">
        <f>_xlfn.CONCAT(_xll.EPMMemberProperty("COSTOS", _xll.EPMMemberID(A15), "PARENTH3"), " - ", _xll.EPMMemberDesc(_xll.EPMMemberProperty("COSTOS", _xll.EPMMemberID(A15), "PARENTH3"), "COSTOS"))</f>
        <v>N100300500 - Antucoya No Operacio</v>
      </c>
      <c r="F15">
        <f t="shared" si="0"/>
        <v>0</v>
      </c>
      <c r="I15">
        <f t="shared" si="1"/>
        <v>0</v>
      </c>
      <c r="L15">
        <f t="shared" si="2"/>
        <v>0</v>
      </c>
      <c r="O15">
        <f t="shared" si="3"/>
        <v>0</v>
      </c>
      <c r="R15">
        <f t="shared" si="4"/>
        <v>0</v>
      </c>
      <c r="T15">
        <v>8880</v>
      </c>
      <c r="U15">
        <f t="shared" si="5"/>
        <v>8880</v>
      </c>
    </row>
    <row r="16" spans="1:21" x14ac:dyDescent="0.3">
      <c r="A16" s="6" t="str">
        <f xml:space="preserve"> _xll.EPMOlapMemberO("[CECO].[PARENTH3].[AMSA1003AD4510]","","AMSA1003AD4510 - Comunicaciones Corpo","","000")</f>
        <v>AMSA1003AD4510 - Comunicaciones Corpo</v>
      </c>
      <c r="B16" s="6" t="str">
        <f xml:space="preserve"> _xll.EPMOlapMemberO("[CLACO].[PARENTH7].[AMSAASESORIAS]","","Asesorías y Consulto","","000")</f>
        <v>Asesorías y Consulto</v>
      </c>
      <c r="C16" t="str">
        <f>_xlfn.CONCAT(_xll.EPMMemberProperty("COSTOS", _xll.EPMMemberID(A16), "PARENTH3"), " - ", _xll.EPMMemberDesc(_xll.EPMMemberProperty("COSTOS", _xll.EPMMemberID(A16), "PARENTH3"), "COSTOS"))</f>
        <v>N100300500 - Antucoya No Operacio</v>
      </c>
      <c r="D16">
        <v>0</v>
      </c>
      <c r="F16">
        <f t="shared" si="0"/>
        <v>0</v>
      </c>
      <c r="G16">
        <v>921.12</v>
      </c>
      <c r="I16">
        <f t="shared" si="1"/>
        <v>-921.12</v>
      </c>
      <c r="J16">
        <v>0</v>
      </c>
      <c r="L16">
        <f t="shared" si="2"/>
        <v>0</v>
      </c>
      <c r="M16">
        <v>435.99</v>
      </c>
      <c r="O16">
        <f t="shared" si="3"/>
        <v>-435.99</v>
      </c>
      <c r="P16">
        <v>478.57</v>
      </c>
      <c r="R16">
        <f t="shared" si="4"/>
        <v>-478.57</v>
      </c>
      <c r="S16">
        <v>1357.11</v>
      </c>
      <c r="U16">
        <f t="shared" si="5"/>
        <v>-1357.11</v>
      </c>
    </row>
    <row r="17" spans="1:21" x14ac:dyDescent="0.3">
      <c r="A17" s="6" t="str">
        <f xml:space="preserve"> _xll.EPMOlapMemberO("[CECO].[PARENTH3].[AMSA1003AD4510]","","AMSA1003AD4510 - Comunicaciones Corpo","","000")</f>
        <v>AMSA1003AD4510 - Comunicaciones Corpo</v>
      </c>
      <c r="B17" s="6" t="str">
        <f xml:space="preserve"> _xll.EPMOlapMemberO("[CLACO].[PARENTH7].[AMSAINFORMATIC]","","Informática y Comuni","","000")</f>
        <v>Informática y Comuni</v>
      </c>
      <c r="C17" t="str">
        <f>_xlfn.CONCAT(_xll.EPMMemberProperty("COSTOS", _xll.EPMMemberID(A17), "PARENTH3"), " - ", _xll.EPMMemberDesc(_xll.EPMMemberProperty("COSTOS", _xll.EPMMemberID(A17), "PARENTH3"), "COSTOS"))</f>
        <v>N100300500 - Antucoya No Operacio</v>
      </c>
      <c r="E17">
        <v>150</v>
      </c>
      <c r="F17">
        <f t="shared" si="0"/>
        <v>150</v>
      </c>
      <c r="H17">
        <v>150</v>
      </c>
      <c r="I17">
        <f t="shared" si="1"/>
        <v>150</v>
      </c>
      <c r="K17">
        <v>5350</v>
      </c>
      <c r="L17">
        <f t="shared" si="2"/>
        <v>5350</v>
      </c>
      <c r="N17">
        <v>8940</v>
      </c>
      <c r="O17">
        <f t="shared" si="3"/>
        <v>8940</v>
      </c>
      <c r="Q17">
        <v>150</v>
      </c>
      <c r="R17">
        <f t="shared" si="4"/>
        <v>150</v>
      </c>
      <c r="T17">
        <v>23360</v>
      </c>
      <c r="U17">
        <f t="shared" si="5"/>
        <v>23360</v>
      </c>
    </row>
    <row r="18" spans="1:21" x14ac:dyDescent="0.3">
      <c r="A18" s="6" t="str">
        <f xml:space="preserve"> _xll.EPMOlapMemberO("[CECO].[PARENTH3].[AMSA1003AD4510]","","AMSA1003AD4510 - Comunicaciones Corpo","","000")</f>
        <v>AMSA1003AD4510 - Comunicaciones Corpo</v>
      </c>
      <c r="B18" s="6" t="str">
        <f xml:space="preserve"> _xll.EPMOlapMemberO("[CLACO].[PARENTH7].[AMSAGGENERALES.2]","","Otros Gastos","","000")</f>
        <v>Otros Gastos</v>
      </c>
      <c r="C18" t="str">
        <f>_xlfn.CONCAT(_xll.EPMMemberProperty("COSTOS", _xll.EPMMemberID(A18), "PARENTH3"), " - ", _xll.EPMMemberDesc(_xll.EPMMemberProperty("COSTOS", _xll.EPMMemberID(A18), "PARENTH3"), "COSTOS"))</f>
        <v>N100300500 - Antucoya No Operacio</v>
      </c>
      <c r="D18">
        <v>1972.61</v>
      </c>
      <c r="E18">
        <v>14280</v>
      </c>
      <c r="F18">
        <f t="shared" si="0"/>
        <v>12307.39</v>
      </c>
      <c r="G18">
        <v>0</v>
      </c>
      <c r="H18">
        <v>5560</v>
      </c>
      <c r="I18">
        <f t="shared" si="1"/>
        <v>5560</v>
      </c>
      <c r="J18">
        <v>5109.21</v>
      </c>
      <c r="K18">
        <v>7200</v>
      </c>
      <c r="L18">
        <f t="shared" si="2"/>
        <v>2090.79</v>
      </c>
      <c r="M18">
        <v>0</v>
      </c>
      <c r="N18">
        <v>5590</v>
      </c>
      <c r="O18">
        <f t="shared" si="3"/>
        <v>5590</v>
      </c>
      <c r="P18">
        <v>0</v>
      </c>
      <c r="Q18">
        <v>10890</v>
      </c>
      <c r="R18">
        <f t="shared" si="4"/>
        <v>10890</v>
      </c>
      <c r="S18">
        <v>7081.82</v>
      </c>
      <c r="T18">
        <v>66670</v>
      </c>
      <c r="U18">
        <f t="shared" si="5"/>
        <v>59588.18</v>
      </c>
    </row>
    <row r="19" spans="1:21" x14ac:dyDescent="0.3">
      <c r="A19" s="6" t="str">
        <f xml:space="preserve"> _xll.EPMOlapMemberO("[CECO].[PARENTH3].[AMSA1003AD4512]","","AMSA1003AD4512 - AAPP y RRII","","000")</f>
        <v>AMSA1003AD4512 - AAPP y RRII</v>
      </c>
      <c r="B19" s="6" t="str">
        <f xml:space="preserve"> _xll.EPMOlapMemberO("[CLACO].[PARENTH7].[AMSAASESORIAS]","","Asesorías y Consulto","","000")</f>
        <v>Asesorías y Consulto</v>
      </c>
      <c r="C19" t="str">
        <f>_xlfn.CONCAT(_xll.EPMMemberProperty("COSTOS", _xll.EPMMemberID(A19), "PARENTH3"), " - ", _xll.EPMMemberDesc(_xll.EPMMemberProperty("COSTOS", _xll.EPMMemberID(A19), "PARENTH3"), "COSTOS"))</f>
        <v>N100300500 - Antucoya No Operacio</v>
      </c>
      <c r="D19">
        <v>-20884.400000000001</v>
      </c>
      <c r="F19">
        <f t="shared" si="0"/>
        <v>20884.400000000001</v>
      </c>
      <c r="I19">
        <f t="shared" si="1"/>
        <v>0</v>
      </c>
      <c r="L19">
        <f t="shared" si="2"/>
        <v>0</v>
      </c>
      <c r="O19">
        <f t="shared" si="3"/>
        <v>0</v>
      </c>
      <c r="R19">
        <f t="shared" si="4"/>
        <v>0</v>
      </c>
      <c r="S19">
        <v>-20884.400000000001</v>
      </c>
      <c r="U19">
        <f t="shared" si="5"/>
        <v>20884.400000000001</v>
      </c>
    </row>
    <row r="20" spans="1:21" x14ac:dyDescent="0.3">
      <c r="A20" s="6" t="str">
        <f xml:space="preserve"> _xll.EPMOlapMemberO("[CECO].[PARENTH3].[AMSA1003AD4512]","","AMSA1003AD4512 - AAPP y RRII","","000")</f>
        <v>AMSA1003AD4512 - AAPP y RRII</v>
      </c>
      <c r="B20" s="6" t="str">
        <f xml:space="preserve"> _xll.EPMOlapMemberO("[CLACO].[PARENTH7].[AMSAGGENERALES.2]","","Otros Gastos","","000")</f>
        <v>Otros Gastos</v>
      </c>
      <c r="C20" t="str">
        <f>_xlfn.CONCAT(_xll.EPMMemberProperty("COSTOS", _xll.EPMMemberID(A20), "PARENTH3"), " - ", _xll.EPMMemberDesc(_xll.EPMMemberProperty("COSTOS", _xll.EPMMemberID(A20), "PARENTH3"), "COSTOS"))</f>
        <v>N100300500 - Antucoya No Operacio</v>
      </c>
      <c r="F20">
        <f t="shared" si="0"/>
        <v>0</v>
      </c>
      <c r="G20">
        <v>11972.5</v>
      </c>
      <c r="I20">
        <f t="shared" si="1"/>
        <v>-11972.5</v>
      </c>
      <c r="J20">
        <v>-589.98</v>
      </c>
      <c r="L20">
        <f t="shared" si="2"/>
        <v>589.98</v>
      </c>
      <c r="M20">
        <v>2245.65</v>
      </c>
      <c r="O20">
        <f t="shared" si="3"/>
        <v>-2245.65</v>
      </c>
      <c r="P20">
        <v>0</v>
      </c>
      <c r="R20">
        <f t="shared" si="4"/>
        <v>0</v>
      </c>
      <c r="S20">
        <v>19259.32</v>
      </c>
      <c r="T20">
        <v>60280</v>
      </c>
      <c r="U20">
        <f t="shared" si="5"/>
        <v>41020.68</v>
      </c>
    </row>
    <row r="21" spans="1:21" x14ac:dyDescent="0.3">
      <c r="A21" s="4" t="str">
        <f xml:space="preserve"> _xll.EPMOlapMemberO("[CECO].[PARENTH3].[AMSA1003AD0503]","","AMSA1003AD0503 - Corporativo","","000")</f>
        <v>AMSA1003AD0503 - Corporativo</v>
      </c>
      <c r="B21" s="6" t="str">
        <f xml:space="preserve"> _xll.EPMOlapMemberO("[CLACO].[PARENTH7].[AMSASERV_CORP]","","Servicios Corporativ","","000")</f>
        <v>Servicios Corporativ</v>
      </c>
      <c r="C21" t="str">
        <f>_xlfn.CONCAT(_xll.EPMMemberProperty("COSTOS", _xll.EPMMemberID(A21), "PARENTH3"), " - ", _xll.EPMMemberDesc(_xll.EPMMemberProperty("COSTOS", _xll.EPMMemberID(A21), "PARENTH3"), "COSTOS"))</f>
        <v>N1003AD050 - Gerencia General</v>
      </c>
      <c r="D21">
        <v>22554.91</v>
      </c>
      <c r="E21">
        <v>22300</v>
      </c>
      <c r="F21">
        <f t="shared" si="0"/>
        <v>-254.90999999999985</v>
      </c>
      <c r="G21">
        <v>23477.91</v>
      </c>
      <c r="H21">
        <v>22360</v>
      </c>
      <c r="I21">
        <f t="shared" si="1"/>
        <v>-1117.9099999999999</v>
      </c>
      <c r="J21">
        <v>23367.22</v>
      </c>
      <c r="K21">
        <v>22430</v>
      </c>
      <c r="L21">
        <f t="shared" si="2"/>
        <v>-937.22000000000116</v>
      </c>
      <c r="M21">
        <v>21976.97</v>
      </c>
      <c r="N21">
        <v>22490</v>
      </c>
      <c r="O21">
        <f t="shared" si="3"/>
        <v>513.02999999999884</v>
      </c>
      <c r="P21">
        <v>22758.99</v>
      </c>
      <c r="Q21">
        <v>22550</v>
      </c>
      <c r="R21">
        <f t="shared" si="4"/>
        <v>-208.9900000000016</v>
      </c>
      <c r="S21">
        <v>114136</v>
      </c>
      <c r="T21">
        <v>271750</v>
      </c>
      <c r="U21">
        <f t="shared" si="5"/>
        <v>157614</v>
      </c>
    </row>
    <row r="22" spans="1:21" x14ac:dyDescent="0.3">
      <c r="A22" s="4" t="str">
        <f xml:space="preserve"> _xll.EPMOlapMemberO("[CECO].[PARENTH3].[AMSA1003AD0504]","","AMSA1003AD0504 - Desarrollo Corp","","000")</f>
        <v>AMSA1003AD0504 - Desarrollo Corp</v>
      </c>
      <c r="B22" s="6" t="str">
        <f xml:space="preserve"> _xll.EPMOlapMemberO("[CLACO].[PARENTH7].[AMSAASESORIAS]","","Asesorías y Consulto","","000")</f>
        <v>Asesorías y Consulto</v>
      </c>
      <c r="C22" t="str">
        <f>_xlfn.CONCAT(_xll.EPMMemberProperty("COSTOS", _xll.EPMMemberID(A22), "PARENTH3"), " - ", _xll.EPMMemberDesc(_xll.EPMMemberProperty("COSTOS", _xll.EPMMemberID(A22), "PARENTH3"), "COSTOS"))</f>
        <v>N1003AD050 - Gerencia General</v>
      </c>
      <c r="F22">
        <f t="shared" si="0"/>
        <v>0</v>
      </c>
      <c r="I22">
        <f t="shared" si="1"/>
        <v>0</v>
      </c>
      <c r="L22">
        <f t="shared" si="2"/>
        <v>0</v>
      </c>
      <c r="O22">
        <f t="shared" si="3"/>
        <v>0</v>
      </c>
      <c r="Q22">
        <v>45380</v>
      </c>
      <c r="R22">
        <f t="shared" si="4"/>
        <v>45380</v>
      </c>
      <c r="T22">
        <v>45380</v>
      </c>
      <c r="U22">
        <f t="shared" si="5"/>
        <v>45380</v>
      </c>
    </row>
    <row r="23" spans="1:21" x14ac:dyDescent="0.3">
      <c r="A23" s="4" t="str">
        <f xml:space="preserve"> _xll.EPMOlapMemberO("[CECO].[PARENTH3].[AMSA1003AD0504]","","AMSA1003AD0504 - Desarrollo Corp","","000")</f>
        <v>AMSA1003AD0504 - Desarrollo Corp</v>
      </c>
      <c r="B23" s="6" t="str">
        <f xml:space="preserve"> _xll.EPMOlapMemberO("[CLACO].[PARENTH7].[AMSASERVICIOS]","","Servicios","","000")</f>
        <v>Servicios</v>
      </c>
      <c r="C23" t="str">
        <f>_xlfn.CONCAT(_xll.EPMMemberProperty("COSTOS", _xll.EPMMemberID(A23), "PARENTH3"), " - ", _xll.EPMMemberDesc(_xll.EPMMemberProperty("COSTOS", _xll.EPMMemberID(A23), "PARENTH3"), "COSTOS"))</f>
        <v>N1003AD050 - Gerencia General</v>
      </c>
      <c r="D23">
        <v>0</v>
      </c>
      <c r="F23">
        <f t="shared" si="0"/>
        <v>0</v>
      </c>
      <c r="G23">
        <v>0</v>
      </c>
      <c r="I23">
        <f t="shared" si="1"/>
        <v>0</v>
      </c>
      <c r="J23">
        <v>0</v>
      </c>
      <c r="L23">
        <f t="shared" si="2"/>
        <v>0</v>
      </c>
      <c r="M23">
        <v>0</v>
      </c>
      <c r="O23">
        <f t="shared" si="3"/>
        <v>0</v>
      </c>
      <c r="P23">
        <v>0</v>
      </c>
      <c r="R23">
        <f t="shared" si="4"/>
        <v>0</v>
      </c>
      <c r="S23">
        <v>0</v>
      </c>
      <c r="U23">
        <f t="shared" si="5"/>
        <v>0</v>
      </c>
    </row>
    <row r="24" spans="1:21" x14ac:dyDescent="0.3">
      <c r="A24" s="4" t="str">
        <f xml:space="preserve"> _xll.EPMOlapMemberO("[CECO].[PARENTH3].[AMSA1003AD0504]","","AMSA1003AD0504 - Desarrollo Corp","","000")</f>
        <v>AMSA1003AD0504 - Desarrollo Corp</v>
      </c>
      <c r="B24" s="6" t="str">
        <f xml:space="preserve"> _xll.EPMOlapMemberO("[CLACO].[PARENTH7].[AMSAINFORMATIC]","","Informática y Comuni","","000")</f>
        <v>Informática y Comuni</v>
      </c>
      <c r="C24" t="str">
        <f>_xlfn.CONCAT(_xll.EPMMemberProperty("COSTOS", _xll.EPMMemberID(A24), "PARENTH3"), " - ", _xll.EPMMemberDesc(_xll.EPMMemberProperty("COSTOS", _xll.EPMMemberID(A24), "PARENTH3"), "COSTOS"))</f>
        <v>N1003AD050 - Gerencia General</v>
      </c>
      <c r="D24">
        <v>10200</v>
      </c>
      <c r="E24">
        <v>12510</v>
      </c>
      <c r="F24">
        <f t="shared" si="0"/>
        <v>2310</v>
      </c>
      <c r="G24">
        <v>0</v>
      </c>
      <c r="I24">
        <f t="shared" si="1"/>
        <v>0</v>
      </c>
      <c r="J24">
        <v>0</v>
      </c>
      <c r="L24">
        <f t="shared" si="2"/>
        <v>0</v>
      </c>
      <c r="M24">
        <v>-137.02000000000001</v>
      </c>
      <c r="O24">
        <f t="shared" si="3"/>
        <v>137.02000000000001</v>
      </c>
      <c r="P24">
        <v>300000</v>
      </c>
      <c r="R24">
        <f t="shared" si="4"/>
        <v>-300000</v>
      </c>
      <c r="S24">
        <v>10062.98</v>
      </c>
      <c r="T24">
        <v>12510</v>
      </c>
      <c r="U24">
        <f t="shared" si="5"/>
        <v>2447.0200000000004</v>
      </c>
    </row>
    <row r="25" spans="1:21" x14ac:dyDescent="0.3">
      <c r="A25" s="4" t="str">
        <f xml:space="preserve"> _xll.EPMOlapMemberO("[CECO].[PARENTH3].[AMSA1003AD0504]","","AMSA1003AD0504 - Desarrollo Corp","","000")</f>
        <v>AMSA1003AD0504 - Desarrollo Corp</v>
      </c>
      <c r="B25" s="6" t="str">
        <f xml:space="preserve"> _xll.EPMOlapMemberO("[CLACO].[PARENTH7].[AMSAG_VIAJES]","","Gastos de Viajes","","000")</f>
        <v>Gastos de Viajes</v>
      </c>
      <c r="C25" t="str">
        <f>_xlfn.CONCAT(_xll.EPMMemberProperty("COSTOS", _xll.EPMMemberID(A25), "PARENTH3"), " - ", _xll.EPMMemberDesc(_xll.EPMMemberProperty("COSTOS", _xll.EPMMemberID(A25), "PARENTH3"), "COSTOS"))</f>
        <v>N1003AD050 - Gerencia General</v>
      </c>
      <c r="D25">
        <v>0</v>
      </c>
      <c r="E25">
        <v>780</v>
      </c>
      <c r="F25">
        <f t="shared" si="0"/>
        <v>780</v>
      </c>
      <c r="H25">
        <v>780</v>
      </c>
      <c r="I25">
        <f t="shared" si="1"/>
        <v>780</v>
      </c>
      <c r="K25">
        <v>780</v>
      </c>
      <c r="L25">
        <f t="shared" si="2"/>
        <v>780</v>
      </c>
      <c r="N25">
        <v>780</v>
      </c>
      <c r="O25">
        <f t="shared" si="3"/>
        <v>780</v>
      </c>
      <c r="Q25">
        <v>780</v>
      </c>
      <c r="R25">
        <f t="shared" si="4"/>
        <v>780</v>
      </c>
      <c r="S25">
        <v>0</v>
      </c>
      <c r="T25">
        <v>9490</v>
      </c>
      <c r="U25">
        <f t="shared" si="5"/>
        <v>9490</v>
      </c>
    </row>
    <row r="26" spans="1:21" x14ac:dyDescent="0.3">
      <c r="A26" s="4" t="str">
        <f xml:space="preserve"> _xll.EPMOlapMemberO("[CECO].[PARENTH3].[AMSA1003AD0504]","","AMSA1003AD0504 - Desarrollo Corp","","000")</f>
        <v>AMSA1003AD0504 - Desarrollo Corp</v>
      </c>
      <c r="B26" s="6" t="str">
        <f xml:space="preserve"> _xll.EPMOlapMemberO("[CLACO].[PARENTH7].[AMSASERV_CORP]","","Servicios Corporativ","","000")</f>
        <v>Servicios Corporativ</v>
      </c>
      <c r="C26" t="str">
        <f>_xlfn.CONCAT(_xll.EPMMemberProperty("COSTOS", _xll.EPMMemberID(A26), "PARENTH3"), " - ", _xll.EPMMemberDesc(_xll.EPMMemberProperty("COSTOS", _xll.EPMMemberID(A26), "PARENTH3"), "COSTOS"))</f>
        <v>N1003AD050 - Gerencia General</v>
      </c>
      <c r="D26">
        <v>32548.1</v>
      </c>
      <c r="E26">
        <v>32180</v>
      </c>
      <c r="F26">
        <f t="shared" si="0"/>
        <v>-368.09999999999854</v>
      </c>
      <c r="G26">
        <v>33880.04</v>
      </c>
      <c r="H26">
        <v>32270</v>
      </c>
      <c r="I26">
        <f t="shared" si="1"/>
        <v>-1610.0400000000009</v>
      </c>
      <c r="J26">
        <v>33720.31</v>
      </c>
      <c r="K26">
        <v>32360</v>
      </c>
      <c r="L26">
        <f t="shared" si="2"/>
        <v>-1360.3099999999977</v>
      </c>
      <c r="M26">
        <v>31714.09</v>
      </c>
      <c r="N26">
        <v>32450</v>
      </c>
      <c r="O26">
        <f t="shared" si="3"/>
        <v>735.90999999999985</v>
      </c>
      <c r="P26">
        <v>32842.46</v>
      </c>
      <c r="Q26">
        <v>32540</v>
      </c>
      <c r="R26">
        <f t="shared" si="4"/>
        <v>-302.45999999999913</v>
      </c>
      <c r="S26">
        <v>164705</v>
      </c>
      <c r="T26">
        <v>392150</v>
      </c>
      <c r="U26">
        <f t="shared" si="5"/>
        <v>227445</v>
      </c>
    </row>
    <row r="27" spans="1:21" x14ac:dyDescent="0.3">
      <c r="A27" s="4" t="str">
        <f xml:space="preserve"> _xll.EPMOlapMemberO("[CECO].[PARENTH3].[AMSA1003AD0505]","","AMSA1003AD0505 - Estrateg e Inn Corp","","000")</f>
        <v>AMSA1003AD0505 - Estrateg e Inn Corp</v>
      </c>
      <c r="B27" s="6" t="str">
        <f xml:space="preserve"> _xll.EPMOlapMemberO("[CLACO].[PARENTH7].[AMSASERVICIOS]","","Servicios","","000")</f>
        <v>Servicios</v>
      </c>
      <c r="C27" t="str">
        <f>_xlfn.CONCAT(_xll.EPMMemberProperty("COSTOS", _xll.EPMMemberID(A27), "PARENTH3"), " - ", _xll.EPMMemberDesc(_xll.EPMMemberProperty("COSTOS", _xll.EPMMemberID(A27), "PARENTH3"), "COSTOS"))</f>
        <v>N1003AD050 - Gerencia General</v>
      </c>
      <c r="D27">
        <v>0</v>
      </c>
      <c r="E27">
        <v>5210</v>
      </c>
      <c r="F27">
        <f t="shared" si="0"/>
        <v>5210</v>
      </c>
      <c r="G27">
        <v>19641.62</v>
      </c>
      <c r="H27">
        <v>5210</v>
      </c>
      <c r="I27">
        <f t="shared" si="1"/>
        <v>-14431.619999999999</v>
      </c>
      <c r="J27">
        <v>15338.74</v>
      </c>
      <c r="K27">
        <v>5210</v>
      </c>
      <c r="L27">
        <f t="shared" si="2"/>
        <v>-10128.74</v>
      </c>
      <c r="M27">
        <v>25402.39</v>
      </c>
      <c r="N27">
        <v>5210</v>
      </c>
      <c r="O27">
        <f t="shared" si="3"/>
        <v>-20192.39</v>
      </c>
      <c r="P27">
        <v>0</v>
      </c>
      <c r="Q27">
        <v>5210</v>
      </c>
      <c r="R27">
        <f t="shared" si="4"/>
        <v>5210</v>
      </c>
      <c r="S27">
        <v>60382.75</v>
      </c>
      <c r="T27">
        <v>62540</v>
      </c>
      <c r="U27">
        <f t="shared" si="5"/>
        <v>2157.25</v>
      </c>
    </row>
    <row r="28" spans="1:21" x14ac:dyDescent="0.3">
      <c r="A28" s="4" t="str">
        <f xml:space="preserve"> _xll.EPMOlapMemberO("[CECO].[PARENTH3].[AMSA1003AD0505]","","AMSA1003AD0505 - Estrateg e Inn Corp","","000")</f>
        <v>AMSA1003AD0505 - Estrateg e Inn Corp</v>
      </c>
      <c r="B28" s="6" t="str">
        <f xml:space="preserve"> _xll.EPMOlapMemberO("[CLACO].[PARENTH7].[AMSAINFORMATIC]","","Informática y Comuni","","000")</f>
        <v>Informática y Comuni</v>
      </c>
      <c r="C28" t="str">
        <f>_xlfn.CONCAT(_xll.EPMMemberProperty("COSTOS", _xll.EPMMemberID(A28), "PARENTH3"), " - ", _xll.EPMMemberDesc(_xll.EPMMemberProperty("COSTOS", _xll.EPMMemberID(A28), "PARENTH3"), "COSTOS"))</f>
        <v>N1003AD050 - Gerencia General</v>
      </c>
      <c r="D28">
        <v>39938.050000000003</v>
      </c>
      <c r="E28">
        <v>39130</v>
      </c>
      <c r="F28">
        <f t="shared" si="0"/>
        <v>-808.05000000000291</v>
      </c>
      <c r="G28">
        <v>40724.1</v>
      </c>
      <c r="H28">
        <v>39130</v>
      </c>
      <c r="I28">
        <f t="shared" si="1"/>
        <v>-1594.0999999999985</v>
      </c>
      <c r="J28">
        <v>37839</v>
      </c>
      <c r="K28">
        <v>39130</v>
      </c>
      <c r="L28">
        <f t="shared" si="2"/>
        <v>1291</v>
      </c>
      <c r="M28">
        <v>28170.799999999999</v>
      </c>
      <c r="N28">
        <v>39120</v>
      </c>
      <c r="O28">
        <f t="shared" si="3"/>
        <v>10949.2</v>
      </c>
      <c r="P28">
        <v>51393.47</v>
      </c>
      <c r="Q28">
        <v>41190</v>
      </c>
      <c r="R28">
        <f t="shared" si="4"/>
        <v>-10203.470000000001</v>
      </c>
      <c r="S28">
        <v>146671.95000000001</v>
      </c>
      <c r="T28">
        <v>475680</v>
      </c>
      <c r="U28">
        <f t="shared" si="5"/>
        <v>329008.05</v>
      </c>
    </row>
    <row r="29" spans="1:21" x14ac:dyDescent="0.3">
      <c r="A29" s="4" t="str">
        <f xml:space="preserve"> _xll.EPMOlapMemberO("[CECO].[PARENTH3].[AMSA1003AD0505]","","AMSA1003AD0505 - Estrateg e Inn Corp","","000")</f>
        <v>AMSA1003AD0505 - Estrateg e Inn Corp</v>
      </c>
      <c r="B29" s="6" t="str">
        <f xml:space="preserve"> _xll.EPMOlapMemberO("[CLACO].[PARENTH7].[AMSASERV_CORP]","","Servicios Corporativ","","000")</f>
        <v>Servicios Corporativ</v>
      </c>
      <c r="C29" t="str">
        <f>_xlfn.CONCAT(_xll.EPMMemberProperty("COSTOS", _xll.EPMMemberID(A29), "PARENTH3"), " - ", _xll.EPMMemberDesc(_xll.EPMMemberProperty("COSTOS", _xll.EPMMemberID(A29), "PARENTH3"), "COSTOS"))</f>
        <v>N1003AD050 - Gerencia General</v>
      </c>
      <c r="D29">
        <v>57264.74</v>
      </c>
      <c r="E29">
        <v>56620</v>
      </c>
      <c r="F29">
        <f t="shared" si="0"/>
        <v>-644.73999999999796</v>
      </c>
      <c r="G29">
        <v>59608.15</v>
      </c>
      <c r="H29">
        <v>56780</v>
      </c>
      <c r="I29">
        <f t="shared" si="1"/>
        <v>-2828.1500000000015</v>
      </c>
      <c r="J29">
        <v>59327.12</v>
      </c>
      <c r="K29">
        <v>56940</v>
      </c>
      <c r="L29">
        <f t="shared" si="2"/>
        <v>-2387.1200000000026</v>
      </c>
      <c r="M29">
        <v>55797.41</v>
      </c>
      <c r="N29">
        <v>57090</v>
      </c>
      <c r="O29">
        <f t="shared" si="3"/>
        <v>1292.5899999999965</v>
      </c>
      <c r="P29">
        <v>57782.58</v>
      </c>
      <c r="Q29">
        <v>57250</v>
      </c>
      <c r="R29">
        <f t="shared" si="4"/>
        <v>-532.58000000000175</v>
      </c>
      <c r="S29">
        <v>289780</v>
      </c>
      <c r="T29">
        <v>689950</v>
      </c>
      <c r="U29">
        <f t="shared" si="5"/>
        <v>400170</v>
      </c>
    </row>
    <row r="30" spans="1:21" x14ac:dyDescent="0.3">
      <c r="A30" s="4" t="str">
        <f xml:space="preserve"> _xll.EPMOlapMemberO("[CECO].[PARENTH3].[AMSA1003AD0506]","","AMSA1003AD0506 - Operaciones Corp","","000")</f>
        <v>AMSA1003AD0506 - Operaciones Corp</v>
      </c>
      <c r="B30" s="6" t="str">
        <f xml:space="preserve"> _xll.EPMOlapMemberO("[CLACO].[PARENTH7].[AMSAENTRENAMI]","","Entrenamiento","","000")</f>
        <v>Entrenamiento</v>
      </c>
      <c r="C30" t="str">
        <f>_xlfn.CONCAT(_xll.EPMMemberProperty("COSTOS", _xll.EPMMemberID(A30), "PARENTH3"), " - ", _xll.EPMMemberDesc(_xll.EPMMemberProperty("COSTOS", _xll.EPMMemberID(A30), "PARENTH3"), "COSTOS"))</f>
        <v>N1003AD050 - Gerencia General</v>
      </c>
      <c r="D30">
        <v>588.76</v>
      </c>
      <c r="F30">
        <f t="shared" si="0"/>
        <v>-588.76</v>
      </c>
      <c r="G30">
        <v>0</v>
      </c>
      <c r="I30">
        <f t="shared" si="1"/>
        <v>0</v>
      </c>
      <c r="J30">
        <v>4927.13</v>
      </c>
      <c r="L30">
        <f t="shared" si="2"/>
        <v>-4927.13</v>
      </c>
      <c r="M30">
        <v>0</v>
      </c>
      <c r="O30">
        <f t="shared" si="3"/>
        <v>0</v>
      </c>
      <c r="P30">
        <v>0</v>
      </c>
      <c r="R30">
        <f t="shared" si="4"/>
        <v>0</v>
      </c>
      <c r="S30">
        <v>5515.89</v>
      </c>
      <c r="U30">
        <f t="shared" si="5"/>
        <v>-5515.89</v>
      </c>
    </row>
    <row r="31" spans="1:21" x14ac:dyDescent="0.3">
      <c r="A31" s="4" t="str">
        <f xml:space="preserve"> _xll.EPMOlapMemberO("[CECO].[PARENTH3].[AMSA1003AD0506]","","AMSA1003AD0506 - Operaciones Corp","","000")</f>
        <v>AMSA1003AD0506 - Operaciones Corp</v>
      </c>
      <c r="B31" s="6" t="str">
        <f xml:space="preserve"> _xll.EPMOlapMemberO("[CLACO].[PARENTH7].[AMSAASESORIAS]","","Asesorías y Consulto","","000")</f>
        <v>Asesorías y Consulto</v>
      </c>
      <c r="C31" t="str">
        <f>_xlfn.CONCAT(_xll.EPMMemberProperty("COSTOS", _xll.EPMMemberID(A31), "PARENTH3"), " - ", _xll.EPMMemberDesc(_xll.EPMMemberProperty("COSTOS", _xll.EPMMemberID(A31), "PARENTH3"), "COSTOS"))</f>
        <v>N1003AD050 - Gerencia General</v>
      </c>
      <c r="D31">
        <v>2406.3000000000002</v>
      </c>
      <c r="F31">
        <f t="shared" si="0"/>
        <v>-2406.3000000000002</v>
      </c>
      <c r="G31">
        <v>0</v>
      </c>
      <c r="I31">
        <f t="shared" si="1"/>
        <v>0</v>
      </c>
      <c r="J31">
        <v>26170.66</v>
      </c>
      <c r="K31">
        <v>9610</v>
      </c>
      <c r="L31">
        <f t="shared" si="2"/>
        <v>-16560.66</v>
      </c>
      <c r="M31">
        <v>42543.68</v>
      </c>
      <c r="N31">
        <v>9610</v>
      </c>
      <c r="O31">
        <f t="shared" si="3"/>
        <v>-32933.68</v>
      </c>
      <c r="P31">
        <v>0</v>
      </c>
      <c r="Q31">
        <v>9600</v>
      </c>
      <c r="R31">
        <f t="shared" si="4"/>
        <v>9600</v>
      </c>
      <c r="S31">
        <v>71120.639999999999</v>
      </c>
      <c r="T31">
        <v>67190</v>
      </c>
      <c r="U31">
        <f t="shared" si="5"/>
        <v>-3930.6399999999994</v>
      </c>
    </row>
    <row r="32" spans="1:21" x14ac:dyDescent="0.3">
      <c r="A32" s="4" t="str">
        <f xml:space="preserve"> _xll.EPMOlapMemberO("[CECO].[PARENTH3].[AMSA1003AD0506]","","AMSA1003AD0506 - Operaciones Corp","","000")</f>
        <v>AMSA1003AD0506 - Operaciones Corp</v>
      </c>
      <c r="B32" s="6" t="str">
        <f xml:space="preserve"> _xll.EPMOlapMemberO("[CLACO].[PARENTH7].[AMSASERVICIOS]","","Servicios","","000")</f>
        <v>Servicios</v>
      </c>
      <c r="C32" t="str">
        <f>_xlfn.CONCAT(_xll.EPMMemberProperty("COSTOS", _xll.EPMMemberID(A32), "PARENTH3"), " - ", _xll.EPMMemberDesc(_xll.EPMMemberProperty("COSTOS", _xll.EPMMemberID(A32), "PARENTH3"), "COSTOS"))</f>
        <v>N1003AD050 - Gerencia General</v>
      </c>
      <c r="D32">
        <v>6470.07</v>
      </c>
      <c r="E32">
        <v>30540</v>
      </c>
      <c r="F32">
        <f t="shared" si="0"/>
        <v>24069.93</v>
      </c>
      <c r="G32">
        <v>6615.69</v>
      </c>
      <c r="H32">
        <v>9160</v>
      </c>
      <c r="I32">
        <f t="shared" si="1"/>
        <v>2544.3100000000004</v>
      </c>
      <c r="J32">
        <v>5989.98</v>
      </c>
      <c r="K32">
        <v>22270</v>
      </c>
      <c r="L32">
        <f t="shared" si="2"/>
        <v>16280.02</v>
      </c>
      <c r="M32">
        <v>19434.310000000001</v>
      </c>
      <c r="N32">
        <v>60000</v>
      </c>
      <c r="O32">
        <f t="shared" si="3"/>
        <v>40565.69</v>
      </c>
      <c r="P32">
        <v>889.73</v>
      </c>
      <c r="Q32">
        <v>4560</v>
      </c>
      <c r="R32">
        <f t="shared" si="4"/>
        <v>3670.27</v>
      </c>
      <c r="S32">
        <v>38510.050000000003</v>
      </c>
      <c r="T32">
        <v>391930</v>
      </c>
      <c r="U32">
        <f t="shared" si="5"/>
        <v>353419.95</v>
      </c>
    </row>
    <row r="33" spans="1:21" x14ac:dyDescent="0.3">
      <c r="A33" s="4" t="str">
        <f xml:space="preserve"> _xll.EPMOlapMemberO("[CECO].[PARENTH3].[AMSA1003AD0506]","","AMSA1003AD0506 - Operaciones Corp","","000")</f>
        <v>AMSA1003AD0506 - Operaciones Corp</v>
      </c>
      <c r="B33" s="6" t="str">
        <f xml:space="preserve"> _xll.EPMOlapMemberO("[CLACO].[PARENTH7].[AMSAINFORMATIC]","","Informática y Comuni","","000")</f>
        <v>Informática y Comuni</v>
      </c>
      <c r="C33" t="str">
        <f>_xlfn.CONCAT(_xll.EPMMemberProperty("COSTOS", _xll.EPMMemberID(A33), "PARENTH3"), " - ", _xll.EPMMemberDesc(_xll.EPMMemberProperty("COSTOS", _xll.EPMMemberID(A33), "PARENTH3"), "COSTOS"))</f>
        <v>N1003AD050 - Gerencia General</v>
      </c>
      <c r="D33">
        <v>23471.07</v>
      </c>
      <c r="E33">
        <v>250</v>
      </c>
      <c r="F33">
        <f t="shared" si="0"/>
        <v>-23221.07</v>
      </c>
      <c r="G33">
        <v>0</v>
      </c>
      <c r="H33">
        <v>250</v>
      </c>
      <c r="I33">
        <f t="shared" si="1"/>
        <v>250</v>
      </c>
      <c r="J33">
        <v>0</v>
      </c>
      <c r="K33">
        <v>250</v>
      </c>
      <c r="L33">
        <f t="shared" si="2"/>
        <v>250</v>
      </c>
      <c r="M33">
        <v>0</v>
      </c>
      <c r="N33">
        <v>250</v>
      </c>
      <c r="O33">
        <f t="shared" si="3"/>
        <v>250</v>
      </c>
      <c r="P33">
        <v>0</v>
      </c>
      <c r="Q33">
        <v>250</v>
      </c>
      <c r="R33">
        <f t="shared" si="4"/>
        <v>250</v>
      </c>
      <c r="S33">
        <v>23471.07</v>
      </c>
      <c r="T33">
        <v>3000</v>
      </c>
      <c r="U33">
        <f t="shared" si="5"/>
        <v>-20471.07</v>
      </c>
    </row>
    <row r="34" spans="1:21" x14ac:dyDescent="0.3">
      <c r="A34" s="4" t="str">
        <f xml:space="preserve"> _xll.EPMOlapMemberO("[CECO].[PARENTH3].[AMSA1003AD0506]","","AMSA1003AD0506 - Operaciones Corp","","000")</f>
        <v>AMSA1003AD0506 - Operaciones Corp</v>
      </c>
      <c r="B34" s="6" t="str">
        <f xml:space="preserve"> _xll.EPMOlapMemberO("[CLACO].[PARENTH7].[AMSAGGENERALES.2]","","Otros Gastos","","000")</f>
        <v>Otros Gastos</v>
      </c>
      <c r="C34" t="str">
        <f>_xlfn.CONCAT(_xll.EPMMemberProperty("COSTOS", _xll.EPMMemberID(A34), "PARENTH3"), " - ", _xll.EPMMemberDesc(_xll.EPMMemberProperty("COSTOS", _xll.EPMMemberID(A34), "PARENTH3"), "COSTOS"))</f>
        <v>N1003AD050 - Gerencia General</v>
      </c>
      <c r="D34">
        <v>0</v>
      </c>
      <c r="F34">
        <f t="shared" si="0"/>
        <v>0</v>
      </c>
      <c r="I34">
        <f t="shared" si="1"/>
        <v>0</v>
      </c>
      <c r="L34">
        <f t="shared" si="2"/>
        <v>0</v>
      </c>
      <c r="O34">
        <f t="shared" si="3"/>
        <v>0</v>
      </c>
      <c r="R34">
        <f t="shared" si="4"/>
        <v>0</v>
      </c>
      <c r="S34">
        <v>0</v>
      </c>
      <c r="U34">
        <f t="shared" si="5"/>
        <v>0</v>
      </c>
    </row>
    <row r="35" spans="1:21" x14ac:dyDescent="0.3">
      <c r="A35" s="4" t="str">
        <f xml:space="preserve"> _xll.EPMOlapMemberO("[CECO].[PARENTH3].[AMSA1003AD0506]","","AMSA1003AD0506 - Operaciones Corp","","000")</f>
        <v>AMSA1003AD0506 - Operaciones Corp</v>
      </c>
      <c r="B35" s="6" t="str">
        <f xml:space="preserve"> _xll.EPMOlapMemberO("[CLACO].[PARENTH7].[AMSASERV_CORP]","","Servicios Corporativ","","000")</f>
        <v>Servicios Corporativ</v>
      </c>
      <c r="C35" t="str">
        <f>_xlfn.CONCAT(_xll.EPMMemberProperty("COSTOS", _xll.EPMMemberID(A35), "PARENTH3"), " - ", _xll.EPMMemberDesc(_xll.EPMMemberProperty("COSTOS", _xll.EPMMemberID(A35), "PARENTH3"), "COSTOS"))</f>
        <v>N1003AD050 - Gerencia General</v>
      </c>
      <c r="D35">
        <v>80816.38</v>
      </c>
      <c r="E35">
        <v>79910</v>
      </c>
      <c r="F35">
        <f t="shared" si="0"/>
        <v>-906.38000000000466</v>
      </c>
      <c r="G35">
        <v>84123.57</v>
      </c>
      <c r="H35">
        <v>80130</v>
      </c>
      <c r="I35">
        <f t="shared" si="1"/>
        <v>-3993.570000000007</v>
      </c>
      <c r="J35">
        <v>83726.97</v>
      </c>
      <c r="K35">
        <v>80350</v>
      </c>
      <c r="L35">
        <f t="shared" si="2"/>
        <v>-3376.9700000000012</v>
      </c>
      <c r="M35">
        <v>78745.570000000007</v>
      </c>
      <c r="N35">
        <v>80580</v>
      </c>
      <c r="O35">
        <f t="shared" si="3"/>
        <v>1834.429999999993</v>
      </c>
      <c r="P35">
        <v>81548.509999999995</v>
      </c>
      <c r="Q35">
        <v>80800</v>
      </c>
      <c r="R35">
        <f t="shared" si="4"/>
        <v>-748.50999999999476</v>
      </c>
      <c r="S35">
        <v>408961</v>
      </c>
      <c r="T35">
        <v>973720</v>
      </c>
      <c r="U35">
        <f t="shared" si="5"/>
        <v>564759</v>
      </c>
    </row>
    <row r="36" spans="1:21" x14ac:dyDescent="0.3">
      <c r="A36" s="4" t="str">
        <f xml:space="preserve"> _xll.EPMOlapMemberO("[CECO].[PARENTH3].[AMSA1003AD0508]","","AMSA1003AD0508 - Finanzas Corporativo","","000")</f>
        <v>AMSA1003AD0508 - Finanzas Corporativo</v>
      </c>
      <c r="B36" s="6" t="str">
        <f xml:space="preserve"> _xll.EPMOlapMemberO("[CLACO].[PARENTH7].[AMSASERV_CORP]","","Servicios Corporativ","","000")</f>
        <v>Servicios Corporativ</v>
      </c>
      <c r="C36" t="str">
        <f>_xlfn.CONCAT(_xll.EPMMemberProperty("COSTOS", _xll.EPMMemberID(A36), "PARENTH3"), " - ", _xll.EPMMemberDesc(_xll.EPMMemberProperty("COSTOS", _xll.EPMMemberID(A36), "PARENTH3"), "COSTOS"))</f>
        <v>N1003AD050 - Gerencia General</v>
      </c>
      <c r="D36">
        <v>186900.09</v>
      </c>
      <c r="E36">
        <v>184790</v>
      </c>
      <c r="F36">
        <f t="shared" si="0"/>
        <v>-2110.0899999999965</v>
      </c>
      <c r="G36">
        <v>194548.46</v>
      </c>
      <c r="H36">
        <v>185310</v>
      </c>
      <c r="I36">
        <f t="shared" si="1"/>
        <v>-9238.4599999999919</v>
      </c>
      <c r="J36">
        <v>193631.26</v>
      </c>
      <c r="K36">
        <v>185830</v>
      </c>
      <c r="L36">
        <f t="shared" si="2"/>
        <v>-7801.2600000000093</v>
      </c>
      <c r="M36">
        <v>182111.02</v>
      </c>
      <c r="N36">
        <v>186340</v>
      </c>
      <c r="O36">
        <f t="shared" si="3"/>
        <v>4228.9800000000105</v>
      </c>
      <c r="P36">
        <v>188590.17</v>
      </c>
      <c r="Q36">
        <v>186860</v>
      </c>
      <c r="R36">
        <f t="shared" si="4"/>
        <v>-1730.1700000000128</v>
      </c>
      <c r="S36">
        <v>945781</v>
      </c>
      <c r="T36">
        <v>2251880</v>
      </c>
      <c r="U36">
        <f t="shared" si="5"/>
        <v>1306099</v>
      </c>
    </row>
    <row r="37" spans="1:21" x14ac:dyDescent="0.3">
      <c r="A37" s="4" t="str">
        <f xml:space="preserve"> _xll.EPMOlapMemberO("[CECO].[PARENTH3].[AMSA1003AD0509]","","AMSA1003AD0509 - Legal Corporativo","","000")</f>
        <v>AMSA1003AD0509 - Legal Corporativo</v>
      </c>
      <c r="B37" s="6" t="str">
        <f xml:space="preserve"> _xll.EPMOlapMemberO("[CLACO].[PARENTH7].[AMSASERV_CORP]","","Servicios Corporativ","","000")</f>
        <v>Servicios Corporativ</v>
      </c>
      <c r="C37" t="str">
        <f>_xlfn.CONCAT(_xll.EPMMemberProperty("COSTOS", _xll.EPMMemberID(A37), "PARENTH3"), " - ", _xll.EPMMemberDesc(_xll.EPMMemberProperty("COSTOS", _xll.EPMMemberID(A37), "PARENTH3"), "COSTOS"))</f>
        <v>N1003AD050 - Gerencia General</v>
      </c>
      <c r="D37">
        <v>23675.78</v>
      </c>
      <c r="E37">
        <v>23410</v>
      </c>
      <c r="F37">
        <f t="shared" si="0"/>
        <v>-265.77999999999884</v>
      </c>
      <c r="G37">
        <v>24644.65</v>
      </c>
      <c r="H37">
        <v>23470</v>
      </c>
      <c r="I37">
        <f t="shared" si="1"/>
        <v>-1174.6500000000015</v>
      </c>
      <c r="J37">
        <v>24528.46</v>
      </c>
      <c r="K37">
        <v>23540</v>
      </c>
      <c r="L37">
        <f t="shared" si="2"/>
        <v>-988.45999999999913</v>
      </c>
      <c r="M37">
        <v>23069.119999999999</v>
      </c>
      <c r="N37">
        <v>23610</v>
      </c>
      <c r="O37">
        <f t="shared" si="3"/>
        <v>540.88000000000102</v>
      </c>
      <c r="P37">
        <v>23889.99</v>
      </c>
      <c r="Q37">
        <v>23670</v>
      </c>
      <c r="R37">
        <f t="shared" si="4"/>
        <v>-219.9900000000016</v>
      </c>
      <c r="S37">
        <v>119808</v>
      </c>
      <c r="T37">
        <v>285260</v>
      </c>
      <c r="U37">
        <f t="shared" si="5"/>
        <v>165452</v>
      </c>
    </row>
    <row r="38" spans="1:21" x14ac:dyDescent="0.3">
      <c r="A38" s="4" t="str">
        <f xml:space="preserve"> _xll.EPMOlapMemberO("[CECO].[PARENTH3].[AMSA1003AD0511]","","AMSA1003AD0511 - Reporting VPACS Corp","","000")</f>
        <v>AMSA1003AD0511 - Reporting VPACS Corp</v>
      </c>
      <c r="B38" s="6" t="str">
        <f xml:space="preserve"> _xll.EPMOlapMemberO("[CLACO].[PARENTH7].[AMSASERVICIOS]","","Servicios","","000")</f>
        <v>Servicios</v>
      </c>
      <c r="C38" t="str">
        <f>_xlfn.CONCAT(_xll.EPMMemberProperty("COSTOS", _xll.EPMMemberID(A38), "PARENTH3"), " - ", _xll.EPMMemberDesc(_xll.EPMMemberProperty("COSTOS", _xll.EPMMemberID(A38), "PARENTH3"), "COSTOS"))</f>
        <v>N1003AD050 - Gerencia General</v>
      </c>
      <c r="D38">
        <v>0</v>
      </c>
      <c r="F38">
        <f t="shared" si="0"/>
        <v>0</v>
      </c>
      <c r="G38">
        <v>346.92</v>
      </c>
      <c r="H38">
        <v>7520</v>
      </c>
      <c r="I38">
        <f t="shared" si="1"/>
        <v>7173.08</v>
      </c>
      <c r="J38">
        <v>273.66000000000003</v>
      </c>
      <c r="K38">
        <v>12130</v>
      </c>
      <c r="L38">
        <f t="shared" si="2"/>
        <v>11856.34</v>
      </c>
      <c r="M38">
        <v>7788.38</v>
      </c>
      <c r="N38">
        <v>7550</v>
      </c>
      <c r="O38">
        <f t="shared" si="3"/>
        <v>-238.38000000000011</v>
      </c>
      <c r="P38">
        <v>880.95</v>
      </c>
      <c r="R38">
        <f t="shared" si="4"/>
        <v>-880.95</v>
      </c>
      <c r="S38">
        <v>8408.9599999999991</v>
      </c>
      <c r="T38">
        <v>75180</v>
      </c>
      <c r="U38">
        <f t="shared" si="5"/>
        <v>66771.040000000008</v>
      </c>
    </row>
    <row r="39" spans="1:21" x14ac:dyDescent="0.3">
      <c r="A39" s="4" t="str">
        <f xml:space="preserve"> _xll.EPMOlapMemberO("[CECO].[PARENTH3].[AMSA1003AD0511]","","AMSA1003AD0511 - Reporting VPACS Corp","","000")</f>
        <v>AMSA1003AD0511 - Reporting VPACS Corp</v>
      </c>
      <c r="B39" s="6" t="str">
        <f xml:space="preserve"> _xll.EPMOlapMemberO("[CLACO].[PARENTH7].[AMSAGGENERALES.2]","","Otros Gastos","","000")</f>
        <v>Otros Gastos</v>
      </c>
      <c r="C39" t="str">
        <f>_xlfn.CONCAT(_xll.EPMMemberProperty("COSTOS", _xll.EPMMemberID(A39), "PARENTH3"), " - ", _xll.EPMMemberDesc(_xll.EPMMemberProperty("COSTOS", _xll.EPMMemberID(A39), "PARENTH3"), "COSTOS"))</f>
        <v>N1003AD050 - Gerencia General</v>
      </c>
      <c r="F39">
        <f t="shared" si="0"/>
        <v>0</v>
      </c>
      <c r="I39">
        <f t="shared" si="1"/>
        <v>0</v>
      </c>
      <c r="K39">
        <v>3010</v>
      </c>
      <c r="L39">
        <f t="shared" si="2"/>
        <v>3010</v>
      </c>
      <c r="O39">
        <f t="shared" si="3"/>
        <v>0</v>
      </c>
      <c r="P39">
        <v>60536.57</v>
      </c>
      <c r="R39">
        <f t="shared" si="4"/>
        <v>-60536.57</v>
      </c>
      <c r="S39">
        <v>0</v>
      </c>
      <c r="T39">
        <v>65260</v>
      </c>
      <c r="U39">
        <f t="shared" si="5"/>
        <v>65260</v>
      </c>
    </row>
    <row r="40" spans="1:21" x14ac:dyDescent="0.3">
      <c r="A40" s="4" t="str">
        <f xml:space="preserve"> _xll.EPMOlapMemberO("[CECO].[PARENTH3].[AMSA1003AD3502]","","AMSA1003AD3502 - Finanzas","","000")</f>
        <v>AMSA1003AD3502 - Finanzas</v>
      </c>
      <c r="B40" s="6" t="str">
        <f xml:space="preserve"> _xll.EPMOlapMemberO("[CLACO].[PARENTH7].[AMSAASESORIAS]","","Asesorías y Consulto","","000")</f>
        <v>Asesorías y Consulto</v>
      </c>
      <c r="C40" t="str">
        <f>_xlfn.CONCAT(_xll.EPMMemberProperty("COSTOS", _xll.EPMMemberID(A40), "PARENTH3"), " - ", _xll.EPMMemberDesc(_xll.EPMMemberProperty("COSTOS", _xll.EPMMemberID(A40), "PARENTH3"), "COSTOS"))</f>
        <v>N1003AD350 - Administración y Fin</v>
      </c>
      <c r="D40">
        <v>0</v>
      </c>
      <c r="F40">
        <f t="shared" si="0"/>
        <v>0</v>
      </c>
      <c r="I40">
        <f t="shared" si="1"/>
        <v>0</v>
      </c>
      <c r="L40">
        <f t="shared" si="2"/>
        <v>0</v>
      </c>
      <c r="O40">
        <f t="shared" si="3"/>
        <v>0</v>
      </c>
      <c r="P40">
        <v>-4.07</v>
      </c>
      <c r="R40">
        <f t="shared" si="4"/>
        <v>4.07</v>
      </c>
      <c r="S40">
        <v>-4.07</v>
      </c>
      <c r="T40">
        <v>1350</v>
      </c>
      <c r="U40">
        <f t="shared" si="5"/>
        <v>1354.07</v>
      </c>
    </row>
    <row r="41" spans="1:21" x14ac:dyDescent="0.3">
      <c r="A41" s="4" t="str">
        <f xml:space="preserve"> _xll.EPMOlapMemberO("[CECO].[PARENTH3].[AMSA1003AD3502]","","AMSA1003AD3502 - Finanzas","","000")</f>
        <v>AMSA1003AD3502 - Finanzas</v>
      </c>
      <c r="B41" s="6" t="str">
        <f xml:space="preserve"> _xll.EPMOlapMemberO("[CLACO].[PARENTH7].[AMSAINFORMATIC]","","Informática y Comuni","","000")</f>
        <v>Informática y Comuni</v>
      </c>
      <c r="C41" t="str">
        <f>_xlfn.CONCAT(_xll.EPMMemberProperty("COSTOS", _xll.EPMMemberID(A41), "PARENTH3"), " - ", _xll.EPMMemberDesc(_xll.EPMMemberProperty("COSTOS", _xll.EPMMemberID(A41), "PARENTH3"), "COSTOS"))</f>
        <v>N1003AD350 - Administración y Fin</v>
      </c>
      <c r="D41">
        <v>0</v>
      </c>
      <c r="F41">
        <f t="shared" si="0"/>
        <v>0</v>
      </c>
      <c r="G41">
        <v>0</v>
      </c>
      <c r="I41">
        <f t="shared" si="1"/>
        <v>0</v>
      </c>
      <c r="J41">
        <v>0</v>
      </c>
      <c r="L41">
        <f t="shared" si="2"/>
        <v>0</v>
      </c>
      <c r="M41">
        <v>0</v>
      </c>
      <c r="O41">
        <f t="shared" si="3"/>
        <v>0</v>
      </c>
      <c r="P41">
        <v>199.99</v>
      </c>
      <c r="R41">
        <f t="shared" si="4"/>
        <v>-199.99</v>
      </c>
      <c r="S41">
        <v>-3161</v>
      </c>
      <c r="T41">
        <v>800</v>
      </c>
      <c r="U41">
        <f t="shared" si="5"/>
        <v>3961</v>
      </c>
    </row>
    <row r="42" spans="1:21" x14ac:dyDescent="0.3">
      <c r="A42" s="4" t="str">
        <f xml:space="preserve"> _xll.EPMOlapMemberO("[CECO].[PARENTH3].[AMSA1003AD3503]","","AMSA1003AD3503 - Contabilidad","","000")</f>
        <v>AMSA1003AD3503 - Contabilidad</v>
      </c>
      <c r="B42" s="6" t="str">
        <f xml:space="preserve"> _xll.EPMOlapMemberO("[CLACO].[PARENTH7].[AMSAMAT_Y_REP.2]","","Materiales y repuest","","000")</f>
        <v>Materiales y repuest</v>
      </c>
      <c r="C42" t="str">
        <f>_xlfn.CONCAT(_xll.EPMMemberProperty("COSTOS", _xll.EPMMemberID(A42), "PARENTH3"), " - ", _xll.EPMMemberDesc(_xll.EPMMemberProperty("COSTOS", _xll.EPMMemberID(A42), "PARENTH3"), "COSTOS"))</f>
        <v>N1003AD350 - Administración y Fin</v>
      </c>
      <c r="F42">
        <f t="shared" si="0"/>
        <v>0</v>
      </c>
      <c r="I42">
        <f t="shared" si="1"/>
        <v>0</v>
      </c>
      <c r="K42">
        <v>120</v>
      </c>
      <c r="L42">
        <f t="shared" si="2"/>
        <v>120</v>
      </c>
      <c r="O42">
        <f t="shared" si="3"/>
        <v>0</v>
      </c>
      <c r="R42">
        <f t="shared" si="4"/>
        <v>0</v>
      </c>
      <c r="T42">
        <v>120</v>
      </c>
      <c r="U42">
        <f t="shared" si="5"/>
        <v>120</v>
      </c>
    </row>
    <row r="43" spans="1:21" x14ac:dyDescent="0.3">
      <c r="A43" s="4" t="str">
        <f xml:space="preserve"> _xll.EPMOlapMemberO("[CECO].[PARENTH3].[AMSA1003AD3503]","","AMSA1003AD3503 - Contabilidad","","000")</f>
        <v>AMSA1003AD3503 - Contabilidad</v>
      </c>
      <c r="B43" s="6" t="str">
        <f xml:space="preserve"> _xll.EPMOlapMemberO("[CLACO].[PARENTH7].[AMSAASESORIAS]","","Asesorías y Consulto","","000")</f>
        <v>Asesorías y Consulto</v>
      </c>
      <c r="C43" t="str">
        <f>_xlfn.CONCAT(_xll.EPMMemberProperty("COSTOS", _xll.EPMMemberID(A43), "PARENTH3"), " - ", _xll.EPMMemberDesc(_xll.EPMMemberProperty("COSTOS", _xll.EPMMemberID(A43), "PARENTH3"), "COSTOS"))</f>
        <v>N1003AD350 - Administración y Fin</v>
      </c>
      <c r="D43">
        <v>-2105.75</v>
      </c>
      <c r="F43">
        <f t="shared" si="0"/>
        <v>2105.75</v>
      </c>
      <c r="G43">
        <v>-50.45</v>
      </c>
      <c r="I43">
        <f t="shared" si="1"/>
        <v>50.45</v>
      </c>
      <c r="J43">
        <v>-1475.39</v>
      </c>
      <c r="K43">
        <v>440</v>
      </c>
      <c r="L43">
        <f t="shared" si="2"/>
        <v>1915.39</v>
      </c>
      <c r="M43">
        <v>15.68</v>
      </c>
      <c r="O43">
        <f t="shared" si="3"/>
        <v>-15.68</v>
      </c>
      <c r="P43">
        <v>0</v>
      </c>
      <c r="Q43">
        <v>7490</v>
      </c>
      <c r="R43">
        <f t="shared" si="4"/>
        <v>7490</v>
      </c>
      <c r="S43">
        <v>-3615.91</v>
      </c>
      <c r="T43">
        <v>201060</v>
      </c>
      <c r="U43">
        <f t="shared" si="5"/>
        <v>204675.91</v>
      </c>
    </row>
    <row r="44" spans="1:21" x14ac:dyDescent="0.3">
      <c r="A44" s="4" t="str">
        <f xml:space="preserve"> _xll.EPMOlapMemberO("[CECO].[PARENTH3].[AMSA1003AD3503]","","AMSA1003AD3503 - Contabilidad","","000")</f>
        <v>AMSA1003AD3503 - Contabilidad</v>
      </c>
      <c r="B44" s="6" t="str">
        <f xml:space="preserve"> _xll.EPMOlapMemberO("[CLACO].[PARENTH7].[AMSASERVICIOS]","","Servicios","","000")</f>
        <v>Servicios</v>
      </c>
      <c r="C44" t="str">
        <f>_xlfn.CONCAT(_xll.EPMMemberProperty("COSTOS", _xll.EPMMemberID(A44), "PARENTH3"), " - ", _xll.EPMMemberDesc(_xll.EPMMemberProperty("COSTOS", _xll.EPMMemberID(A44), "PARENTH3"), "COSTOS"))</f>
        <v>N1003AD350 - Administración y Fin</v>
      </c>
      <c r="E44">
        <v>170</v>
      </c>
      <c r="F44">
        <f t="shared" si="0"/>
        <v>170</v>
      </c>
      <c r="H44">
        <v>170</v>
      </c>
      <c r="I44">
        <f t="shared" si="1"/>
        <v>170</v>
      </c>
      <c r="K44">
        <v>180</v>
      </c>
      <c r="L44">
        <f t="shared" si="2"/>
        <v>180</v>
      </c>
      <c r="N44">
        <v>180</v>
      </c>
      <c r="O44">
        <f t="shared" si="3"/>
        <v>180</v>
      </c>
      <c r="Q44">
        <v>180</v>
      </c>
      <c r="R44">
        <f t="shared" si="4"/>
        <v>180</v>
      </c>
      <c r="T44">
        <v>2140</v>
      </c>
      <c r="U44">
        <f t="shared" si="5"/>
        <v>2140</v>
      </c>
    </row>
    <row r="45" spans="1:21" x14ac:dyDescent="0.3">
      <c r="A45" s="4" t="str">
        <f xml:space="preserve"> _xll.EPMOlapMemberO("[CECO].[PARENTH3].[AMSA1003AD3503]","","AMSA1003AD3503 - Contabilidad","","000")</f>
        <v>AMSA1003AD3503 - Contabilidad</v>
      </c>
      <c r="B45" s="6" t="str">
        <f xml:space="preserve"> _xll.EPMOlapMemberO("[CLACO].[PARENTH7].[AMSAINFORMATIC]","","Informática y Comuni","","000")</f>
        <v>Informática y Comuni</v>
      </c>
      <c r="C45" t="str">
        <f>_xlfn.CONCAT(_xll.EPMMemberProperty("COSTOS", _xll.EPMMemberID(A45), "PARENTH3"), " - ", _xll.EPMMemberDesc(_xll.EPMMemberProperty("COSTOS", _xll.EPMMemberID(A45), "PARENTH3"), "COSTOS"))</f>
        <v>N1003AD350 - Administración y Fin</v>
      </c>
      <c r="D45">
        <v>4049.11</v>
      </c>
      <c r="E45">
        <v>3660</v>
      </c>
      <c r="F45">
        <f t="shared" si="0"/>
        <v>-389.11000000000013</v>
      </c>
      <c r="G45">
        <v>3876.21</v>
      </c>
      <c r="H45">
        <v>3670</v>
      </c>
      <c r="I45">
        <f t="shared" si="1"/>
        <v>-206.21000000000004</v>
      </c>
      <c r="J45">
        <v>5815.77</v>
      </c>
      <c r="K45">
        <v>3680</v>
      </c>
      <c r="L45">
        <f t="shared" si="2"/>
        <v>-2135.7700000000004</v>
      </c>
      <c r="M45">
        <v>3746.86</v>
      </c>
      <c r="N45">
        <v>3690</v>
      </c>
      <c r="O45">
        <f t="shared" si="3"/>
        <v>-56.860000000000127</v>
      </c>
      <c r="P45">
        <v>3880.04</v>
      </c>
      <c r="Q45">
        <v>3700</v>
      </c>
      <c r="R45">
        <f t="shared" si="4"/>
        <v>-180.03999999999996</v>
      </c>
      <c r="S45">
        <v>21309.72</v>
      </c>
      <c r="T45">
        <v>44600</v>
      </c>
      <c r="U45">
        <f t="shared" si="5"/>
        <v>23290.28</v>
      </c>
    </row>
    <row r="46" spans="1:21" x14ac:dyDescent="0.3">
      <c r="A46" s="4" t="str">
        <f xml:space="preserve"> _xll.EPMOlapMemberO("[CECO].[PARENTH3].[AMSA1003AD3503]","","AMSA1003AD3503 - Contabilidad","","000")</f>
        <v>AMSA1003AD3503 - Contabilidad</v>
      </c>
      <c r="B46" s="6" t="str">
        <f xml:space="preserve"> _xll.EPMOlapMemberO("[CLACO].[PARENTH7].[AMSAG_VIAJES]","","Gastos de Viajes","","000")</f>
        <v>Gastos de Viajes</v>
      </c>
      <c r="C46" t="str">
        <f>_xlfn.CONCAT(_xll.EPMMemberProperty("COSTOS", _xll.EPMMemberID(A46), "PARENTH3"), " - ", _xll.EPMMemberDesc(_xll.EPMMemberProperty("COSTOS", _xll.EPMMemberID(A46), "PARENTH3"), "COSTOS"))</f>
        <v>N1003AD350 - Administración y Fin</v>
      </c>
      <c r="D46">
        <v>-699.88</v>
      </c>
      <c r="F46">
        <f t="shared" si="0"/>
        <v>699.88</v>
      </c>
      <c r="G46">
        <v>386.69</v>
      </c>
      <c r="I46">
        <f t="shared" si="1"/>
        <v>-386.69</v>
      </c>
      <c r="J46">
        <v>156.87</v>
      </c>
      <c r="K46">
        <v>2260</v>
      </c>
      <c r="L46">
        <f t="shared" si="2"/>
        <v>2103.13</v>
      </c>
      <c r="M46">
        <v>0</v>
      </c>
      <c r="O46">
        <f t="shared" si="3"/>
        <v>0</v>
      </c>
      <c r="P46">
        <v>0</v>
      </c>
      <c r="Q46">
        <v>1600</v>
      </c>
      <c r="R46">
        <f t="shared" si="4"/>
        <v>1600</v>
      </c>
      <c r="S46">
        <v>-156.32</v>
      </c>
      <c r="T46">
        <v>12330</v>
      </c>
      <c r="U46">
        <f t="shared" si="5"/>
        <v>12486.32</v>
      </c>
    </row>
    <row r="47" spans="1:21" x14ac:dyDescent="0.3">
      <c r="A47" s="4" t="str">
        <f xml:space="preserve"> _xll.EPMOlapMemberO("[CECO].[PARENTH3].[AMSA1003AD3503]","","AMSA1003AD3503 - Contabilidad","","000")</f>
        <v>AMSA1003AD3503 - Contabilidad</v>
      </c>
      <c r="B47" s="6" t="str">
        <f xml:space="preserve"> _xll.EPMOlapMemberO("[CLACO].[PARENTH7].[AMSASERV_CORP]","","Servicios Corporativ","","000")</f>
        <v>Servicios Corporativ</v>
      </c>
      <c r="C47" t="str">
        <f>_xlfn.CONCAT(_xll.EPMMemberProperty("COSTOS", _xll.EPMMemberID(A47), "PARENTH3"), " - ", _xll.EPMMemberDesc(_xll.EPMMemberProperty("COSTOS", _xll.EPMMemberID(A47), "PARENTH3"), "COSTOS"))</f>
        <v>N1003AD350 - Administración y Fin</v>
      </c>
      <c r="D47">
        <v>1124.57</v>
      </c>
      <c r="E47">
        <v>3100</v>
      </c>
      <c r="F47">
        <f t="shared" si="0"/>
        <v>1975.43</v>
      </c>
      <c r="G47">
        <v>5002.1400000000003</v>
      </c>
      <c r="H47">
        <v>3110</v>
      </c>
      <c r="I47">
        <f t="shared" si="1"/>
        <v>-1892.1400000000003</v>
      </c>
      <c r="J47">
        <v>2738.39</v>
      </c>
      <c r="K47">
        <v>3120</v>
      </c>
      <c r="L47">
        <f t="shared" si="2"/>
        <v>381.61000000000013</v>
      </c>
      <c r="M47">
        <v>2706.66</v>
      </c>
      <c r="N47">
        <v>3130</v>
      </c>
      <c r="O47">
        <f t="shared" si="3"/>
        <v>423.34000000000015</v>
      </c>
      <c r="P47">
        <v>2941.46</v>
      </c>
      <c r="Q47">
        <v>3140</v>
      </c>
      <c r="R47">
        <f t="shared" si="4"/>
        <v>198.53999999999996</v>
      </c>
      <c r="S47">
        <v>11571.76</v>
      </c>
      <c r="T47">
        <v>37800</v>
      </c>
      <c r="U47">
        <f t="shared" si="5"/>
        <v>26228.239999999998</v>
      </c>
    </row>
    <row r="48" spans="1:21" x14ac:dyDescent="0.3">
      <c r="A48" s="4" t="str">
        <f xml:space="preserve"> _xll.EPMOlapMemberO("[CECO].[PARENTH3].[AMSA1003AD3507]","","AMSA1003AD3507 - Control Inter y Ries","","000")</f>
        <v>AMSA1003AD3507 - Control Inter y Ries</v>
      </c>
      <c r="B48" s="6" t="str">
        <f xml:space="preserve"> _xll.EPMOlapMemberO("[CLACO].[PARENTH7].[AMSAENTRENAMI]","","Entrenamiento","","000")</f>
        <v>Entrenamiento</v>
      </c>
      <c r="C48" t="str">
        <f>_xlfn.CONCAT(_xll.EPMMemberProperty("COSTOS", _xll.EPMMemberID(A48), "PARENTH3"), " - ", _xll.EPMMemberDesc(_xll.EPMMemberProperty("COSTOS", _xll.EPMMemberID(A48), "PARENTH3"), "COSTOS"))</f>
        <v>N1003AD350 - Administración y Fin</v>
      </c>
      <c r="F48">
        <f t="shared" si="0"/>
        <v>0</v>
      </c>
      <c r="G48">
        <v>652.77</v>
      </c>
      <c r="I48">
        <f t="shared" si="1"/>
        <v>-652.77</v>
      </c>
      <c r="J48">
        <v>0</v>
      </c>
      <c r="L48">
        <f t="shared" si="2"/>
        <v>0</v>
      </c>
      <c r="M48">
        <v>0</v>
      </c>
      <c r="O48">
        <f t="shared" si="3"/>
        <v>0</v>
      </c>
      <c r="P48">
        <v>0</v>
      </c>
      <c r="R48">
        <f t="shared" si="4"/>
        <v>0</v>
      </c>
      <c r="S48">
        <v>652.77</v>
      </c>
      <c r="T48">
        <v>1110</v>
      </c>
      <c r="U48">
        <f t="shared" si="5"/>
        <v>457.23</v>
      </c>
    </row>
    <row r="49" spans="1:21" x14ac:dyDescent="0.3">
      <c r="A49" s="4" t="str">
        <f xml:space="preserve"> _xll.EPMOlapMemberO("[CECO].[PARENTH3].[AMSA1003AD3507]","","AMSA1003AD3507 - Control Inter y Ries","","000")</f>
        <v>AMSA1003AD3507 - Control Inter y Ries</v>
      </c>
      <c r="B49" s="6" t="str">
        <f xml:space="preserve"> _xll.EPMOlapMemberO("[CLACO].[PARENTH7].[AMSAASESORIAS]","","Asesorías y Consulto","","000")</f>
        <v>Asesorías y Consulto</v>
      </c>
      <c r="C49" t="str">
        <f>_xlfn.CONCAT(_xll.EPMMemberProperty("COSTOS", _xll.EPMMemberID(A49), "PARENTH3"), " - ", _xll.EPMMemberDesc(_xll.EPMMemberProperty("COSTOS", _xll.EPMMemberID(A49), "PARENTH3"), "COSTOS"))</f>
        <v>N1003AD350 - Administración y Fin</v>
      </c>
      <c r="D49">
        <v>-5002.17</v>
      </c>
      <c r="F49">
        <f t="shared" si="0"/>
        <v>5002.17</v>
      </c>
      <c r="G49">
        <v>9051.66</v>
      </c>
      <c r="I49">
        <f t="shared" si="1"/>
        <v>-9051.66</v>
      </c>
      <c r="J49">
        <v>-281.70999999999998</v>
      </c>
      <c r="K49">
        <v>2520</v>
      </c>
      <c r="L49">
        <f t="shared" si="2"/>
        <v>2801.71</v>
      </c>
      <c r="M49">
        <v>75.66</v>
      </c>
      <c r="O49">
        <f t="shared" si="3"/>
        <v>-75.66</v>
      </c>
      <c r="P49">
        <v>56.95</v>
      </c>
      <c r="Q49">
        <v>1610</v>
      </c>
      <c r="R49">
        <f t="shared" si="4"/>
        <v>1553.05</v>
      </c>
      <c r="S49">
        <v>3843.44</v>
      </c>
      <c r="T49">
        <v>15030</v>
      </c>
      <c r="U49">
        <f t="shared" si="5"/>
        <v>11186.56</v>
      </c>
    </row>
    <row r="50" spans="1:21" x14ac:dyDescent="0.3">
      <c r="A50" s="4" t="str">
        <f xml:space="preserve"> _xll.EPMOlapMemberO("[CECO].[PARENTH3].[AMSA1003AD3507]","","AMSA1003AD3507 - Control Inter y Ries","","000")</f>
        <v>AMSA1003AD3507 - Control Inter y Ries</v>
      </c>
      <c r="B50" s="6" t="str">
        <f xml:space="preserve"> _xll.EPMOlapMemberO("[CLACO].[PARENTH7].[AMSASERVICIOS]","","Servicios","","000")</f>
        <v>Servicios</v>
      </c>
      <c r="C50" t="str">
        <f>_xlfn.CONCAT(_xll.EPMMemberProperty("COSTOS", _xll.EPMMemberID(A50), "PARENTH3"), " - ", _xll.EPMMemberDesc(_xll.EPMMemberProperty("COSTOS", _xll.EPMMemberID(A50), "PARENTH3"), "COSTOS"))</f>
        <v>N1003AD350 - Administración y Fin</v>
      </c>
      <c r="D50">
        <v>4159.25</v>
      </c>
      <c r="E50">
        <v>2600</v>
      </c>
      <c r="F50">
        <f t="shared" si="0"/>
        <v>-1559.25</v>
      </c>
      <c r="G50">
        <v>11210.61</v>
      </c>
      <c r="I50">
        <f t="shared" si="1"/>
        <v>-11210.61</v>
      </c>
      <c r="J50">
        <v>4106.01</v>
      </c>
      <c r="K50">
        <v>20340</v>
      </c>
      <c r="L50">
        <f t="shared" si="2"/>
        <v>16233.99</v>
      </c>
      <c r="M50">
        <v>12533.18</v>
      </c>
      <c r="N50">
        <v>2620</v>
      </c>
      <c r="O50">
        <f t="shared" si="3"/>
        <v>-9913.18</v>
      </c>
      <c r="P50">
        <v>4904.45</v>
      </c>
      <c r="R50">
        <f t="shared" si="4"/>
        <v>-4904.45</v>
      </c>
      <c r="S50">
        <v>32009.05</v>
      </c>
      <c r="T50">
        <v>92910</v>
      </c>
      <c r="U50">
        <f t="shared" si="5"/>
        <v>60900.95</v>
      </c>
    </row>
    <row r="51" spans="1:21" x14ac:dyDescent="0.3">
      <c r="A51" s="4" t="str">
        <f xml:space="preserve"> _xll.EPMOlapMemberO("[CECO].[PARENTH3].[AMSA1003AD3507]","","AMSA1003AD3507 - Control Inter y Ries","","000")</f>
        <v>AMSA1003AD3507 - Control Inter y Ries</v>
      </c>
      <c r="B51" s="6" t="str">
        <f xml:space="preserve"> _xll.EPMOlapMemberO("[CLACO].[PARENTH7].[AMSAINFORMATIC]","","Informática y Comuni","","000")</f>
        <v>Informática y Comuni</v>
      </c>
      <c r="C51" t="str">
        <f>_xlfn.CONCAT(_xll.EPMMemberProperty("COSTOS", _xll.EPMMemberID(A51), "PARENTH3"), " - ", _xll.EPMMemberDesc(_xll.EPMMemberProperty("COSTOS", _xll.EPMMemberID(A51), "PARENTH3"), "COSTOS"))</f>
        <v>N1003AD350 - Administración y Fin</v>
      </c>
      <c r="D51">
        <v>-25352.73</v>
      </c>
      <c r="F51">
        <f t="shared" si="0"/>
        <v>25352.73</v>
      </c>
      <c r="G51">
        <v>25859.62</v>
      </c>
      <c r="I51">
        <f t="shared" si="1"/>
        <v>-25859.62</v>
      </c>
      <c r="J51">
        <v>18638.759999999998</v>
      </c>
      <c r="K51">
        <v>6300</v>
      </c>
      <c r="L51">
        <f t="shared" si="2"/>
        <v>-12338.759999999998</v>
      </c>
      <c r="M51">
        <v>442.21</v>
      </c>
      <c r="N51">
        <v>27380</v>
      </c>
      <c r="O51">
        <f t="shared" si="3"/>
        <v>26937.79</v>
      </c>
      <c r="P51">
        <v>3464.8</v>
      </c>
      <c r="Q51">
        <v>8640</v>
      </c>
      <c r="R51">
        <f t="shared" si="4"/>
        <v>5175.2</v>
      </c>
      <c r="S51">
        <v>19587.86</v>
      </c>
      <c r="T51">
        <v>73810</v>
      </c>
      <c r="U51">
        <f t="shared" si="5"/>
        <v>54222.14</v>
      </c>
    </row>
    <row r="52" spans="1:21" x14ac:dyDescent="0.3">
      <c r="A52" s="4" t="str">
        <f xml:space="preserve"> _xll.EPMOlapMemberO("[CECO].[PARENTH3].[AMSA1003AD3507]","","AMSA1003AD3507 - Control Inter y Ries","","000")</f>
        <v>AMSA1003AD3507 - Control Inter y Ries</v>
      </c>
      <c r="B52" s="6" t="str">
        <f xml:space="preserve"> _xll.EPMOlapMemberO("[CLACO].[PARENTH7].[AMSAGGENERALES.2]","","Otros Gastos","","000")</f>
        <v>Otros Gastos</v>
      </c>
      <c r="C52" t="str">
        <f>_xlfn.CONCAT(_xll.EPMMemberProperty("COSTOS", _xll.EPMMemberID(A52), "PARENTH3"), " - ", _xll.EPMMemberDesc(_xll.EPMMemberProperty("COSTOS", _xll.EPMMemberID(A52), "PARENTH3"), "COSTOS"))</f>
        <v>N1003AD350 - Administración y Fin</v>
      </c>
      <c r="D52">
        <v>0</v>
      </c>
      <c r="F52">
        <f t="shared" si="0"/>
        <v>0</v>
      </c>
      <c r="I52">
        <f t="shared" si="1"/>
        <v>0</v>
      </c>
      <c r="K52">
        <v>2040</v>
      </c>
      <c r="L52">
        <f t="shared" si="2"/>
        <v>2040</v>
      </c>
      <c r="M52">
        <v>595.48</v>
      </c>
      <c r="O52">
        <f t="shared" si="3"/>
        <v>-595.48</v>
      </c>
      <c r="P52">
        <v>0</v>
      </c>
      <c r="R52">
        <f t="shared" si="4"/>
        <v>0</v>
      </c>
      <c r="S52">
        <v>595.48</v>
      </c>
      <c r="T52">
        <v>8270</v>
      </c>
      <c r="U52">
        <f t="shared" si="5"/>
        <v>7674.52</v>
      </c>
    </row>
    <row r="53" spans="1:21" x14ac:dyDescent="0.3">
      <c r="A53" s="4" t="str">
        <f xml:space="preserve"> _xll.EPMOlapMemberO("[CECO].[PARENTH3].[AMSA1003AD3509]","","AMSA1003AD3509 - TICA Corporativo","","000")</f>
        <v>AMSA1003AD3509 - TICA Corporativo</v>
      </c>
      <c r="B53" s="6" t="str">
        <f xml:space="preserve"> _xll.EPMOlapMemberO("[CLACO].[PARENTH7].[AMSAMAT_Y_REP.2]","","Materiales y repuest","","000")</f>
        <v>Materiales y repuest</v>
      </c>
      <c r="C53" t="str">
        <f>_xlfn.CONCAT(_xll.EPMMemberProperty("COSTOS", _xll.EPMMemberID(A53), "PARENTH3"), " - ", _xll.EPMMemberDesc(_xll.EPMMemberProperty("COSTOS", _xll.EPMMemberID(A53), "PARENTH3"), "COSTOS"))</f>
        <v>N1003AD350 - Administración y Fin</v>
      </c>
      <c r="D53">
        <v>15414.87</v>
      </c>
      <c r="F53">
        <f t="shared" si="0"/>
        <v>-15414.87</v>
      </c>
      <c r="G53">
        <v>-10381.290000000001</v>
      </c>
      <c r="H53">
        <v>7500</v>
      </c>
      <c r="I53">
        <f t="shared" si="1"/>
        <v>17881.29</v>
      </c>
      <c r="J53">
        <v>20274.14</v>
      </c>
      <c r="K53">
        <v>1210</v>
      </c>
      <c r="L53">
        <f t="shared" si="2"/>
        <v>-19064.14</v>
      </c>
      <c r="M53">
        <v>3443.97</v>
      </c>
      <c r="N53">
        <v>3860</v>
      </c>
      <c r="O53">
        <f t="shared" si="3"/>
        <v>416.0300000000002</v>
      </c>
      <c r="P53">
        <v>371.73</v>
      </c>
      <c r="Q53">
        <v>5040</v>
      </c>
      <c r="R53">
        <f t="shared" si="4"/>
        <v>4668.2700000000004</v>
      </c>
      <c r="S53">
        <v>29426.03</v>
      </c>
      <c r="T53">
        <v>49730</v>
      </c>
      <c r="U53">
        <f t="shared" si="5"/>
        <v>20303.97</v>
      </c>
    </row>
    <row r="54" spans="1:21" x14ac:dyDescent="0.3">
      <c r="A54" s="4" t="str">
        <f xml:space="preserve"> _xll.EPMOlapMemberO("[CECO].[PARENTH3].[AMSA1003AD3509]","","AMSA1003AD3509 - TICA Corporativo","","000")</f>
        <v>AMSA1003AD3509 - TICA Corporativo</v>
      </c>
      <c r="B54" s="6" t="str">
        <f xml:space="preserve"> _xll.EPMOlapMemberO("[CLACO].[PARENTH7].[AMSACOMBUSTIBL]","","Combustibles  / Lubr","","000")</f>
        <v>Combustibles  / Lubr</v>
      </c>
      <c r="C54" t="str">
        <f>_xlfn.CONCAT(_xll.EPMMemberProperty("COSTOS", _xll.EPMMemberID(A54), "PARENTH3"), " - ", _xll.EPMMemberDesc(_xll.EPMMemberProperty("COSTOS", _xll.EPMMemberID(A54), "PARENTH3"), "COSTOS"))</f>
        <v>N1003AD350 - Administración y Fin</v>
      </c>
      <c r="D54">
        <v>656.99</v>
      </c>
      <c r="E54">
        <v>170</v>
      </c>
      <c r="F54">
        <f t="shared" si="0"/>
        <v>-486.99</v>
      </c>
      <c r="G54">
        <v>-28.52</v>
      </c>
      <c r="H54">
        <v>170</v>
      </c>
      <c r="I54">
        <f t="shared" si="1"/>
        <v>198.52</v>
      </c>
      <c r="K54">
        <v>170</v>
      </c>
      <c r="L54">
        <f t="shared" si="2"/>
        <v>170</v>
      </c>
      <c r="N54">
        <v>170</v>
      </c>
      <c r="O54">
        <f t="shared" si="3"/>
        <v>170</v>
      </c>
      <c r="Q54">
        <v>170</v>
      </c>
      <c r="R54">
        <f t="shared" si="4"/>
        <v>170</v>
      </c>
      <c r="S54">
        <v>628.47</v>
      </c>
      <c r="T54">
        <v>2040</v>
      </c>
      <c r="U54">
        <f t="shared" si="5"/>
        <v>1411.53</v>
      </c>
    </row>
    <row r="55" spans="1:21" x14ac:dyDescent="0.3">
      <c r="A55" s="4" t="str">
        <f xml:space="preserve"> _xll.EPMOlapMemberO("[CECO].[PARENTH3].[AMSA1003AD3509]","","AMSA1003AD3509 - TICA Corporativo","","000")</f>
        <v>AMSA1003AD3509 - TICA Corporativo</v>
      </c>
      <c r="B55" s="6" t="str">
        <f xml:space="preserve"> _xll.EPMOlapMemberO("[CLACO].[PARENTH7].[AMSAARRIENDOS]","","Arriendos","","000")</f>
        <v>Arriendos</v>
      </c>
      <c r="C55" t="str">
        <f>_xlfn.CONCAT(_xll.EPMMemberProperty("COSTOS", _xll.EPMMemberID(A55), "PARENTH3"), " - ", _xll.EPMMemberDesc(_xll.EPMMemberProperty("COSTOS", _xll.EPMMemberID(A55), "PARENTH3"), "COSTOS"))</f>
        <v>N1003AD350 - Administración y Fin</v>
      </c>
      <c r="D55">
        <v>885.31</v>
      </c>
      <c r="E55">
        <v>830</v>
      </c>
      <c r="F55">
        <f t="shared" si="0"/>
        <v>-55.309999999999945</v>
      </c>
      <c r="G55">
        <v>1097.95</v>
      </c>
      <c r="H55">
        <v>830</v>
      </c>
      <c r="I55">
        <f t="shared" si="1"/>
        <v>-267.95000000000005</v>
      </c>
      <c r="J55">
        <v>844.38</v>
      </c>
      <c r="K55">
        <v>840</v>
      </c>
      <c r="L55">
        <f t="shared" si="2"/>
        <v>-4.3799999999999955</v>
      </c>
      <c r="M55">
        <v>1052.0999999999999</v>
      </c>
      <c r="N55">
        <v>840</v>
      </c>
      <c r="O55">
        <f t="shared" si="3"/>
        <v>-212.09999999999991</v>
      </c>
      <c r="P55">
        <v>857.79</v>
      </c>
      <c r="Q55">
        <v>840</v>
      </c>
      <c r="R55">
        <f t="shared" si="4"/>
        <v>-17.789999999999964</v>
      </c>
      <c r="S55">
        <v>4737.53</v>
      </c>
      <c r="T55">
        <v>10130</v>
      </c>
      <c r="U55">
        <f t="shared" si="5"/>
        <v>5392.47</v>
      </c>
    </row>
    <row r="56" spans="1:21" x14ac:dyDescent="0.3">
      <c r="A56" s="4" t="str">
        <f xml:space="preserve"> _xll.EPMOlapMemberO("[CECO].[PARENTH3].[AMSA1003AD3509]","","AMSA1003AD3509 - TICA Corporativo","","000")</f>
        <v>AMSA1003AD3509 - TICA Corporativo</v>
      </c>
      <c r="B56" s="6" t="str">
        <f xml:space="preserve"> _xll.EPMOlapMemberO("[CLACO].[PARENTH7].[AMSASERVICIOS]","","Servicios","","000")</f>
        <v>Servicios</v>
      </c>
      <c r="C56" t="str">
        <f>_xlfn.CONCAT(_xll.EPMMemberProperty("COSTOS", _xll.EPMMemberID(A56), "PARENTH3"), " - ", _xll.EPMMemberDesc(_xll.EPMMemberProperty("COSTOS", _xll.EPMMemberID(A56), "PARENTH3"), "COSTOS"))</f>
        <v>N1003AD350 - Administración y Fin</v>
      </c>
      <c r="D56">
        <v>154.71</v>
      </c>
      <c r="F56">
        <f t="shared" si="0"/>
        <v>-154.71</v>
      </c>
      <c r="G56">
        <v>937.42</v>
      </c>
      <c r="I56">
        <f t="shared" si="1"/>
        <v>-937.42</v>
      </c>
      <c r="J56">
        <v>412.7</v>
      </c>
      <c r="L56">
        <f t="shared" si="2"/>
        <v>-412.7</v>
      </c>
      <c r="M56">
        <v>3385.57</v>
      </c>
      <c r="O56">
        <f t="shared" si="3"/>
        <v>-3385.57</v>
      </c>
      <c r="P56">
        <v>547.66</v>
      </c>
      <c r="R56">
        <f t="shared" si="4"/>
        <v>-547.66</v>
      </c>
      <c r="S56">
        <v>5439.2</v>
      </c>
      <c r="U56">
        <f t="shared" si="5"/>
        <v>-5439.2</v>
      </c>
    </row>
    <row r="57" spans="1:21" x14ac:dyDescent="0.3">
      <c r="A57" s="4" t="str">
        <f xml:space="preserve"> _xll.EPMOlapMemberO("[CECO].[PARENTH3].[AMSA1003AD3509]","","AMSA1003AD3509 - TICA Corporativo","","000")</f>
        <v>AMSA1003AD3509 - TICA Corporativo</v>
      </c>
      <c r="B57" s="6" t="str">
        <f xml:space="preserve"> _xll.EPMOlapMemberO("[CLACO].[PARENTH7].[AMSAINFORMATIC]","","Informática y Comuni","","000")</f>
        <v>Informática y Comuni</v>
      </c>
      <c r="C57" t="str">
        <f>_xlfn.CONCAT(_xll.EPMMemberProperty("COSTOS", _xll.EPMMemberID(A57), "PARENTH3"), " - ", _xll.EPMMemberDesc(_xll.EPMMemberProperty("COSTOS", _xll.EPMMemberID(A57), "PARENTH3"), "COSTOS"))</f>
        <v>N1003AD350 - Administración y Fin</v>
      </c>
      <c r="D57">
        <v>311453.34999999998</v>
      </c>
      <c r="E57">
        <v>493370</v>
      </c>
      <c r="F57">
        <f t="shared" si="0"/>
        <v>181916.65000000002</v>
      </c>
      <c r="G57">
        <v>452895.18</v>
      </c>
      <c r="H57">
        <v>280710</v>
      </c>
      <c r="I57">
        <f t="shared" si="1"/>
        <v>-172185.18</v>
      </c>
      <c r="J57">
        <v>282207.15000000002</v>
      </c>
      <c r="K57">
        <v>300140</v>
      </c>
      <c r="L57">
        <f t="shared" si="2"/>
        <v>17932.849999999977</v>
      </c>
      <c r="M57">
        <v>277829.03000000003</v>
      </c>
      <c r="N57">
        <v>356560</v>
      </c>
      <c r="O57">
        <f t="shared" si="3"/>
        <v>78730.969999999972</v>
      </c>
      <c r="P57">
        <v>293176.13</v>
      </c>
      <c r="Q57">
        <v>347420</v>
      </c>
      <c r="R57">
        <f t="shared" si="4"/>
        <v>54243.869999999995</v>
      </c>
      <c r="S57">
        <v>793408.07</v>
      </c>
      <c r="T57">
        <v>3812750</v>
      </c>
      <c r="U57">
        <f t="shared" si="5"/>
        <v>3019341.93</v>
      </c>
    </row>
    <row r="58" spans="1:21" x14ac:dyDescent="0.3">
      <c r="A58" s="4" t="str">
        <f xml:space="preserve"> _xll.EPMOlapMemberO("[CECO].[PARENTH3].[AMSA1003AD3509]","","AMSA1003AD3509 - TICA Corporativo","","000")</f>
        <v>AMSA1003AD3509 - TICA Corporativo</v>
      </c>
      <c r="B58" s="6" t="str">
        <f xml:space="preserve"> _xll.EPMOlapMemberO("[CLACO].[PARENTH7].[AMSAG_VIAJES]","","Gastos de Viajes","","000")</f>
        <v>Gastos de Viajes</v>
      </c>
      <c r="C58" t="str">
        <f>_xlfn.CONCAT(_xll.EPMMemberProperty("COSTOS", _xll.EPMMemberID(A58), "PARENTH3"), " - ", _xll.EPMMemberDesc(_xll.EPMMemberProperty("COSTOS", _xll.EPMMemberID(A58), "PARENTH3"), "COSTOS"))</f>
        <v>N1003AD350 - Administración y Fin</v>
      </c>
      <c r="D58">
        <v>158.82</v>
      </c>
      <c r="E58">
        <v>2070</v>
      </c>
      <c r="F58">
        <f t="shared" si="0"/>
        <v>1911.18</v>
      </c>
      <c r="G58">
        <v>3525.97</v>
      </c>
      <c r="H58">
        <v>2070</v>
      </c>
      <c r="I58">
        <f t="shared" si="1"/>
        <v>-1455.9699999999998</v>
      </c>
      <c r="K58">
        <v>2070</v>
      </c>
      <c r="L58">
        <f t="shared" si="2"/>
        <v>2070</v>
      </c>
      <c r="M58">
        <v>1976.14</v>
      </c>
      <c r="N58">
        <v>2090</v>
      </c>
      <c r="O58">
        <f t="shared" si="3"/>
        <v>113.8599999999999</v>
      </c>
      <c r="P58">
        <v>2880.92</v>
      </c>
      <c r="Q58">
        <v>2090</v>
      </c>
      <c r="R58">
        <f t="shared" si="4"/>
        <v>-790.92000000000007</v>
      </c>
      <c r="S58">
        <v>8541.85</v>
      </c>
      <c r="T58">
        <v>25120</v>
      </c>
      <c r="U58">
        <f t="shared" si="5"/>
        <v>16578.150000000001</v>
      </c>
    </row>
    <row r="59" spans="1:21" x14ac:dyDescent="0.3">
      <c r="A59" s="9" t="str">
        <f xml:space="preserve"> _xll.EPMOlapMemberO("[CECO].[PARENTH3].[AMSA1003AD3509]","","AMSA1003AD3509 - TICA Corporativo","","000")</f>
        <v>AMSA1003AD3509 - TICA Corporativo</v>
      </c>
      <c r="B59" s="8" t="str">
        <f xml:space="preserve"> _xll.EPMOlapMemberO("[CLACO].[PARENTH7].[AMSAIMP_PATEN]","","Impuestos / Patentes","","000")</f>
        <v>Impuestos / Patentes</v>
      </c>
      <c r="C59" t="str">
        <f>_xlfn.CONCAT(_xll.EPMMemberProperty("COSTOS", _xll.EPMMemberID(A59), "PARENTH3"), " - ", _xll.EPMMemberDesc(_xll.EPMMemberProperty("COSTOS", _xll.EPMMemberID(A59), "PARENTH3"), "COSTOS"))</f>
        <v>N1003AD350 - Administración y Fin</v>
      </c>
      <c r="F59">
        <f t="shared" si="0"/>
        <v>0</v>
      </c>
      <c r="I59">
        <f t="shared" si="1"/>
        <v>0</v>
      </c>
      <c r="J59">
        <v>141.87</v>
      </c>
      <c r="L59">
        <f t="shared" si="2"/>
        <v>-141.87</v>
      </c>
      <c r="O59">
        <f t="shared" si="3"/>
        <v>0</v>
      </c>
      <c r="R59">
        <f t="shared" si="4"/>
        <v>0</v>
      </c>
      <c r="S59">
        <v>141.87</v>
      </c>
      <c r="U59">
        <f t="shared" si="5"/>
        <v>-141.87</v>
      </c>
    </row>
    <row r="60" spans="1:21" x14ac:dyDescent="0.3">
      <c r="A60" s="9" t="str">
        <f xml:space="preserve"> _xll.EPMOlapMemberO("[CECO].[PARENTH3].[AMSA1003AD3509]","","AMSA1003AD3509 - TICA Corporativo","","000")</f>
        <v>AMSA1003AD3509 - TICA Corporativo</v>
      </c>
      <c r="B60" s="8" t="str">
        <f xml:space="preserve"> _xll.EPMOlapMemberO("[CLACO].[PARENTH7].[AMSAGGENERALES.2]","","Otros Gastos","","000")</f>
        <v>Otros Gastos</v>
      </c>
      <c r="C60" t="str">
        <f>_xlfn.CONCAT(_xll.EPMMemberProperty("COSTOS", _xll.EPMMemberID(A60), "PARENTH3"), " - ", _xll.EPMMemberDesc(_xll.EPMMemberProperty("COSTOS", _xll.EPMMemberID(A60), "PARENTH3"), "COSTOS"))</f>
        <v>N1003AD350 - Administración y Fin</v>
      </c>
      <c r="D60">
        <v>0</v>
      </c>
      <c r="F60">
        <f t="shared" si="0"/>
        <v>0</v>
      </c>
      <c r="I60">
        <f t="shared" si="1"/>
        <v>0</v>
      </c>
      <c r="J60">
        <v>0</v>
      </c>
      <c r="L60">
        <f t="shared" si="2"/>
        <v>0</v>
      </c>
      <c r="O60">
        <f t="shared" si="3"/>
        <v>0</v>
      </c>
      <c r="P60">
        <v>34.549999999999997</v>
      </c>
      <c r="R60">
        <f t="shared" si="4"/>
        <v>-34.549999999999997</v>
      </c>
      <c r="S60">
        <v>34.549999999999997</v>
      </c>
      <c r="U60">
        <f t="shared" si="5"/>
        <v>-34.549999999999997</v>
      </c>
    </row>
    <row r="61" spans="1:21" x14ac:dyDescent="0.3">
      <c r="A61" s="9" t="str">
        <f xml:space="preserve"> _xll.EPMOlapMemberO("[CECO].[PARENTH3].[AMSA1003AD3509]","","AMSA1003AD3509 - TICA Corporativo","","000")</f>
        <v>AMSA1003AD3509 - TICA Corporativo</v>
      </c>
      <c r="B61" s="8" t="str">
        <f xml:space="preserve"> _xll.EPMOlapMemberO("[CLACO].[PARENTH7].[AMSASERV_CORP]","","Servicios Corporativ","","000")</f>
        <v>Servicios Corporativ</v>
      </c>
      <c r="C61" t="str">
        <f>_xlfn.CONCAT(_xll.EPMMemberProperty("COSTOS", _xll.EPMMemberID(A61), "PARENTH3"), " - ", _xll.EPMMemberDesc(_xll.EPMMemberProperty("COSTOS", _xll.EPMMemberID(A61), "PARENTH3"), "COSTOS"))</f>
        <v>N1003AD350 - Administración y Fin</v>
      </c>
      <c r="D61">
        <v>118735.47</v>
      </c>
      <c r="E61">
        <v>119490</v>
      </c>
      <c r="F61">
        <f t="shared" si="0"/>
        <v>754.52999999999884</v>
      </c>
      <c r="G61">
        <v>118735.47</v>
      </c>
      <c r="H61">
        <v>119830</v>
      </c>
      <c r="I61">
        <f t="shared" si="1"/>
        <v>1094.5299999999988</v>
      </c>
      <c r="J61">
        <v>118735.47</v>
      </c>
      <c r="K61">
        <v>120160</v>
      </c>
      <c r="L61">
        <f t="shared" si="2"/>
        <v>1424.5299999999988</v>
      </c>
      <c r="M61">
        <v>118735.47</v>
      </c>
      <c r="N61">
        <v>120500</v>
      </c>
      <c r="O61">
        <f t="shared" si="3"/>
        <v>1764.5299999999988</v>
      </c>
      <c r="P61">
        <v>118735.47</v>
      </c>
      <c r="Q61">
        <v>120830</v>
      </c>
      <c r="R61">
        <f t="shared" si="4"/>
        <v>2094.5299999999988</v>
      </c>
      <c r="S61">
        <v>0</v>
      </c>
      <c r="T61">
        <v>1456140</v>
      </c>
      <c r="U61">
        <f t="shared" si="5"/>
        <v>1456140</v>
      </c>
    </row>
    <row r="62" spans="1:21" x14ac:dyDescent="0.3">
      <c r="A62" s="9" t="str">
        <f xml:space="preserve"> _xll.EPMOlapMemberO("[CECO].[PARENTH3].[AMSA1003AD3510]","","AMSA1003AD3510 - Abaste. Corporativos","","000")</f>
        <v>AMSA1003AD3510 - Abaste. Corporativos</v>
      </c>
      <c r="B62" s="8" t="str">
        <f xml:space="preserve"> _xll.EPMOlapMemberO("[CLACO].[PARENTH7].[AMSAADM_PERSON]","","Administración Perso","","000")</f>
        <v>Administración Perso</v>
      </c>
      <c r="C62" t="str">
        <f>_xlfn.CONCAT(_xll.EPMMemberProperty("COSTOS", _xll.EPMMemberID(A62), "PARENTH3"), " - ", _xll.EPMMemberDesc(_xll.EPMMemberProperty("COSTOS", _xll.EPMMemberID(A62), "PARENTH3"), "COSTOS"))</f>
        <v>N1003AD350 - Administración y Fin</v>
      </c>
      <c r="D62">
        <v>0</v>
      </c>
      <c r="F62">
        <f t="shared" si="0"/>
        <v>0</v>
      </c>
      <c r="G62">
        <v>0</v>
      </c>
      <c r="I62">
        <f t="shared" si="1"/>
        <v>0</v>
      </c>
      <c r="J62">
        <v>0</v>
      </c>
      <c r="L62">
        <f t="shared" si="2"/>
        <v>0</v>
      </c>
      <c r="M62">
        <v>0</v>
      </c>
      <c r="O62">
        <f t="shared" si="3"/>
        <v>0</v>
      </c>
      <c r="P62">
        <v>0</v>
      </c>
      <c r="R62">
        <f t="shared" si="4"/>
        <v>0</v>
      </c>
      <c r="S62">
        <v>0</v>
      </c>
      <c r="U62">
        <f t="shared" si="5"/>
        <v>0</v>
      </c>
    </row>
    <row r="63" spans="1:21" x14ac:dyDescent="0.3">
      <c r="A63" s="9" t="str">
        <f xml:space="preserve"> _xll.EPMOlapMemberO("[CECO].[PARENTH3].[AMSA1003AD3510]","","AMSA1003AD3510 - Abaste. Corporativos","","000")</f>
        <v>AMSA1003AD3510 - Abaste. Corporativos</v>
      </c>
      <c r="B63" s="8" t="str">
        <f xml:space="preserve"> _xll.EPMOlapMemberO("[CLACO].[PARENTH7].[AMSAENTRENAMI]","","Entrenamiento","","000")</f>
        <v>Entrenamiento</v>
      </c>
      <c r="C63" t="str">
        <f>_xlfn.CONCAT(_xll.EPMMemberProperty("COSTOS", _xll.EPMMemberID(A63), "PARENTH3"), " - ", _xll.EPMMemberDesc(_xll.EPMMemberProperty("COSTOS", _xll.EPMMemberID(A63), "PARENTH3"), "COSTOS"))</f>
        <v>N1003AD350 - Administración y Fin</v>
      </c>
      <c r="F63">
        <f t="shared" si="0"/>
        <v>0</v>
      </c>
      <c r="H63">
        <v>330</v>
      </c>
      <c r="I63">
        <f t="shared" si="1"/>
        <v>330</v>
      </c>
      <c r="K63">
        <v>17660</v>
      </c>
      <c r="L63">
        <f t="shared" si="2"/>
        <v>17660</v>
      </c>
      <c r="N63">
        <v>3090</v>
      </c>
      <c r="O63">
        <f t="shared" si="3"/>
        <v>3090</v>
      </c>
      <c r="Q63">
        <v>5410</v>
      </c>
      <c r="R63">
        <f t="shared" si="4"/>
        <v>5410</v>
      </c>
      <c r="T63">
        <v>46330</v>
      </c>
      <c r="U63">
        <f t="shared" si="5"/>
        <v>46330</v>
      </c>
    </row>
    <row r="64" spans="1:21" x14ac:dyDescent="0.3">
      <c r="A64" s="9" t="str">
        <f xml:space="preserve"> _xll.EPMOlapMemberO("[CECO].[PARENTH3].[AMSA1003AD3510]","","AMSA1003AD3510 - Abaste. Corporativos","","000")</f>
        <v>AMSA1003AD3510 - Abaste. Corporativos</v>
      </c>
      <c r="B64" s="8" t="str">
        <f xml:space="preserve"> _xll.EPMOlapMemberO("[CLACO].[PARENTH7].[AMSASERVICIOS]","","Servicios","","000")</f>
        <v>Servicios</v>
      </c>
      <c r="C64" t="str">
        <f>_xlfn.CONCAT(_xll.EPMMemberProperty("COSTOS", _xll.EPMMemberID(A64), "PARENTH3"), " - ", _xll.EPMMemberDesc(_xll.EPMMemberProperty("COSTOS", _xll.EPMMemberID(A64), "PARENTH3"), "COSTOS"))</f>
        <v>N1003AD350 - Administración y Fin</v>
      </c>
      <c r="D64">
        <v>17568.25</v>
      </c>
      <c r="E64">
        <v>12850</v>
      </c>
      <c r="F64">
        <f t="shared" si="0"/>
        <v>-4718.25</v>
      </c>
      <c r="G64">
        <v>17424.62</v>
      </c>
      <c r="H64">
        <v>12890</v>
      </c>
      <c r="I64">
        <f t="shared" si="1"/>
        <v>-4534.619999999999</v>
      </c>
      <c r="J64">
        <v>93955.92</v>
      </c>
      <c r="K64">
        <v>12920</v>
      </c>
      <c r="L64">
        <f t="shared" si="2"/>
        <v>-81035.92</v>
      </c>
      <c r="M64">
        <v>-57584.41</v>
      </c>
      <c r="N64">
        <v>13310</v>
      </c>
      <c r="O64">
        <f t="shared" si="3"/>
        <v>70894.41</v>
      </c>
      <c r="P64">
        <v>93021.19</v>
      </c>
      <c r="Q64">
        <v>13410</v>
      </c>
      <c r="R64">
        <f t="shared" si="4"/>
        <v>-79611.19</v>
      </c>
      <c r="S64">
        <v>147629</v>
      </c>
      <c r="T64">
        <v>160510</v>
      </c>
      <c r="U64">
        <f t="shared" si="5"/>
        <v>12881</v>
      </c>
    </row>
    <row r="65" spans="1:21" x14ac:dyDescent="0.3">
      <c r="A65" s="9" t="str">
        <f xml:space="preserve"> _xll.EPMOlapMemberO("[CECO].[PARENTH3].[AMSA1003AD3510]","","AMSA1003AD3510 - Abaste. Corporativos","","000")</f>
        <v>AMSA1003AD3510 - Abaste. Corporativos</v>
      </c>
      <c r="B65" s="8" t="str">
        <f xml:space="preserve"> _xll.EPMOlapMemberO("[CLACO].[PARENTH7].[AMSAINFORMATIC]","","Informática y Comuni","","000")</f>
        <v>Informática y Comuni</v>
      </c>
      <c r="C65" t="str">
        <f>_xlfn.CONCAT(_xll.EPMMemberProperty("COSTOS", _xll.EPMMemberID(A65), "PARENTH3"), " - ", _xll.EPMMemberDesc(_xll.EPMMemberProperty("COSTOS", _xll.EPMMemberID(A65), "PARENTH3"), "COSTOS"))</f>
        <v>N1003AD350 - Administración y Fin</v>
      </c>
      <c r="D65">
        <v>-11341.8</v>
      </c>
      <c r="E65">
        <v>8460</v>
      </c>
      <c r="F65">
        <f t="shared" si="0"/>
        <v>19801.8</v>
      </c>
      <c r="G65">
        <v>16877.349999999999</v>
      </c>
      <c r="H65">
        <v>6710</v>
      </c>
      <c r="I65">
        <f t="shared" si="1"/>
        <v>-10167.349999999999</v>
      </c>
      <c r="J65">
        <v>8390.0400000000009</v>
      </c>
      <c r="K65">
        <v>14950</v>
      </c>
      <c r="L65">
        <f t="shared" si="2"/>
        <v>6559.9599999999991</v>
      </c>
      <c r="M65">
        <v>-3379.98</v>
      </c>
      <c r="N65">
        <v>710</v>
      </c>
      <c r="O65">
        <f t="shared" si="3"/>
        <v>4089.98</v>
      </c>
      <c r="P65">
        <v>5002.3</v>
      </c>
      <c r="Q65">
        <v>15410</v>
      </c>
      <c r="R65">
        <f t="shared" si="4"/>
        <v>10407.700000000001</v>
      </c>
      <c r="S65">
        <v>14468.92</v>
      </c>
      <c r="T65">
        <v>77730</v>
      </c>
      <c r="U65">
        <f t="shared" si="5"/>
        <v>63261.08</v>
      </c>
    </row>
    <row r="66" spans="1:21" x14ac:dyDescent="0.3">
      <c r="A66" s="9" t="str">
        <f xml:space="preserve"> _xll.EPMOlapMemberO("[CECO].[PARENTH3].[AMSA1003AD3520]","","AMSA1003AD3520 - Gestión de Seguros","","000")</f>
        <v>AMSA1003AD3520 - Gestión de Seguros</v>
      </c>
      <c r="B66" s="8" t="str">
        <f xml:space="preserve"> _xll.EPMOlapMemberO("[CLACO].[PARENTH7].[AMSAG_VIAJES]","","Gastos de Viajes","","000")</f>
        <v>Gastos de Viajes</v>
      </c>
      <c r="C66" t="str">
        <f>_xlfn.CONCAT(_xll.EPMMemberProperty("COSTOS", _xll.EPMMemberID(A66), "PARENTH3"), " - ", _xll.EPMMemberDesc(_xll.EPMMemberProperty("COSTOS", _xll.EPMMemberID(A66), "PARENTH3"), "COSTOS"))</f>
        <v>N1003AD350 - Administración y Fin</v>
      </c>
      <c r="D66">
        <v>0</v>
      </c>
      <c r="F66">
        <f t="shared" si="0"/>
        <v>0</v>
      </c>
      <c r="G66">
        <v>0</v>
      </c>
      <c r="I66">
        <f t="shared" si="1"/>
        <v>0</v>
      </c>
      <c r="J66">
        <v>0</v>
      </c>
      <c r="L66">
        <f t="shared" si="2"/>
        <v>0</v>
      </c>
      <c r="M66">
        <v>0</v>
      </c>
      <c r="O66">
        <f t="shared" si="3"/>
        <v>0</v>
      </c>
      <c r="P66">
        <v>0</v>
      </c>
      <c r="R66">
        <f t="shared" si="4"/>
        <v>0</v>
      </c>
      <c r="S66">
        <v>0</v>
      </c>
      <c r="T66">
        <v>3810</v>
      </c>
      <c r="U66">
        <f t="shared" si="5"/>
        <v>3810</v>
      </c>
    </row>
    <row r="67" spans="1:21" x14ac:dyDescent="0.3">
      <c r="A67" s="9" t="str">
        <f xml:space="preserve"> _xll.EPMOlapMemberO("[CECO].[PARENTH3].[AMSA1003AD3520]","","AMSA1003AD3520 - Gestión de Seguros","","000")</f>
        <v>AMSA1003AD3520 - Gestión de Seguros</v>
      </c>
      <c r="B67" s="8" t="str">
        <f xml:space="preserve"> _xll.EPMOlapMemberO("[CLACO].[PARENTH7].[AMSASEGUROS]","","Seguros","","000")</f>
        <v>Seguros</v>
      </c>
      <c r="C67" t="str">
        <f>_xlfn.CONCAT(_xll.EPMMemberProperty("COSTOS", _xll.EPMMemberID(A67), "PARENTH3"), " - ", _xll.EPMMemberDesc(_xll.EPMMemberProperty("COSTOS", _xll.EPMMemberID(A67), "PARENTH3"), "COSTOS"))</f>
        <v>N1003AD350 - Administración y Fin</v>
      </c>
      <c r="D67">
        <v>196756</v>
      </c>
      <c r="E67">
        <v>251630</v>
      </c>
      <c r="F67">
        <f t="shared" si="0"/>
        <v>54874</v>
      </c>
      <c r="G67">
        <v>280007.14</v>
      </c>
      <c r="H67">
        <v>334490</v>
      </c>
      <c r="I67">
        <f t="shared" si="1"/>
        <v>54482.859999999986</v>
      </c>
      <c r="J67">
        <v>197079.64</v>
      </c>
      <c r="K67">
        <v>251410</v>
      </c>
      <c r="L67">
        <f t="shared" si="2"/>
        <v>54330.359999999986</v>
      </c>
      <c r="M67">
        <v>342850.94</v>
      </c>
      <c r="N67">
        <v>251290</v>
      </c>
      <c r="O67">
        <f t="shared" si="3"/>
        <v>-91560.94</v>
      </c>
      <c r="P67">
        <v>296099.64</v>
      </c>
      <c r="Q67">
        <v>286210</v>
      </c>
      <c r="R67">
        <f t="shared" si="4"/>
        <v>-9889.640000000014</v>
      </c>
      <c r="S67">
        <v>1085816.83</v>
      </c>
      <c r="T67">
        <v>3205580</v>
      </c>
      <c r="U67">
        <f t="shared" si="5"/>
        <v>2119763.17</v>
      </c>
    </row>
    <row r="68" spans="1:21" x14ac:dyDescent="0.3">
      <c r="A68" s="9" t="str">
        <f xml:space="preserve"> _xll.EPMOlapMemberO("[CECO].[PARENTH3].[AMSA1003AD3521]","","AMSA1003AD3521 - Gestión de Impuestos","","000")</f>
        <v>AMSA1003AD3521 - Gestión de Impuestos</v>
      </c>
      <c r="B68" s="8" t="str">
        <f xml:space="preserve"> _xll.EPMOlapMemberO("[CLACO].[PARENTH7].[AMSAENTRENAMI]","","Entrenamiento","","000")</f>
        <v>Entrenamiento</v>
      </c>
      <c r="C68" t="str">
        <f>_xlfn.CONCAT(_xll.EPMMemberProperty("COSTOS", _xll.EPMMemberID(A68), "PARENTH3"), " - ", _xll.EPMMemberDesc(_xll.EPMMemberProperty("COSTOS", _xll.EPMMemberID(A68), "PARENTH3"), "COSTOS"))</f>
        <v>N1003AD350 - Administración y Fin</v>
      </c>
      <c r="F68">
        <f t="shared" si="0"/>
        <v>0</v>
      </c>
      <c r="I68">
        <f t="shared" si="1"/>
        <v>0</v>
      </c>
      <c r="L68">
        <f t="shared" si="2"/>
        <v>0</v>
      </c>
      <c r="O68">
        <f t="shared" si="3"/>
        <v>0</v>
      </c>
      <c r="R68">
        <f t="shared" si="4"/>
        <v>0</v>
      </c>
      <c r="T68">
        <v>1020</v>
      </c>
      <c r="U68">
        <f t="shared" si="5"/>
        <v>1020</v>
      </c>
    </row>
    <row r="69" spans="1:21" x14ac:dyDescent="0.3">
      <c r="A69" s="9" t="str">
        <f xml:space="preserve"> _xll.EPMOlapMemberO("[CECO].[PARENTH3].[AMSA1003AD3521]","","AMSA1003AD3521 - Gestión de Impuestos","","000")</f>
        <v>AMSA1003AD3521 - Gestión de Impuestos</v>
      </c>
      <c r="B69" s="8" t="str">
        <f xml:space="preserve"> _xll.EPMOlapMemberO("[CLACO].[PARENTH7].[AMSAASESORIAS]","","Asesorías y Consulto","","000")</f>
        <v>Asesorías y Consulto</v>
      </c>
      <c r="C69" t="str">
        <f>_xlfn.CONCAT(_xll.EPMMemberProperty("COSTOS", _xll.EPMMemberID(A69), "PARENTH3"), " - ", _xll.EPMMemberDesc(_xll.EPMMemberProperty("COSTOS", _xll.EPMMemberID(A69), "PARENTH3"), "COSTOS"))</f>
        <v>N1003AD350 - Administración y Fin</v>
      </c>
      <c r="D69">
        <v>585.79</v>
      </c>
      <c r="E69">
        <v>1080</v>
      </c>
      <c r="F69">
        <f t="shared" si="0"/>
        <v>494.21000000000004</v>
      </c>
      <c r="G69">
        <v>-103.4</v>
      </c>
      <c r="H69">
        <v>1080</v>
      </c>
      <c r="I69">
        <f t="shared" si="1"/>
        <v>1183.4000000000001</v>
      </c>
      <c r="J69">
        <v>-283.51</v>
      </c>
      <c r="K69">
        <v>1080</v>
      </c>
      <c r="L69">
        <f t="shared" si="2"/>
        <v>1363.51</v>
      </c>
      <c r="M69">
        <v>34597.339999999997</v>
      </c>
      <c r="N69">
        <v>1080</v>
      </c>
      <c r="O69">
        <f t="shared" si="3"/>
        <v>-33517.339999999997</v>
      </c>
      <c r="P69">
        <v>0</v>
      </c>
      <c r="Q69">
        <v>1070</v>
      </c>
      <c r="R69">
        <f t="shared" si="4"/>
        <v>1070</v>
      </c>
      <c r="S69">
        <v>34796.22</v>
      </c>
      <c r="T69">
        <v>35210</v>
      </c>
      <c r="U69">
        <f t="shared" si="5"/>
        <v>413.77999999999884</v>
      </c>
    </row>
    <row r="70" spans="1:21" x14ac:dyDescent="0.3">
      <c r="A70" s="9" t="str">
        <f xml:space="preserve"> _xll.EPMOlapMemberO("[CECO].[PARENTH3].[AMSA1003AD3521]","","AMSA1003AD3521 - Gestión de Impuestos","","000")</f>
        <v>AMSA1003AD3521 - Gestión de Impuestos</v>
      </c>
      <c r="B70" s="8" t="str">
        <f xml:space="preserve"> _xll.EPMOlapMemberO("[CLACO].[PARENTH7].[AMSAG_VIAJES]","","Gastos de Viajes","","000")</f>
        <v>Gastos de Viajes</v>
      </c>
      <c r="C70" t="str">
        <f>_xlfn.CONCAT(_xll.EPMMemberProperty("COSTOS", _xll.EPMMemberID(A70), "PARENTH3"), " - ", _xll.EPMMemberDesc(_xll.EPMMemberProperty("COSTOS", _xll.EPMMemberID(A70), "PARENTH3"), "COSTOS"))</f>
        <v>N1003AD350 - Administración y Fin</v>
      </c>
      <c r="F70">
        <f t="shared" si="0"/>
        <v>0</v>
      </c>
      <c r="I70">
        <f t="shared" si="1"/>
        <v>0</v>
      </c>
      <c r="L70">
        <f t="shared" si="2"/>
        <v>0</v>
      </c>
      <c r="O70">
        <f t="shared" si="3"/>
        <v>0</v>
      </c>
      <c r="R70">
        <f t="shared" si="4"/>
        <v>0</v>
      </c>
      <c r="T70">
        <v>2990</v>
      </c>
      <c r="U70">
        <f t="shared" si="5"/>
        <v>2990</v>
      </c>
    </row>
    <row r="71" spans="1:21" x14ac:dyDescent="0.3">
      <c r="A71" s="9" t="str">
        <f xml:space="preserve"> _xll.EPMOlapMemberO("[CECO].[PARENTH3].[AMSA1003AD3521]","","AMSA1003AD3521 - Gestión de Impuestos","","000")</f>
        <v>AMSA1003AD3521 - Gestión de Impuestos</v>
      </c>
      <c r="B71" s="8" t="str">
        <f xml:space="preserve"> _xll.EPMOlapMemberO("[CLACO].[PARENTH7].[AMSAIMP_PATEN]","","Impuestos / Patentes","","000")</f>
        <v>Impuestos / Patentes</v>
      </c>
      <c r="C71" t="str">
        <f>_xlfn.CONCAT(_xll.EPMMemberProperty("COSTOS", _xll.EPMMemberID(A71), "PARENTH3"), " - ", _xll.EPMMemberDesc(_xll.EPMMemberProperty("COSTOS", _xll.EPMMemberID(A71), "PARENTH3"), "COSTOS"))</f>
        <v>N1003AD350 - Administración y Fin</v>
      </c>
      <c r="D71">
        <v>313529</v>
      </c>
      <c r="E71">
        <v>310910</v>
      </c>
      <c r="F71">
        <f t="shared" si="0"/>
        <v>-2619</v>
      </c>
      <c r="I71">
        <f t="shared" si="1"/>
        <v>0</v>
      </c>
      <c r="L71">
        <f t="shared" si="2"/>
        <v>0</v>
      </c>
      <c r="M71">
        <v>438074.48</v>
      </c>
      <c r="N71">
        <v>416390</v>
      </c>
      <c r="O71">
        <f t="shared" si="3"/>
        <v>-21684.479999999981</v>
      </c>
      <c r="R71">
        <f t="shared" si="4"/>
        <v>0</v>
      </c>
      <c r="S71">
        <v>751603.48</v>
      </c>
      <c r="T71">
        <v>1274090</v>
      </c>
      <c r="U71">
        <f t="shared" si="5"/>
        <v>522486.52</v>
      </c>
    </row>
    <row r="72" spans="1:21" x14ac:dyDescent="0.3">
      <c r="A72" s="9" t="str">
        <f xml:space="preserve"> _xll.EPMOlapMemberO("[CECO].[PARENTH3].[AMSA1003AD3522]","","AMSA1003AD3522 - Servicios Generales","","000")</f>
        <v>AMSA1003AD3522 - Servicios Generales</v>
      </c>
      <c r="B72" s="8" t="str">
        <f xml:space="preserve"> _xll.EPMOlapMemberO("[CLACO].[PARENTH7].[AMSAENERGIA]","","Energía","","000")</f>
        <v>Energía</v>
      </c>
      <c r="C72" t="str">
        <f>_xlfn.CONCAT(_xll.EPMMemberProperty("COSTOS", _xll.EPMMemberID(A72), "PARENTH3"), " - ", _xll.EPMMemberDesc(_xll.EPMMemberProperty("COSTOS", _xll.EPMMemberID(A72), "PARENTH3"), "COSTOS"))</f>
        <v>N1003AD400 - Recursos Humanos</v>
      </c>
      <c r="D72">
        <v>465.83</v>
      </c>
      <c r="E72">
        <v>140</v>
      </c>
      <c r="F72">
        <f t="shared" si="0"/>
        <v>-325.83</v>
      </c>
      <c r="G72">
        <v>455.29</v>
      </c>
      <c r="H72">
        <v>140</v>
      </c>
      <c r="I72">
        <f t="shared" si="1"/>
        <v>-315.29000000000002</v>
      </c>
      <c r="J72">
        <v>441.1</v>
      </c>
      <c r="K72">
        <v>140</v>
      </c>
      <c r="L72">
        <f t="shared" si="2"/>
        <v>-301.10000000000002</v>
      </c>
      <c r="M72">
        <v>434.65</v>
      </c>
      <c r="N72">
        <v>140</v>
      </c>
      <c r="O72">
        <f t="shared" si="3"/>
        <v>-294.64999999999998</v>
      </c>
      <c r="P72">
        <v>476.62</v>
      </c>
      <c r="Q72">
        <v>140</v>
      </c>
      <c r="R72">
        <f t="shared" si="4"/>
        <v>-336.62</v>
      </c>
      <c r="S72">
        <v>2770.9</v>
      </c>
      <c r="T72">
        <v>1680</v>
      </c>
      <c r="U72">
        <f t="shared" si="5"/>
        <v>-1090.9000000000001</v>
      </c>
    </row>
    <row r="73" spans="1:21" x14ac:dyDescent="0.3">
      <c r="A73" s="9" t="str">
        <f xml:space="preserve"> _xll.EPMOlapMemberO("[CECO].[PARENTH3].[AMSA1003AD3522]","","AMSA1003AD3522 - Servicios Generales","","000")</f>
        <v>AMSA1003AD3522 - Servicios Generales</v>
      </c>
      <c r="B73" s="8" t="str">
        <f xml:space="preserve"> _xll.EPMOlapMemberO("[CLACO].[PARENTH7].[AMSAARRIENDOS]","","Arriendos","","000")</f>
        <v>Arriendos</v>
      </c>
      <c r="C73" t="str">
        <f>_xlfn.CONCAT(_xll.EPMMemberProperty("COSTOS", _xll.EPMMemberID(A73), "PARENTH3"), " - ", _xll.EPMMemberDesc(_xll.EPMMemberProperty("COSTOS", _xll.EPMMemberID(A73), "PARENTH3"), "COSTOS"))</f>
        <v>N1003AD400 - Recursos Humanos</v>
      </c>
      <c r="D73">
        <v>15099.8</v>
      </c>
      <c r="E73">
        <v>17200</v>
      </c>
      <c r="F73">
        <f t="shared" si="0"/>
        <v>2100.2000000000007</v>
      </c>
      <c r="G73">
        <v>15301.9</v>
      </c>
      <c r="H73">
        <v>17240</v>
      </c>
      <c r="I73">
        <f t="shared" si="1"/>
        <v>1938.1000000000004</v>
      </c>
      <c r="J73">
        <v>14549.96</v>
      </c>
      <c r="K73">
        <v>17290</v>
      </c>
      <c r="L73">
        <f t="shared" si="2"/>
        <v>2740.0400000000009</v>
      </c>
      <c r="M73">
        <v>14956.28</v>
      </c>
      <c r="N73">
        <v>17340</v>
      </c>
      <c r="O73">
        <f t="shared" si="3"/>
        <v>2383.7199999999993</v>
      </c>
      <c r="P73">
        <v>14952.13</v>
      </c>
      <c r="Q73">
        <v>17390</v>
      </c>
      <c r="R73">
        <f t="shared" si="4"/>
        <v>2437.8700000000008</v>
      </c>
      <c r="S73">
        <v>90152.56</v>
      </c>
      <c r="T73">
        <v>209540</v>
      </c>
      <c r="U73">
        <f t="shared" si="5"/>
        <v>119387.44</v>
      </c>
    </row>
    <row r="74" spans="1:21" x14ac:dyDescent="0.3">
      <c r="A74" s="9" t="str">
        <f xml:space="preserve"> _xll.EPMOlapMemberO("[CECO].[PARENTH3].[AMSA1003AD3522]","","AMSA1003AD3522 - Servicios Generales","","000")</f>
        <v>AMSA1003AD3522 - Servicios Generales</v>
      </c>
      <c r="B74" s="8" t="str">
        <f xml:space="preserve"> _xll.EPMOlapMemberO("[CLACO].[PARENTH7].[AMSASERMANTO.REPA]","","Servicios Mantenimie","","000")</f>
        <v>Servicios Mantenimie</v>
      </c>
      <c r="C74" t="str">
        <f>_xlfn.CONCAT(_xll.EPMMemberProperty("COSTOS", _xll.EPMMemberID(A74), "PARENTH3"), " - ", _xll.EPMMemberDesc(_xll.EPMMemberProperty("COSTOS", _xll.EPMMemberID(A74), "PARENTH3"), "COSTOS"))</f>
        <v>N1003AD400 - Recursos Humanos</v>
      </c>
      <c r="D74">
        <v>2373.91</v>
      </c>
      <c r="E74">
        <v>2370</v>
      </c>
      <c r="F74">
        <f t="shared" ref="F74:F106" si="6">E74-D74</f>
        <v>-3.9099999999998545</v>
      </c>
      <c r="G74">
        <v>2444.67</v>
      </c>
      <c r="H74">
        <v>2440</v>
      </c>
      <c r="I74">
        <f t="shared" ref="I74:I106" si="7">H74-G74</f>
        <v>-4.6700000000000728</v>
      </c>
      <c r="J74">
        <v>2224.8200000000002</v>
      </c>
      <c r="K74">
        <v>2440</v>
      </c>
      <c r="L74">
        <f t="shared" ref="L74:L106" si="8">K74-J74</f>
        <v>215.17999999999984</v>
      </c>
      <c r="M74">
        <v>2282.36</v>
      </c>
      <c r="N74">
        <v>2450</v>
      </c>
      <c r="O74">
        <f t="shared" ref="O74:O106" si="9">N74-M74</f>
        <v>167.63999999999987</v>
      </c>
      <c r="P74">
        <v>2446.89</v>
      </c>
      <c r="Q74">
        <v>2460</v>
      </c>
      <c r="R74">
        <f t="shared" ref="R74:R106" si="10">Q74-P74</f>
        <v>13.110000000000127</v>
      </c>
      <c r="S74">
        <v>14047.13</v>
      </c>
      <c r="T74">
        <v>29550</v>
      </c>
      <c r="U74">
        <f t="shared" ref="U74:U106" si="11">T74-S74</f>
        <v>15502.87</v>
      </c>
    </row>
    <row r="75" spans="1:21" x14ac:dyDescent="0.3">
      <c r="A75" s="9" t="str">
        <f xml:space="preserve"> _xll.EPMOlapMemberO("[CECO].[PARENTH3].[AMSA1003AD3522]","","AMSA1003AD3522 - Servicios Generales","","000")</f>
        <v>AMSA1003AD3522 - Servicios Generales</v>
      </c>
      <c r="B75" s="8" t="str">
        <f xml:space="preserve"> _xll.EPMOlapMemberO("[CLACO].[PARENTH7].[AMSAGGENERALES.2]","","Otros Gastos","","000")</f>
        <v>Otros Gastos</v>
      </c>
      <c r="C75" t="str">
        <f>_xlfn.CONCAT(_xll.EPMMemberProperty("COSTOS", _xll.EPMMemberID(A75), "PARENTH3"), " - ", _xll.EPMMemberDesc(_xll.EPMMemberProperty("COSTOS", _xll.EPMMemberID(A75), "PARENTH3"), "COSTOS"))</f>
        <v>N1003AD400 - Recursos Humanos</v>
      </c>
      <c r="D75">
        <v>2388.4299999999998</v>
      </c>
      <c r="E75">
        <v>2540</v>
      </c>
      <c r="F75">
        <f t="shared" si="6"/>
        <v>151.57000000000016</v>
      </c>
      <c r="G75">
        <v>2365.86</v>
      </c>
      <c r="H75">
        <v>2550</v>
      </c>
      <c r="I75">
        <f t="shared" si="7"/>
        <v>184.13999999999987</v>
      </c>
      <c r="J75">
        <v>2387.14</v>
      </c>
      <c r="K75">
        <v>2560</v>
      </c>
      <c r="L75">
        <f t="shared" si="8"/>
        <v>172.86000000000013</v>
      </c>
      <c r="M75">
        <v>2321.9299999999998</v>
      </c>
      <c r="N75">
        <v>2560</v>
      </c>
      <c r="O75">
        <f t="shared" si="9"/>
        <v>238.07000000000016</v>
      </c>
      <c r="P75">
        <v>2324.7600000000002</v>
      </c>
      <c r="Q75">
        <v>2570</v>
      </c>
      <c r="R75">
        <f t="shared" si="10"/>
        <v>245.23999999999978</v>
      </c>
      <c r="S75">
        <v>14060.13</v>
      </c>
      <c r="T75">
        <v>30970</v>
      </c>
      <c r="U75">
        <f t="shared" si="11"/>
        <v>16909.870000000003</v>
      </c>
    </row>
    <row r="76" spans="1:21" x14ac:dyDescent="0.3">
      <c r="A76" s="9" t="str">
        <f xml:space="preserve"> _xll.EPMOlapMemberO("[CECO].[PARENTH3].[AMSA1003AD4005]","","AMSA1003AD4005 - RRCC y Comunicacione","","000")</f>
        <v>AMSA1003AD4005 - RRCC y Comunicacione</v>
      </c>
      <c r="B76" s="8" t="str">
        <f xml:space="preserve"> _xll.EPMOlapMemberO("[CLACO].[PARENTH7].[AMSAINFORMATIC]","","Informática y Comuni","","000")</f>
        <v>Informática y Comuni</v>
      </c>
      <c r="C76" t="str">
        <f>_xlfn.CONCAT(_xll.EPMMemberProperty("COSTOS", _xll.EPMMemberID(A76), "PARENTH3"), " - ", _xll.EPMMemberDesc(_xll.EPMMemberProperty("COSTOS", _xll.EPMMemberID(A76), "PARENTH3"), "COSTOS"))</f>
        <v>N1003AD400 - Recursos Humanos</v>
      </c>
      <c r="D76">
        <v>10594.59</v>
      </c>
      <c r="E76">
        <v>10720</v>
      </c>
      <c r="F76">
        <f t="shared" si="6"/>
        <v>125.40999999999985</v>
      </c>
      <c r="G76">
        <v>10867.33</v>
      </c>
      <c r="H76">
        <v>10750</v>
      </c>
      <c r="I76">
        <f t="shared" si="7"/>
        <v>-117.32999999999993</v>
      </c>
      <c r="J76">
        <v>11280.09</v>
      </c>
      <c r="K76">
        <v>11330</v>
      </c>
      <c r="L76">
        <f t="shared" si="8"/>
        <v>49.909999999999854</v>
      </c>
      <c r="M76">
        <v>11633.73</v>
      </c>
      <c r="N76">
        <v>10810</v>
      </c>
      <c r="O76">
        <f t="shared" si="9"/>
        <v>-823.72999999999956</v>
      </c>
      <c r="P76">
        <v>10838.2</v>
      </c>
      <c r="Q76">
        <v>10840</v>
      </c>
      <c r="R76">
        <f t="shared" si="10"/>
        <v>1.7999999999992724</v>
      </c>
      <c r="S76">
        <v>65987.570000000007</v>
      </c>
      <c r="T76">
        <v>132300</v>
      </c>
      <c r="U76">
        <f t="shared" si="11"/>
        <v>66312.429999999993</v>
      </c>
    </row>
    <row r="77" spans="1:21" x14ac:dyDescent="0.3">
      <c r="A77" s="9" t="str">
        <f xml:space="preserve"> _xll.EPMOlapMemberO("[CECO].[PARENTH3].[AMSA1003AD4005]","","AMSA1003AD4005 - RRCC y Comunicacione","","000")</f>
        <v>AMSA1003AD4005 - RRCC y Comunicacione</v>
      </c>
      <c r="B77" s="8" t="str">
        <f xml:space="preserve"> _xll.EPMOlapMemberO("[CLACO].[PARENTH7].[AMSAG_VIAJES]","","Gastos de Viajes","","000")</f>
        <v>Gastos de Viajes</v>
      </c>
      <c r="C77" t="str">
        <f>_xlfn.CONCAT(_xll.EPMMemberProperty("COSTOS", _xll.EPMMemberID(A77), "PARENTH3"), " - ", _xll.EPMMemberDesc(_xll.EPMMemberProperty("COSTOS", _xll.EPMMemberID(A77), "PARENTH3"), "COSTOS"))</f>
        <v>N1003AD400 - Recursos Humanos</v>
      </c>
      <c r="D77">
        <v>75.63</v>
      </c>
      <c r="F77">
        <f t="shared" si="6"/>
        <v>-75.63</v>
      </c>
      <c r="I77">
        <f t="shared" si="7"/>
        <v>0</v>
      </c>
      <c r="L77">
        <f t="shared" si="8"/>
        <v>0</v>
      </c>
      <c r="O77">
        <f t="shared" si="9"/>
        <v>0</v>
      </c>
      <c r="R77">
        <f t="shared" si="10"/>
        <v>0</v>
      </c>
      <c r="S77">
        <v>75.63</v>
      </c>
      <c r="U77">
        <f t="shared" si="11"/>
        <v>-75.63</v>
      </c>
    </row>
    <row r="78" spans="1:21" x14ac:dyDescent="0.3">
      <c r="A78" s="9" t="str">
        <f xml:space="preserve"> _xll.EPMOlapMemberO("[CECO].[PARENTH3].[AMSA1003AD4005]","","AMSA1003AD4005 - RRCC y Comunicacione","","000")</f>
        <v>AMSA1003AD4005 - RRCC y Comunicacione</v>
      </c>
      <c r="B78" s="8" t="str">
        <f xml:space="preserve"> _xll.EPMOlapMemberO("[CLACO].[PARENTH7].[AMSAGGENERALES.2]","","Otros Gastos","","000")</f>
        <v>Otros Gastos</v>
      </c>
      <c r="C78" t="str">
        <f>_xlfn.CONCAT(_xll.EPMMemberProperty("COSTOS", _xll.EPMMemberID(A78), "PARENTH3"), " - ", _xll.EPMMemberDesc(_xll.EPMMemberProperty("COSTOS", _xll.EPMMemberID(A78), "PARENTH3"), "COSTOS"))</f>
        <v>N1003AD400 - Recursos Humanos</v>
      </c>
      <c r="D78">
        <v>-2743.69</v>
      </c>
      <c r="F78">
        <f t="shared" si="6"/>
        <v>2743.69</v>
      </c>
      <c r="H78">
        <v>28890</v>
      </c>
      <c r="I78">
        <f t="shared" si="7"/>
        <v>28890</v>
      </c>
      <c r="J78">
        <v>27766.2</v>
      </c>
      <c r="L78">
        <f t="shared" si="8"/>
        <v>-27766.2</v>
      </c>
      <c r="N78">
        <v>5590</v>
      </c>
      <c r="O78">
        <f t="shared" si="9"/>
        <v>5590</v>
      </c>
      <c r="P78">
        <v>5522.66</v>
      </c>
      <c r="Q78">
        <v>14570</v>
      </c>
      <c r="R78">
        <f t="shared" si="10"/>
        <v>9047.34</v>
      </c>
      <c r="S78">
        <v>25022.51</v>
      </c>
      <c r="T78">
        <v>79640</v>
      </c>
      <c r="U78">
        <f t="shared" si="11"/>
        <v>54617.490000000005</v>
      </c>
    </row>
    <row r="79" spans="1:21" x14ac:dyDescent="0.3">
      <c r="A79" s="9" t="str">
        <f xml:space="preserve"> _xll.EPMOlapMemberO("[CECO].[PARENTH3].[AMSA1003AD4020]","","AMSA1003AD4020 - RRHH  Corporativo","","000")</f>
        <v>AMSA1003AD4020 - RRHH  Corporativo</v>
      </c>
      <c r="B79" s="8" t="str">
        <f xml:space="preserve"> _xll.EPMOlapMemberO("[CLACO].[PARENTH7].[AMSAADM_PERSON]","","Administración Perso","","000")</f>
        <v>Administración Perso</v>
      </c>
      <c r="C79" t="str">
        <f>_xlfn.CONCAT(_xll.EPMMemberProperty("COSTOS", _xll.EPMMemberID(A79), "PARENTH3"), " - ", _xll.EPMMemberDesc(_xll.EPMMemberProperty("COSTOS", _xll.EPMMemberID(A79), "PARENTH3"), "COSTOS"))</f>
        <v>N1003AD400 - Recursos Humanos</v>
      </c>
      <c r="D79">
        <v>-23514.21</v>
      </c>
      <c r="E79">
        <v>28090</v>
      </c>
      <c r="F79">
        <f t="shared" si="6"/>
        <v>51604.21</v>
      </c>
      <c r="G79">
        <v>49865.84</v>
      </c>
      <c r="H79">
        <v>28170</v>
      </c>
      <c r="I79">
        <f t="shared" si="7"/>
        <v>-21695.839999999997</v>
      </c>
      <c r="J79">
        <v>67393.240000000005</v>
      </c>
      <c r="K79">
        <v>28250</v>
      </c>
      <c r="L79">
        <f t="shared" si="8"/>
        <v>-39143.240000000005</v>
      </c>
      <c r="M79">
        <v>71225.679999999993</v>
      </c>
      <c r="N79">
        <v>28330</v>
      </c>
      <c r="O79">
        <f t="shared" si="9"/>
        <v>-42895.679999999993</v>
      </c>
      <c r="P79">
        <v>34327.68</v>
      </c>
      <c r="Q79">
        <v>28410</v>
      </c>
      <c r="R79">
        <f t="shared" si="10"/>
        <v>-5917.68</v>
      </c>
      <c r="S79">
        <v>191722.26</v>
      </c>
      <c r="T79">
        <v>344510</v>
      </c>
      <c r="U79">
        <f t="shared" si="11"/>
        <v>152787.74</v>
      </c>
    </row>
    <row r="80" spans="1:21" x14ac:dyDescent="0.3">
      <c r="A80" s="9" t="str">
        <f xml:space="preserve"> _xll.EPMOlapMemberO("[CECO].[PARENTH3].[AMSA1003AD4020]","","AMSA1003AD4020 - RRHH  Corporativo","","000")</f>
        <v>AMSA1003AD4020 - RRHH  Corporativo</v>
      </c>
      <c r="B80" s="8" t="str">
        <f xml:space="preserve"> _xll.EPMOlapMemberO("[CLACO].[PARENTH7].[AMSAENTRENAMI]","","Entrenamiento","","000")</f>
        <v>Entrenamiento</v>
      </c>
      <c r="C80" t="str">
        <f>_xlfn.CONCAT(_xll.EPMMemberProperty("COSTOS", _xll.EPMMemberID(A80), "PARENTH3"), " - ", _xll.EPMMemberDesc(_xll.EPMMemberProperty("COSTOS", _xll.EPMMemberID(A80), "PARENTH3"), "COSTOS"))</f>
        <v>N1003AD400 - Recursos Humanos</v>
      </c>
      <c r="D80">
        <v>120.55</v>
      </c>
      <c r="F80">
        <f t="shared" si="6"/>
        <v>-120.55</v>
      </c>
      <c r="G80">
        <v>419.26</v>
      </c>
      <c r="H80">
        <v>1870</v>
      </c>
      <c r="I80">
        <f t="shared" si="7"/>
        <v>1450.74</v>
      </c>
      <c r="J80">
        <v>13123.72</v>
      </c>
      <c r="K80">
        <v>16600</v>
      </c>
      <c r="L80">
        <f t="shared" si="8"/>
        <v>3476.2800000000007</v>
      </c>
      <c r="M80">
        <v>22683.23</v>
      </c>
      <c r="N80">
        <v>17530</v>
      </c>
      <c r="O80">
        <f t="shared" si="9"/>
        <v>-5153.2299999999996</v>
      </c>
      <c r="P80">
        <v>1659.67</v>
      </c>
      <c r="R80">
        <f t="shared" si="10"/>
        <v>-1659.67</v>
      </c>
      <c r="S80">
        <v>36346.76</v>
      </c>
      <c r="T80">
        <v>97960</v>
      </c>
      <c r="U80">
        <f t="shared" si="11"/>
        <v>61613.24</v>
      </c>
    </row>
    <row r="81" spans="1:21" x14ac:dyDescent="0.3">
      <c r="A81" s="9" t="str">
        <f xml:space="preserve"> _xll.EPMOlapMemberO("[CECO].[PARENTH3].[AMSA1003AD4020]","","AMSA1003AD4020 - RRHH  Corporativo","","000")</f>
        <v>AMSA1003AD4020 - RRHH  Corporativo</v>
      </c>
      <c r="B81" s="8" t="str">
        <f xml:space="preserve"> _xll.EPMOlapMemberO("[CLACO].[PARENTH7].[AMSAASESORIAS]","","Asesorías y Consulto","","000")</f>
        <v>Asesorías y Consulto</v>
      </c>
      <c r="C81" t="str">
        <f>_xlfn.CONCAT(_xll.EPMMemberProperty("COSTOS", _xll.EPMMemberID(A81), "PARENTH3"), " - ", _xll.EPMMemberDesc(_xll.EPMMemberProperty("COSTOS", _xll.EPMMemberID(A81), "PARENTH3"), "COSTOS"))</f>
        <v>N1003AD400 - Recursos Humanos</v>
      </c>
      <c r="D81">
        <v>-6881.01</v>
      </c>
      <c r="E81">
        <v>2520</v>
      </c>
      <c r="F81">
        <f t="shared" si="6"/>
        <v>9401.01</v>
      </c>
      <c r="G81">
        <v>2578.89</v>
      </c>
      <c r="H81">
        <v>2520</v>
      </c>
      <c r="I81">
        <f t="shared" si="7"/>
        <v>-58.889999999999873</v>
      </c>
      <c r="J81">
        <v>3567.61</v>
      </c>
      <c r="K81">
        <v>5020</v>
      </c>
      <c r="L81">
        <f t="shared" si="8"/>
        <v>1452.3899999999999</v>
      </c>
      <c r="M81">
        <v>3169</v>
      </c>
      <c r="N81">
        <v>3810</v>
      </c>
      <c r="O81">
        <f t="shared" si="9"/>
        <v>641</v>
      </c>
      <c r="P81">
        <v>4895.28</v>
      </c>
      <c r="Q81">
        <v>6010</v>
      </c>
      <c r="R81">
        <f t="shared" si="10"/>
        <v>1114.7200000000003</v>
      </c>
      <c r="S81">
        <v>2434.4899999999998</v>
      </c>
      <c r="T81">
        <v>62880</v>
      </c>
      <c r="U81">
        <f t="shared" si="11"/>
        <v>60445.51</v>
      </c>
    </row>
    <row r="82" spans="1:21" x14ac:dyDescent="0.3">
      <c r="A82" s="9" t="str">
        <f xml:space="preserve"> _xll.EPMOlapMemberO("[CECO].[PARENTH3].[AMSA1003AD4020]","","AMSA1003AD4020 - RRHH  Corporativo","","000")</f>
        <v>AMSA1003AD4020 - RRHH  Corporativo</v>
      </c>
      <c r="B82" s="8" t="str">
        <f xml:space="preserve"> _xll.EPMOlapMemberO("[CLACO].[PARENTH7].[AMSASERVICIOS]","","Servicios","","000")</f>
        <v>Servicios</v>
      </c>
      <c r="C82" t="str">
        <f>_xlfn.CONCAT(_xll.EPMMemberProperty("COSTOS", _xll.EPMMemberID(A82), "PARENTH3"), " - ", _xll.EPMMemberDesc(_xll.EPMMemberProperty("COSTOS", _xll.EPMMemberID(A82), "PARENTH3"), "COSTOS"))</f>
        <v>N1003AD400 - Recursos Humanos</v>
      </c>
      <c r="D82">
        <v>0</v>
      </c>
      <c r="F82">
        <f t="shared" si="6"/>
        <v>0</v>
      </c>
      <c r="G82">
        <v>0</v>
      </c>
      <c r="I82">
        <f t="shared" si="7"/>
        <v>0</v>
      </c>
      <c r="J82">
        <v>0</v>
      </c>
      <c r="L82">
        <f t="shared" si="8"/>
        <v>0</v>
      </c>
      <c r="M82">
        <v>0</v>
      </c>
      <c r="O82">
        <f t="shared" si="9"/>
        <v>0</v>
      </c>
      <c r="P82">
        <v>0</v>
      </c>
      <c r="R82">
        <f t="shared" si="10"/>
        <v>0</v>
      </c>
      <c r="S82">
        <v>0</v>
      </c>
      <c r="U82">
        <f t="shared" si="11"/>
        <v>0</v>
      </c>
    </row>
    <row r="83" spans="1:21" x14ac:dyDescent="0.3">
      <c r="A83" s="9" t="str">
        <f xml:space="preserve"> _xll.EPMOlapMemberO("[CECO].[PARENTH3].[AMSA1003AD4020]","","AMSA1003AD4020 - RRHH  Corporativo","","000")</f>
        <v>AMSA1003AD4020 - RRHH  Corporativo</v>
      </c>
      <c r="B83" s="8" t="str">
        <f xml:space="preserve"> _xll.EPMOlapMemberO("[CLACO].[PARENTH7].[AMSAINFORMATIC]","","Informática y Comuni","","000")</f>
        <v>Informática y Comuni</v>
      </c>
      <c r="C83" t="str">
        <f>_xlfn.CONCAT(_xll.EPMMemberProperty("COSTOS", _xll.EPMMemberID(A83), "PARENTH3"), " - ", _xll.EPMMemberDesc(_xll.EPMMemberProperty("COSTOS", _xll.EPMMemberID(A83), "PARENTH3"), "COSTOS"))</f>
        <v>N1003AD400 - Recursos Humanos</v>
      </c>
      <c r="D83">
        <v>-6791.85</v>
      </c>
      <c r="E83">
        <v>16740</v>
      </c>
      <c r="F83">
        <f t="shared" si="6"/>
        <v>23531.85</v>
      </c>
      <c r="G83">
        <v>2308.5</v>
      </c>
      <c r="H83">
        <v>34400</v>
      </c>
      <c r="I83">
        <f t="shared" si="7"/>
        <v>32091.5</v>
      </c>
      <c r="J83">
        <v>9356</v>
      </c>
      <c r="K83">
        <v>12290</v>
      </c>
      <c r="L83">
        <f t="shared" si="8"/>
        <v>2934</v>
      </c>
      <c r="M83">
        <v>10040.99</v>
      </c>
      <c r="N83">
        <v>22210</v>
      </c>
      <c r="O83">
        <f t="shared" si="9"/>
        <v>12169.01</v>
      </c>
      <c r="P83">
        <v>11712.34</v>
      </c>
      <c r="Q83">
        <v>20100</v>
      </c>
      <c r="R83">
        <f t="shared" si="10"/>
        <v>8387.66</v>
      </c>
      <c r="S83">
        <v>14913.64</v>
      </c>
      <c r="T83">
        <v>331010</v>
      </c>
      <c r="U83">
        <f t="shared" si="11"/>
        <v>316096.36</v>
      </c>
    </row>
    <row r="84" spans="1:21" x14ac:dyDescent="0.3">
      <c r="A84" s="9" t="str">
        <f xml:space="preserve"> _xll.EPMOlapMemberO("[CECO].[PARENTH3].[AMSA1003AD4020]","","AMSA1003AD4020 - RRHH  Corporativo","","000")</f>
        <v>AMSA1003AD4020 - RRHH  Corporativo</v>
      </c>
      <c r="B84" s="8" t="str">
        <f xml:space="preserve"> _xll.EPMOlapMemberO("[CLACO].[PARENTH7].[AMSAG_VIAJES]","","Gastos de Viajes","","000")</f>
        <v>Gastos de Viajes</v>
      </c>
      <c r="C84" t="str">
        <f>_xlfn.CONCAT(_xll.EPMMemberProperty("COSTOS", _xll.EPMMemberID(A84), "PARENTH3"), " - ", _xll.EPMMemberDesc(_xll.EPMMemberProperty("COSTOS", _xll.EPMMemberID(A84), "PARENTH3"), "COSTOS"))</f>
        <v>N1003AD400 - Recursos Humanos</v>
      </c>
      <c r="F84">
        <f t="shared" si="6"/>
        <v>0</v>
      </c>
      <c r="I84">
        <f t="shared" si="7"/>
        <v>0</v>
      </c>
      <c r="L84">
        <f t="shared" si="8"/>
        <v>0</v>
      </c>
      <c r="O84">
        <f t="shared" si="9"/>
        <v>0</v>
      </c>
      <c r="R84">
        <f t="shared" si="10"/>
        <v>0</v>
      </c>
      <c r="T84">
        <v>710</v>
      </c>
      <c r="U84">
        <f t="shared" si="11"/>
        <v>710</v>
      </c>
    </row>
    <row r="85" spans="1:21" x14ac:dyDescent="0.3">
      <c r="A85" s="9" t="str">
        <f xml:space="preserve"> _xll.EPMOlapMemberO("[CECO].[PARENTH3].[AMSA1003AD4020]","","AMSA1003AD4020 - RRHH  Corporativo","","000")</f>
        <v>AMSA1003AD4020 - RRHH  Corporativo</v>
      </c>
      <c r="B85" s="8" t="str">
        <f xml:space="preserve"> _xll.EPMOlapMemberO("[CLACO].[PARENTH7].[AMSAGGENERALES.2]","","Otros Gastos","","000")</f>
        <v>Otros Gastos</v>
      </c>
      <c r="C85" t="str">
        <f>_xlfn.CONCAT(_xll.EPMMemberProperty("COSTOS", _xll.EPMMemberID(A85), "PARENTH3"), " - ", _xll.EPMMemberDesc(_xll.EPMMemberProperty("COSTOS", _xll.EPMMemberID(A85), "PARENTH3"), "COSTOS"))</f>
        <v>N1003AD400 - Recursos Humanos</v>
      </c>
      <c r="D85">
        <v>19.559999999999999</v>
      </c>
      <c r="F85">
        <f t="shared" si="6"/>
        <v>-19.559999999999999</v>
      </c>
      <c r="G85">
        <v>95.09</v>
      </c>
      <c r="I85">
        <f t="shared" si="7"/>
        <v>-95.09</v>
      </c>
      <c r="L85">
        <f t="shared" si="8"/>
        <v>0</v>
      </c>
      <c r="M85">
        <v>7868.65</v>
      </c>
      <c r="N85">
        <v>13270</v>
      </c>
      <c r="O85">
        <f t="shared" si="9"/>
        <v>5401.35</v>
      </c>
      <c r="P85">
        <v>158.72</v>
      </c>
      <c r="R85">
        <f t="shared" si="10"/>
        <v>-158.72</v>
      </c>
      <c r="S85">
        <v>8001.09</v>
      </c>
      <c r="T85">
        <v>27690</v>
      </c>
      <c r="U85">
        <f t="shared" si="11"/>
        <v>19688.91</v>
      </c>
    </row>
    <row r="86" spans="1:21" x14ac:dyDescent="0.3">
      <c r="A86" s="9" t="str">
        <f xml:space="preserve"> _xll.EPMOlapMemberO("[CECO].[PARENTH3].[AMSA1003AD4020]","","AMSA1003AD4020 - RRHH  Corporativo","","000")</f>
        <v>AMSA1003AD4020 - RRHH  Corporativo</v>
      </c>
      <c r="B86" s="8" t="str">
        <f xml:space="preserve"> _xll.EPMOlapMemberO("[CLACO].[PARENTH7].[AMSASERV_CORP]","","Servicios Corporativ","","000")</f>
        <v>Servicios Corporativ</v>
      </c>
      <c r="C86" t="str">
        <f>_xlfn.CONCAT(_xll.EPMMemberProperty("COSTOS", _xll.EPMMemberID(A86), "PARENTH3"), " - ", _xll.EPMMemberDesc(_xll.EPMMemberProperty("COSTOS", _xll.EPMMemberID(A86), "PARENTH3"), "COSTOS"))</f>
        <v>N1003AD400 - Recursos Humanos</v>
      </c>
      <c r="D86">
        <v>67155.649999999994</v>
      </c>
      <c r="E86">
        <v>66400</v>
      </c>
      <c r="F86">
        <f t="shared" si="6"/>
        <v>-755.64999999999418</v>
      </c>
      <c r="G86">
        <v>69903.81</v>
      </c>
      <c r="H86">
        <v>66580</v>
      </c>
      <c r="I86">
        <f t="shared" si="7"/>
        <v>-3323.8099999999977</v>
      </c>
      <c r="J86">
        <v>69574.240000000005</v>
      </c>
      <c r="K86">
        <v>66770</v>
      </c>
      <c r="L86">
        <f t="shared" si="8"/>
        <v>-2804.2400000000052</v>
      </c>
      <c r="M86">
        <v>65434.87</v>
      </c>
      <c r="N86">
        <v>66960</v>
      </c>
      <c r="O86">
        <f t="shared" si="9"/>
        <v>1525.1299999999974</v>
      </c>
      <c r="P86">
        <v>67763.429999999993</v>
      </c>
      <c r="Q86">
        <v>67140</v>
      </c>
      <c r="R86">
        <f t="shared" si="10"/>
        <v>-623.42999999999302</v>
      </c>
      <c r="S86">
        <v>339832</v>
      </c>
      <c r="T86">
        <v>809130</v>
      </c>
      <c r="U86">
        <f t="shared" si="11"/>
        <v>469298</v>
      </c>
    </row>
    <row r="87" spans="1:21" x14ac:dyDescent="0.3">
      <c r="A87" s="9" t="str">
        <f xml:space="preserve"> _xll.EPMOlapMemberO("[CECO].[PARENTH3].[AMSA1003AD4506]","","AMSA1003AD4506 - Med.Ambte Corporativ","","000")</f>
        <v>AMSA1003AD4506 - Med.Ambte Corporativ</v>
      </c>
      <c r="B87" s="8" t="str">
        <f xml:space="preserve"> _xll.EPMOlapMemberO("[CLACO].[PARENTH7].[AMSAASESORIAS]","","Asesorías y Consulto","","000")</f>
        <v>Asesorías y Consulto</v>
      </c>
      <c r="C87" t="str">
        <f>_xlfn.CONCAT(_xll.EPMMemberProperty("COSTOS", _xll.EPMMemberID(A87), "PARENTH3"), " - ", _xll.EPMMemberDesc(_xll.EPMMemberProperty("COSTOS", _xll.EPMMemberID(A87), "PARENTH3"), "COSTOS"))</f>
        <v>N1003AD450 - Gerencia. AAEE</v>
      </c>
      <c r="D87">
        <v>0</v>
      </c>
      <c r="F87">
        <f t="shared" si="6"/>
        <v>0</v>
      </c>
      <c r="G87">
        <v>0</v>
      </c>
      <c r="I87">
        <f t="shared" si="7"/>
        <v>0</v>
      </c>
      <c r="J87">
        <v>0</v>
      </c>
      <c r="L87">
        <f t="shared" si="8"/>
        <v>0</v>
      </c>
      <c r="M87">
        <v>0</v>
      </c>
      <c r="O87">
        <f t="shared" si="9"/>
        <v>0</v>
      </c>
      <c r="P87">
        <v>0</v>
      </c>
      <c r="R87">
        <f t="shared" si="10"/>
        <v>0</v>
      </c>
      <c r="S87">
        <v>0</v>
      </c>
      <c r="U87">
        <f t="shared" si="11"/>
        <v>0</v>
      </c>
    </row>
    <row r="88" spans="1:21" x14ac:dyDescent="0.3">
      <c r="A88" s="9" t="str">
        <f xml:space="preserve"> _xll.EPMOlapMemberO("[CECO].[PARENTH3].[AMSA1003AD4506]","","AMSA1003AD4506 - Med.Ambte Corporativ","","000")</f>
        <v>AMSA1003AD4506 - Med.Ambte Corporativ</v>
      </c>
      <c r="B88" s="8" t="str">
        <f xml:space="preserve"> _xll.EPMOlapMemberO("[CLACO].[PARENTH7].[AMSASERVICIOS]","","Servicios","","000")</f>
        <v>Servicios</v>
      </c>
      <c r="C88" t="str">
        <f>_xlfn.CONCAT(_xll.EPMMemberProperty("COSTOS", _xll.EPMMemberID(A88), "PARENTH3"), " - ", _xll.EPMMemberDesc(_xll.EPMMemberProperty("COSTOS", _xll.EPMMemberID(A88), "PARENTH3"), "COSTOS"))</f>
        <v>N1003AD450 - Gerencia. AAEE</v>
      </c>
      <c r="F88">
        <f t="shared" si="6"/>
        <v>0</v>
      </c>
      <c r="I88">
        <f t="shared" si="7"/>
        <v>0</v>
      </c>
      <c r="J88">
        <v>1039.6300000000001</v>
      </c>
      <c r="L88">
        <f t="shared" si="8"/>
        <v>-1039.6300000000001</v>
      </c>
      <c r="M88">
        <v>0</v>
      </c>
      <c r="O88">
        <f t="shared" si="9"/>
        <v>0</v>
      </c>
      <c r="P88">
        <v>0</v>
      </c>
      <c r="R88">
        <f t="shared" si="10"/>
        <v>0</v>
      </c>
      <c r="S88">
        <v>1039.6300000000001</v>
      </c>
      <c r="U88">
        <f t="shared" si="11"/>
        <v>-1039.6300000000001</v>
      </c>
    </row>
    <row r="89" spans="1:21" x14ac:dyDescent="0.3">
      <c r="A89" s="4" t="str">
        <f xml:space="preserve"> _xll.EPMOlapMemberO("[CECO].[PARENTH3].[AMSA1003AD4506]","","AMSA1003AD4506 - Med.Ambte Corporativ","","000")</f>
        <v>AMSA1003AD4506 - Med.Ambte Corporativ</v>
      </c>
      <c r="B89" s="6" t="str">
        <f xml:space="preserve"> _xll.EPMOlapMemberO("[CLACO].[PARENTH7].[AMSAINFORMATIC]","","Informática y Comuni","","000")</f>
        <v>Informática y Comuni</v>
      </c>
      <c r="C89" t="str">
        <f>_xlfn.CONCAT(_xll.EPMMemberProperty("COSTOS", _xll.EPMMemberID(A89), "PARENTH3"), " - ", _xll.EPMMemberDesc(_xll.EPMMemberProperty("COSTOS", _xll.EPMMemberID(A89), "PARENTH3"), "COSTOS"))</f>
        <v>N1003AD450 - Gerencia. AAEE</v>
      </c>
      <c r="D89">
        <v>8653.84</v>
      </c>
      <c r="E89">
        <v>640</v>
      </c>
      <c r="F89">
        <f t="shared" si="6"/>
        <v>-8013.84</v>
      </c>
      <c r="G89">
        <v>-1552.54</v>
      </c>
      <c r="H89">
        <v>650</v>
      </c>
      <c r="I89">
        <f t="shared" si="7"/>
        <v>2202.54</v>
      </c>
      <c r="J89">
        <v>-19019.3</v>
      </c>
      <c r="K89">
        <v>650</v>
      </c>
      <c r="L89">
        <f t="shared" si="8"/>
        <v>19669.3</v>
      </c>
      <c r="M89">
        <v>-1321.92</v>
      </c>
      <c r="N89">
        <v>7360</v>
      </c>
      <c r="O89">
        <f t="shared" si="9"/>
        <v>8681.92</v>
      </c>
      <c r="P89">
        <v>-825.15</v>
      </c>
      <c r="Q89">
        <v>12420</v>
      </c>
      <c r="R89">
        <f t="shared" si="10"/>
        <v>13245.15</v>
      </c>
      <c r="S89">
        <v>-13239.92</v>
      </c>
      <c r="T89">
        <v>73810</v>
      </c>
      <c r="U89">
        <f t="shared" si="11"/>
        <v>87049.919999999998</v>
      </c>
    </row>
    <row r="90" spans="1:21" x14ac:dyDescent="0.3">
      <c r="A90" s="4" t="str">
        <f xml:space="preserve"> _xll.EPMOlapMemberO("[CECO].[PARENTH3].[AMSA1003AD4507]","","AMSA1003AD4507 - SSO Corporativo","","000")</f>
        <v>AMSA1003AD4507 - SSO Corporativo</v>
      </c>
      <c r="B90" s="6" t="str">
        <f xml:space="preserve"> _xll.EPMOlapMemberO("[CLACO].[PARENTH7].[AMSAASESORIAS]","","Asesorías y Consulto","","000")</f>
        <v>Asesorías y Consulto</v>
      </c>
      <c r="C90" t="str">
        <f>_xlfn.CONCAT(_xll.EPMMemberProperty("COSTOS", _xll.EPMMemberID(A90), "PARENTH3"), " - ", _xll.EPMMemberDesc(_xll.EPMMemberProperty("COSTOS", _xll.EPMMemberID(A90), "PARENTH3"), "COSTOS"))</f>
        <v>N1003AD450 - Gerencia. AAEE</v>
      </c>
      <c r="D90">
        <v>87.73</v>
      </c>
      <c r="F90">
        <f t="shared" si="6"/>
        <v>-87.73</v>
      </c>
      <c r="G90">
        <v>11611.18</v>
      </c>
      <c r="I90">
        <f t="shared" si="7"/>
        <v>-11611.18</v>
      </c>
      <c r="J90">
        <v>7605.94</v>
      </c>
      <c r="L90">
        <f t="shared" si="8"/>
        <v>-7605.94</v>
      </c>
      <c r="M90">
        <v>15762.33</v>
      </c>
      <c r="O90">
        <f t="shared" si="9"/>
        <v>-15762.33</v>
      </c>
      <c r="P90">
        <v>-27786.05</v>
      </c>
      <c r="R90">
        <f t="shared" si="10"/>
        <v>27786.05</v>
      </c>
      <c r="S90">
        <v>-336.82</v>
      </c>
      <c r="U90">
        <f t="shared" si="11"/>
        <v>336.82</v>
      </c>
    </row>
    <row r="91" spans="1:21" x14ac:dyDescent="0.3">
      <c r="A91" s="4" t="str">
        <f xml:space="preserve"> _xll.EPMOlapMemberO("[CECO].[PARENTH3].[AMSA1003AD4507]","","AMSA1003AD4507 - SSO Corporativo","","000")</f>
        <v>AMSA1003AD4507 - SSO Corporativo</v>
      </c>
      <c r="B91" s="6" t="str">
        <f xml:space="preserve"> _xll.EPMOlapMemberO("[CLACO].[PARENTH7].[AMSASERVICIOS]","","Servicios","","000")</f>
        <v>Servicios</v>
      </c>
      <c r="C91" t="str">
        <f>_xlfn.CONCAT(_xll.EPMMemberProperty("COSTOS", _xll.EPMMemberID(A91), "PARENTH3"), " - ", _xll.EPMMemberDesc(_xll.EPMMemberProperty("COSTOS", _xll.EPMMemberID(A91), "PARENTH3"), "COSTOS"))</f>
        <v>N1003AD450 - Gerencia. AAEE</v>
      </c>
      <c r="E91">
        <v>10710</v>
      </c>
      <c r="F91">
        <f t="shared" si="6"/>
        <v>10710</v>
      </c>
      <c r="H91">
        <v>8410</v>
      </c>
      <c r="I91">
        <f t="shared" si="7"/>
        <v>8410</v>
      </c>
      <c r="K91">
        <v>8430</v>
      </c>
      <c r="L91">
        <f t="shared" si="8"/>
        <v>8430</v>
      </c>
      <c r="N91">
        <v>8460</v>
      </c>
      <c r="O91">
        <f t="shared" si="9"/>
        <v>8460</v>
      </c>
      <c r="P91">
        <v>35404</v>
      </c>
      <c r="Q91">
        <v>8480</v>
      </c>
      <c r="R91">
        <f t="shared" si="10"/>
        <v>-26924</v>
      </c>
      <c r="S91">
        <v>35404</v>
      </c>
      <c r="T91">
        <v>104510</v>
      </c>
      <c r="U91">
        <f t="shared" si="11"/>
        <v>69106</v>
      </c>
    </row>
    <row r="92" spans="1:21" x14ac:dyDescent="0.3">
      <c r="A92" s="4" t="str">
        <f xml:space="preserve"> _xll.EPMOlapMemberO("[CECO].[PARENTH3].[AMSA1003AD4507]","","AMSA1003AD4507 - SSO Corporativo","","000")</f>
        <v>AMSA1003AD4507 - SSO Corporativo</v>
      </c>
      <c r="B92" s="6" t="str">
        <f xml:space="preserve"> _xll.EPMOlapMemberO("[CLACO].[PARENTH7].[AMSAINFORMATIC]","","Informática y Comuni","","000")</f>
        <v>Informática y Comuni</v>
      </c>
      <c r="C92" t="str">
        <f>_xlfn.CONCAT(_xll.EPMMemberProperty("COSTOS", _xll.EPMMemberID(A92), "PARENTH3"), " - ", _xll.EPMMemberDesc(_xll.EPMMemberProperty("COSTOS", _xll.EPMMemberID(A92), "PARENTH3"), "COSTOS"))</f>
        <v>N1003AD450 - Gerencia. AAEE</v>
      </c>
      <c r="D92">
        <v>0</v>
      </c>
      <c r="E92">
        <v>10010</v>
      </c>
      <c r="F92">
        <f t="shared" si="6"/>
        <v>10010</v>
      </c>
      <c r="I92">
        <f t="shared" si="7"/>
        <v>0</v>
      </c>
      <c r="K92">
        <v>10050</v>
      </c>
      <c r="L92">
        <f t="shared" si="8"/>
        <v>10050</v>
      </c>
      <c r="M92">
        <v>337.36</v>
      </c>
      <c r="O92">
        <f t="shared" si="9"/>
        <v>-337.36</v>
      </c>
      <c r="P92">
        <v>340.12</v>
      </c>
      <c r="R92">
        <f t="shared" si="10"/>
        <v>-340.12</v>
      </c>
      <c r="S92">
        <v>337.36</v>
      </c>
      <c r="T92">
        <v>37800</v>
      </c>
      <c r="U92">
        <f t="shared" si="11"/>
        <v>37462.639999999999</v>
      </c>
    </row>
    <row r="93" spans="1:21" x14ac:dyDescent="0.3">
      <c r="A93" s="4" t="str">
        <f xml:space="preserve"> _xll.EPMOlapMemberO("[CECO].[PARENTH3].[AMSA1003AD4511]","","AMSA1003AD4511 - Adm y gastos operac","","000")</f>
        <v>AMSA1003AD4511 - Adm y gastos operac</v>
      </c>
      <c r="B93" s="6" t="str">
        <f xml:space="preserve"> _xll.EPMOlapMemberO("[CLACO].[PARENTH7].[AMSAMAT_Y_REP.2]","","Materiales y repuest","","000")</f>
        <v>Materiales y repuest</v>
      </c>
      <c r="C93" t="str">
        <f>_xlfn.CONCAT(_xll.EPMMemberProperty("COSTOS", _xll.EPMMemberID(A93), "PARENTH3"), " - ", _xll.EPMMemberDesc(_xll.EPMMemberProperty("COSTOS", _xll.EPMMemberID(A93), "PARENTH3"), "COSTOS"))</f>
        <v>N1003AD450 - Gerencia. AAEE</v>
      </c>
      <c r="E93">
        <v>60</v>
      </c>
      <c r="F93">
        <f t="shared" si="6"/>
        <v>60</v>
      </c>
      <c r="H93">
        <v>60</v>
      </c>
      <c r="I93">
        <f t="shared" si="7"/>
        <v>60</v>
      </c>
      <c r="K93">
        <v>60</v>
      </c>
      <c r="L93">
        <f t="shared" si="8"/>
        <v>60</v>
      </c>
      <c r="N93">
        <v>60</v>
      </c>
      <c r="O93">
        <f t="shared" si="9"/>
        <v>60</v>
      </c>
      <c r="Q93">
        <v>60</v>
      </c>
      <c r="R93">
        <f t="shared" si="10"/>
        <v>60</v>
      </c>
      <c r="T93">
        <v>720</v>
      </c>
      <c r="U93">
        <f t="shared" si="11"/>
        <v>720</v>
      </c>
    </row>
    <row r="94" spans="1:21" x14ac:dyDescent="0.3">
      <c r="A94" s="4" t="str">
        <f xml:space="preserve"> _xll.EPMOlapMemberO("[CECO].[PARENTH3].[AMSA1003AD4511]","","AMSA1003AD4511 - Adm y gastos operac","","000")</f>
        <v>AMSA1003AD4511 - Adm y gastos operac</v>
      </c>
      <c r="B94" s="6" t="str">
        <f xml:space="preserve"> _xll.EPMOlapMemberO("[CLACO].[PARENTH7].[AMSAASESORIAS]","","Asesorías y Consulto","","000")</f>
        <v>Asesorías y Consulto</v>
      </c>
      <c r="C94" t="str">
        <f>_xlfn.CONCAT(_xll.EPMMemberProperty("COSTOS", _xll.EPMMemberID(A94), "PARENTH3"), " - ", _xll.EPMMemberDesc(_xll.EPMMemberProperty("COSTOS", _xll.EPMMemberID(A94), "PARENTH3"), "COSTOS"))</f>
        <v>N1003AD450 - Gerencia. AAEE</v>
      </c>
      <c r="D94">
        <v>656.44</v>
      </c>
      <c r="F94">
        <f t="shared" si="6"/>
        <v>-656.44</v>
      </c>
      <c r="G94">
        <v>1607.52</v>
      </c>
      <c r="I94">
        <f t="shared" si="7"/>
        <v>-1607.52</v>
      </c>
      <c r="J94">
        <v>1847.2</v>
      </c>
      <c r="L94">
        <f t="shared" si="8"/>
        <v>-1847.2</v>
      </c>
      <c r="M94">
        <v>1830.38</v>
      </c>
      <c r="O94">
        <f t="shared" si="9"/>
        <v>-1830.38</v>
      </c>
      <c r="P94">
        <v>3242.21</v>
      </c>
      <c r="R94">
        <f t="shared" si="10"/>
        <v>-3242.21</v>
      </c>
      <c r="S94">
        <v>5941.54</v>
      </c>
      <c r="U94">
        <f t="shared" si="11"/>
        <v>-5941.54</v>
      </c>
    </row>
    <row r="95" spans="1:21" x14ac:dyDescent="0.3">
      <c r="A95" s="4" t="str">
        <f xml:space="preserve"> _xll.EPMOlapMemberO("[CECO].[PARENTH3].[AMSA1003AD4511]","","AMSA1003AD4511 - Adm y gastos operac","","000")</f>
        <v>AMSA1003AD4511 - Adm y gastos operac</v>
      </c>
      <c r="B95" s="6" t="str">
        <f xml:space="preserve"> _xll.EPMOlapMemberO("[CLACO].[PARENTH7].[AMSAARRIENDOS]","","Arriendos","","000")</f>
        <v>Arriendos</v>
      </c>
      <c r="C95" t="str">
        <f>_xlfn.CONCAT(_xll.EPMMemberProperty("COSTOS", _xll.EPMMemberID(A95), "PARENTH3"), " - ", _xll.EPMMemberDesc(_xll.EPMMemberProperty("COSTOS", _xll.EPMMemberID(A95), "PARENTH3"), "COSTOS"))</f>
        <v>N1003AD450 - Gerencia. AAEE</v>
      </c>
      <c r="D95">
        <v>4.21</v>
      </c>
      <c r="E95">
        <v>1090</v>
      </c>
      <c r="F95">
        <f t="shared" si="6"/>
        <v>1085.79</v>
      </c>
      <c r="G95">
        <v>0</v>
      </c>
      <c r="H95">
        <v>1090</v>
      </c>
      <c r="I95">
        <f t="shared" si="7"/>
        <v>1090</v>
      </c>
      <c r="J95">
        <v>0</v>
      </c>
      <c r="K95">
        <v>1100</v>
      </c>
      <c r="L95">
        <f t="shared" si="8"/>
        <v>1100</v>
      </c>
      <c r="M95">
        <v>0</v>
      </c>
      <c r="N95">
        <v>1100</v>
      </c>
      <c r="O95">
        <f t="shared" si="9"/>
        <v>1100</v>
      </c>
      <c r="P95">
        <v>0</v>
      </c>
      <c r="Q95">
        <v>1100</v>
      </c>
      <c r="R95">
        <f t="shared" si="10"/>
        <v>1100</v>
      </c>
      <c r="S95">
        <v>4.21</v>
      </c>
      <c r="T95">
        <v>13280</v>
      </c>
      <c r="U95">
        <f t="shared" si="11"/>
        <v>13275.79</v>
      </c>
    </row>
    <row r="96" spans="1:21" x14ac:dyDescent="0.3">
      <c r="A96" s="4" t="str">
        <f xml:space="preserve"> _xll.EPMOlapMemberO("[CECO].[PARENTH3].[AMSA1003AD4511]","","AMSA1003AD4511 - Adm y gastos operac","","000")</f>
        <v>AMSA1003AD4511 - Adm y gastos operac</v>
      </c>
      <c r="B96" s="6" t="str">
        <f xml:space="preserve"> _xll.EPMOlapMemberO("[CLACO].[PARENTH7].[AMSASERVICIOS]","","Servicios","","000")</f>
        <v>Servicios</v>
      </c>
      <c r="C96" t="str">
        <f>_xlfn.CONCAT(_xll.EPMMemberProperty("COSTOS", _xll.EPMMemberID(A96), "PARENTH3"), " - ", _xll.EPMMemberDesc(_xll.EPMMemberProperty("COSTOS", _xll.EPMMemberID(A96), "PARENTH3"), "COSTOS"))</f>
        <v>N1003AD450 - Gerencia. AAEE</v>
      </c>
      <c r="D96">
        <v>16679.66</v>
      </c>
      <c r="E96">
        <v>18090</v>
      </c>
      <c r="F96">
        <f t="shared" si="6"/>
        <v>1410.3400000000001</v>
      </c>
      <c r="G96">
        <v>19000.23</v>
      </c>
      <c r="H96">
        <v>18140</v>
      </c>
      <c r="I96">
        <f t="shared" si="7"/>
        <v>-860.22999999999956</v>
      </c>
      <c r="J96">
        <v>-28974.53</v>
      </c>
      <c r="K96">
        <v>18190</v>
      </c>
      <c r="L96">
        <f t="shared" si="8"/>
        <v>47164.53</v>
      </c>
      <c r="M96">
        <v>32262.63</v>
      </c>
      <c r="N96">
        <v>18240</v>
      </c>
      <c r="O96">
        <f t="shared" si="9"/>
        <v>-14022.630000000001</v>
      </c>
      <c r="P96">
        <v>16882.25</v>
      </c>
      <c r="Q96">
        <v>18280</v>
      </c>
      <c r="R96">
        <f t="shared" si="10"/>
        <v>1397.75</v>
      </c>
      <c r="S96">
        <v>56463.99</v>
      </c>
      <c r="T96">
        <v>220310</v>
      </c>
      <c r="U96">
        <f t="shared" si="11"/>
        <v>163846.01</v>
      </c>
    </row>
    <row r="97" spans="1:21" x14ac:dyDescent="0.3">
      <c r="A97" s="4" t="str">
        <f xml:space="preserve"> _xll.EPMOlapMemberO("[CECO].[PARENTH3].[AMSA1003AD4511]","","AMSA1003AD4511 - Adm y gastos operac","","000")</f>
        <v>AMSA1003AD4511 - Adm y gastos operac</v>
      </c>
      <c r="B97" s="6" t="str">
        <f xml:space="preserve"> _xll.EPMOlapMemberO("[CLACO].[PARENTH7].[AMSAG_VIAJES]","","Gastos de Viajes","","000")</f>
        <v>Gastos de Viajes</v>
      </c>
      <c r="C97" t="str">
        <f>_xlfn.CONCAT(_xll.EPMMemberProperty("COSTOS", _xll.EPMMemberID(A97), "PARENTH3"), " - ", _xll.EPMMemberDesc(_xll.EPMMemberProperty("COSTOS", _xll.EPMMemberID(A97), "PARENTH3"), "COSTOS"))</f>
        <v>N1003AD450 - Gerencia. AAEE</v>
      </c>
      <c r="D97">
        <v>7709.63</v>
      </c>
      <c r="E97">
        <v>4440</v>
      </c>
      <c r="F97">
        <f t="shared" si="6"/>
        <v>-3269.63</v>
      </c>
      <c r="G97">
        <v>2831.86</v>
      </c>
      <c r="H97">
        <v>4440</v>
      </c>
      <c r="I97">
        <f t="shared" si="7"/>
        <v>1608.1399999999999</v>
      </c>
      <c r="J97">
        <v>6712.56</v>
      </c>
      <c r="K97">
        <v>4450</v>
      </c>
      <c r="L97">
        <f t="shared" si="8"/>
        <v>-2262.5600000000004</v>
      </c>
      <c r="M97">
        <v>5618.09</v>
      </c>
      <c r="N97">
        <v>4470</v>
      </c>
      <c r="O97">
        <f t="shared" si="9"/>
        <v>-1148.0900000000001</v>
      </c>
      <c r="P97">
        <v>4095.52</v>
      </c>
      <c r="Q97">
        <v>4480</v>
      </c>
      <c r="R97">
        <f t="shared" si="10"/>
        <v>384.48</v>
      </c>
      <c r="S97">
        <v>25959.21</v>
      </c>
      <c r="T97">
        <v>54010</v>
      </c>
      <c r="U97">
        <f t="shared" si="11"/>
        <v>28050.79</v>
      </c>
    </row>
    <row r="98" spans="1:21" x14ac:dyDescent="0.3">
      <c r="A98" s="4" t="str">
        <f xml:space="preserve"> _xll.EPMOlapMemberO("[CECO].[PARENTH3].[AMSA1003AD5500]","","AMSA1003AD5500 - Legal","","000")</f>
        <v>AMSA1003AD5500 - Legal</v>
      </c>
      <c r="B98" s="6" t="str">
        <f xml:space="preserve"> _xll.EPMOlapMemberO("[CLACO].[PARENTH7].[AMSAASESORIAS]","","Asesorías y Consulto","","000")</f>
        <v>Asesorías y Consulto</v>
      </c>
      <c r="C98" t="str">
        <f>_xlfn.CONCAT(_xll.EPMMemberProperty("COSTOS", _xll.EPMMemberID(A98), "PARENTH3"), " - ", _xll.EPMMemberDesc(_xll.EPMMemberProperty("COSTOS", _xll.EPMMemberID(A98), "PARENTH3"), "COSTOS"))</f>
        <v>N1003AD550 - Legal</v>
      </c>
      <c r="D98">
        <v>6516.28</v>
      </c>
      <c r="E98">
        <v>16190</v>
      </c>
      <c r="F98">
        <f t="shared" si="6"/>
        <v>9673.7200000000012</v>
      </c>
      <c r="G98">
        <v>1929.72</v>
      </c>
      <c r="H98">
        <v>16240</v>
      </c>
      <c r="I98">
        <f t="shared" si="7"/>
        <v>14310.28</v>
      </c>
      <c r="J98">
        <v>14412.95</v>
      </c>
      <c r="K98">
        <v>16280</v>
      </c>
      <c r="L98">
        <f t="shared" si="8"/>
        <v>1867.0499999999993</v>
      </c>
      <c r="M98">
        <v>18006.88</v>
      </c>
      <c r="N98">
        <v>16330</v>
      </c>
      <c r="O98">
        <f t="shared" si="9"/>
        <v>-1676.880000000001</v>
      </c>
      <c r="P98">
        <v>19426.36</v>
      </c>
      <c r="Q98">
        <v>16380</v>
      </c>
      <c r="R98">
        <f t="shared" si="10"/>
        <v>-3046.3600000000006</v>
      </c>
      <c r="S98">
        <v>61955.23</v>
      </c>
      <c r="T98">
        <v>197340</v>
      </c>
      <c r="U98">
        <f t="shared" si="11"/>
        <v>135384.76999999999</v>
      </c>
    </row>
    <row r="99" spans="1:21" x14ac:dyDescent="0.3">
      <c r="A99" s="4" t="str">
        <f xml:space="preserve"> _xll.EPMOlapMemberO("[CECO].[PARENTH3].[AMSA1003AD5500]","","AMSA1003AD5500 - Legal","","000")</f>
        <v>AMSA1003AD5500 - Legal</v>
      </c>
      <c r="B99" s="6" t="str">
        <f xml:space="preserve"> _xll.EPMOlapMemberO("[CLACO].[PARENTH7].[AMSASERVICIOS]","","Servicios","","000")</f>
        <v>Servicios</v>
      </c>
      <c r="C99" t="str">
        <f>_xlfn.CONCAT(_xll.EPMMemberProperty("COSTOS", _xll.EPMMemberID(A99), "PARENTH3"), " - ", _xll.EPMMemberDesc(_xll.EPMMemberProperty("COSTOS", _xll.EPMMemberID(A99), "PARENTH3"), "COSTOS"))</f>
        <v>N1003AD550 - Legal</v>
      </c>
      <c r="D99">
        <v>300.24</v>
      </c>
      <c r="E99">
        <v>770</v>
      </c>
      <c r="F99">
        <f t="shared" si="6"/>
        <v>469.76</v>
      </c>
      <c r="G99">
        <v>280.13</v>
      </c>
      <c r="H99">
        <v>770</v>
      </c>
      <c r="I99">
        <f t="shared" si="7"/>
        <v>489.87</v>
      </c>
      <c r="J99">
        <v>250.48</v>
      </c>
      <c r="K99">
        <v>770</v>
      </c>
      <c r="L99">
        <f t="shared" si="8"/>
        <v>519.52</v>
      </c>
      <c r="M99">
        <v>271.3</v>
      </c>
      <c r="N99">
        <v>770</v>
      </c>
      <c r="O99">
        <f t="shared" si="9"/>
        <v>498.7</v>
      </c>
      <c r="P99">
        <v>268.95</v>
      </c>
      <c r="Q99">
        <v>770</v>
      </c>
      <c r="R99">
        <f t="shared" si="10"/>
        <v>501.05</v>
      </c>
      <c r="S99">
        <v>1102.1500000000001</v>
      </c>
      <c r="T99">
        <v>9340</v>
      </c>
      <c r="U99">
        <f t="shared" si="11"/>
        <v>8237.85</v>
      </c>
    </row>
    <row r="100" spans="1:21" x14ac:dyDescent="0.3">
      <c r="A100" s="4" t="str">
        <f xml:space="preserve"> _xll.EPMOlapMemberO("[CECO].[PARENTH3].[AMSA1003AD5500]","","AMSA1003AD5500 - Legal","","000")</f>
        <v>AMSA1003AD5500 - Legal</v>
      </c>
      <c r="B100" s="6" t="str">
        <f xml:space="preserve"> _xll.EPMOlapMemberO("[CLACO].[PARENTH7].[AMSAG_VIAJES]","","Gastos de Viajes","","000")</f>
        <v>Gastos de Viajes</v>
      </c>
      <c r="C100" t="str">
        <f>_xlfn.CONCAT(_xll.EPMMemberProperty("COSTOS", _xll.EPMMemberID(A100), "PARENTH3"), " - ", _xll.EPMMemberDesc(_xll.EPMMemberProperty("COSTOS", _xll.EPMMemberID(A100), "PARENTH3"), "COSTOS"))</f>
        <v>N1003AD550 - Legal</v>
      </c>
      <c r="D100">
        <v>250.66</v>
      </c>
      <c r="E100">
        <v>1050</v>
      </c>
      <c r="F100">
        <f t="shared" si="6"/>
        <v>799.34</v>
      </c>
      <c r="G100">
        <v>1164.01</v>
      </c>
      <c r="H100">
        <v>1050</v>
      </c>
      <c r="I100">
        <f t="shared" si="7"/>
        <v>-114.00999999999999</v>
      </c>
      <c r="J100">
        <v>0</v>
      </c>
      <c r="K100">
        <v>1050</v>
      </c>
      <c r="L100">
        <f t="shared" si="8"/>
        <v>1050</v>
      </c>
      <c r="M100">
        <v>1200.27</v>
      </c>
      <c r="N100">
        <v>1060</v>
      </c>
      <c r="O100">
        <f t="shared" si="9"/>
        <v>-140.26999999999998</v>
      </c>
      <c r="P100">
        <v>428.92</v>
      </c>
      <c r="Q100">
        <v>1060</v>
      </c>
      <c r="R100">
        <f t="shared" si="10"/>
        <v>631.07999999999993</v>
      </c>
      <c r="S100">
        <v>2845.19</v>
      </c>
      <c r="T100">
        <v>12770</v>
      </c>
      <c r="U100">
        <f t="shared" si="11"/>
        <v>9924.81</v>
      </c>
    </row>
    <row r="101" spans="1:21" x14ac:dyDescent="0.3">
      <c r="A101" s="4" t="str">
        <f xml:space="preserve"> _xll.EPMOlapMemberO("[CECO].[PARENTH3].[AMSA1003AD5500]","","AMSA1003AD5500 - Legal","","000")</f>
        <v>AMSA1003AD5500 - Legal</v>
      </c>
      <c r="B101" s="6" t="str">
        <f xml:space="preserve"> _xll.EPMOlapMemberO("[CLACO].[PARENTH7].[AMSAIMP_PATEN]","","Impuestos / Patentes","","000")</f>
        <v>Impuestos / Patentes</v>
      </c>
      <c r="C101" t="str">
        <f>_xlfn.CONCAT(_xll.EPMMemberProperty("COSTOS", _xll.EPMMemberID(A101), "PARENTH3"), " - ", _xll.EPMMemberDesc(_xll.EPMMemberProperty("COSTOS", _xll.EPMMemberID(A101), "PARENTH3"), "COSTOS"))</f>
        <v>N1003AD550 - Legal</v>
      </c>
      <c r="D101">
        <v>184547.08</v>
      </c>
      <c r="E101">
        <v>181410</v>
      </c>
      <c r="F101">
        <f t="shared" si="6"/>
        <v>-3137.0799999999872</v>
      </c>
      <c r="G101">
        <v>0</v>
      </c>
      <c r="H101">
        <v>80</v>
      </c>
      <c r="I101">
        <f t="shared" si="7"/>
        <v>80</v>
      </c>
      <c r="J101">
        <v>133004.07999999999</v>
      </c>
      <c r="K101">
        <v>138700</v>
      </c>
      <c r="L101">
        <f t="shared" si="8"/>
        <v>5695.9200000000128</v>
      </c>
      <c r="M101">
        <v>0</v>
      </c>
      <c r="N101">
        <v>80</v>
      </c>
      <c r="O101">
        <f t="shared" si="9"/>
        <v>80</v>
      </c>
      <c r="P101">
        <v>0</v>
      </c>
      <c r="Q101">
        <v>80</v>
      </c>
      <c r="R101">
        <f t="shared" si="10"/>
        <v>80</v>
      </c>
      <c r="S101">
        <v>317551.15999999997</v>
      </c>
      <c r="T101">
        <v>347470</v>
      </c>
      <c r="U101">
        <f t="shared" si="11"/>
        <v>29918.840000000026</v>
      </c>
    </row>
    <row r="102" spans="1:21" x14ac:dyDescent="0.3">
      <c r="A102" s="6" t="str">
        <f xml:space="preserve"> _xll.EPMOlapMemberO("[CECO].[PARENTH3].[AMSA1003AD6000]","","AMSA1003AD6000 - Adm Comercialización","","000")</f>
        <v>AMSA1003AD6000 - Adm Comercialización</v>
      </c>
      <c r="B102" s="6" t="str">
        <f xml:space="preserve"> _xll.EPMOlapMemberO("[CLACO].[PARENTH7].[AMSASERVICIOS]","","Servicios","","000")</f>
        <v>Servicios</v>
      </c>
      <c r="C102" t="str">
        <f>_xlfn.CONCAT(_xll.EPMMemberProperty("COSTOS", _xll.EPMMemberID(A102), "PARENTH3"), " - ", _xll.EPMMemberDesc(_xll.EPMMemberProperty("COSTOS", _xll.EPMMemberID(A102), "PARENTH3"), "COSTOS"))</f>
        <v>N1003AD600 - Comercialización</v>
      </c>
      <c r="D102">
        <v>261569.77</v>
      </c>
      <c r="F102">
        <f t="shared" si="6"/>
        <v>-261569.77</v>
      </c>
      <c r="G102">
        <v>159089.88</v>
      </c>
      <c r="I102">
        <f t="shared" si="7"/>
        <v>-159089.88</v>
      </c>
      <c r="J102">
        <v>256799.93</v>
      </c>
      <c r="L102">
        <f t="shared" si="8"/>
        <v>-256799.93</v>
      </c>
      <c r="M102">
        <v>328415.51</v>
      </c>
      <c r="O102">
        <f t="shared" si="9"/>
        <v>-328415.51</v>
      </c>
      <c r="P102">
        <v>247651.84</v>
      </c>
      <c r="R102">
        <f t="shared" si="10"/>
        <v>-247651.84</v>
      </c>
      <c r="S102">
        <v>1268219.56</v>
      </c>
      <c r="U102">
        <f t="shared" si="11"/>
        <v>-1268219.56</v>
      </c>
    </row>
    <row r="103" spans="1:21" x14ac:dyDescent="0.3">
      <c r="A103" s="6" t="str">
        <f xml:space="preserve"> _xll.EPMOlapMemberO("[CECO].[PARENTH3].[AMSA1003AD6000]","","AMSA1003AD6000 - Adm Comercialización","","000")</f>
        <v>AMSA1003AD6000 - Adm Comercialización</v>
      </c>
      <c r="B103" s="6" t="str">
        <f xml:space="preserve"> _xll.EPMOlapMemberO("[CLACO].[PARENTH7].[AMSAG_VIAJES]","","Gastos de Viajes","","000")</f>
        <v>Gastos de Viajes</v>
      </c>
      <c r="C103" t="str">
        <f>_xlfn.CONCAT(_xll.EPMMemberProperty("COSTOS", _xll.EPMMemberID(A103), "PARENTH3"), " - ", _xll.EPMMemberDesc(_xll.EPMMemberProperty("COSTOS", _xll.EPMMemberID(A103), "PARENTH3"), "COSTOS"))</f>
        <v>N1003AD600 - Comercialización</v>
      </c>
      <c r="D103">
        <v>205.42</v>
      </c>
      <c r="F103">
        <f t="shared" si="6"/>
        <v>-205.42</v>
      </c>
      <c r="G103">
        <v>1394.8</v>
      </c>
      <c r="I103">
        <f t="shared" si="7"/>
        <v>-1394.8</v>
      </c>
      <c r="J103">
        <v>147.38999999999999</v>
      </c>
      <c r="L103">
        <f t="shared" si="8"/>
        <v>-147.38999999999999</v>
      </c>
      <c r="M103">
        <v>605.27</v>
      </c>
      <c r="O103">
        <f t="shared" si="9"/>
        <v>-605.27</v>
      </c>
      <c r="P103">
        <v>6584.59</v>
      </c>
      <c r="R103">
        <f t="shared" si="10"/>
        <v>-6584.59</v>
      </c>
      <c r="S103">
        <v>2352.88</v>
      </c>
      <c r="U103">
        <f t="shared" si="11"/>
        <v>-2352.88</v>
      </c>
    </row>
    <row r="104" spans="1:21" x14ac:dyDescent="0.3">
      <c r="A104" s="6" t="str">
        <f xml:space="preserve"> _xll.EPMOlapMemberO("[CECO].[PARENTH3].[AMSA1003AD6000]","","AMSA1003AD6000 - Adm Comercialización","","000")</f>
        <v>AMSA1003AD6000 - Adm Comercialización</v>
      </c>
      <c r="B104" s="6" t="str">
        <f xml:space="preserve"> _xll.EPMOlapMemberO("[CLACO].[PARENTH7].[AMSAGGENERALES.2]","","Otros Gastos","","000")</f>
        <v>Otros Gastos</v>
      </c>
      <c r="C104" t="str">
        <f>_xlfn.CONCAT(_xll.EPMMemberProperty("COSTOS", _xll.EPMMemberID(A104), "PARENTH3"), " - ", _xll.EPMMemberDesc(_xll.EPMMemberProperty("COSTOS", _xll.EPMMemberID(A104), "PARENTH3"), "COSTOS"))</f>
        <v>N1003AD600 - Comercialización</v>
      </c>
      <c r="D104">
        <v>2800.5</v>
      </c>
      <c r="F104">
        <f t="shared" si="6"/>
        <v>-2800.5</v>
      </c>
      <c r="G104">
        <v>1007.12</v>
      </c>
      <c r="I104">
        <f t="shared" si="7"/>
        <v>-1007.12</v>
      </c>
      <c r="J104">
        <v>12722.17</v>
      </c>
      <c r="L104">
        <f t="shared" si="8"/>
        <v>-12722.17</v>
      </c>
      <c r="M104">
        <v>6151.58</v>
      </c>
      <c r="O104">
        <f t="shared" si="9"/>
        <v>-6151.58</v>
      </c>
      <c r="P104">
        <v>619.35</v>
      </c>
      <c r="R104">
        <f t="shared" si="10"/>
        <v>-619.35</v>
      </c>
      <c r="S104">
        <v>22653.07</v>
      </c>
      <c r="U104">
        <f t="shared" si="11"/>
        <v>-22653.07</v>
      </c>
    </row>
    <row r="105" spans="1:21" x14ac:dyDescent="0.3">
      <c r="A105" s="6" t="str">
        <f xml:space="preserve"> _xll.EPMOlapMemberO("[CECO].[PARENTH3].[AMSA1003AD6000]","","AMSA1003AD6000 - Adm Comercialización","","000")</f>
        <v>AMSA1003AD6000 - Adm Comercialización</v>
      </c>
      <c r="B105" s="6" t="str">
        <f xml:space="preserve"> _xll.EPMOlapMemberO("[CLACO].[PARENTH7].[AMSACOMERCIALI]","","Comercial","","000")</f>
        <v>Comercial</v>
      </c>
      <c r="C105" t="str">
        <f>_xlfn.CONCAT(_xll.EPMMemberProperty("COSTOS", _xll.EPMMemberID(A105), "PARENTH3"), " - ", _xll.EPMMemberDesc(_xll.EPMMemberProperty("COSTOS", _xll.EPMMemberID(A105), "PARENTH3"), "COSTOS"))</f>
        <v>N1003AD600 - Comercialización</v>
      </c>
      <c r="D105">
        <v>240590.52</v>
      </c>
      <c r="F105">
        <f t="shared" si="6"/>
        <v>-240590.52</v>
      </c>
      <c r="G105">
        <v>486894.29</v>
      </c>
      <c r="I105">
        <f t="shared" si="7"/>
        <v>-486894.29</v>
      </c>
      <c r="J105">
        <v>601280.15</v>
      </c>
      <c r="L105">
        <f t="shared" si="8"/>
        <v>-601280.15</v>
      </c>
      <c r="M105">
        <v>186086.44</v>
      </c>
      <c r="O105">
        <f t="shared" si="9"/>
        <v>-186086.44</v>
      </c>
      <c r="P105">
        <v>426602.56</v>
      </c>
      <c r="R105">
        <f t="shared" si="10"/>
        <v>-426602.56</v>
      </c>
      <c r="S105">
        <v>2440007.08</v>
      </c>
      <c r="U105">
        <f t="shared" si="11"/>
        <v>-2440007.08</v>
      </c>
    </row>
    <row r="106" spans="1:21" x14ac:dyDescent="0.3">
      <c r="A106" s="6" t="str">
        <f xml:space="preserve"> _xll.EPMOlapMemberO("[CECO].[PARENTH3].[AMSA1003AD6000]","","AMSA1003AD6000 - Adm Comercialización","","000")</f>
        <v>AMSA1003AD6000 - Adm Comercialización</v>
      </c>
      <c r="B106" s="6" t="str">
        <f xml:space="preserve"> _xll.EPMOlapMemberO("[CLACO].[PARENTH7].[AMSASERV_CORP]","","Servicios Corporativ","","000")</f>
        <v>Servicios Corporativ</v>
      </c>
      <c r="C106" t="str">
        <f>_xlfn.CONCAT(_xll.EPMMemberProperty("COSTOS", _xll.EPMMemberID(A106), "PARENTH3"), " - ", _xll.EPMMemberDesc(_xll.EPMMemberProperty("COSTOS", _xll.EPMMemberID(A106), "PARENTH3"), "COSTOS"))</f>
        <v>N1003AD600 - Comercialización</v>
      </c>
      <c r="D106">
        <v>93367.47</v>
      </c>
      <c r="F106">
        <f t="shared" si="6"/>
        <v>-93367.47</v>
      </c>
      <c r="G106">
        <v>96290.21</v>
      </c>
      <c r="I106">
        <f t="shared" si="7"/>
        <v>-96290.21</v>
      </c>
      <c r="J106">
        <v>95939.71</v>
      </c>
      <c r="L106">
        <f t="shared" si="8"/>
        <v>-95939.71</v>
      </c>
      <c r="M106">
        <v>91537.37</v>
      </c>
      <c r="O106">
        <f t="shared" si="9"/>
        <v>-91537.37</v>
      </c>
      <c r="P106">
        <v>94013.24</v>
      </c>
      <c r="R106">
        <f t="shared" si="10"/>
        <v>-94013.24</v>
      </c>
      <c r="S106">
        <v>471148</v>
      </c>
      <c r="U106">
        <f t="shared" si="11"/>
        <v>-471148</v>
      </c>
    </row>
  </sheetData>
  <pageMargins left="0.7" right="0.7" top="0.75" bottom="0.75" header="0.3" footer="0.3"/>
  <customProperties>
    <customPr name="EpmWorksheetKeyString_GUID" r:id="rId1"/>
    <customPr name="FPMExcelClientCellBasedFunctionStatus" r:id="rId2"/>
    <customPr name="FPMExcelClientRefreshTime" r:id="rId3"/>
  </customProperties>
  <drawing r:id="rId4"/>
  <legacyDrawing r:id="rId5"/>
  <controls>
    <mc:AlternateContent xmlns:mc="http://schemas.openxmlformats.org/markup-compatibility/2006">
      <mc:Choice Requires="x14">
        <control shapeId="8196" r:id="rId6" name="AnalyzerDynReport000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563880</xdr:colOff>
                <xdr:row>0</xdr:row>
                <xdr:rowOff>0</xdr:rowOff>
              </to>
            </anchor>
          </controlPr>
        </control>
      </mc:Choice>
      <mc:Fallback>
        <control shapeId="8196" r:id="rId6" name="AnalyzerDynReport000tb1"/>
      </mc:Fallback>
    </mc:AlternateContent>
    <mc:AlternateContent xmlns:mc="http://schemas.openxmlformats.org/markup-compatibility/2006">
      <mc:Choice Requires="x14">
        <control shapeId="8195" r:id="rId8" name="MultipleReportManagerInfo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563880</xdr:colOff>
                <xdr:row>0</xdr:row>
                <xdr:rowOff>0</xdr:rowOff>
              </to>
            </anchor>
          </controlPr>
        </control>
      </mc:Choice>
      <mc:Fallback>
        <control shapeId="8195" r:id="rId8" name="MultipleReportManagerInfotb1"/>
      </mc:Fallback>
    </mc:AlternateContent>
    <mc:AlternateContent xmlns:mc="http://schemas.openxmlformats.org/markup-compatibility/2006">
      <mc:Choice Requires="x14">
        <control shapeId="8194" r:id="rId10" name="ConnectionDescriptorsInfotb1">
          <controlPr defaultSize="0" autoLine="0" autoPict="0" r:id="rId11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563880</xdr:colOff>
                <xdr:row>0</xdr:row>
                <xdr:rowOff>0</xdr:rowOff>
              </to>
            </anchor>
          </controlPr>
        </control>
      </mc:Choice>
      <mc:Fallback>
        <control shapeId="8194" r:id="rId10" name="ConnectionDescriptorsInfotb1"/>
      </mc:Fallback>
    </mc:AlternateContent>
    <mc:AlternateContent xmlns:mc="http://schemas.openxmlformats.org/markup-compatibility/2006">
      <mc:Choice Requires="x14">
        <control shapeId="8193" r:id="rId12" name="FPMExcelClientSheetOptionstb1">
          <controlPr defaultSize="0" autoLine="0" autoPict="0" r:id="rId13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563880</xdr:colOff>
                <xdr:row>0</xdr:row>
                <xdr:rowOff>0</xdr:rowOff>
              </to>
            </anchor>
          </controlPr>
        </control>
      </mc:Choice>
      <mc:Fallback>
        <control shapeId="8193" r:id="rId12" name="FPMExcelClientSheetOptionstb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3953-4627-46F5-8827-C8715AAAB5C9}">
  <sheetPr codeName="Hoja2"/>
  <dimension ref="A1:U119"/>
  <sheetViews>
    <sheetView zoomScale="70" zoomScaleNormal="70" workbookViewId="0">
      <selection activeCell="S8" sqref="S8"/>
    </sheetView>
  </sheetViews>
  <sheetFormatPr baseColWidth="10" defaultRowHeight="13.8" x14ac:dyDescent="0.3"/>
  <cols>
    <col min="1" max="1" width="36.44140625" bestFit="1" customWidth="1"/>
    <col min="2" max="2" width="17.77734375" bestFit="1" customWidth="1"/>
    <col min="3" max="3" width="29.77734375" bestFit="1" customWidth="1"/>
    <col min="4" max="4" width="10" bestFit="1" customWidth="1"/>
    <col min="5" max="8" width="11" bestFit="1" customWidth="1"/>
    <col min="9" max="10" width="11.5546875" bestFit="1" customWidth="1"/>
    <col min="11" max="11" width="11" bestFit="1" customWidth="1"/>
    <col min="12" max="13" width="11.5546875" bestFit="1" customWidth="1"/>
    <col min="14" max="17" width="11" bestFit="1" customWidth="1"/>
    <col min="18" max="19" width="11.5546875" bestFit="1" customWidth="1"/>
    <col min="20" max="21" width="12" bestFit="1" customWidth="1"/>
    <col min="22" max="22" width="9.44140625" bestFit="1" customWidth="1"/>
    <col min="23" max="24" width="11" bestFit="1" customWidth="1"/>
    <col min="25" max="25" width="9.44140625" bestFit="1" customWidth="1"/>
    <col min="26" max="27" width="11" bestFit="1" customWidth="1"/>
    <col min="28" max="28" width="9.44140625" bestFit="1" customWidth="1"/>
    <col min="29" max="30" width="11" bestFit="1" customWidth="1"/>
    <col min="31" max="31" width="9.44140625" bestFit="1" customWidth="1"/>
    <col min="32" max="33" width="11" bestFit="1" customWidth="1"/>
    <col min="34" max="34" width="9.44140625" bestFit="1" customWidth="1"/>
    <col min="35" max="36" width="10" bestFit="1" customWidth="1"/>
    <col min="37" max="37" width="9.44140625" bestFit="1" customWidth="1"/>
    <col min="38" max="39" width="11" bestFit="1" customWidth="1"/>
    <col min="40" max="40" width="11.44140625" bestFit="1" customWidth="1"/>
    <col min="41" max="42" width="12" bestFit="1" customWidth="1"/>
  </cols>
  <sheetData>
    <row r="1" spans="1:21" x14ac:dyDescent="0.3">
      <c r="A1" t="str" cm="1">
        <f t="array" ref="A1">_xll.EPMDimensionOverrideRange("000","CECO",CECOS!$B$2:$B$128)</f>
        <v>Expansión de CECO sobrescrita</v>
      </c>
    </row>
    <row r="2" spans="1:21" x14ac:dyDescent="0.3">
      <c r="A2" s="7" t="str">
        <f xml:space="preserve"> _xll.EPMOlapMemberO("[CEBE].[PARENTH1].[JE-]","","Gr Antofagasta Miner","","000")</f>
        <v>Gr Antofagasta Miner</v>
      </c>
    </row>
    <row r="4" spans="1:21" x14ac:dyDescent="0.3">
      <c r="A4" s="7" t="str">
        <f xml:space="preserve"> _xll.EPMOlapMemberO("[ENTITY].[PARENTH1].[1002]","","1002 - Minera Centinela","","000")</f>
        <v>1002 - Minera Centinela</v>
      </c>
    </row>
    <row r="7" spans="1:21" x14ac:dyDescent="0.3">
      <c r="C7" t="str">
        <f xml:space="preserve"> _xll.EPMOlapMemberO("[Blank Member]","","","","000")</f>
        <v/>
      </c>
      <c r="D7" t="str">
        <f xml:space="preserve"> _xll.EPMOlapMemberO("[TIME].[PARENTH1].[2026.01]","","2026.01","","000")</f>
        <v>2026.01</v>
      </c>
      <c r="G7" t="str">
        <f xml:space="preserve"> _xll.EPMOlapMemberO("[TIME].[PARENTH1].[2026.02]","","2026.02","","000")</f>
        <v>2026.02</v>
      </c>
      <c r="J7" t="str">
        <f xml:space="preserve"> _xll.EPMOlapMemberO("[TIME].[PARENTH1].[2026.03]","","2026.03","","000")</f>
        <v>2026.03</v>
      </c>
      <c r="M7" t="str">
        <f xml:space="preserve"> _xll.EPMOlapMemberO("[TIME].[PARENTH1].[2026.04]","","2026.04","","000")</f>
        <v>2026.04</v>
      </c>
      <c r="P7" t="str">
        <f xml:space="preserve"> _xll.EPMOlapMemberO("[TIME].[PARENTH1].[2026.05]","","2026.05","","000")</f>
        <v>2026.05</v>
      </c>
      <c r="S7" t="str">
        <f xml:space="preserve"> _xll.EPMOlapMemberO("[TIME].[PARENTH1].[2026.TOTAL]","","2026.TOTAL","","000")</f>
        <v>2026.TOTAL</v>
      </c>
    </row>
    <row r="8" spans="1:21" x14ac:dyDescent="0.3">
      <c r="C8" t="str">
        <f xml:space="preserve"> _xll.FPMXLClient.TechnicalCategory.EPMLocalMember("CeCo Padre","000","000")</f>
        <v>CeCo Padre</v>
      </c>
      <c r="D8" t="str">
        <f xml:space="preserve"> _xll.EPMOlapMemberO("[CATEGORY].[].[REAL]","","Real - Real","","000")</f>
        <v>Real - Real</v>
      </c>
      <c r="E8" t="str">
        <f xml:space="preserve"> _xll.EPMOlapMemberO("[CATEGORY].[].[PLAN]","","Plan - Plan","","000")</f>
        <v>Plan - Plan</v>
      </c>
      <c r="F8" t="str">
        <f xml:space="preserve"> _xll.FPMXLClient.TechnicalCategory.EPMLocalMember("Var","001","000")</f>
        <v>Var</v>
      </c>
      <c r="G8" t="str">
        <f xml:space="preserve"> _xll.EPMOlapMemberO("[CATEGORY].[].[REAL]","","Real - Real","","000")</f>
        <v>Real - Real</v>
      </c>
      <c r="H8" t="str">
        <f xml:space="preserve"> _xll.EPMOlapMemberO("[CATEGORY].[].[PLAN]","","Plan - Plan","","000")</f>
        <v>Plan - Plan</v>
      </c>
      <c r="I8" t="str">
        <f xml:space="preserve"> _xll.FPMXLClient.TechnicalCategory.EPMLocalMember("Var","001","000")</f>
        <v>Var</v>
      </c>
      <c r="J8" t="str">
        <f xml:space="preserve"> _xll.EPMOlapMemberO("[CATEGORY].[].[REAL]","","Real - Real","","000")</f>
        <v>Real - Real</v>
      </c>
      <c r="K8" t="str">
        <f xml:space="preserve"> _xll.EPMOlapMemberO("[CATEGORY].[].[PLAN]","","Plan - Plan","","000")</f>
        <v>Plan - Plan</v>
      </c>
      <c r="L8" t="str">
        <f xml:space="preserve"> _xll.FPMXLClient.TechnicalCategory.EPMLocalMember("Var","001","000")</f>
        <v>Var</v>
      </c>
      <c r="M8" t="str">
        <f xml:space="preserve"> _xll.EPMOlapMemberO("[CATEGORY].[].[REAL]","","Real - Real","","000")</f>
        <v>Real - Real</v>
      </c>
      <c r="N8" t="str">
        <f xml:space="preserve"> _xll.EPMOlapMemberO("[CATEGORY].[].[PLAN]","","Plan - Plan","","000")</f>
        <v>Plan - Plan</v>
      </c>
      <c r="O8" t="str">
        <f xml:space="preserve"> _xll.FPMXLClient.TechnicalCategory.EPMLocalMember("Var","001","000")</f>
        <v>Var</v>
      </c>
      <c r="P8" t="str">
        <f xml:space="preserve"> _xll.EPMOlapMemberO("[CATEGORY].[].[REAL]","","Real - Real","","000")</f>
        <v>Real - Real</v>
      </c>
      <c r="Q8" t="str">
        <f xml:space="preserve"> _xll.EPMOlapMemberO("[CATEGORY].[].[PLAN]","","Plan - Plan","","000")</f>
        <v>Plan - Plan</v>
      </c>
      <c r="R8" t="str">
        <f xml:space="preserve"> _xll.FPMXLClient.TechnicalCategory.EPMLocalMember("Var","001","000")</f>
        <v>Var</v>
      </c>
      <c r="S8" t="str">
        <f xml:space="preserve"> _xll.EPMOlapMemberO("[CATEGORY].[].[REAL]","","Real - Real","","000")</f>
        <v>Real - Real</v>
      </c>
      <c r="T8" t="str">
        <f xml:space="preserve"> _xll.EPMOlapMemberO("[CATEGORY].[].[PLAN]","","Plan - Plan","","000")</f>
        <v>Plan - Plan</v>
      </c>
      <c r="U8" t="str">
        <f xml:space="preserve"> _xll.FPMXLClient.TechnicalCategory.EPMLocalMember("Var","001","000")</f>
        <v>Var</v>
      </c>
    </row>
    <row r="9" spans="1:21" x14ac:dyDescent="0.3">
      <c r="A9" s="6" t="str">
        <f xml:space="preserve"> _xll.EPMOlapMemberO("[CECO].[PARENTH3].[AMSA1002AD0507]","","AMSA1002AD0507 - VPACS Corporativo","","000")</f>
        <v>AMSA1002AD0507 - VPACS Corporativo</v>
      </c>
      <c r="B9" s="6" t="str">
        <f xml:space="preserve"> _xll.EPMOlapMemberO("[CLACO].[PARENTH7].[AMSASERV_CORP]","","Servicios Corporativ","","000")</f>
        <v>Servicios Corporativ</v>
      </c>
      <c r="C9" t="str">
        <f>_xlfn.CONCAT(_xll.EPMMemberProperty("COSTOS", _xll.EPMMemberID(A9), "PARENTH3"), " - ", _xll.EPMMemberDesc(_xll.EPMMemberProperty("COSTOS", _xll.EPMMemberID(A9), "PARENTH3"), "COSTOS"))</f>
        <v>N100200500 - Centinela No Operaci</v>
      </c>
      <c r="D9">
        <v>140187.26999999999</v>
      </c>
      <c r="E9">
        <v>138607.69</v>
      </c>
      <c r="F9">
        <f>E9-D9</f>
        <v>-1579.5799999999872</v>
      </c>
      <c r="G9">
        <v>145924.04999999999</v>
      </c>
      <c r="H9">
        <v>138994.43</v>
      </c>
      <c r="I9">
        <f>H9-G9</f>
        <v>-6929.6199999999953</v>
      </c>
      <c r="J9">
        <v>145236.07999999999</v>
      </c>
      <c r="K9">
        <v>139382.24</v>
      </c>
      <c r="L9">
        <f>K9-J9</f>
        <v>-5853.8399999999965</v>
      </c>
      <c r="M9">
        <v>136594.6</v>
      </c>
      <c r="N9">
        <v>139771.13</v>
      </c>
      <c r="O9">
        <f>N9-M9</f>
        <v>3176.5299999999988</v>
      </c>
      <c r="P9">
        <v>141455</v>
      </c>
      <c r="Q9">
        <v>140161.10999999999</v>
      </c>
      <c r="R9">
        <f>Q9-P9</f>
        <v>-1293.890000000014</v>
      </c>
      <c r="S9">
        <v>709397</v>
      </c>
      <c r="T9">
        <v>1689055.51</v>
      </c>
      <c r="U9">
        <f>T9-S9</f>
        <v>979658.51</v>
      </c>
    </row>
    <row r="10" spans="1:21" x14ac:dyDescent="0.3">
      <c r="A10" s="6" t="str">
        <f xml:space="preserve"> _xll.EPMOlapMemberO("[CECO].[PARENTH3].[AMSA1002AD0510]","","AMSA1002AD0510 - Proyectos Corporativ","","000")</f>
        <v>AMSA1002AD0510 - Proyectos Corporativ</v>
      </c>
      <c r="B10" s="6" t="str">
        <f xml:space="preserve"> _xll.EPMOlapMemberO("[CLACO].[PARENTH7].[AMSASERV_CORP]","","Servicios Corporativ","","000")</f>
        <v>Servicios Corporativ</v>
      </c>
      <c r="C10" t="str">
        <f>_xlfn.CONCAT(_xll.EPMMemberProperty("COSTOS", _xll.EPMMemberID(A10), "PARENTH3"), " - ", _xll.EPMMemberDesc(_xll.EPMMemberProperty("COSTOS", _xll.EPMMemberID(A10), "PARENTH3"), "COSTOS"))</f>
        <v>N100200500 - Centinela No Operaci</v>
      </c>
      <c r="D10">
        <v>176395.91</v>
      </c>
      <c r="E10">
        <v>174407.91</v>
      </c>
      <c r="F10">
        <f t="shared" ref="F10:F73" si="0">E10-D10</f>
        <v>-1988</v>
      </c>
      <c r="G10">
        <v>183614.43</v>
      </c>
      <c r="H10">
        <v>174894.52</v>
      </c>
      <c r="I10">
        <f t="shared" ref="I10:I73" si="1">H10-G10</f>
        <v>-8719.9100000000035</v>
      </c>
      <c r="J10">
        <v>182748.77</v>
      </c>
      <c r="K10">
        <v>175382.5</v>
      </c>
      <c r="L10">
        <f t="shared" ref="L10:L73" si="2">K10-J10</f>
        <v>-7366.2699999999895</v>
      </c>
      <c r="M10">
        <v>171875.89</v>
      </c>
      <c r="N10">
        <v>175871.84</v>
      </c>
      <c r="O10">
        <f t="shared" ref="O10:O73" si="3">N10-M10</f>
        <v>3995.9499999999825</v>
      </c>
      <c r="P10">
        <v>177992</v>
      </c>
      <c r="Q10">
        <v>176362.54</v>
      </c>
      <c r="R10">
        <f t="shared" ref="R10:R73" si="4">Q10-P10</f>
        <v>-1629.4599999999919</v>
      </c>
      <c r="S10">
        <v>892627</v>
      </c>
      <c r="T10">
        <v>2125312.2599999998</v>
      </c>
      <c r="U10">
        <f t="shared" ref="U10:U73" si="5">T10-S10</f>
        <v>1232685.2599999998</v>
      </c>
    </row>
    <row r="11" spans="1:21" x14ac:dyDescent="0.3">
      <c r="A11" s="6" t="str">
        <f xml:space="preserve"> _xll.EPMOlapMemberO("[CECO].[PARENTH3].[AMSA1002AD4503]","","AMSA1002AD4503 - Asunt Publ y Comunid","","000")</f>
        <v>AMSA1002AD4503 - Asunt Publ y Comunid</v>
      </c>
      <c r="B11" s="6" t="str">
        <f xml:space="preserve"> _xll.EPMOlapMemberO("[CLACO].[PARENTH7].[AMSAMAT_Y_REP.2]","","Materiales y repuest","","000")</f>
        <v>Materiales y repuest</v>
      </c>
      <c r="C11" t="str">
        <f>_xlfn.CONCAT(_xll.EPMMemberProperty("COSTOS", _xll.EPMMemberID(A11), "PARENTH3"), " - ", _xll.EPMMemberDesc(_xll.EPMMemberProperty("COSTOS", _xll.EPMMemberID(A11), "PARENTH3"), "COSTOS"))</f>
        <v>N100200500 - Centinela No Operaci</v>
      </c>
      <c r="F11">
        <f t="shared" si="0"/>
        <v>0</v>
      </c>
      <c r="I11">
        <f t="shared" si="1"/>
        <v>0</v>
      </c>
      <c r="L11">
        <f t="shared" si="2"/>
        <v>0</v>
      </c>
      <c r="M11">
        <v>176.7</v>
      </c>
      <c r="O11">
        <f t="shared" si="3"/>
        <v>-176.7</v>
      </c>
      <c r="R11">
        <f t="shared" si="4"/>
        <v>0</v>
      </c>
      <c r="S11">
        <v>176.7</v>
      </c>
      <c r="U11">
        <f t="shared" si="5"/>
        <v>-176.7</v>
      </c>
    </row>
    <row r="12" spans="1:21" x14ac:dyDescent="0.3">
      <c r="A12" s="6" t="str">
        <f xml:space="preserve"> _xll.EPMOlapMemberO("[CECO].[PARENTH3].[AMSA1002AD4503]","","AMSA1002AD4503 - Asunt Publ y Comunid","","000")</f>
        <v>AMSA1002AD4503 - Asunt Publ y Comunid</v>
      </c>
      <c r="B12" s="6" t="str">
        <f xml:space="preserve"> _xll.EPMOlapMemberO("[CLACO].[PARENTH7].[AMSAASESORIAS]","","Asesorías y Consulto","","000")</f>
        <v>Asesorías y Consulto</v>
      </c>
      <c r="C12" t="str">
        <f>_xlfn.CONCAT(_xll.EPMMemberProperty("COSTOS", _xll.EPMMemberID(A12), "PARENTH3"), " - ", _xll.EPMMemberDesc(_xll.EPMMemberProperty("COSTOS", _xll.EPMMemberID(A12), "PARENTH3"), "COSTOS"))</f>
        <v>N100200500 - Centinela No Operaci</v>
      </c>
      <c r="D12">
        <v>-46697.8</v>
      </c>
      <c r="E12">
        <v>9633.56</v>
      </c>
      <c r="F12">
        <f t="shared" si="0"/>
        <v>56331.360000000001</v>
      </c>
      <c r="G12">
        <v>8100.19</v>
      </c>
      <c r="H12">
        <v>9660.43</v>
      </c>
      <c r="I12">
        <f t="shared" si="1"/>
        <v>1560.2400000000007</v>
      </c>
      <c r="J12">
        <v>9203.43</v>
      </c>
      <c r="K12">
        <v>9687.39</v>
      </c>
      <c r="L12">
        <f t="shared" si="2"/>
        <v>483.95999999999913</v>
      </c>
      <c r="M12">
        <v>10162.6</v>
      </c>
      <c r="N12">
        <v>9714.42</v>
      </c>
      <c r="O12">
        <f t="shared" si="3"/>
        <v>-448.18000000000029</v>
      </c>
      <c r="P12">
        <v>10244.07</v>
      </c>
      <c r="Q12">
        <v>9741.52</v>
      </c>
      <c r="R12">
        <f t="shared" si="4"/>
        <v>-502.54999999999927</v>
      </c>
      <c r="S12">
        <v>-9965.6299999999992</v>
      </c>
      <c r="T12">
        <v>86478.6</v>
      </c>
      <c r="U12">
        <f t="shared" si="5"/>
        <v>96444.23000000001</v>
      </c>
    </row>
    <row r="13" spans="1:21" x14ac:dyDescent="0.3">
      <c r="A13" s="6" t="str">
        <f xml:space="preserve"> _xll.EPMOlapMemberO("[CECO].[PARENTH3].[AMSA1002AD4503]","","AMSA1002AD4503 - Asunt Publ y Comunid","","000")</f>
        <v>AMSA1002AD4503 - Asunt Publ y Comunid</v>
      </c>
      <c r="B13" s="6" t="str">
        <f xml:space="preserve"> _xll.EPMOlapMemberO("[CLACO].[PARENTH7].[AMSASERVICIOS]","","Servicios","","000")</f>
        <v>Servicios</v>
      </c>
      <c r="C13" t="str">
        <f>_xlfn.CONCAT(_xll.EPMMemberProperty("COSTOS", _xll.EPMMemberID(A13), "PARENTH3"), " - ", _xll.EPMMemberDesc(_xll.EPMMemberProperty("COSTOS", _xll.EPMMemberID(A13), "PARENTH3"), "COSTOS"))</f>
        <v>N100200500 - Centinela No Operaci</v>
      </c>
      <c r="D13">
        <v>18353.82</v>
      </c>
      <c r="E13">
        <v>1542056.16</v>
      </c>
      <c r="F13">
        <f t="shared" si="0"/>
        <v>1523702.3399999999</v>
      </c>
      <c r="G13">
        <v>2385738.61</v>
      </c>
      <c r="H13">
        <v>1960370.94</v>
      </c>
      <c r="I13">
        <f t="shared" si="1"/>
        <v>-425367.66999999993</v>
      </c>
      <c r="J13">
        <v>-7265408.6699999999</v>
      </c>
      <c r="K13">
        <v>2375243.56</v>
      </c>
      <c r="L13">
        <f t="shared" si="2"/>
        <v>9640652.2300000004</v>
      </c>
      <c r="M13">
        <v>4782.7299999999996</v>
      </c>
      <c r="N13">
        <v>3507856.78</v>
      </c>
      <c r="O13">
        <f t="shared" si="3"/>
        <v>3503074.05</v>
      </c>
      <c r="P13">
        <v>7656.74</v>
      </c>
      <c r="Q13">
        <v>3260240.57</v>
      </c>
      <c r="R13">
        <f t="shared" si="4"/>
        <v>3252583.8299999996</v>
      </c>
      <c r="S13">
        <v>-4856357.83</v>
      </c>
      <c r="T13">
        <v>18367177.899999999</v>
      </c>
      <c r="U13">
        <f t="shared" si="5"/>
        <v>23223535.729999997</v>
      </c>
    </row>
    <row r="14" spans="1:21" x14ac:dyDescent="0.3">
      <c r="A14" s="6" t="str">
        <f xml:space="preserve"> _xll.EPMOlapMemberO("[CECO].[PARENTH3].[AMSA1002AD4503]","","AMSA1002AD4503 - Asunt Publ y Comunid","","000")</f>
        <v>AMSA1002AD4503 - Asunt Publ y Comunid</v>
      </c>
      <c r="B14" s="6" t="str">
        <f xml:space="preserve"> _xll.EPMOlapMemberO("[CLACO].[PARENTH7].[AMSAINFORMATIC]","","Informática y Comuni","","000")</f>
        <v>Informática y Comuni</v>
      </c>
      <c r="C14" t="str">
        <f>_xlfn.CONCAT(_xll.EPMMemberProperty("COSTOS", _xll.EPMMemberID(A14), "PARENTH3"), " - ", _xll.EPMMemberDesc(_xll.EPMMemberProperty("COSTOS", _xll.EPMMemberID(A14), "PARENTH3"), "COSTOS"))</f>
        <v>N100200500 - Centinela No Operaci</v>
      </c>
      <c r="F14">
        <f t="shared" si="0"/>
        <v>0</v>
      </c>
      <c r="I14">
        <f t="shared" si="1"/>
        <v>0</v>
      </c>
      <c r="L14">
        <f t="shared" si="2"/>
        <v>0</v>
      </c>
      <c r="M14">
        <v>134.41999999999999</v>
      </c>
      <c r="O14">
        <f t="shared" si="3"/>
        <v>-134.41999999999999</v>
      </c>
      <c r="R14">
        <f t="shared" si="4"/>
        <v>0</v>
      </c>
      <c r="S14">
        <v>134.41999999999999</v>
      </c>
      <c r="U14">
        <f t="shared" si="5"/>
        <v>-134.41999999999999</v>
      </c>
    </row>
    <row r="15" spans="1:21" x14ac:dyDescent="0.3">
      <c r="A15" s="6" t="str">
        <f xml:space="preserve"> _xll.EPMOlapMemberO("[CECO].[PARENTH3].[AMSA1002AD4503]","","AMSA1002AD4503 - Asunt Publ y Comunid","","000")</f>
        <v>AMSA1002AD4503 - Asunt Publ y Comunid</v>
      </c>
      <c r="B15" s="6" t="str">
        <f xml:space="preserve"> _xll.EPMOlapMemberO("[CLACO].[PARENTH7].[AMSAGGENERALES.2]","","Otros Gastos","","000")</f>
        <v>Otros Gastos</v>
      </c>
      <c r="C15" t="str">
        <f>_xlfn.CONCAT(_xll.EPMMemberProperty("COSTOS", _xll.EPMMemberID(A15), "PARENTH3"), " - ", _xll.EPMMemberDesc(_xll.EPMMemberProperty("COSTOS", _xll.EPMMemberID(A15), "PARENTH3"), "COSTOS"))</f>
        <v>N100200500 - Centinela No Operaci</v>
      </c>
      <c r="D15">
        <v>0</v>
      </c>
      <c r="F15">
        <f t="shared" si="0"/>
        <v>0</v>
      </c>
      <c r="G15">
        <v>0</v>
      </c>
      <c r="H15">
        <v>1666.66</v>
      </c>
      <c r="I15">
        <f t="shared" si="1"/>
        <v>1666.66</v>
      </c>
      <c r="J15">
        <v>0</v>
      </c>
      <c r="L15">
        <f t="shared" si="2"/>
        <v>0</v>
      </c>
      <c r="M15">
        <v>0</v>
      </c>
      <c r="O15">
        <f t="shared" si="3"/>
        <v>0</v>
      </c>
      <c r="Q15">
        <v>2240.9899999999998</v>
      </c>
      <c r="R15">
        <f t="shared" si="4"/>
        <v>2240.9899999999998</v>
      </c>
      <c r="S15">
        <v>0</v>
      </c>
      <c r="T15">
        <v>35644.9</v>
      </c>
      <c r="U15">
        <f t="shared" si="5"/>
        <v>35644.9</v>
      </c>
    </row>
    <row r="16" spans="1:21" x14ac:dyDescent="0.3">
      <c r="A16" s="6" t="str">
        <f xml:space="preserve"> _xll.EPMOlapMemberO("[CECO].[PARENTH3].[AMSA1002AD4503]","","AMSA1002AD4503 - Asunt Publ y Comunid","","000")</f>
        <v>AMSA1002AD4503 - Asunt Publ y Comunid</v>
      </c>
      <c r="B16" s="6" t="str">
        <f xml:space="preserve"> _xll.EPMOlapMemberO("[CLACO].[PARENTH7].[AMSALIQUIDACIO.SEC]","","Liquidación Interna","","000")</f>
        <v>Liquidación Interna</v>
      </c>
      <c r="C16" t="str">
        <f>_xlfn.CONCAT(_xll.EPMMemberProperty("COSTOS", _xll.EPMMemberID(A16), "PARENTH3"), " - ", _xll.EPMMemberDesc(_xll.EPMMemberProperty("COSTOS", _xll.EPMMemberID(A16), "PARENTH3"), "COSTOS"))</f>
        <v>N100200500 - Centinela No Operaci</v>
      </c>
      <c r="D16">
        <v>7856.72</v>
      </c>
      <c r="F16">
        <f t="shared" si="0"/>
        <v>-7856.72</v>
      </c>
      <c r="G16">
        <v>2568472.23</v>
      </c>
      <c r="I16">
        <f t="shared" si="1"/>
        <v>-2568472.23</v>
      </c>
      <c r="J16">
        <v>2316074.4900000002</v>
      </c>
      <c r="L16">
        <f t="shared" si="2"/>
        <v>-2316074.4900000002</v>
      </c>
      <c r="O16">
        <f t="shared" si="3"/>
        <v>0</v>
      </c>
      <c r="R16">
        <f t="shared" si="4"/>
        <v>0</v>
      </c>
      <c r="S16">
        <v>4892403.4400000004</v>
      </c>
      <c r="U16">
        <f t="shared" si="5"/>
        <v>-4892403.4400000004</v>
      </c>
    </row>
    <row r="17" spans="1:21" x14ac:dyDescent="0.3">
      <c r="A17" s="6" t="str">
        <f xml:space="preserve"> _xll.EPMOlapMemberO("[CECO].[PARENTH3].[AMSA1002AD4506]","","AMSA1002AD4506 - AAPP Corporativo","","000")</f>
        <v>AMSA1002AD4506 - AAPP Corporativo</v>
      </c>
      <c r="B17" s="6" t="str">
        <f xml:space="preserve"> _xll.EPMOlapMemberO("[CLACO].[PARENTH7].[AMSAASESORIAS]","","Asesorías y Consulto","","000")</f>
        <v>Asesorías y Consulto</v>
      </c>
      <c r="C17" t="str">
        <f>_xlfn.CONCAT(_xll.EPMMemberProperty("COSTOS", _xll.EPMMemberID(A17), "PARENTH3"), " - ", _xll.EPMMemberDesc(_xll.EPMMemberProperty("COSTOS", _xll.EPMMemberID(A17), "PARENTH3"), "COSTOS"))</f>
        <v>N100200500 - Centinela No Operaci</v>
      </c>
      <c r="D17">
        <v>4349.6899999999996</v>
      </c>
      <c r="E17">
        <v>5318.08</v>
      </c>
      <c r="F17">
        <f t="shared" si="0"/>
        <v>968.39000000000033</v>
      </c>
      <c r="G17">
        <v>5450.69</v>
      </c>
      <c r="H17">
        <v>5332.91</v>
      </c>
      <c r="I17">
        <f t="shared" si="1"/>
        <v>-117.77999999999975</v>
      </c>
      <c r="J17">
        <v>4741.6400000000003</v>
      </c>
      <c r="K17">
        <v>5347.8</v>
      </c>
      <c r="L17">
        <f t="shared" si="2"/>
        <v>606.15999999999985</v>
      </c>
      <c r="M17">
        <v>6041.72</v>
      </c>
      <c r="N17">
        <v>5362.71</v>
      </c>
      <c r="O17">
        <f t="shared" si="3"/>
        <v>-679.01000000000022</v>
      </c>
      <c r="P17">
        <v>9412.9500000000007</v>
      </c>
      <c r="Q17">
        <v>5377.67</v>
      </c>
      <c r="R17">
        <f t="shared" si="4"/>
        <v>-4035.2800000000007</v>
      </c>
      <c r="S17">
        <v>29996.69</v>
      </c>
      <c r="T17">
        <v>64805.33</v>
      </c>
      <c r="U17">
        <f t="shared" si="5"/>
        <v>34808.639999999999</v>
      </c>
    </row>
    <row r="18" spans="1:21" x14ac:dyDescent="0.3">
      <c r="A18" s="6" t="str">
        <f xml:space="preserve"> _xll.EPMOlapMemberO("[CECO].[PARENTH3].[AMSA1002AD4506]","","AMSA1002AD4506 - AAPP Corporativo","","000")</f>
        <v>AMSA1002AD4506 - AAPP Corporativo</v>
      </c>
      <c r="B18" s="6" t="str">
        <f xml:space="preserve"> _xll.EPMOlapMemberO("[CLACO].[PARENTH7].[AMSAGGENERALES.2]","","Otros Gastos","","000")</f>
        <v>Otros Gastos</v>
      </c>
      <c r="C18" t="str">
        <f>_xlfn.CONCAT(_xll.EPMMemberProperty("COSTOS", _xll.EPMMemberID(A18), "PARENTH3"), " - ", _xll.EPMMemberDesc(_xll.EPMMemberProperty("COSTOS", _xll.EPMMemberID(A18), "PARENTH3"), "COSTOS"))</f>
        <v>N100200500 - Centinela No Operaci</v>
      </c>
      <c r="F18">
        <f t="shared" si="0"/>
        <v>0</v>
      </c>
      <c r="I18">
        <f t="shared" si="1"/>
        <v>0</v>
      </c>
      <c r="L18">
        <f t="shared" si="2"/>
        <v>0</v>
      </c>
      <c r="O18">
        <f t="shared" si="3"/>
        <v>0</v>
      </c>
      <c r="R18">
        <f t="shared" si="4"/>
        <v>0</v>
      </c>
      <c r="T18">
        <v>22193.89</v>
      </c>
      <c r="U18">
        <f t="shared" si="5"/>
        <v>22193.89</v>
      </c>
    </row>
    <row r="19" spans="1:21" x14ac:dyDescent="0.3">
      <c r="A19" s="6" t="str">
        <f xml:space="preserve"> _xll.EPMOlapMemberO("[CECO].[PARENTH3].[AMSA1002AD4507]","","AMSA1002AD4507 - Comunica Corporativo","","000")</f>
        <v>AMSA1002AD4507 - Comunica Corporativo</v>
      </c>
      <c r="B19" s="6" t="str">
        <f xml:space="preserve"> _xll.EPMOlapMemberO("[CLACO].[PARENTH7].[AMSAASESORIAS]","","Asesorías y Consulto","","000")</f>
        <v>Asesorías y Consulto</v>
      </c>
      <c r="C19" t="str">
        <f>_xlfn.CONCAT(_xll.EPMMemberProperty("COSTOS", _xll.EPMMemberID(A19), "PARENTH3"), " - ", _xll.EPMMemberDesc(_xll.EPMMemberProperty("COSTOS", _xll.EPMMemberID(A19), "PARENTH3"), "COSTOS"))</f>
        <v>N100200500 - Centinela No Operaci</v>
      </c>
      <c r="D19">
        <v>0</v>
      </c>
      <c r="F19">
        <f t="shared" si="0"/>
        <v>0</v>
      </c>
      <c r="G19">
        <v>921.12</v>
      </c>
      <c r="I19">
        <f t="shared" si="1"/>
        <v>-921.12</v>
      </c>
      <c r="J19">
        <v>0</v>
      </c>
      <c r="L19">
        <f t="shared" si="2"/>
        <v>0</v>
      </c>
      <c r="M19">
        <v>435.99</v>
      </c>
      <c r="O19">
        <f t="shared" si="3"/>
        <v>-435.99</v>
      </c>
      <c r="P19">
        <v>517.29</v>
      </c>
      <c r="R19">
        <f t="shared" si="4"/>
        <v>-517.29</v>
      </c>
      <c r="S19">
        <v>1874.4</v>
      </c>
      <c r="U19">
        <f t="shared" si="5"/>
        <v>-1874.4</v>
      </c>
    </row>
    <row r="20" spans="1:21" x14ac:dyDescent="0.3">
      <c r="A20" s="6" t="str">
        <f xml:space="preserve"> _xll.EPMOlapMemberO("[CECO].[PARENTH3].[AMSA1002AD4507]","","AMSA1002AD4507 - Comunica Corporativo","","000")</f>
        <v>AMSA1002AD4507 - Comunica Corporativo</v>
      </c>
      <c r="B20" s="6" t="str">
        <f xml:space="preserve"> _xll.EPMOlapMemberO("[CLACO].[PARENTH7].[AMSAINFORMATIC]","","Informática y Comuni","","000")</f>
        <v>Informática y Comuni</v>
      </c>
      <c r="C20" t="str">
        <f>_xlfn.CONCAT(_xll.EPMMemberProperty("COSTOS", _xll.EPMMemberID(A20), "PARENTH3"), " - ", _xll.EPMMemberDesc(_xll.EPMMemberProperty("COSTOS", _xll.EPMMemberID(A20), "PARENTH3"), "COSTOS"))</f>
        <v>N100200500 - Centinela No Operaci</v>
      </c>
      <c r="E20">
        <v>369.36</v>
      </c>
      <c r="F20">
        <f t="shared" si="0"/>
        <v>369.36</v>
      </c>
      <c r="H20">
        <v>370.37</v>
      </c>
      <c r="I20">
        <f t="shared" si="1"/>
        <v>370.37</v>
      </c>
      <c r="K20">
        <v>13357.67</v>
      </c>
      <c r="L20">
        <f t="shared" si="2"/>
        <v>13357.67</v>
      </c>
      <c r="N20">
        <v>22350.78</v>
      </c>
      <c r="O20">
        <f t="shared" si="3"/>
        <v>22350.78</v>
      </c>
      <c r="Q20">
        <v>373.5</v>
      </c>
      <c r="R20">
        <f t="shared" si="4"/>
        <v>373.5</v>
      </c>
      <c r="T20">
        <v>58373.53</v>
      </c>
      <c r="U20">
        <f t="shared" si="5"/>
        <v>58373.53</v>
      </c>
    </row>
    <row r="21" spans="1:21" x14ac:dyDescent="0.3">
      <c r="A21" s="6" t="str">
        <f xml:space="preserve"> _xll.EPMOlapMemberO("[CECO].[PARENTH3].[AMSA1002AD4507]","","AMSA1002AD4507 - Comunica Corporativo","","000")</f>
        <v>AMSA1002AD4507 - Comunica Corporativo</v>
      </c>
      <c r="B21" s="6" t="str">
        <f xml:space="preserve"> _xll.EPMOlapMemberO("[CLACO].[PARENTH7].[AMSAGGENERALES.2]","","Otros Gastos","","000")</f>
        <v>Otros Gastos</v>
      </c>
      <c r="C21" t="str">
        <f>_xlfn.CONCAT(_xll.EPMMemberProperty("COSTOS", _xll.EPMMemberID(A21), "PARENTH3"), " - ", _xll.EPMMemberDesc(_xll.EPMMemberProperty("COSTOS", _xll.EPMMemberID(A21), "PARENTH3"), "COSTOS"))</f>
        <v>N100200500 - Centinela No Operaci</v>
      </c>
      <c r="D21">
        <v>4931.5200000000004</v>
      </c>
      <c r="E21">
        <v>31103.279999999999</v>
      </c>
      <c r="F21">
        <f t="shared" si="0"/>
        <v>26171.759999999998</v>
      </c>
      <c r="G21">
        <v>0</v>
      </c>
      <c r="H21">
        <v>9259.2099999999991</v>
      </c>
      <c r="I21">
        <f t="shared" si="1"/>
        <v>9259.2099999999991</v>
      </c>
      <c r="J21">
        <v>12773.02</v>
      </c>
      <c r="K21">
        <v>13354.64</v>
      </c>
      <c r="L21">
        <f t="shared" si="2"/>
        <v>581.61999999999898</v>
      </c>
      <c r="M21">
        <v>0</v>
      </c>
      <c r="N21">
        <v>9311.39</v>
      </c>
      <c r="O21">
        <f t="shared" si="3"/>
        <v>9311.39</v>
      </c>
      <c r="Q21">
        <v>29564.82</v>
      </c>
      <c r="R21">
        <f t="shared" si="4"/>
        <v>29564.82</v>
      </c>
      <c r="S21">
        <v>17704.54</v>
      </c>
      <c r="T21">
        <v>166963.64000000001</v>
      </c>
      <c r="U21">
        <f t="shared" si="5"/>
        <v>149259.1</v>
      </c>
    </row>
    <row r="22" spans="1:21" x14ac:dyDescent="0.3">
      <c r="A22" s="6" t="str">
        <f xml:space="preserve"> _xll.EPMOlapMemberO("[CECO].[PARENTH3].[AMSA1002AD4509]","","AMSA1002AD4509 - AAPP y RRII","","000")</f>
        <v>AMSA1002AD4509 - AAPP y RRII</v>
      </c>
      <c r="B22" s="6" t="str">
        <f xml:space="preserve"> _xll.EPMOlapMemberO("[CLACO].[PARENTH7].[AMSAGGENERALES.2]","","Otros Gastos","","000")</f>
        <v>Otros Gastos</v>
      </c>
      <c r="C22" t="str">
        <f>_xlfn.CONCAT(_xll.EPMMemberProperty("COSTOS", _xll.EPMMemberID(A22), "PARENTH3"), " - ", _xll.EPMMemberDesc(_xll.EPMMemberProperty("COSTOS", _xll.EPMMemberID(A22), "PARENTH3"), "COSTOS"))</f>
        <v>N100200500 - Centinela No Operaci</v>
      </c>
      <c r="F22">
        <f t="shared" si="0"/>
        <v>0</v>
      </c>
      <c r="G22">
        <v>105331.65</v>
      </c>
      <c r="H22">
        <v>42993.04</v>
      </c>
      <c r="I22">
        <f t="shared" si="1"/>
        <v>-62338.609999999993</v>
      </c>
      <c r="J22">
        <v>-6484.75</v>
      </c>
      <c r="K22">
        <v>96950.11</v>
      </c>
      <c r="L22">
        <f t="shared" si="2"/>
        <v>103434.86</v>
      </c>
      <c r="M22">
        <v>826.35</v>
      </c>
      <c r="O22">
        <f t="shared" si="3"/>
        <v>-826.35</v>
      </c>
      <c r="P22">
        <v>-37.65</v>
      </c>
      <c r="R22">
        <f t="shared" si="4"/>
        <v>37.65</v>
      </c>
      <c r="S22">
        <v>78869.990000000005</v>
      </c>
      <c r="T22">
        <v>216699.19</v>
      </c>
      <c r="U22">
        <f t="shared" si="5"/>
        <v>137829.20000000001</v>
      </c>
    </row>
    <row r="23" spans="1:21" x14ac:dyDescent="0.3">
      <c r="A23" s="4" t="str">
        <f xml:space="preserve"> _xll.EPMOlapMemberO("[CECO].[PARENTH3].[AMSA1002AD0503]","","AMSA1002AD0503 - Corporativo","","000")</f>
        <v>AMSA1002AD0503 - Corporativo</v>
      </c>
      <c r="B23" s="6" t="str">
        <f xml:space="preserve"> _xll.EPMOlapMemberO("[CLACO].[PARENTH7].[AMSASERVICIOS]","","Servicios","","000")</f>
        <v>Servicios</v>
      </c>
      <c r="C23" t="str">
        <f>_xlfn.CONCAT(_xll.EPMMemberProperty("COSTOS", _xll.EPMMemberID(A23), "PARENTH3"), " - ", _xll.EPMMemberDesc(_xll.EPMMemberProperty("COSTOS", _xll.EPMMemberID(A23), "PARENTH3"), "COSTOS"))</f>
        <v>N1002AD050 - Gerencia General</v>
      </c>
      <c r="F23">
        <f t="shared" si="0"/>
        <v>0</v>
      </c>
      <c r="I23">
        <f t="shared" si="1"/>
        <v>0</v>
      </c>
      <c r="J23">
        <v>743.83</v>
      </c>
      <c r="L23">
        <f t="shared" si="2"/>
        <v>-743.83</v>
      </c>
      <c r="O23">
        <f t="shared" si="3"/>
        <v>0</v>
      </c>
      <c r="P23">
        <v>791.39</v>
      </c>
      <c r="R23">
        <f t="shared" si="4"/>
        <v>-791.39</v>
      </c>
      <c r="S23">
        <v>1535.22</v>
      </c>
      <c r="U23">
        <f t="shared" si="5"/>
        <v>-1535.22</v>
      </c>
    </row>
    <row r="24" spans="1:21" x14ac:dyDescent="0.3">
      <c r="A24" s="4" t="str">
        <f xml:space="preserve"> _xll.EPMOlapMemberO("[CECO].[PARENTH3].[AMSA1002AD0503]","","AMSA1002AD0503 - Corporativo","","000")</f>
        <v>AMSA1002AD0503 - Corporativo</v>
      </c>
      <c r="B24" s="6" t="str">
        <f xml:space="preserve"> _xll.EPMOlapMemberO("[CLACO].[PARENTH7].[AMSASERV_CORP]","","Servicios Corporativ","","000")</f>
        <v>Servicios Corporativ</v>
      </c>
      <c r="C24" t="str">
        <f>_xlfn.CONCAT(_xll.EPMMemberProperty("COSTOS", _xll.EPMMemberID(A24), "PARENTH3"), " - ", _xll.EPMMemberDesc(_xll.EPMMemberProperty("COSTOS", _xll.EPMMemberID(A24), "PARENTH3"), "COSTOS"))</f>
        <v>N1002AD050 - Gerencia General</v>
      </c>
      <c r="D24">
        <v>72296.539999999994</v>
      </c>
      <c r="E24">
        <v>71481.86</v>
      </c>
      <c r="F24">
        <f t="shared" si="0"/>
        <v>-814.67999999999302</v>
      </c>
      <c r="G24">
        <v>75255.08</v>
      </c>
      <c r="H24">
        <v>71681.3</v>
      </c>
      <c r="I24">
        <f t="shared" si="1"/>
        <v>-3573.7799999999988</v>
      </c>
      <c r="J24">
        <v>74900.289999999994</v>
      </c>
      <c r="K24">
        <v>71881.3</v>
      </c>
      <c r="L24">
        <f t="shared" si="2"/>
        <v>-3018.9899999999907</v>
      </c>
      <c r="M24">
        <v>70444.09</v>
      </c>
      <c r="N24">
        <v>72081.86</v>
      </c>
      <c r="O24">
        <f t="shared" si="3"/>
        <v>1637.7700000000041</v>
      </c>
      <c r="P24">
        <v>72951</v>
      </c>
      <c r="Q24">
        <v>72282.97</v>
      </c>
      <c r="R24">
        <f t="shared" si="4"/>
        <v>-668.02999999999884</v>
      </c>
      <c r="S24">
        <v>365847</v>
      </c>
      <c r="T24">
        <v>871068.71</v>
      </c>
      <c r="U24">
        <f t="shared" si="5"/>
        <v>505221.70999999996</v>
      </c>
    </row>
    <row r="25" spans="1:21" x14ac:dyDescent="0.3">
      <c r="A25" s="4" t="str">
        <f xml:space="preserve"> _xll.EPMOlapMemberO("[CECO].[PARENTH3].[AMSA1002AD0504]","","AMSA1002AD0504 - Desarrollo Corp","","000")</f>
        <v>AMSA1002AD0504 - Desarrollo Corp</v>
      </c>
      <c r="B25" s="6" t="str">
        <f xml:space="preserve"> _xll.EPMOlapMemberO("[CLACO].[PARENTH7].[AMSAASESORIAS]","","Asesorías y Consulto","","000")</f>
        <v>Asesorías y Consulto</v>
      </c>
      <c r="C25" t="str">
        <f>_xlfn.CONCAT(_xll.EPMMemberProperty("COSTOS", _xll.EPMMemberID(A25), "PARENTH3"), " - ", _xll.EPMMemberDesc(_xll.EPMMemberProperty("COSTOS", _xll.EPMMemberID(A25), "PARENTH3"), "COSTOS"))</f>
        <v>N1002AD050 - Gerencia General</v>
      </c>
      <c r="D25">
        <v>0</v>
      </c>
      <c r="F25">
        <f t="shared" si="0"/>
        <v>0</v>
      </c>
      <c r="G25">
        <v>0</v>
      </c>
      <c r="I25">
        <f t="shared" si="1"/>
        <v>0</v>
      </c>
      <c r="J25">
        <v>0</v>
      </c>
      <c r="L25">
        <f t="shared" si="2"/>
        <v>0</v>
      </c>
      <c r="M25">
        <v>0</v>
      </c>
      <c r="O25">
        <f t="shared" si="3"/>
        <v>0</v>
      </c>
      <c r="Q25">
        <v>85716.14</v>
      </c>
      <c r="R25">
        <f t="shared" si="4"/>
        <v>85716.14</v>
      </c>
      <c r="S25">
        <v>0</v>
      </c>
      <c r="T25">
        <v>85716.14</v>
      </c>
      <c r="U25">
        <f t="shared" si="5"/>
        <v>85716.14</v>
      </c>
    </row>
    <row r="26" spans="1:21" x14ac:dyDescent="0.3">
      <c r="A26" s="4" t="str">
        <f xml:space="preserve"> _xll.EPMOlapMemberO("[CECO].[PARENTH3].[AMSA1002AD0504]","","AMSA1002AD0504 - Desarrollo Corp","","000")</f>
        <v>AMSA1002AD0504 - Desarrollo Corp</v>
      </c>
      <c r="B26" s="6" t="str">
        <f xml:space="preserve"> _xll.EPMOlapMemberO("[CLACO].[PARENTH7].[AMSAARRIENDOS]","","Arriendos","","000")</f>
        <v>Arriendos</v>
      </c>
      <c r="C26" t="str">
        <f>_xlfn.CONCAT(_xll.EPMMemberProperty("COSTOS", _xll.EPMMemberID(A26), "PARENTH3"), " - ", _xll.EPMMemberDesc(_xll.EPMMemberProperty("COSTOS", _xll.EPMMemberID(A26), "PARENTH3"), "COSTOS"))</f>
        <v>N1002AD050 - Gerencia General</v>
      </c>
      <c r="F26">
        <f t="shared" si="0"/>
        <v>0</v>
      </c>
      <c r="I26">
        <f t="shared" si="1"/>
        <v>0</v>
      </c>
      <c r="L26">
        <f t="shared" si="2"/>
        <v>0</v>
      </c>
      <c r="M26">
        <v>100550.79</v>
      </c>
      <c r="O26">
        <f t="shared" si="3"/>
        <v>-100550.79</v>
      </c>
      <c r="P26">
        <v>-93885.63</v>
      </c>
      <c r="R26">
        <f t="shared" si="4"/>
        <v>93885.63</v>
      </c>
      <c r="S26">
        <v>6665.16</v>
      </c>
      <c r="U26">
        <f t="shared" si="5"/>
        <v>-6665.16</v>
      </c>
    </row>
    <row r="27" spans="1:21" x14ac:dyDescent="0.3">
      <c r="A27" s="4" t="str">
        <f xml:space="preserve"> _xll.EPMOlapMemberO("[CECO].[PARENTH3].[AMSA1002AD0504]","","AMSA1002AD0504 - Desarrollo Corp","","000")</f>
        <v>AMSA1002AD0504 - Desarrollo Corp</v>
      </c>
      <c r="B27" s="6" t="str">
        <f xml:space="preserve"> _xll.EPMOlapMemberO("[CLACO].[PARENTH7].[AMSASERVICIOS]","","Servicios","","000")</f>
        <v>Servicios</v>
      </c>
      <c r="C27" t="str">
        <f>_xlfn.CONCAT(_xll.EPMMemberProperty("COSTOS", _xll.EPMMemberID(A27), "PARENTH3"), " - ", _xll.EPMMemberDesc(_xll.EPMMemberProperty("COSTOS", _xll.EPMMemberID(A27), "PARENTH3"), "COSTOS"))</f>
        <v>N1002AD050 - Gerencia General</v>
      </c>
      <c r="D27">
        <v>5602.57</v>
      </c>
      <c r="F27">
        <f t="shared" si="0"/>
        <v>-5602.57</v>
      </c>
      <c r="G27">
        <v>5404.05</v>
      </c>
      <c r="I27">
        <f t="shared" si="1"/>
        <v>-5404.05</v>
      </c>
      <c r="J27">
        <v>18561.57</v>
      </c>
      <c r="L27">
        <f t="shared" si="2"/>
        <v>-18561.57</v>
      </c>
      <c r="M27">
        <v>3141.47</v>
      </c>
      <c r="O27">
        <f t="shared" si="3"/>
        <v>-3141.47</v>
      </c>
      <c r="P27">
        <v>145505.88</v>
      </c>
      <c r="R27">
        <f t="shared" si="4"/>
        <v>-145505.88</v>
      </c>
      <c r="S27">
        <v>178215.54</v>
      </c>
      <c r="U27">
        <f t="shared" si="5"/>
        <v>-178215.54</v>
      </c>
    </row>
    <row r="28" spans="1:21" x14ac:dyDescent="0.3">
      <c r="A28" s="4" t="str">
        <f xml:space="preserve"> _xll.EPMOlapMemberO("[CECO].[PARENTH3].[AMSA1002AD0504]","","AMSA1002AD0504 - Desarrollo Corp","","000")</f>
        <v>AMSA1002AD0504 - Desarrollo Corp</v>
      </c>
      <c r="B28" s="6" t="str">
        <f xml:space="preserve"> _xll.EPMOlapMemberO("[CLACO].[PARENTH7].[AMSAINFORMATIC]","","Informática y Comuni","","000")</f>
        <v>Informática y Comuni</v>
      </c>
      <c r="C28" t="str">
        <f>_xlfn.CONCAT(_xll.EPMMemberProperty("COSTOS", _xll.EPMMemberID(A28), "PARENTH3"), " - ", _xll.EPMMemberDesc(_xll.EPMMemberProperty("COSTOS", _xll.EPMMemberID(A28), "PARENTH3"), "COSTOS"))</f>
        <v>N1002AD050 - Gerencia General</v>
      </c>
      <c r="D28">
        <v>10200</v>
      </c>
      <c r="E28">
        <v>12510.18</v>
      </c>
      <c r="F28">
        <f t="shared" si="0"/>
        <v>2310.1800000000003</v>
      </c>
      <c r="G28">
        <v>57818.400000000001</v>
      </c>
      <c r="I28">
        <f t="shared" si="1"/>
        <v>-57818.400000000001</v>
      </c>
      <c r="J28">
        <v>0</v>
      </c>
      <c r="L28">
        <f t="shared" si="2"/>
        <v>0</v>
      </c>
      <c r="M28">
        <v>2237.98</v>
      </c>
      <c r="O28">
        <f t="shared" si="3"/>
        <v>-2237.98</v>
      </c>
      <c r="R28">
        <f t="shared" si="4"/>
        <v>0</v>
      </c>
      <c r="S28">
        <v>70256.38</v>
      </c>
      <c r="T28">
        <v>12510.18</v>
      </c>
      <c r="U28">
        <f t="shared" si="5"/>
        <v>-57746.200000000004</v>
      </c>
    </row>
    <row r="29" spans="1:21" x14ac:dyDescent="0.3">
      <c r="A29" s="4" t="str">
        <f xml:space="preserve"> _xll.EPMOlapMemberO("[CECO].[PARENTH3].[AMSA1002AD0504]","","AMSA1002AD0504 - Desarrollo Corp","","000")</f>
        <v>AMSA1002AD0504 - Desarrollo Corp</v>
      </c>
      <c r="B29" s="6" t="str">
        <f xml:space="preserve"> _xll.EPMOlapMemberO("[CLACO].[PARENTH7].[AMSAG_VIAJES]","","Gastos de Viajes","","000")</f>
        <v>Gastos de Viajes</v>
      </c>
      <c r="C29" t="str">
        <f>_xlfn.CONCAT(_xll.EPMMemberProperty("COSTOS", _xll.EPMMemberID(A29), "PARENTH3"), " - ", _xll.EPMMemberDesc(_xll.EPMMemberProperty("COSTOS", _xll.EPMMemberID(A29), "PARENTH3"), "COSTOS"))</f>
        <v>N1002AD050 - Gerencia General</v>
      </c>
      <c r="E29">
        <v>912.75</v>
      </c>
      <c r="F29">
        <f t="shared" si="0"/>
        <v>912.75</v>
      </c>
      <c r="H29">
        <v>914.46</v>
      </c>
      <c r="I29">
        <f t="shared" si="1"/>
        <v>914.46</v>
      </c>
      <c r="K29">
        <v>1589.26</v>
      </c>
      <c r="L29">
        <f t="shared" si="2"/>
        <v>1589.26</v>
      </c>
      <c r="N29">
        <v>1592.29</v>
      </c>
      <c r="O29">
        <f t="shared" si="3"/>
        <v>1592.29</v>
      </c>
      <c r="Q29">
        <v>1595.33</v>
      </c>
      <c r="R29">
        <f t="shared" si="4"/>
        <v>1595.33</v>
      </c>
      <c r="T29">
        <v>17171.75</v>
      </c>
      <c r="U29">
        <f t="shared" si="5"/>
        <v>17171.75</v>
      </c>
    </row>
    <row r="30" spans="1:21" x14ac:dyDescent="0.3">
      <c r="A30" s="4" t="str">
        <f xml:space="preserve"> _xll.EPMOlapMemberO("[CECO].[PARENTH3].[AMSA1002AD0504]","","AMSA1002AD0504 - Desarrollo Corp","","000")</f>
        <v>AMSA1002AD0504 - Desarrollo Corp</v>
      </c>
      <c r="B30" s="6" t="str">
        <f xml:space="preserve"> _xll.EPMOlapMemberO("[CLACO].[PARENTH7].[AMSASERV_CORP]","","Servicios Corporativ","","000")</f>
        <v>Servicios Corporativ</v>
      </c>
      <c r="C30" t="str">
        <f>_xlfn.CONCAT(_xll.EPMMemberProperty("COSTOS", _xll.EPMMemberID(A30), "PARENTH3"), " - ", _xll.EPMMemberDesc(_xll.EPMMemberProperty("COSTOS", _xll.EPMMemberID(A30), "PARENTH3"), "COSTOS"))</f>
        <v>N1002AD050 - Gerencia General</v>
      </c>
      <c r="D30">
        <v>74730.33</v>
      </c>
      <c r="E30">
        <v>73888.070000000007</v>
      </c>
      <c r="F30">
        <f t="shared" si="0"/>
        <v>-842.25999999999476</v>
      </c>
      <c r="G30">
        <v>77788.460000000006</v>
      </c>
      <c r="H30">
        <v>74094.22</v>
      </c>
      <c r="I30">
        <f t="shared" si="1"/>
        <v>-3694.2400000000052</v>
      </c>
      <c r="J30">
        <v>77421.72</v>
      </c>
      <c r="K30">
        <v>74300.960000000006</v>
      </c>
      <c r="L30">
        <f t="shared" si="2"/>
        <v>-3120.7599999999948</v>
      </c>
      <c r="M30">
        <v>72814.490000000005</v>
      </c>
      <c r="N30">
        <v>74508.259999999995</v>
      </c>
      <c r="O30">
        <f t="shared" si="3"/>
        <v>1693.7699999999895</v>
      </c>
      <c r="P30">
        <v>75406</v>
      </c>
      <c r="Q30">
        <v>74716.149999999994</v>
      </c>
      <c r="R30">
        <f t="shared" si="4"/>
        <v>-689.85000000000582</v>
      </c>
      <c r="S30">
        <v>378161</v>
      </c>
      <c r="T30">
        <v>900390.48</v>
      </c>
      <c r="U30">
        <f t="shared" si="5"/>
        <v>522229.48</v>
      </c>
    </row>
    <row r="31" spans="1:21" x14ac:dyDescent="0.3">
      <c r="A31" s="4" t="str">
        <f xml:space="preserve"> _xll.EPMOlapMemberO("[CECO].[PARENTH3].[AMSA1002AD0505]","","AMSA1002AD0505 - Estrateg e Inn Corp","","000")</f>
        <v>AMSA1002AD0505 - Estrateg e Inn Corp</v>
      </c>
      <c r="B31" s="6" t="str">
        <f xml:space="preserve"> _xll.EPMOlapMemberO("[CLACO].[PARENTH7].[AMSAASESORIAS]","","Asesorías y Consulto","","000")</f>
        <v>Asesorías y Consulto</v>
      </c>
      <c r="C31" t="str">
        <f>_xlfn.CONCAT(_xll.EPMMemberProperty("COSTOS", _xll.EPMMemberID(A31), "PARENTH3"), " - ", _xll.EPMMemberDesc(_xll.EPMMemberProperty("COSTOS", _xll.EPMMemberID(A31), "PARENTH3"), "COSTOS"))</f>
        <v>N1002AD050 - Gerencia General</v>
      </c>
      <c r="D31">
        <v>0</v>
      </c>
      <c r="F31">
        <f t="shared" si="0"/>
        <v>0</v>
      </c>
      <c r="G31">
        <v>43270</v>
      </c>
      <c r="I31">
        <f t="shared" si="1"/>
        <v>-43270</v>
      </c>
      <c r="J31">
        <v>0</v>
      </c>
      <c r="K31">
        <v>0</v>
      </c>
      <c r="L31">
        <f t="shared" si="2"/>
        <v>0</v>
      </c>
      <c r="M31">
        <v>22312.25</v>
      </c>
      <c r="N31">
        <v>0</v>
      </c>
      <c r="O31">
        <f t="shared" si="3"/>
        <v>-22312.25</v>
      </c>
      <c r="R31">
        <f t="shared" si="4"/>
        <v>0</v>
      </c>
      <c r="S31">
        <v>65582.25</v>
      </c>
      <c r="T31">
        <v>99539.96</v>
      </c>
      <c r="U31">
        <f t="shared" si="5"/>
        <v>33957.710000000006</v>
      </c>
    </row>
    <row r="32" spans="1:21" x14ac:dyDescent="0.3">
      <c r="A32" s="4" t="str">
        <f xml:space="preserve"> _xll.EPMOlapMemberO("[CECO].[PARENTH3].[AMSA1002AD0505]","","AMSA1002AD0505 - Estrateg e Inn Corp","","000")</f>
        <v>AMSA1002AD0505 - Estrateg e Inn Corp</v>
      </c>
      <c r="B32" s="6" t="str">
        <f xml:space="preserve"> _xll.EPMOlapMemberO("[CLACO].[PARENTH7].[AMSASERVICIOS]","","Servicios","","000")</f>
        <v>Servicios</v>
      </c>
      <c r="C32" t="str">
        <f>_xlfn.CONCAT(_xll.EPMMemberProperty("COSTOS", _xll.EPMMemberID(A32), "PARENTH3"), " - ", _xll.EPMMemberDesc(_xll.EPMMemberProperty("COSTOS", _xll.EPMMemberID(A32), "PARENTH3"), "COSTOS"))</f>
        <v>N1002AD050 - Gerencia General</v>
      </c>
      <c r="D32">
        <v>60.54</v>
      </c>
      <c r="E32">
        <v>4471.1000000000004</v>
      </c>
      <c r="F32">
        <f t="shared" si="0"/>
        <v>4410.5600000000004</v>
      </c>
      <c r="G32">
        <v>0</v>
      </c>
      <c r="H32">
        <v>4471.78</v>
      </c>
      <c r="I32">
        <f t="shared" si="1"/>
        <v>4471.78</v>
      </c>
      <c r="J32">
        <v>29.73</v>
      </c>
      <c r="K32">
        <v>11954.46</v>
      </c>
      <c r="L32">
        <f t="shared" si="2"/>
        <v>11924.73</v>
      </c>
      <c r="M32">
        <v>15180.49</v>
      </c>
      <c r="N32">
        <v>11952.27</v>
      </c>
      <c r="O32">
        <f t="shared" si="3"/>
        <v>-3228.2199999999993</v>
      </c>
      <c r="P32">
        <v>4193.6099999999997</v>
      </c>
      <c r="Q32">
        <v>26678.5</v>
      </c>
      <c r="R32">
        <f t="shared" si="4"/>
        <v>22484.89</v>
      </c>
      <c r="S32">
        <v>19473.29</v>
      </c>
      <c r="T32">
        <v>98336.99</v>
      </c>
      <c r="U32">
        <f t="shared" si="5"/>
        <v>78863.700000000012</v>
      </c>
    </row>
    <row r="33" spans="1:21" x14ac:dyDescent="0.3">
      <c r="A33" s="4" t="str">
        <f xml:space="preserve"> _xll.EPMOlapMemberO("[CECO].[PARENTH3].[AMSA1002AD0505]","","AMSA1002AD0505 - Estrateg e Inn Corp","","000")</f>
        <v>AMSA1002AD0505 - Estrateg e Inn Corp</v>
      </c>
      <c r="B33" s="6" t="str">
        <f xml:space="preserve"> _xll.EPMOlapMemberO("[CLACO].[PARENTH7].[AMSAINFORMATIC]","","Informática y Comuni","","000")</f>
        <v>Informática y Comuni</v>
      </c>
      <c r="C33" t="str">
        <f>_xlfn.CONCAT(_xll.EPMMemberProperty("COSTOS", _xll.EPMMemberID(A33), "PARENTH3"), " - ", _xll.EPMMemberDesc(_xll.EPMMemberProperty("COSTOS", _xll.EPMMemberID(A33), "PARENTH3"), "COSTOS"))</f>
        <v>N1002AD050 - Gerencia General</v>
      </c>
      <c r="D33">
        <v>79996.259999999995</v>
      </c>
      <c r="E33">
        <v>73094.97</v>
      </c>
      <c r="F33">
        <f t="shared" si="0"/>
        <v>-6901.2899999999936</v>
      </c>
      <c r="G33">
        <v>71178.149999999994</v>
      </c>
      <c r="H33">
        <v>73221.320000000007</v>
      </c>
      <c r="I33">
        <f t="shared" si="1"/>
        <v>2043.1700000000128</v>
      </c>
      <c r="J33">
        <v>69102.92</v>
      </c>
      <c r="K33">
        <v>73220.86</v>
      </c>
      <c r="L33">
        <f t="shared" si="2"/>
        <v>4117.9400000000023</v>
      </c>
      <c r="M33">
        <v>64121.02</v>
      </c>
      <c r="N33">
        <v>73376.240000000005</v>
      </c>
      <c r="O33">
        <f t="shared" si="3"/>
        <v>9255.2200000000084</v>
      </c>
      <c r="P33">
        <v>89752.82</v>
      </c>
      <c r="Q33">
        <v>73176.289999999994</v>
      </c>
      <c r="R33">
        <f t="shared" si="4"/>
        <v>-16576.530000000013</v>
      </c>
      <c r="S33">
        <v>374151.17</v>
      </c>
      <c r="T33">
        <v>878428.95</v>
      </c>
      <c r="U33">
        <f t="shared" si="5"/>
        <v>504277.77999999997</v>
      </c>
    </row>
    <row r="34" spans="1:21" x14ac:dyDescent="0.3">
      <c r="A34" s="4" t="str">
        <f xml:space="preserve"> _xll.EPMOlapMemberO("[CECO].[PARENTH3].[AMSA1002AD0505]","","AMSA1002AD0505 - Estrateg e Inn Corp","","000")</f>
        <v>AMSA1002AD0505 - Estrateg e Inn Corp</v>
      </c>
      <c r="B34" s="6" t="str">
        <f xml:space="preserve"> _xll.EPMOlapMemberO("[CLACO].[PARENTH7].[AMSASERV_CORP]","","Servicios Corporativ","","000")</f>
        <v>Servicios Corporativ</v>
      </c>
      <c r="C34" t="str">
        <f>_xlfn.CONCAT(_xll.EPMMemberProperty("COSTOS", _xll.EPMMemberID(A34), "PARENTH3"), " - ", _xll.EPMMemberDesc(_xll.EPMMemberProperty("COSTOS", _xll.EPMMemberID(A34), "PARENTH3"), "COSTOS"))</f>
        <v>N1002AD050 - Gerencia General</v>
      </c>
      <c r="D34">
        <v>81525.149999999994</v>
      </c>
      <c r="E34">
        <v>80606.27</v>
      </c>
      <c r="F34">
        <f t="shared" si="0"/>
        <v>-918.8799999999901</v>
      </c>
      <c r="G34">
        <v>84861.34</v>
      </c>
      <c r="H34">
        <v>80831.179999999993</v>
      </c>
      <c r="I34">
        <f t="shared" si="1"/>
        <v>-4030.1600000000035</v>
      </c>
      <c r="J34">
        <v>84461.26</v>
      </c>
      <c r="K34">
        <v>81056.7</v>
      </c>
      <c r="L34">
        <f t="shared" si="2"/>
        <v>-3404.5599999999977</v>
      </c>
      <c r="M34">
        <v>79435.25</v>
      </c>
      <c r="N34">
        <v>81282.86</v>
      </c>
      <c r="O34">
        <f t="shared" si="3"/>
        <v>1847.6100000000006</v>
      </c>
      <c r="P34">
        <v>82263</v>
      </c>
      <c r="Q34">
        <v>81509.649999999994</v>
      </c>
      <c r="R34">
        <f t="shared" si="4"/>
        <v>-753.35000000000582</v>
      </c>
      <c r="S34">
        <v>412546</v>
      </c>
      <c r="T34">
        <v>982257.67</v>
      </c>
      <c r="U34">
        <f t="shared" si="5"/>
        <v>569711.67000000004</v>
      </c>
    </row>
    <row r="35" spans="1:21" x14ac:dyDescent="0.3">
      <c r="A35" s="4" t="str">
        <f xml:space="preserve"> _xll.EPMOlapMemberO("[CECO].[PARENTH3].[AMSA1002AD0506]","","AMSA1002AD0506 - Operaciones Corp","","000")</f>
        <v>AMSA1002AD0506 - Operaciones Corp</v>
      </c>
      <c r="B35" s="6" t="str">
        <f xml:space="preserve"> _xll.EPMOlapMemberO("[CLACO].[PARENTH7].[AMSAENTRENAMI]","","Entrenamiento","","000")</f>
        <v>Entrenamiento</v>
      </c>
      <c r="C35" t="str">
        <f>_xlfn.CONCAT(_xll.EPMMemberProperty("COSTOS", _xll.EPMMemberID(A35), "PARENTH3"), " - ", _xll.EPMMemberDesc(_xll.EPMMemberProperty("COSTOS", _xll.EPMMemberID(A35), "PARENTH3"), "COSTOS"))</f>
        <v>N1002AD050 - Gerencia General</v>
      </c>
      <c r="D35">
        <v>1177.52</v>
      </c>
      <c r="F35">
        <f t="shared" si="0"/>
        <v>-1177.52</v>
      </c>
      <c r="G35">
        <v>0</v>
      </c>
      <c r="I35">
        <f t="shared" si="1"/>
        <v>0</v>
      </c>
      <c r="J35">
        <v>0</v>
      </c>
      <c r="L35">
        <f t="shared" si="2"/>
        <v>0</v>
      </c>
      <c r="M35">
        <v>0</v>
      </c>
      <c r="O35">
        <f t="shared" si="3"/>
        <v>0</v>
      </c>
      <c r="R35">
        <f t="shared" si="4"/>
        <v>0</v>
      </c>
      <c r="S35">
        <v>1177.52</v>
      </c>
      <c r="U35">
        <f t="shared" si="5"/>
        <v>-1177.52</v>
      </c>
    </row>
    <row r="36" spans="1:21" x14ac:dyDescent="0.3">
      <c r="A36" s="4" t="str">
        <f xml:space="preserve"> _xll.EPMOlapMemberO("[CECO].[PARENTH3].[AMSA1002AD0506]","","AMSA1002AD0506 - Operaciones Corp","","000")</f>
        <v>AMSA1002AD0506 - Operaciones Corp</v>
      </c>
      <c r="B36" s="6" t="str">
        <f xml:space="preserve"> _xll.EPMOlapMemberO("[CLACO].[PARENTH7].[AMSAASESORIAS]","","Asesorías y Consulto","","000")</f>
        <v>Asesorías y Consulto</v>
      </c>
      <c r="C36" t="str">
        <f>_xlfn.CONCAT(_xll.EPMMemberProperty("COSTOS", _xll.EPMMemberID(A36), "PARENTH3"), " - ", _xll.EPMMemberDesc(_xll.EPMMemberProperty("COSTOS", _xll.EPMMemberID(A36), "PARENTH3"), "COSTOS"))</f>
        <v>N1002AD050 - Gerencia General</v>
      </c>
      <c r="D36">
        <v>62518.239999999998</v>
      </c>
      <c r="E36">
        <v>18866.099999999999</v>
      </c>
      <c r="F36">
        <f t="shared" si="0"/>
        <v>-43652.14</v>
      </c>
      <c r="G36">
        <v>16030.08</v>
      </c>
      <c r="H36">
        <v>9927.92</v>
      </c>
      <c r="I36">
        <f t="shared" si="1"/>
        <v>-6102.16</v>
      </c>
      <c r="J36">
        <v>235047.67</v>
      </c>
      <c r="K36">
        <v>48385.15</v>
      </c>
      <c r="L36">
        <f t="shared" si="2"/>
        <v>-186662.52000000002</v>
      </c>
      <c r="M36">
        <v>114559.83</v>
      </c>
      <c r="N36">
        <v>38817.760000000002</v>
      </c>
      <c r="O36">
        <f t="shared" si="3"/>
        <v>-75742.070000000007</v>
      </c>
      <c r="P36">
        <v>1708.9</v>
      </c>
      <c r="Q36">
        <v>87842.46</v>
      </c>
      <c r="R36">
        <f t="shared" si="4"/>
        <v>86133.560000000012</v>
      </c>
      <c r="S36">
        <v>429864.72</v>
      </c>
      <c r="T36">
        <v>1073822.08</v>
      </c>
      <c r="U36">
        <f t="shared" si="5"/>
        <v>643957.3600000001</v>
      </c>
    </row>
    <row r="37" spans="1:21" x14ac:dyDescent="0.3">
      <c r="A37" s="4" t="str">
        <f xml:space="preserve"> _xll.EPMOlapMemberO("[CECO].[PARENTH3].[AMSA1002AD0506]","","AMSA1002AD0506 - Operaciones Corp","","000")</f>
        <v>AMSA1002AD0506 - Operaciones Corp</v>
      </c>
      <c r="B37" s="6" t="str">
        <f xml:space="preserve"> _xll.EPMOlapMemberO("[CLACO].[PARENTH7].[AMSASERVICIOS]","","Servicios","","000")</f>
        <v>Servicios</v>
      </c>
      <c r="C37" t="str">
        <f>_xlfn.CONCAT(_xll.EPMMemberProperty("COSTOS", _xll.EPMMemberID(A37), "PARENTH3"), " - ", _xll.EPMMemberDesc(_xll.EPMMemberProperty("COSTOS", _xll.EPMMemberID(A37), "PARENTH3"), "COSTOS"))</f>
        <v>N1002AD050 - Gerencia General</v>
      </c>
      <c r="D37">
        <v>31215.38</v>
      </c>
      <c r="E37">
        <v>52921.77</v>
      </c>
      <c r="F37">
        <f t="shared" si="0"/>
        <v>21706.389999999996</v>
      </c>
      <c r="G37">
        <v>31712.23</v>
      </c>
      <c r="H37">
        <v>41930.58</v>
      </c>
      <c r="I37">
        <f t="shared" si="1"/>
        <v>10218.350000000002</v>
      </c>
      <c r="J37">
        <v>-33785.230000000003</v>
      </c>
      <c r="K37">
        <v>48985.01</v>
      </c>
      <c r="L37">
        <f t="shared" si="2"/>
        <v>82770.240000000005</v>
      </c>
      <c r="M37">
        <v>-1386676.95</v>
      </c>
      <c r="N37">
        <v>21441.86</v>
      </c>
      <c r="O37">
        <f t="shared" si="3"/>
        <v>1408118.81</v>
      </c>
      <c r="P37">
        <v>1375722.15</v>
      </c>
      <c r="Q37">
        <v>20076.650000000001</v>
      </c>
      <c r="R37">
        <f t="shared" si="4"/>
        <v>-1355645.5</v>
      </c>
      <c r="S37">
        <v>18187.580000000002</v>
      </c>
      <c r="T37">
        <v>606299.18000000005</v>
      </c>
      <c r="U37">
        <f t="shared" si="5"/>
        <v>588111.60000000009</v>
      </c>
    </row>
    <row r="38" spans="1:21" x14ac:dyDescent="0.3">
      <c r="A38" s="4" t="str">
        <f xml:space="preserve"> _xll.EPMOlapMemberO("[CECO].[PARENTH3].[AMSA1002AD0506]","","AMSA1002AD0506 - Operaciones Corp","","000")</f>
        <v>AMSA1002AD0506 - Operaciones Corp</v>
      </c>
      <c r="B38" s="6" t="str">
        <f xml:space="preserve"> _xll.EPMOlapMemberO("[CLACO].[PARENTH7].[AMSAINFORMATIC]","","Informática y Comuni","","000")</f>
        <v>Informática y Comuni</v>
      </c>
      <c r="C38" t="str">
        <f>_xlfn.CONCAT(_xll.EPMMemberProperty("COSTOS", _xll.EPMMemberID(A38), "PARENTH3"), " - ", _xll.EPMMemberDesc(_xll.EPMMemberProperty("COSTOS", _xll.EPMMemberID(A38), "PARENTH3"), "COSTOS"))</f>
        <v>N1002AD050 - Gerencia General</v>
      </c>
      <c r="D38">
        <v>0</v>
      </c>
      <c r="E38">
        <v>374.43</v>
      </c>
      <c r="F38">
        <f t="shared" si="0"/>
        <v>374.43</v>
      </c>
      <c r="G38">
        <v>0</v>
      </c>
      <c r="H38">
        <v>21832.21</v>
      </c>
      <c r="I38">
        <f t="shared" si="1"/>
        <v>21832.21</v>
      </c>
      <c r="J38">
        <v>0</v>
      </c>
      <c r="K38">
        <v>374.1</v>
      </c>
      <c r="L38">
        <f t="shared" si="2"/>
        <v>374.1</v>
      </c>
      <c r="M38">
        <v>6837.1</v>
      </c>
      <c r="N38">
        <v>324453.15999999997</v>
      </c>
      <c r="O38">
        <f t="shared" si="3"/>
        <v>317616.06</v>
      </c>
      <c r="P38">
        <v>-65.709999999999994</v>
      </c>
      <c r="Q38">
        <v>373.8</v>
      </c>
      <c r="R38">
        <f t="shared" si="4"/>
        <v>439.51</v>
      </c>
      <c r="S38">
        <v>6771.39</v>
      </c>
      <c r="T38">
        <v>350020.12</v>
      </c>
      <c r="U38">
        <f t="shared" si="5"/>
        <v>343248.73</v>
      </c>
    </row>
    <row r="39" spans="1:21" x14ac:dyDescent="0.3">
      <c r="A39" s="4" t="str">
        <f xml:space="preserve"> _xll.EPMOlapMemberO("[CECO].[PARENTH3].[AMSA1002AD0506]","","AMSA1002AD0506 - Operaciones Corp","","000")</f>
        <v>AMSA1002AD0506 - Operaciones Corp</v>
      </c>
      <c r="B39" s="6" t="str">
        <f xml:space="preserve"> _xll.EPMOlapMemberO("[CLACO].[PARENTH7].[AMSAG_VIAJES]","","Gastos de Viajes","","000")</f>
        <v>Gastos de Viajes</v>
      </c>
      <c r="C39" t="str">
        <f>_xlfn.CONCAT(_xll.EPMMemberProperty("COSTOS", _xll.EPMMemberID(A39), "PARENTH3"), " - ", _xll.EPMMemberDesc(_xll.EPMMemberProperty("COSTOS", _xll.EPMMemberID(A39), "PARENTH3"), "COSTOS"))</f>
        <v>N1002AD050 - Gerencia General</v>
      </c>
      <c r="D39">
        <v>301</v>
      </c>
      <c r="F39">
        <f t="shared" si="0"/>
        <v>-301</v>
      </c>
      <c r="G39">
        <v>0</v>
      </c>
      <c r="I39">
        <f t="shared" si="1"/>
        <v>0</v>
      </c>
      <c r="J39">
        <v>0</v>
      </c>
      <c r="L39">
        <f t="shared" si="2"/>
        <v>0</v>
      </c>
      <c r="M39">
        <v>0</v>
      </c>
      <c r="O39">
        <f t="shared" si="3"/>
        <v>0</v>
      </c>
      <c r="R39">
        <f t="shared" si="4"/>
        <v>0</v>
      </c>
      <c r="S39">
        <v>301</v>
      </c>
      <c r="U39">
        <f t="shared" si="5"/>
        <v>-301</v>
      </c>
    </row>
    <row r="40" spans="1:21" x14ac:dyDescent="0.3">
      <c r="A40" s="4" t="str">
        <f xml:space="preserve"> _xll.EPMOlapMemberO("[CECO].[PARENTH3].[AMSA1002AD0506]","","AMSA1002AD0506 - Operaciones Corp","","000")</f>
        <v>AMSA1002AD0506 - Operaciones Corp</v>
      </c>
      <c r="B40" s="6" t="str">
        <f xml:space="preserve"> _xll.EPMOlapMemberO("[CLACO].[PARENTH7].[AMSAGGENERALES.2]","","Otros Gastos","","000")</f>
        <v>Otros Gastos</v>
      </c>
      <c r="C40" t="str">
        <f>_xlfn.CONCAT(_xll.EPMMemberProperty("COSTOS", _xll.EPMMemberID(A40), "PARENTH3"), " - ", _xll.EPMMemberDesc(_xll.EPMMemberProperty("COSTOS", _xll.EPMMemberID(A40), "PARENTH3"), "COSTOS"))</f>
        <v>N1002AD050 - Gerencia General</v>
      </c>
      <c r="F40">
        <f t="shared" si="0"/>
        <v>0</v>
      </c>
      <c r="G40">
        <v>0</v>
      </c>
      <c r="I40">
        <f t="shared" si="1"/>
        <v>0</v>
      </c>
      <c r="J40">
        <v>0</v>
      </c>
      <c r="L40">
        <f t="shared" si="2"/>
        <v>0</v>
      </c>
      <c r="M40">
        <v>0</v>
      </c>
      <c r="O40">
        <f t="shared" si="3"/>
        <v>0</v>
      </c>
      <c r="R40">
        <f t="shared" si="4"/>
        <v>0</v>
      </c>
      <c r="S40">
        <v>0</v>
      </c>
      <c r="U40">
        <f t="shared" si="5"/>
        <v>0</v>
      </c>
    </row>
    <row r="41" spans="1:21" x14ac:dyDescent="0.3">
      <c r="A41" s="4" t="str">
        <f xml:space="preserve"> _xll.EPMOlapMemberO("[CECO].[PARENTH3].[AMSA1002AD0506]","","AMSA1002AD0506 - Operaciones Corp","","000")</f>
        <v>AMSA1002AD0506 - Operaciones Corp</v>
      </c>
      <c r="B41" s="6" t="str">
        <f xml:space="preserve"> _xll.EPMOlapMemberO("[CLACO].[PARENTH7].[AMSASERV_CORP]","","Servicios Corporativ","","000")</f>
        <v>Servicios Corporativ</v>
      </c>
      <c r="C41" t="str">
        <f>_xlfn.CONCAT(_xll.EPMMemberProperty("COSTOS", _xll.EPMMemberID(A41), "PARENTH3"), " - ", _xll.EPMMemberDesc(_xll.EPMMemberProperty("COSTOS", _xll.EPMMemberID(A41), "PARENTH3"), "COSTOS"))</f>
        <v>N1002AD050 - Gerencia General</v>
      </c>
      <c r="D41">
        <v>133360.60999999999</v>
      </c>
      <c r="E41">
        <v>131857.67000000001</v>
      </c>
      <c r="F41">
        <f t="shared" si="0"/>
        <v>-1502.9399999999732</v>
      </c>
      <c r="G41">
        <v>138818.03</v>
      </c>
      <c r="H41">
        <v>132225.56</v>
      </c>
      <c r="I41">
        <f t="shared" si="1"/>
        <v>-6592.4700000000012</v>
      </c>
      <c r="J41">
        <v>138163.57</v>
      </c>
      <c r="K41">
        <v>132594.49</v>
      </c>
      <c r="L41">
        <f t="shared" si="2"/>
        <v>-5569.0800000000163</v>
      </c>
      <c r="M41">
        <v>129943.79</v>
      </c>
      <c r="N41">
        <v>132964.44</v>
      </c>
      <c r="O41">
        <f t="shared" si="3"/>
        <v>3020.6500000000087</v>
      </c>
      <c r="P41">
        <v>134567</v>
      </c>
      <c r="Q41">
        <v>133335.43</v>
      </c>
      <c r="R41">
        <f t="shared" si="4"/>
        <v>-1231.570000000007</v>
      </c>
      <c r="S41">
        <v>674853</v>
      </c>
      <c r="T41">
        <v>1606800.51</v>
      </c>
      <c r="U41">
        <f t="shared" si="5"/>
        <v>931947.51</v>
      </c>
    </row>
    <row r="42" spans="1:21" x14ac:dyDescent="0.3">
      <c r="A42" s="4" t="str">
        <f xml:space="preserve"> _xll.EPMOlapMemberO("[CECO].[PARENTH3].[AMSA1002AD0508]","","AMSA1002AD0508 - Finanzas Corporativo","","000")</f>
        <v>AMSA1002AD0508 - Finanzas Corporativo</v>
      </c>
      <c r="B42" s="6" t="str">
        <f xml:space="preserve"> _xll.EPMOlapMemberO("[CLACO].[PARENTH7].[AMSASERV_CORP]","","Servicios Corporativ","","000")</f>
        <v>Servicios Corporativ</v>
      </c>
      <c r="C42" t="str">
        <f>_xlfn.CONCAT(_xll.EPMMemberProperty("COSTOS", _xll.EPMMemberID(A42), "PARENTH3"), " - ", _xll.EPMMemberDesc(_xll.EPMMemberProperty("COSTOS", _xll.EPMMemberID(A42), "PARENTH3"), "COSTOS"))</f>
        <v>N1002AD050 - Gerencia General</v>
      </c>
      <c r="D42">
        <v>351321.23</v>
      </c>
      <c r="E42">
        <v>347362.06</v>
      </c>
      <c r="F42">
        <f t="shared" si="0"/>
        <v>-3959.1699999999837</v>
      </c>
      <c r="G42">
        <v>365698.1</v>
      </c>
      <c r="H42">
        <v>348331.24</v>
      </c>
      <c r="I42">
        <f t="shared" si="1"/>
        <v>-17366.859999999986</v>
      </c>
      <c r="J42">
        <v>363974</v>
      </c>
      <c r="K42">
        <v>349303.13</v>
      </c>
      <c r="L42">
        <f t="shared" si="2"/>
        <v>-14670.869999999995</v>
      </c>
      <c r="M42">
        <v>342318.67</v>
      </c>
      <c r="N42">
        <v>350277.72</v>
      </c>
      <c r="O42">
        <f t="shared" si="3"/>
        <v>7959.0499999999884</v>
      </c>
      <c r="P42">
        <v>354500</v>
      </c>
      <c r="Q42">
        <v>351255.03999999998</v>
      </c>
      <c r="R42">
        <f t="shared" si="4"/>
        <v>-3244.960000000021</v>
      </c>
      <c r="S42">
        <v>1777812</v>
      </c>
      <c r="T42">
        <v>4232909.32</v>
      </c>
      <c r="U42">
        <f t="shared" si="5"/>
        <v>2455097.3200000003</v>
      </c>
    </row>
    <row r="43" spans="1:21" x14ac:dyDescent="0.3">
      <c r="A43" s="4" t="str">
        <f xml:space="preserve"> _xll.EPMOlapMemberO("[CECO].[PARENTH3].[AMSA1002AD0509]","","AMSA1002AD0509 - Legal Corporativo","","000")</f>
        <v>AMSA1002AD0509 - Legal Corporativo</v>
      </c>
      <c r="B43" s="6" t="str">
        <f xml:space="preserve"> _xll.EPMOlapMemberO("[CLACO].[PARENTH7].[AMSASERV_CORP]","","Servicios Corporativ","","000")</f>
        <v>Servicios Corporativ</v>
      </c>
      <c r="C43" t="str">
        <f>_xlfn.CONCAT(_xll.EPMMemberProperty("COSTOS", _xll.EPMMemberID(A43), "PARENTH3"), " - ", _xll.EPMMemberDesc(_xll.EPMMemberProperty("COSTOS", _xll.EPMMemberID(A43), "PARENTH3"), "COSTOS"))</f>
        <v>N1002AD050 - Gerencia General</v>
      </c>
      <c r="D43">
        <v>61119.46</v>
      </c>
      <c r="E43">
        <v>60430.73</v>
      </c>
      <c r="F43">
        <f t="shared" si="0"/>
        <v>-688.72999999999593</v>
      </c>
      <c r="G43">
        <v>63620.61</v>
      </c>
      <c r="H43">
        <v>60599.34</v>
      </c>
      <c r="I43">
        <f t="shared" si="1"/>
        <v>-3021.2700000000041</v>
      </c>
      <c r="J43">
        <v>63320.66</v>
      </c>
      <c r="K43">
        <v>60768.42</v>
      </c>
      <c r="L43">
        <f t="shared" si="2"/>
        <v>-2552.2400000000052</v>
      </c>
      <c r="M43">
        <v>59553.27</v>
      </c>
      <c r="N43">
        <v>60937.97</v>
      </c>
      <c r="O43">
        <f t="shared" si="3"/>
        <v>1384.7000000000044</v>
      </c>
      <c r="P43">
        <v>61672</v>
      </c>
      <c r="Q43">
        <v>61107.99</v>
      </c>
      <c r="R43">
        <f t="shared" si="4"/>
        <v>-564.01000000000204</v>
      </c>
      <c r="S43">
        <v>309286</v>
      </c>
      <c r="T43">
        <v>736401.11</v>
      </c>
      <c r="U43">
        <f t="shared" si="5"/>
        <v>427115.11</v>
      </c>
    </row>
    <row r="44" spans="1:21" x14ac:dyDescent="0.3">
      <c r="A44" s="4" t="str">
        <f xml:space="preserve"> _xll.EPMOlapMemberO("[CECO].[PARENTH3].[AMSA1002AD0511]","","AMSA1002AD0511 - Reporting VPACS Corp","","000")</f>
        <v>AMSA1002AD0511 - Reporting VPACS Corp</v>
      </c>
      <c r="B44" s="6" t="str">
        <f xml:space="preserve"> _xll.EPMOlapMemberO("[CLACO].[PARENTH7].[AMSASERVICIOS]","","Servicios","","000")</f>
        <v>Servicios</v>
      </c>
      <c r="C44" t="str">
        <f>_xlfn.CONCAT(_xll.EPMMemberProperty("COSTOS", _xll.EPMMemberID(A44), "PARENTH3"), " - ", _xll.EPMMemberDesc(_xll.EPMMemberProperty("COSTOS", _xll.EPMMemberID(A44), "PARENTH3"), "COSTOS"))</f>
        <v>N1002AD050 - Gerencia General</v>
      </c>
      <c r="F44">
        <f t="shared" si="0"/>
        <v>0</v>
      </c>
      <c r="G44">
        <v>578.20000000000005</v>
      </c>
      <c r="H44">
        <v>15040.52</v>
      </c>
      <c r="I44">
        <f t="shared" si="1"/>
        <v>14462.32</v>
      </c>
      <c r="J44">
        <v>455.8</v>
      </c>
      <c r="K44">
        <v>17680.759999999998</v>
      </c>
      <c r="L44">
        <f t="shared" si="2"/>
        <v>17224.96</v>
      </c>
      <c r="M44">
        <v>13574.59</v>
      </c>
      <c r="N44">
        <v>15097.6</v>
      </c>
      <c r="O44">
        <f t="shared" si="3"/>
        <v>1523.0100000000002</v>
      </c>
      <c r="P44">
        <v>1312.72</v>
      </c>
      <c r="Q44">
        <v>0</v>
      </c>
      <c r="R44">
        <f t="shared" si="4"/>
        <v>-1312.72</v>
      </c>
      <c r="S44">
        <v>15921.31</v>
      </c>
      <c r="T44">
        <v>124135.24</v>
      </c>
      <c r="U44">
        <f t="shared" si="5"/>
        <v>108213.93000000001</v>
      </c>
    </row>
    <row r="45" spans="1:21" x14ac:dyDescent="0.3">
      <c r="A45" s="4" t="str">
        <f xml:space="preserve"> _xll.EPMOlapMemberO("[CECO].[PARENTH3].[AMSA1002AD0511]","","AMSA1002AD0511 - Reporting VPACS Corp","","000")</f>
        <v>AMSA1002AD0511 - Reporting VPACS Corp</v>
      </c>
      <c r="B45" s="6" t="str">
        <f xml:space="preserve"> _xll.EPMOlapMemberO("[CLACO].[PARENTH7].[AMSAGGENERALES.2]","","Otros Gastos","","000")</f>
        <v>Otros Gastos</v>
      </c>
      <c r="C45" t="str">
        <f>_xlfn.CONCAT(_xll.EPMMemberProperty("COSTOS", _xll.EPMMemberID(A45), "PARENTH3"), " - ", _xll.EPMMemberDesc(_xll.EPMMemberProperty("COSTOS", _xll.EPMMemberID(A45), "PARENTH3"), "COSTOS"))</f>
        <v>N1002AD050 - Gerencia General</v>
      </c>
      <c r="F45">
        <f t="shared" si="0"/>
        <v>0</v>
      </c>
      <c r="I45">
        <f t="shared" si="1"/>
        <v>0</v>
      </c>
      <c r="K45">
        <v>6027.53</v>
      </c>
      <c r="L45">
        <f t="shared" si="2"/>
        <v>6027.53</v>
      </c>
      <c r="O45">
        <f t="shared" si="3"/>
        <v>0</v>
      </c>
      <c r="P45">
        <v>121073.14</v>
      </c>
      <c r="R45">
        <f t="shared" si="4"/>
        <v>-121073.14</v>
      </c>
      <c r="S45">
        <v>121073.14</v>
      </c>
      <c r="T45">
        <v>130535.7</v>
      </c>
      <c r="U45">
        <f t="shared" si="5"/>
        <v>9462.5599999999977</v>
      </c>
    </row>
    <row r="46" spans="1:21" x14ac:dyDescent="0.3">
      <c r="A46" s="4" t="str">
        <f xml:space="preserve"> _xll.EPMOlapMemberO("[CECO].[PARENTH3].[AMSA1002AD3502]","","AMSA1002AD3502 - Finanzas","","000")</f>
        <v>AMSA1002AD3502 - Finanzas</v>
      </c>
      <c r="B46" s="6" t="str">
        <f xml:space="preserve"> _xll.EPMOlapMemberO("[CLACO].[PARENTH7].[AMSAASESORIAS]","","Asesorías y Consulto","","000")</f>
        <v>Asesorías y Consulto</v>
      </c>
      <c r="C46" t="str">
        <f>_xlfn.CONCAT(_xll.EPMMemberProperty("COSTOS", _xll.EPMMemberID(A46), "PARENTH3"), " - ", _xll.EPMMemberDesc(_xll.EPMMemberProperty("COSTOS", _xll.EPMMemberID(A46), "PARENTH3"), "COSTOS"))</f>
        <v>N1002AD350 - Gerencia Administrac</v>
      </c>
      <c r="F46">
        <f t="shared" si="0"/>
        <v>0</v>
      </c>
      <c r="I46">
        <f t="shared" si="1"/>
        <v>0</v>
      </c>
      <c r="K46">
        <v>1355.46</v>
      </c>
      <c r="L46">
        <f t="shared" si="2"/>
        <v>1355.46</v>
      </c>
      <c r="M46">
        <v>-256.42</v>
      </c>
      <c r="O46">
        <f t="shared" si="3"/>
        <v>256.42</v>
      </c>
      <c r="P46">
        <v>0.3</v>
      </c>
      <c r="Q46">
        <v>1354.36</v>
      </c>
      <c r="R46">
        <f t="shared" si="4"/>
        <v>1354.06</v>
      </c>
      <c r="S46">
        <v>-256.12</v>
      </c>
      <c r="T46">
        <v>5413.69</v>
      </c>
      <c r="U46">
        <f t="shared" si="5"/>
        <v>5669.8099999999995</v>
      </c>
    </row>
    <row r="47" spans="1:21" x14ac:dyDescent="0.3">
      <c r="A47" s="9" t="str">
        <f xml:space="preserve"> _xll.EPMOlapMemberO("[CECO].[PARENTH3].[AMSA1002AD3502]","","AMSA1002AD3502 - Finanzas","","000")</f>
        <v>AMSA1002AD3502 - Finanzas</v>
      </c>
      <c r="B47" s="8" t="str">
        <f xml:space="preserve"> _xll.EPMOlapMemberO("[CLACO].[PARENTH7].[AMSASERVICIOS]","","Servicios","","000")</f>
        <v>Servicios</v>
      </c>
      <c r="C47" t="str">
        <f>_xlfn.CONCAT(_xll.EPMMemberProperty("COSTOS", _xll.EPMMemberID(A47), "PARENTH3"), " - ", _xll.EPMMemberDesc(_xll.EPMMemberProperty("COSTOS", _xll.EPMMemberID(A47), "PARENTH3"), "COSTOS"))</f>
        <v>N1002AD350 - Gerencia Administrac</v>
      </c>
      <c r="F47">
        <f t="shared" si="0"/>
        <v>0</v>
      </c>
      <c r="I47">
        <f t="shared" si="1"/>
        <v>0</v>
      </c>
      <c r="L47">
        <f t="shared" si="2"/>
        <v>0</v>
      </c>
      <c r="O47">
        <f t="shared" si="3"/>
        <v>0</v>
      </c>
      <c r="P47">
        <v>236.58</v>
      </c>
      <c r="R47">
        <f t="shared" si="4"/>
        <v>-236.58</v>
      </c>
      <c r="S47">
        <v>236.52</v>
      </c>
      <c r="U47">
        <f t="shared" si="5"/>
        <v>-236.52</v>
      </c>
    </row>
    <row r="48" spans="1:21" x14ac:dyDescent="0.3">
      <c r="A48" s="9" t="str">
        <f xml:space="preserve"> _xll.EPMOlapMemberO("[CECO].[PARENTH3].[AMSA1002AD3502]","","AMSA1002AD3502 - Finanzas","","000")</f>
        <v>AMSA1002AD3502 - Finanzas</v>
      </c>
      <c r="B48" s="8" t="str">
        <f xml:space="preserve"> _xll.EPMOlapMemberO("[CLACO].[PARENTH7].[AMSAINFORMATIC]","","Informática y Comuni","","000")</f>
        <v>Informática y Comuni</v>
      </c>
      <c r="C48" t="str">
        <f>_xlfn.CONCAT(_xll.EPMMemberProperty("COSTOS", _xll.EPMMemberID(A48), "PARENTH3"), " - ", _xll.EPMMemberDesc(_xll.EPMMemberProperty("COSTOS", _xll.EPMMemberID(A48), "PARENTH3"), "COSTOS"))</f>
        <v>N1002AD350 - Gerencia Administrac</v>
      </c>
      <c r="D48">
        <v>0</v>
      </c>
      <c r="F48">
        <f t="shared" si="0"/>
        <v>0</v>
      </c>
      <c r="G48">
        <v>0</v>
      </c>
      <c r="I48">
        <f t="shared" si="1"/>
        <v>0</v>
      </c>
      <c r="J48">
        <v>0</v>
      </c>
      <c r="L48">
        <f t="shared" si="2"/>
        <v>0</v>
      </c>
      <c r="M48">
        <v>0</v>
      </c>
      <c r="O48">
        <f t="shared" si="3"/>
        <v>0</v>
      </c>
      <c r="P48">
        <v>5878.82</v>
      </c>
      <c r="R48">
        <f t="shared" si="4"/>
        <v>-5878.82</v>
      </c>
      <c r="S48">
        <v>-9165.18</v>
      </c>
      <c r="T48">
        <v>1596.07</v>
      </c>
      <c r="U48">
        <f t="shared" si="5"/>
        <v>10761.25</v>
      </c>
    </row>
    <row r="49" spans="1:21" x14ac:dyDescent="0.3">
      <c r="A49" s="9" t="str">
        <f xml:space="preserve"> _xll.EPMOlapMemberO("[CECO].[PARENTH3].[AMSA1002AD3502]","","AMSA1002AD3502 - Finanzas","","000")</f>
        <v>AMSA1002AD3502 - Finanzas</v>
      </c>
      <c r="B49" s="8" t="str">
        <f xml:space="preserve"> _xll.EPMOlapMemberO("[CLACO].[PARENTH7].[AMSAG_VIAJES]","","Gastos de Viajes","","000")</f>
        <v>Gastos de Viajes</v>
      </c>
      <c r="C49" t="str">
        <f>_xlfn.CONCAT(_xll.EPMMemberProperty("COSTOS", _xll.EPMMemberID(A49), "PARENTH3"), " - ", _xll.EPMMemberDesc(_xll.EPMMemberProperty("COSTOS", _xll.EPMMemberID(A49), "PARENTH3"), "COSTOS"))</f>
        <v>N1002AD350 - Gerencia Administrac</v>
      </c>
      <c r="F49">
        <f t="shared" si="0"/>
        <v>0</v>
      </c>
      <c r="I49">
        <f t="shared" si="1"/>
        <v>0</v>
      </c>
      <c r="L49">
        <f t="shared" si="2"/>
        <v>0</v>
      </c>
      <c r="M49">
        <v>1346.62</v>
      </c>
      <c r="O49">
        <f t="shared" si="3"/>
        <v>-1346.62</v>
      </c>
      <c r="P49">
        <v>-1346.62</v>
      </c>
      <c r="R49">
        <f t="shared" si="4"/>
        <v>1346.62</v>
      </c>
      <c r="S49">
        <v>0</v>
      </c>
      <c r="U49">
        <f t="shared" si="5"/>
        <v>0</v>
      </c>
    </row>
    <row r="50" spans="1:21" x14ac:dyDescent="0.3">
      <c r="A50" s="9" t="str">
        <f xml:space="preserve"> _xll.EPMOlapMemberO("[CECO].[PARENTH3].[AMSA1002AD3503]","","AMSA1002AD3503 - Contabilidad","","000")</f>
        <v>AMSA1002AD3503 - Contabilidad</v>
      </c>
      <c r="B50" s="8" t="str">
        <f xml:space="preserve"> _xll.EPMOlapMemberO("[CLACO].[PARENTH7].[AMSAMAT_Y_REP.2]","","Materiales y repuest","","000")</f>
        <v>Materiales y repuest</v>
      </c>
      <c r="C50" t="str">
        <f>_xlfn.CONCAT(_xll.EPMMemberProperty("COSTOS", _xll.EPMMemberID(A50), "PARENTH3"), " - ", _xll.EPMMemberDesc(_xll.EPMMemberProperty("COSTOS", _xll.EPMMemberID(A50), "PARENTH3"), "COSTOS"))</f>
        <v>N1002AD350 - Gerencia Administrac</v>
      </c>
      <c r="F50">
        <f t="shared" si="0"/>
        <v>0</v>
      </c>
      <c r="I50">
        <f t="shared" si="1"/>
        <v>0</v>
      </c>
      <c r="K50">
        <v>120.55</v>
      </c>
      <c r="L50">
        <f t="shared" si="2"/>
        <v>120.55</v>
      </c>
      <c r="O50">
        <f t="shared" si="3"/>
        <v>0</v>
      </c>
      <c r="R50">
        <f t="shared" si="4"/>
        <v>0</v>
      </c>
      <c r="T50">
        <v>120.55</v>
      </c>
      <c r="U50">
        <f t="shared" si="5"/>
        <v>120.55</v>
      </c>
    </row>
    <row r="51" spans="1:21" x14ac:dyDescent="0.3">
      <c r="A51" s="9" t="str">
        <f xml:space="preserve"> _xll.EPMOlapMemberO("[CECO].[PARENTH3].[AMSA1002AD3503]","","AMSA1002AD3503 - Contabilidad","","000")</f>
        <v>AMSA1002AD3503 - Contabilidad</v>
      </c>
      <c r="B51" s="8" t="str">
        <f xml:space="preserve"> _xll.EPMOlapMemberO("[CLACO].[PARENTH7].[AMSAASESORIAS]","","Asesorías y Consulto","","000")</f>
        <v>Asesorías y Consulto</v>
      </c>
      <c r="C51" t="str">
        <f>_xlfn.CONCAT(_xll.EPMMemberProperty("COSTOS", _xll.EPMMemberID(A51), "PARENTH3"), " - ", _xll.EPMMemberDesc(_xll.EPMMemberProperty("COSTOS", _xll.EPMMemberID(A51), "PARENTH3"), "COSTOS"))</f>
        <v>N1002AD350 - Gerencia Administrac</v>
      </c>
      <c r="D51">
        <v>-36866.629999999997</v>
      </c>
      <c r="F51">
        <f t="shared" si="0"/>
        <v>36866.629999999997</v>
      </c>
      <c r="G51">
        <v>-81.63</v>
      </c>
      <c r="I51">
        <f t="shared" si="1"/>
        <v>81.63</v>
      </c>
      <c r="J51">
        <v>-1762.59</v>
      </c>
      <c r="K51">
        <v>1137.06</v>
      </c>
      <c r="L51">
        <f t="shared" si="2"/>
        <v>2899.6499999999996</v>
      </c>
      <c r="M51">
        <v>39.979999999999997</v>
      </c>
      <c r="N51">
        <v>0</v>
      </c>
      <c r="O51">
        <f t="shared" si="3"/>
        <v>-39.979999999999997</v>
      </c>
      <c r="Q51">
        <v>7493.48</v>
      </c>
      <c r="R51">
        <f t="shared" si="4"/>
        <v>7493.48</v>
      </c>
      <c r="S51">
        <v>-38670.870000000003</v>
      </c>
      <c r="T51">
        <v>281734.59999999998</v>
      </c>
      <c r="U51">
        <f t="shared" si="5"/>
        <v>320405.46999999997</v>
      </c>
    </row>
    <row r="52" spans="1:21" x14ac:dyDescent="0.3">
      <c r="A52" s="9" t="str">
        <f xml:space="preserve"> _xll.EPMOlapMemberO("[CECO].[PARENTH3].[AMSA1002AD3503]","","AMSA1002AD3503 - Contabilidad","","000")</f>
        <v>AMSA1002AD3503 - Contabilidad</v>
      </c>
      <c r="B52" s="8" t="str">
        <f xml:space="preserve"> _xll.EPMOlapMemberO("[CLACO].[PARENTH7].[AMSASERVICIOS]","","Servicios","","000")</f>
        <v>Servicios</v>
      </c>
      <c r="C52" t="str">
        <f>_xlfn.CONCAT(_xll.EPMMemberProperty("COSTOS", _xll.EPMMemberID(A52), "PARENTH3"), " - ", _xll.EPMMemberDesc(_xll.EPMMemberProperty("COSTOS", _xll.EPMMemberID(A52), "PARENTH3"), "COSTOS"))</f>
        <v>N1002AD350 - Gerencia Administrac</v>
      </c>
      <c r="D52">
        <v>0</v>
      </c>
      <c r="E52">
        <v>348.73</v>
      </c>
      <c r="F52">
        <f t="shared" si="0"/>
        <v>348.73</v>
      </c>
      <c r="H52">
        <v>349.7</v>
      </c>
      <c r="I52">
        <f t="shared" si="1"/>
        <v>349.7</v>
      </c>
      <c r="K52">
        <v>350.67</v>
      </c>
      <c r="L52">
        <f t="shared" si="2"/>
        <v>350.67</v>
      </c>
      <c r="N52">
        <v>351.65</v>
      </c>
      <c r="O52">
        <f t="shared" si="3"/>
        <v>351.65</v>
      </c>
      <c r="P52">
        <v>13.91</v>
      </c>
      <c r="Q52">
        <v>352.63</v>
      </c>
      <c r="R52">
        <f t="shared" si="4"/>
        <v>338.71999999999997</v>
      </c>
      <c r="S52">
        <v>13.94</v>
      </c>
      <c r="T52">
        <v>4249.5200000000004</v>
      </c>
      <c r="U52">
        <f t="shared" si="5"/>
        <v>4235.5800000000008</v>
      </c>
    </row>
    <row r="53" spans="1:21" x14ac:dyDescent="0.3">
      <c r="A53" s="9" t="str">
        <f xml:space="preserve"> _xll.EPMOlapMemberO("[CECO].[PARENTH3].[AMSA1002AD3503]","","AMSA1002AD3503 - Contabilidad","","000")</f>
        <v>AMSA1002AD3503 - Contabilidad</v>
      </c>
      <c r="B53" s="8" t="str">
        <f xml:space="preserve"> _xll.EPMOlapMemberO("[CLACO].[PARENTH7].[AMSAINFORMATIC]","","Informática y Comuni","","000")</f>
        <v>Informática y Comuni</v>
      </c>
      <c r="C53" t="str">
        <f>_xlfn.CONCAT(_xll.EPMMemberProperty("COSTOS", _xll.EPMMemberID(A53), "PARENTH3"), " - ", _xll.EPMMemberDesc(_xll.EPMMemberProperty("COSTOS", _xll.EPMMemberID(A53), "PARENTH3"), "COSTOS"))</f>
        <v>N1002AD350 - Gerencia Administrac</v>
      </c>
      <c r="D53">
        <v>5720.97</v>
      </c>
      <c r="E53">
        <v>6102.71</v>
      </c>
      <c r="F53">
        <f t="shared" si="0"/>
        <v>381.73999999999978</v>
      </c>
      <c r="G53">
        <v>5305.54</v>
      </c>
      <c r="H53">
        <v>6119.73</v>
      </c>
      <c r="I53">
        <f t="shared" si="1"/>
        <v>814.1899999999996</v>
      </c>
      <c r="J53">
        <v>7796.89</v>
      </c>
      <c r="K53">
        <v>6136.81</v>
      </c>
      <c r="L53">
        <f t="shared" si="2"/>
        <v>-1660.08</v>
      </c>
      <c r="M53">
        <v>2738.6</v>
      </c>
      <c r="N53">
        <v>6153.93</v>
      </c>
      <c r="O53">
        <f t="shared" si="3"/>
        <v>3415.3300000000004</v>
      </c>
      <c r="P53">
        <v>5228.53</v>
      </c>
      <c r="Q53">
        <v>6171.1</v>
      </c>
      <c r="R53">
        <f t="shared" si="4"/>
        <v>942.57000000000062</v>
      </c>
      <c r="S53">
        <v>26692.61</v>
      </c>
      <c r="T53">
        <v>74366.78</v>
      </c>
      <c r="U53">
        <f t="shared" si="5"/>
        <v>47674.17</v>
      </c>
    </row>
    <row r="54" spans="1:21" x14ac:dyDescent="0.3">
      <c r="A54" s="9" t="str">
        <f xml:space="preserve"> _xll.EPMOlapMemberO("[CECO].[PARENTH3].[AMSA1002AD3503]","","AMSA1002AD3503 - Contabilidad","","000")</f>
        <v>AMSA1002AD3503 - Contabilidad</v>
      </c>
      <c r="B54" s="8" t="str">
        <f xml:space="preserve"> _xll.EPMOlapMemberO("[CLACO].[PARENTH7].[AMSAG_VIAJES]","","Gastos de Viajes","","000")</f>
        <v>Gastos de Viajes</v>
      </c>
      <c r="C54" t="str">
        <f>_xlfn.CONCAT(_xll.EPMMemberProperty("COSTOS", _xll.EPMMemberID(A54), "PARENTH3"), " - ", _xll.EPMMemberDesc(_xll.EPMMemberProperty("COSTOS", _xll.EPMMemberID(A54), "PARENTH3"), "COSTOS"))</f>
        <v>N1002AD350 - Gerencia Administrac</v>
      </c>
      <c r="D54">
        <v>-433.63</v>
      </c>
      <c r="E54">
        <v>894.73</v>
      </c>
      <c r="F54">
        <f t="shared" si="0"/>
        <v>1328.3600000000001</v>
      </c>
      <c r="G54">
        <v>507.59</v>
      </c>
      <c r="I54">
        <f t="shared" si="1"/>
        <v>-507.59</v>
      </c>
      <c r="J54">
        <v>1018.14</v>
      </c>
      <c r="K54">
        <v>2957.51</v>
      </c>
      <c r="L54">
        <f t="shared" si="2"/>
        <v>1939.3700000000003</v>
      </c>
      <c r="M54">
        <v>-489.57</v>
      </c>
      <c r="O54">
        <f t="shared" si="3"/>
        <v>489.57</v>
      </c>
      <c r="P54">
        <v>873.8</v>
      </c>
      <c r="R54">
        <f t="shared" si="4"/>
        <v>-873.8</v>
      </c>
      <c r="S54">
        <v>1476.33</v>
      </c>
      <c r="T54">
        <v>16086.17</v>
      </c>
      <c r="U54">
        <f t="shared" si="5"/>
        <v>14609.84</v>
      </c>
    </row>
    <row r="55" spans="1:21" x14ac:dyDescent="0.3">
      <c r="A55" s="9" t="str">
        <f xml:space="preserve"> _xll.EPMOlapMemberO("[CECO].[PARENTH3].[AMSA1002AD3503]","","AMSA1002AD3503 - Contabilidad","","000")</f>
        <v>AMSA1002AD3503 - Contabilidad</v>
      </c>
      <c r="B55" s="8" t="str">
        <f xml:space="preserve"> _xll.EPMOlapMemberO("[CLACO].[PARENTH7].[AMSASERV_CORP]","","Servicios Corporativ","","000")</f>
        <v>Servicios Corporativ</v>
      </c>
      <c r="C55" t="str">
        <f>_xlfn.CONCAT(_xll.EPMMemberProperty("COSTOS", _xll.EPMMemberID(A55), "PARENTH3"), " - ", _xll.EPMMemberDesc(_xll.EPMMemberProperty("COSTOS", _xll.EPMMemberID(A55), "PARENTH3"), "COSTOS"))</f>
        <v>N1002AD350 - Gerencia Administrac</v>
      </c>
      <c r="D55">
        <v>1490.55</v>
      </c>
      <c r="E55">
        <v>8687.32</v>
      </c>
      <c r="F55">
        <f t="shared" si="0"/>
        <v>7196.7699999999995</v>
      </c>
      <c r="G55">
        <v>15664.23</v>
      </c>
      <c r="H55">
        <v>8711.07</v>
      </c>
      <c r="I55">
        <f t="shared" si="1"/>
        <v>-6953.16</v>
      </c>
      <c r="J55">
        <v>7667.47</v>
      </c>
      <c r="K55">
        <v>8735.61</v>
      </c>
      <c r="L55">
        <f t="shared" si="2"/>
        <v>1068.1400000000003</v>
      </c>
      <c r="M55">
        <v>7578.67</v>
      </c>
      <c r="N55">
        <v>8760.15</v>
      </c>
      <c r="O55">
        <f t="shared" si="3"/>
        <v>1181.4799999999996</v>
      </c>
      <c r="P55">
        <v>8236.11</v>
      </c>
      <c r="Q55">
        <v>8784.69</v>
      </c>
      <c r="R55">
        <f t="shared" si="4"/>
        <v>548.57999999999993</v>
      </c>
      <c r="S55">
        <v>40637.03</v>
      </c>
      <c r="T55">
        <v>105860.47</v>
      </c>
      <c r="U55">
        <f t="shared" si="5"/>
        <v>65223.44</v>
      </c>
    </row>
    <row r="56" spans="1:21" x14ac:dyDescent="0.3">
      <c r="A56" s="9" t="str">
        <f xml:space="preserve"> _xll.EPMOlapMemberO("[CECO].[PARENTH3].[AMSA1002AD3520]","","AMSA1002AD3520 - Gestión de Seguros","","000")</f>
        <v>AMSA1002AD3520 - Gestión de Seguros</v>
      </c>
      <c r="B56" s="8" t="str">
        <f xml:space="preserve"> _xll.EPMOlapMemberO("[CLACO].[PARENTH7].[AMSAG_VIAJES]","","Gastos de Viajes","","000")</f>
        <v>Gastos de Viajes</v>
      </c>
      <c r="C56" t="str">
        <f>_xlfn.CONCAT(_xll.EPMMemberProperty("COSTOS", _xll.EPMMemberID(A56), "PARENTH3"), " - ", _xll.EPMMemberDesc(_xll.EPMMemberProperty("COSTOS", _xll.EPMMemberID(A56), "PARENTH3"), "COSTOS"))</f>
        <v>N1002AD350 - Gerencia Administrac</v>
      </c>
      <c r="D56">
        <v>0</v>
      </c>
      <c r="F56">
        <f t="shared" si="0"/>
        <v>0</v>
      </c>
      <c r="G56">
        <v>0</v>
      </c>
      <c r="I56">
        <f t="shared" si="1"/>
        <v>0</v>
      </c>
      <c r="J56">
        <v>0</v>
      </c>
      <c r="K56">
        <v>0</v>
      </c>
      <c r="L56">
        <f t="shared" si="2"/>
        <v>0</v>
      </c>
      <c r="M56">
        <v>456.32</v>
      </c>
      <c r="N56">
        <v>0</v>
      </c>
      <c r="O56">
        <f t="shared" si="3"/>
        <v>-456.32</v>
      </c>
      <c r="R56">
        <f t="shared" si="4"/>
        <v>0</v>
      </c>
      <c r="S56">
        <v>456.32</v>
      </c>
      <c r="T56">
        <v>11194.56</v>
      </c>
      <c r="U56">
        <f t="shared" si="5"/>
        <v>10738.24</v>
      </c>
    </row>
    <row r="57" spans="1:21" x14ac:dyDescent="0.3">
      <c r="A57" s="9" t="str">
        <f xml:space="preserve"> _xll.EPMOlapMemberO("[CECO].[PARENTH3].[AMSA1002AD3520]","","AMSA1002AD3520 - Gestión de Seguros","","000")</f>
        <v>AMSA1002AD3520 - Gestión de Seguros</v>
      </c>
      <c r="B57" s="8" t="str">
        <f xml:space="preserve"> _xll.EPMOlapMemberO("[CLACO].[PARENTH7].[AMSASEGUROS]","","Seguros","","000")</f>
        <v>Seguros</v>
      </c>
      <c r="C57" t="str">
        <f>_xlfn.CONCAT(_xll.EPMMemberProperty("COSTOS", _xll.EPMMemberID(A57), "PARENTH3"), " - ", _xll.EPMMemberDesc(_xll.EPMMemberProperty("COSTOS", _xll.EPMMemberID(A57), "PARENTH3"), "COSTOS"))</f>
        <v>N1002AD350 - Gerencia Administrac</v>
      </c>
      <c r="D57">
        <v>700908.2</v>
      </c>
      <c r="E57">
        <v>812298.33</v>
      </c>
      <c r="F57">
        <f t="shared" si="0"/>
        <v>111390.13</v>
      </c>
      <c r="G57">
        <v>898454.05</v>
      </c>
      <c r="H57">
        <v>1008611.05</v>
      </c>
      <c r="I57">
        <f t="shared" si="1"/>
        <v>110157</v>
      </c>
      <c r="J57">
        <v>701345.79</v>
      </c>
      <c r="K57">
        <v>811579.17</v>
      </c>
      <c r="L57">
        <f t="shared" si="2"/>
        <v>110233.38</v>
      </c>
      <c r="M57">
        <v>-383855.26</v>
      </c>
      <c r="N57">
        <v>811259.47</v>
      </c>
      <c r="O57">
        <f t="shared" si="3"/>
        <v>1195114.73</v>
      </c>
      <c r="P57">
        <v>2101517.4900000002</v>
      </c>
      <c r="Q57">
        <v>891454.72</v>
      </c>
      <c r="R57">
        <f t="shared" si="4"/>
        <v>-1210062.7700000003</v>
      </c>
      <c r="S57">
        <v>2761234.84</v>
      </c>
      <c r="T57">
        <v>10221839.880000001</v>
      </c>
      <c r="U57">
        <f t="shared" si="5"/>
        <v>7460605.040000001</v>
      </c>
    </row>
    <row r="58" spans="1:21" x14ac:dyDescent="0.3">
      <c r="A58" s="9" t="str">
        <f xml:space="preserve"> _xll.EPMOlapMemberO("[CECO].[PARENTH3].[AMSA1002AD3521]","","AMSA1002AD3521 - Gestión de Impuestos","","000")</f>
        <v>AMSA1002AD3521 - Gestión de Impuestos</v>
      </c>
      <c r="B58" s="8" t="str">
        <f xml:space="preserve"> _xll.EPMOlapMemberO("[CLACO].[PARENTH7].[AMSAENTRENAMI]","","Entrenamiento","","000")</f>
        <v>Entrenamiento</v>
      </c>
      <c r="C58" t="str">
        <f>_xlfn.CONCAT(_xll.EPMMemberProperty("COSTOS", _xll.EPMMemberID(A58), "PARENTH3"), " - ", _xll.EPMMemberDesc(_xll.EPMMemberProperty("COSTOS", _xll.EPMMemberID(A58), "PARENTH3"), "COSTOS"))</f>
        <v>N1002AD350 - Gerencia Administrac</v>
      </c>
      <c r="F58">
        <f t="shared" si="0"/>
        <v>0</v>
      </c>
      <c r="I58">
        <f t="shared" si="1"/>
        <v>0</v>
      </c>
      <c r="L58">
        <f t="shared" si="2"/>
        <v>0</v>
      </c>
      <c r="O58">
        <f t="shared" si="3"/>
        <v>0</v>
      </c>
      <c r="R58">
        <f t="shared" si="4"/>
        <v>0</v>
      </c>
      <c r="T58">
        <v>1023.6</v>
      </c>
      <c r="U58">
        <f t="shared" si="5"/>
        <v>1023.6</v>
      </c>
    </row>
    <row r="59" spans="1:21" x14ac:dyDescent="0.3">
      <c r="A59" s="9" t="str">
        <f xml:space="preserve"> _xll.EPMOlapMemberO("[CECO].[PARENTH3].[AMSA1002AD3521]","","AMSA1002AD3521 - Gestión de Impuestos","","000")</f>
        <v>AMSA1002AD3521 - Gestión de Impuestos</v>
      </c>
      <c r="B59" s="8" t="str">
        <f xml:space="preserve"> _xll.EPMOlapMemberO("[CLACO].[PARENTH7].[AMSAASESORIAS]","","Asesorías y Consulto","","000")</f>
        <v>Asesorías y Consulto</v>
      </c>
      <c r="C59" t="str">
        <f>_xlfn.CONCAT(_xll.EPMMemberProperty("COSTOS", _xll.EPMMemberID(A59), "PARENTH3"), " - ", _xll.EPMMemberDesc(_xll.EPMMemberProperty("COSTOS", _xll.EPMMemberID(A59), "PARENTH3"), "COSTOS"))</f>
        <v>N1002AD350 - Gerencia Administrac</v>
      </c>
      <c r="D59">
        <v>5805.92</v>
      </c>
      <c r="E59">
        <v>1084.43</v>
      </c>
      <c r="F59">
        <f t="shared" si="0"/>
        <v>-4721.49</v>
      </c>
      <c r="G59">
        <v>77.930000000000007</v>
      </c>
      <c r="H59">
        <v>1083.93</v>
      </c>
      <c r="I59">
        <f t="shared" si="1"/>
        <v>1006</v>
      </c>
      <c r="J59">
        <v>19951.37</v>
      </c>
      <c r="K59">
        <v>1083.47</v>
      </c>
      <c r="L59">
        <f t="shared" si="2"/>
        <v>-18867.899999999998</v>
      </c>
      <c r="M59">
        <v>86677.41</v>
      </c>
      <c r="N59">
        <v>1083.04</v>
      </c>
      <c r="O59">
        <f t="shared" si="3"/>
        <v>-85594.37000000001</v>
      </c>
      <c r="P59">
        <v>4791.71</v>
      </c>
      <c r="Q59">
        <v>1082.5899999999999</v>
      </c>
      <c r="R59">
        <f t="shared" si="4"/>
        <v>-3709.12</v>
      </c>
      <c r="S59">
        <v>-82040.59</v>
      </c>
      <c r="T59">
        <v>37096.910000000003</v>
      </c>
      <c r="U59">
        <f t="shared" si="5"/>
        <v>119137.5</v>
      </c>
    </row>
    <row r="60" spans="1:21" x14ac:dyDescent="0.3">
      <c r="A60" s="9" t="str">
        <f xml:space="preserve"> _xll.EPMOlapMemberO("[CECO].[PARENTH3].[AMSA1002AD3521]","","AMSA1002AD3521 - Gestión de Impuestos","","000")</f>
        <v>AMSA1002AD3521 - Gestión de Impuestos</v>
      </c>
      <c r="B60" s="8" t="str">
        <f xml:space="preserve"> _xll.EPMOlapMemberO("[CLACO].[PARENTH7].[AMSAINFORMATIC]","","Informática y Comuni","","000")</f>
        <v>Informática y Comuni</v>
      </c>
      <c r="C60" t="str">
        <f>_xlfn.CONCAT(_xll.EPMMemberProperty("COSTOS", _xll.EPMMemberID(A60), "PARENTH3"), " - ", _xll.EPMMemberDesc(_xll.EPMMemberProperty("COSTOS", _xll.EPMMemberID(A60), "PARENTH3"), "COSTOS"))</f>
        <v>N1002AD350 - Gerencia Administrac</v>
      </c>
      <c r="F60">
        <f t="shared" si="0"/>
        <v>0</v>
      </c>
      <c r="I60">
        <f t="shared" si="1"/>
        <v>0</v>
      </c>
      <c r="L60">
        <f t="shared" si="2"/>
        <v>0</v>
      </c>
      <c r="M60">
        <v>214.2</v>
      </c>
      <c r="O60">
        <f t="shared" si="3"/>
        <v>-214.2</v>
      </c>
      <c r="R60">
        <f t="shared" si="4"/>
        <v>0</v>
      </c>
      <c r="S60">
        <v>214.2</v>
      </c>
      <c r="U60">
        <f t="shared" si="5"/>
        <v>-214.2</v>
      </c>
    </row>
    <row r="61" spans="1:21" x14ac:dyDescent="0.3">
      <c r="A61" s="9" t="str">
        <f xml:space="preserve"> _xll.EPMOlapMemberO("[CECO].[PARENTH3].[AMSA1002AD3521]","","AMSA1002AD3521 - Gestión de Impuestos","","000")</f>
        <v>AMSA1002AD3521 - Gestión de Impuestos</v>
      </c>
      <c r="B61" s="8" t="str">
        <f xml:space="preserve"> _xll.EPMOlapMemberO("[CLACO].[PARENTH7].[AMSAG_VIAJES]","","Gastos de Viajes","","000")</f>
        <v>Gastos de Viajes</v>
      </c>
      <c r="C61" t="str">
        <f>_xlfn.CONCAT(_xll.EPMMemberProperty("COSTOS", _xll.EPMMemberID(A61), "PARENTH3"), " - ", _xll.EPMMemberDesc(_xll.EPMMemberProperty("COSTOS", _xll.EPMMemberID(A61), "PARENTH3"), "COSTOS"))</f>
        <v>N1002AD350 - Gerencia Administrac</v>
      </c>
      <c r="F61">
        <f t="shared" si="0"/>
        <v>0</v>
      </c>
      <c r="I61">
        <f t="shared" si="1"/>
        <v>0</v>
      </c>
      <c r="L61">
        <f t="shared" si="2"/>
        <v>0</v>
      </c>
      <c r="O61">
        <f t="shared" si="3"/>
        <v>0</v>
      </c>
      <c r="R61">
        <f t="shared" si="4"/>
        <v>0</v>
      </c>
      <c r="T61">
        <v>3026.3</v>
      </c>
      <c r="U61">
        <f t="shared" si="5"/>
        <v>3026.3</v>
      </c>
    </row>
    <row r="62" spans="1:21" x14ac:dyDescent="0.3">
      <c r="A62" s="9" t="str">
        <f xml:space="preserve"> _xll.EPMOlapMemberO("[CECO].[PARENTH3].[AMSA1002AD3521]","","AMSA1002AD3521 - Gestión de Impuestos","","000")</f>
        <v>AMSA1002AD3521 - Gestión de Impuestos</v>
      </c>
      <c r="B62" s="8" t="str">
        <f xml:space="preserve"> _xll.EPMOlapMemberO("[CLACO].[PARENTH7].[AMSAIMP_PATEN]","","Impuestos / Patentes","","000")</f>
        <v>Impuestos / Patentes</v>
      </c>
      <c r="C62" t="str">
        <f>_xlfn.CONCAT(_xll.EPMMemberProperty("COSTOS", _xll.EPMMemberID(A62), "PARENTH3"), " - ", _xll.EPMMemberDesc(_xll.EPMMemberProperty("COSTOS", _xll.EPMMemberID(A62), "PARENTH3"), "COSTOS"))</f>
        <v>N1002AD350 - Gerencia Administrac</v>
      </c>
      <c r="D62">
        <v>144818.67000000001</v>
      </c>
      <c r="E62">
        <v>310952.75</v>
      </c>
      <c r="F62">
        <f t="shared" si="0"/>
        <v>166134.07999999999</v>
      </c>
      <c r="H62">
        <v>0</v>
      </c>
      <c r="I62">
        <f t="shared" si="1"/>
        <v>0</v>
      </c>
      <c r="K62">
        <v>0</v>
      </c>
      <c r="L62">
        <f t="shared" si="2"/>
        <v>0</v>
      </c>
      <c r="M62">
        <v>836085.56</v>
      </c>
      <c r="N62">
        <v>1004802.55</v>
      </c>
      <c r="O62">
        <f t="shared" si="3"/>
        <v>168716.99</v>
      </c>
      <c r="R62">
        <f t="shared" si="4"/>
        <v>0</v>
      </c>
      <c r="S62">
        <v>980904.23</v>
      </c>
      <c r="T62">
        <v>2311836.79</v>
      </c>
      <c r="U62">
        <f t="shared" si="5"/>
        <v>1330932.56</v>
      </c>
    </row>
    <row r="63" spans="1:21" x14ac:dyDescent="0.3">
      <c r="A63" s="9" t="str">
        <f xml:space="preserve"> _xll.EPMOlapMemberO("[CECO].[PARENTH3].[AMSA1002AD3523]","","AMSA1002AD3523 - TICA Corporativo","","000")</f>
        <v>AMSA1002AD3523 - TICA Corporativo</v>
      </c>
      <c r="B63" s="8" t="str">
        <f xml:space="preserve"> _xll.EPMOlapMemberO("[CLACO].[PARENTH7].[AMSAMAT_Y_REP.2]","","Materiales y repuest","","000")</f>
        <v>Materiales y repuest</v>
      </c>
      <c r="C63" t="str">
        <f>_xlfn.CONCAT(_xll.EPMMemberProperty("COSTOS", _xll.EPMMemberID(A63), "PARENTH3"), " - ", _xll.EPMMemberDesc(_xll.EPMMemberProperty("COSTOS", _xll.EPMMemberID(A63), "PARENTH3"), "COSTOS"))</f>
        <v>N1002AD350 - Gerencia Administrac</v>
      </c>
      <c r="D63">
        <v>14234.7</v>
      </c>
      <c r="E63">
        <v>609.44000000000005</v>
      </c>
      <c r="F63">
        <f t="shared" si="0"/>
        <v>-13625.26</v>
      </c>
      <c r="G63">
        <v>8685.06</v>
      </c>
      <c r="H63">
        <v>20665.14</v>
      </c>
      <c r="I63">
        <f t="shared" si="1"/>
        <v>11980.08</v>
      </c>
      <c r="J63">
        <v>11563.73</v>
      </c>
      <c r="K63">
        <v>65911.100000000006</v>
      </c>
      <c r="L63">
        <f t="shared" si="2"/>
        <v>54347.37000000001</v>
      </c>
      <c r="M63">
        <v>14023.23</v>
      </c>
      <c r="N63">
        <v>20744.689999999999</v>
      </c>
      <c r="O63">
        <f t="shared" si="3"/>
        <v>6721.4599999999991</v>
      </c>
      <c r="P63">
        <v>31957.5</v>
      </c>
      <c r="Q63">
        <v>30869.02</v>
      </c>
      <c r="R63">
        <f t="shared" si="4"/>
        <v>-1088.4799999999996</v>
      </c>
      <c r="S63">
        <v>122578.24000000001</v>
      </c>
      <c r="T63">
        <v>668880.80000000005</v>
      </c>
      <c r="U63">
        <f t="shared" si="5"/>
        <v>546302.56000000006</v>
      </c>
    </row>
    <row r="64" spans="1:21" x14ac:dyDescent="0.3">
      <c r="A64" s="9" t="str">
        <f xml:space="preserve"> _xll.EPMOlapMemberO("[CECO].[PARENTH3].[AMSA1002AD3523]","","AMSA1002AD3523 - TICA Corporativo","","000")</f>
        <v>AMSA1002AD3523 - TICA Corporativo</v>
      </c>
      <c r="B64" s="8" t="str">
        <f xml:space="preserve"> _xll.EPMOlapMemberO("[CLACO].[PARENTH7].[AMSACOMBUSTIBL]","","Combustibles  / Lubr","","000")</f>
        <v>Combustibles  / Lubr</v>
      </c>
      <c r="C64" t="str">
        <f>_xlfn.CONCAT(_xll.EPMMemberProperty("COSTOS", _xll.EPMMemberID(A64), "PARENTH3"), " - ", _xll.EPMMemberDesc(_xll.EPMMemberProperty("COSTOS", _xll.EPMMemberID(A64), "PARENTH3"), "COSTOS"))</f>
        <v>N1002AD350 - Gerencia Administrac</v>
      </c>
      <c r="D64">
        <v>5307.25</v>
      </c>
      <c r="E64">
        <v>3324.23</v>
      </c>
      <c r="F64">
        <f t="shared" si="0"/>
        <v>-1983.02</v>
      </c>
      <c r="G64">
        <v>5285.96</v>
      </c>
      <c r="H64">
        <v>3333.32</v>
      </c>
      <c r="I64">
        <f t="shared" si="1"/>
        <v>-1952.6399999999999</v>
      </c>
      <c r="J64">
        <v>4520.6499999999996</v>
      </c>
      <c r="K64">
        <v>4234.1000000000004</v>
      </c>
      <c r="L64">
        <f t="shared" si="2"/>
        <v>-286.54999999999927</v>
      </c>
      <c r="M64">
        <v>7503.83</v>
      </c>
      <c r="N64">
        <v>4245.99</v>
      </c>
      <c r="O64">
        <f t="shared" si="3"/>
        <v>-3257.84</v>
      </c>
      <c r="P64">
        <v>7574.68</v>
      </c>
      <c r="Q64">
        <v>4257.8900000000003</v>
      </c>
      <c r="R64">
        <f t="shared" si="4"/>
        <v>-3316.79</v>
      </c>
      <c r="S64">
        <v>34538.83</v>
      </c>
      <c r="T64">
        <v>49534.59</v>
      </c>
      <c r="U64">
        <f t="shared" si="5"/>
        <v>14995.759999999995</v>
      </c>
    </row>
    <row r="65" spans="1:21" x14ac:dyDescent="0.3">
      <c r="A65" s="9" t="str">
        <f xml:space="preserve"> _xll.EPMOlapMemberO("[CECO].[PARENTH3].[AMSA1002AD3523]","","AMSA1002AD3523 - TICA Corporativo","","000")</f>
        <v>AMSA1002AD3523 - TICA Corporativo</v>
      </c>
      <c r="B65" s="8" t="str">
        <f xml:space="preserve"> _xll.EPMOlapMemberO("[CLACO].[PARENTH7].[AMSAARRIENDOS]","","Arriendos","","000")</f>
        <v>Arriendos</v>
      </c>
      <c r="C65" t="str">
        <f>_xlfn.CONCAT(_xll.EPMMemberProperty("COSTOS", _xll.EPMMemberID(A65), "PARENTH3"), " - ", _xll.EPMMemberDesc(_xll.EPMMemberProperty("COSTOS", _xll.EPMMemberID(A65), "PARENTH3"), "COSTOS"))</f>
        <v>N1002AD350 - Gerencia Administrac</v>
      </c>
      <c r="D65">
        <v>1341.32</v>
      </c>
      <c r="E65">
        <v>1615.2</v>
      </c>
      <c r="F65">
        <f t="shared" si="0"/>
        <v>273.88000000000011</v>
      </c>
      <c r="G65">
        <v>8.6999999999999993</v>
      </c>
      <c r="H65">
        <v>1619.76</v>
      </c>
      <c r="I65">
        <f t="shared" si="1"/>
        <v>1611.06</v>
      </c>
      <c r="K65">
        <v>1624.33</v>
      </c>
      <c r="L65">
        <f t="shared" si="2"/>
        <v>1624.33</v>
      </c>
      <c r="N65">
        <v>1628.89</v>
      </c>
      <c r="O65">
        <f t="shared" si="3"/>
        <v>1628.89</v>
      </c>
      <c r="Q65">
        <v>1633.45</v>
      </c>
      <c r="R65">
        <f t="shared" si="4"/>
        <v>1633.45</v>
      </c>
      <c r="S65">
        <v>1350.02</v>
      </c>
      <c r="T65">
        <v>19683.66</v>
      </c>
      <c r="U65">
        <f t="shared" si="5"/>
        <v>18333.64</v>
      </c>
    </row>
    <row r="66" spans="1:21" x14ac:dyDescent="0.3">
      <c r="A66" s="9" t="str">
        <f xml:space="preserve"> _xll.EPMOlapMemberO("[CECO].[PARENTH3].[AMSA1002AD3523]","","AMSA1002AD3523 - TICA Corporativo","","000")</f>
        <v>AMSA1002AD3523 - TICA Corporativo</v>
      </c>
      <c r="B66" s="8" t="str">
        <f xml:space="preserve"> _xll.EPMOlapMemberO("[CLACO].[PARENTH7].[AMSASERVICIOS]","","Servicios","","000")</f>
        <v>Servicios</v>
      </c>
      <c r="C66" t="str">
        <f>_xlfn.CONCAT(_xll.EPMMemberProperty("COSTOS", _xll.EPMMemberID(A66), "PARENTH3"), " - ", _xll.EPMMemberDesc(_xll.EPMMemberProperty("COSTOS", _xll.EPMMemberID(A66), "PARENTH3"), "COSTOS"))</f>
        <v>N1002AD350 - Gerencia Administrac</v>
      </c>
      <c r="F66">
        <f t="shared" si="0"/>
        <v>0</v>
      </c>
      <c r="I66">
        <f t="shared" si="1"/>
        <v>0</v>
      </c>
      <c r="J66">
        <v>1158.25</v>
      </c>
      <c r="L66">
        <f t="shared" si="2"/>
        <v>-1158.25</v>
      </c>
      <c r="M66">
        <v>2651.85</v>
      </c>
      <c r="O66">
        <f t="shared" si="3"/>
        <v>-2651.85</v>
      </c>
      <c r="P66">
        <v>484.41</v>
      </c>
      <c r="R66">
        <f t="shared" si="4"/>
        <v>-484.41</v>
      </c>
      <c r="S66">
        <v>4295.54</v>
      </c>
      <c r="U66">
        <f t="shared" si="5"/>
        <v>-4295.54</v>
      </c>
    </row>
    <row r="67" spans="1:21" x14ac:dyDescent="0.3">
      <c r="A67" s="9" t="str">
        <f xml:space="preserve"> _xll.EPMOlapMemberO("[CECO].[PARENTH3].[AMSA1002AD3523]","","AMSA1002AD3523 - TICA Corporativo","","000")</f>
        <v>AMSA1002AD3523 - TICA Corporativo</v>
      </c>
      <c r="B67" s="8" t="str">
        <f xml:space="preserve"> _xll.EPMOlapMemberO("[CLACO].[PARENTH7].[AMSAINFORMATIC]","","Informática y Comuni","","000")</f>
        <v>Informática y Comuni</v>
      </c>
      <c r="C67" t="str">
        <f>_xlfn.CONCAT(_xll.EPMMemberProperty("COSTOS", _xll.EPMMemberID(A67), "PARENTH3"), " - ", _xll.EPMMemberDesc(_xll.EPMMemberProperty("COSTOS", _xll.EPMMemberID(A67), "PARENTH3"), "COSTOS"))</f>
        <v>N1002AD350 - Gerencia Administrac</v>
      </c>
      <c r="D67">
        <v>762853.04</v>
      </c>
      <c r="E67">
        <v>1067647.1000000001</v>
      </c>
      <c r="F67">
        <f t="shared" si="0"/>
        <v>304794.06000000006</v>
      </c>
      <c r="G67">
        <v>1021299.51</v>
      </c>
      <c r="H67">
        <v>743253.22</v>
      </c>
      <c r="I67">
        <f t="shared" si="1"/>
        <v>-278046.29000000004</v>
      </c>
      <c r="J67">
        <v>746256.25</v>
      </c>
      <c r="K67">
        <v>785354.97</v>
      </c>
      <c r="L67">
        <f t="shared" si="2"/>
        <v>39098.719999999972</v>
      </c>
      <c r="M67">
        <v>754210.82</v>
      </c>
      <c r="N67">
        <v>848574.94</v>
      </c>
      <c r="O67">
        <f t="shared" si="3"/>
        <v>94364.12</v>
      </c>
      <c r="P67">
        <v>988203.8</v>
      </c>
      <c r="Q67">
        <v>804537.22</v>
      </c>
      <c r="R67">
        <f t="shared" si="4"/>
        <v>-183666.58000000007</v>
      </c>
      <c r="S67">
        <v>2518107.1800000002</v>
      </c>
      <c r="T67">
        <v>10190031.699999999</v>
      </c>
      <c r="U67">
        <f t="shared" si="5"/>
        <v>7671924.5199999996</v>
      </c>
    </row>
    <row r="68" spans="1:21" x14ac:dyDescent="0.3">
      <c r="A68" s="9" t="str">
        <f xml:space="preserve"> _xll.EPMOlapMemberO("[CECO].[PARENTH3].[AMSA1002AD3523]","","AMSA1002AD3523 - TICA Corporativo","","000")</f>
        <v>AMSA1002AD3523 - TICA Corporativo</v>
      </c>
      <c r="B68" s="8" t="str">
        <f xml:space="preserve"> _xll.EPMOlapMemberO("[CLACO].[PARENTH7].[AMSAG_VIAJES]","","Gastos de Viajes","","000")</f>
        <v>Gastos de Viajes</v>
      </c>
      <c r="C68" t="str">
        <f>_xlfn.CONCAT(_xll.EPMMemberProperty("COSTOS", _xll.EPMMemberID(A68), "PARENTH3"), " - ", _xll.EPMMemberDesc(_xll.EPMMemberProperty("COSTOS", _xll.EPMMemberID(A68), "PARENTH3"), "COSTOS"))</f>
        <v>N1002AD350 - Gerencia Administrac</v>
      </c>
      <c r="D68">
        <v>406.98</v>
      </c>
      <c r="E68">
        <v>3260.65</v>
      </c>
      <c r="F68">
        <f t="shared" si="0"/>
        <v>2853.67</v>
      </c>
      <c r="G68">
        <v>3077.29</v>
      </c>
      <c r="H68">
        <v>3266.79</v>
      </c>
      <c r="I68">
        <f t="shared" si="1"/>
        <v>189.5</v>
      </c>
      <c r="J68">
        <v>383.14</v>
      </c>
      <c r="K68">
        <v>3272.95</v>
      </c>
      <c r="L68">
        <f t="shared" si="2"/>
        <v>2889.81</v>
      </c>
      <c r="M68">
        <v>5350.14</v>
      </c>
      <c r="N68">
        <v>3279.21</v>
      </c>
      <c r="O68">
        <f t="shared" si="3"/>
        <v>-2070.9300000000003</v>
      </c>
      <c r="P68">
        <v>2036.56</v>
      </c>
      <c r="Q68">
        <v>3285.46</v>
      </c>
      <c r="R68">
        <f t="shared" si="4"/>
        <v>1248.9000000000001</v>
      </c>
      <c r="S68">
        <v>11254.11</v>
      </c>
      <c r="T68">
        <v>39538.28</v>
      </c>
      <c r="U68">
        <f t="shared" si="5"/>
        <v>28284.17</v>
      </c>
    </row>
    <row r="69" spans="1:21" x14ac:dyDescent="0.3">
      <c r="A69" s="9" t="str">
        <f xml:space="preserve"> _xll.EPMOlapMemberO("[CECO].[PARENTH3].[AMSA1002AD3523]","","AMSA1002AD3523 - TICA Corporativo","","000")</f>
        <v>AMSA1002AD3523 - TICA Corporativo</v>
      </c>
      <c r="B69" s="8" t="str">
        <f xml:space="preserve"> _xll.EPMOlapMemberO("[CLACO].[PARENTH7].[AMSASERV_CORP]","","Servicios Corporativ","","000")</f>
        <v>Servicios Corporativ</v>
      </c>
      <c r="C69" t="str">
        <f>_xlfn.CONCAT(_xll.EPMMemberProperty("COSTOS", _xll.EPMMemberID(A69), "PARENTH3"), " - ", _xll.EPMMemberDesc(_xll.EPMMemberProperty("COSTOS", _xll.EPMMemberID(A69), "PARENTH3"), "COSTOS"))</f>
        <v>N1002AD350 - Gerencia Administrac</v>
      </c>
      <c r="D69">
        <v>160621.39000000001</v>
      </c>
      <c r="E69">
        <v>161647.59</v>
      </c>
      <c r="F69">
        <f t="shared" si="0"/>
        <v>1026.1999999999825</v>
      </c>
      <c r="G69">
        <v>160621.39000000001</v>
      </c>
      <c r="H69">
        <v>162098.6</v>
      </c>
      <c r="I69">
        <f t="shared" si="1"/>
        <v>1477.2099999999919</v>
      </c>
      <c r="J69">
        <v>160621.39000000001</v>
      </c>
      <c r="K69">
        <v>162550.87</v>
      </c>
      <c r="L69">
        <f t="shared" si="2"/>
        <v>1929.4799999999814</v>
      </c>
      <c r="M69">
        <v>160621.39000000001</v>
      </c>
      <c r="N69">
        <v>163004.41</v>
      </c>
      <c r="O69">
        <f t="shared" si="3"/>
        <v>2383.0199999999895</v>
      </c>
      <c r="P69">
        <v>160621.39000000001</v>
      </c>
      <c r="Q69">
        <v>163459.21</v>
      </c>
      <c r="R69">
        <f t="shared" si="4"/>
        <v>2837.8199999999779</v>
      </c>
      <c r="S69">
        <v>0</v>
      </c>
      <c r="T69">
        <v>1969816.63</v>
      </c>
      <c r="U69">
        <f t="shared" si="5"/>
        <v>1969816.63</v>
      </c>
    </row>
    <row r="70" spans="1:21" x14ac:dyDescent="0.3">
      <c r="A70" s="9" t="str">
        <f xml:space="preserve"> _xll.EPMOlapMemberO("[CECO].[PARENTH3].[AMSA1002AD3524]","","AMSA1002AD3524 - Abaste. Corporativos","","000")</f>
        <v>AMSA1002AD3524 - Abaste. Corporativos</v>
      </c>
      <c r="B70" s="8" t="str">
        <f xml:space="preserve"> _xll.EPMOlapMemberO("[CLACO].[PARENTH7].[AMSAADM_PERSON]","","Administración Perso","","000")</f>
        <v>Administración Perso</v>
      </c>
      <c r="C70" t="str">
        <f>_xlfn.CONCAT(_xll.EPMMemberProperty("COSTOS", _xll.EPMMemberID(A70), "PARENTH3"), " - ", _xll.EPMMemberDesc(_xll.EPMMemberProperty("COSTOS", _xll.EPMMemberID(A70), "PARENTH3"), "COSTOS"))</f>
        <v>N1002AD350 - Gerencia Administrac</v>
      </c>
      <c r="D70">
        <v>0</v>
      </c>
      <c r="F70">
        <f t="shared" si="0"/>
        <v>0</v>
      </c>
      <c r="G70">
        <v>0</v>
      </c>
      <c r="I70">
        <f t="shared" si="1"/>
        <v>0</v>
      </c>
      <c r="J70">
        <v>0</v>
      </c>
      <c r="L70">
        <f t="shared" si="2"/>
        <v>0</v>
      </c>
      <c r="M70">
        <v>0</v>
      </c>
      <c r="O70">
        <f t="shared" si="3"/>
        <v>0</v>
      </c>
      <c r="R70">
        <f t="shared" si="4"/>
        <v>0</v>
      </c>
      <c r="S70">
        <v>0</v>
      </c>
      <c r="U70">
        <f t="shared" si="5"/>
        <v>0</v>
      </c>
    </row>
    <row r="71" spans="1:21" x14ac:dyDescent="0.3">
      <c r="A71" s="9" t="str">
        <f xml:space="preserve"> _xll.EPMOlapMemberO("[CECO].[PARENTH3].[AMSA1002AD3524]","","AMSA1002AD3524 - Abaste. Corporativos","","000")</f>
        <v>AMSA1002AD3524 - Abaste. Corporativos</v>
      </c>
      <c r="B71" s="8" t="str">
        <f xml:space="preserve"> _xll.EPMOlapMemberO("[CLACO].[PARENTH7].[AMSAENTRENAMI]","","Entrenamiento","","000")</f>
        <v>Entrenamiento</v>
      </c>
      <c r="C71" t="str">
        <f>_xlfn.CONCAT(_xll.EPMMemberProperty("COSTOS", _xll.EPMMemberID(A71), "PARENTH3"), " - ", _xll.EPMMemberDesc(_xll.EPMMemberProperty("COSTOS", _xll.EPMMemberID(A71), "PARENTH3"), "COSTOS"))</f>
        <v>N1002AD350 - Gerencia Administrac</v>
      </c>
      <c r="F71">
        <f t="shared" si="0"/>
        <v>0</v>
      </c>
      <c r="H71">
        <v>759.97</v>
      </c>
      <c r="I71">
        <f t="shared" si="1"/>
        <v>759.97</v>
      </c>
      <c r="K71">
        <v>41196.04</v>
      </c>
      <c r="L71">
        <f t="shared" si="2"/>
        <v>41196.04</v>
      </c>
      <c r="N71">
        <v>7203.26</v>
      </c>
      <c r="O71">
        <f t="shared" si="3"/>
        <v>7203.26</v>
      </c>
      <c r="Q71">
        <v>12629.73</v>
      </c>
      <c r="R71">
        <f t="shared" si="4"/>
        <v>12629.73</v>
      </c>
      <c r="T71">
        <v>108093.01</v>
      </c>
      <c r="U71">
        <f t="shared" si="5"/>
        <v>108093.01</v>
      </c>
    </row>
    <row r="72" spans="1:21" x14ac:dyDescent="0.3">
      <c r="A72" s="9" t="str">
        <f xml:space="preserve"> _xll.EPMOlapMemberO("[CECO].[PARENTH3].[AMSA1002AD3524]","","AMSA1002AD3524 - Abaste. Corporativos","","000")</f>
        <v>AMSA1002AD3524 - Abaste. Corporativos</v>
      </c>
      <c r="B72" s="8" t="str">
        <f xml:space="preserve"> _xll.EPMOlapMemberO("[CLACO].[PARENTH7].[AMSASERVICIOS]","","Servicios","","000")</f>
        <v>Servicios</v>
      </c>
      <c r="C72" t="str">
        <f>_xlfn.CONCAT(_xll.EPMMemberProperty("COSTOS", _xll.EPMMemberID(A72), "PARENTH3"), " - ", _xll.EPMMemberDesc(_xll.EPMMemberProperty("COSTOS", _xll.EPMMemberID(A72), "PARENTH3"), "COSTOS"))</f>
        <v>N1002AD350 - Gerencia Administrac</v>
      </c>
      <c r="D72">
        <v>40992.14</v>
      </c>
      <c r="E72">
        <v>29981.94</v>
      </c>
      <c r="F72">
        <f t="shared" si="0"/>
        <v>-11010.2</v>
      </c>
      <c r="G72">
        <v>42512.46</v>
      </c>
      <c r="H72">
        <v>30078.93</v>
      </c>
      <c r="I72">
        <f t="shared" si="1"/>
        <v>-12433.529999999999</v>
      </c>
      <c r="J72">
        <v>40569.360000000001</v>
      </c>
      <c r="K72">
        <v>30145.46</v>
      </c>
      <c r="L72">
        <f t="shared" si="2"/>
        <v>-10423.900000000001</v>
      </c>
      <c r="M72">
        <v>43586.68</v>
      </c>
      <c r="N72">
        <v>31061.09</v>
      </c>
      <c r="O72">
        <f t="shared" si="3"/>
        <v>-12525.59</v>
      </c>
      <c r="P72">
        <v>39097.9</v>
      </c>
      <c r="Q72">
        <v>31279.58</v>
      </c>
      <c r="R72">
        <f t="shared" si="4"/>
        <v>-7818.32</v>
      </c>
      <c r="S72">
        <v>206758.54</v>
      </c>
      <c r="T72">
        <v>374533.73</v>
      </c>
      <c r="U72">
        <f t="shared" si="5"/>
        <v>167775.18999999997</v>
      </c>
    </row>
    <row r="73" spans="1:21" x14ac:dyDescent="0.3">
      <c r="A73" s="9" t="str">
        <f xml:space="preserve"> _xll.EPMOlapMemberO("[CECO].[PARENTH3].[AMSA1002AD3524]","","AMSA1002AD3524 - Abaste. Corporativos","","000")</f>
        <v>AMSA1002AD3524 - Abaste. Corporativos</v>
      </c>
      <c r="B73" s="8" t="str">
        <f xml:space="preserve"> _xll.EPMOlapMemberO("[CLACO].[PARENTH7].[AMSAINFORMATIC]","","Informática y Comuni","","000")</f>
        <v>Informática y Comuni</v>
      </c>
      <c r="C73" t="str">
        <f>_xlfn.CONCAT(_xll.EPMMemberProperty("COSTOS", _xll.EPMMemberID(A73), "PARENTH3"), " - ", _xll.EPMMemberDesc(_xll.EPMMemberProperty("COSTOS", _xll.EPMMemberID(A73), "PARENTH3"), "COSTOS"))</f>
        <v>N1002AD350 - Gerencia Administrac</v>
      </c>
      <c r="D73">
        <v>-26553.02</v>
      </c>
      <c r="E73">
        <v>19749.63</v>
      </c>
      <c r="F73">
        <f t="shared" si="0"/>
        <v>46302.65</v>
      </c>
      <c r="G73">
        <v>39380.449999999997</v>
      </c>
      <c r="H73">
        <v>15660.81</v>
      </c>
      <c r="I73">
        <f t="shared" si="1"/>
        <v>-23719.64</v>
      </c>
      <c r="J73">
        <v>9546.58</v>
      </c>
      <c r="K73">
        <v>34886.519999999997</v>
      </c>
      <c r="L73">
        <f t="shared" si="2"/>
        <v>25339.939999999995</v>
      </c>
      <c r="M73">
        <v>1267.77</v>
      </c>
      <c r="N73">
        <v>1674.24</v>
      </c>
      <c r="O73">
        <f t="shared" si="3"/>
        <v>406.47</v>
      </c>
      <c r="P73">
        <v>2517.64</v>
      </c>
      <c r="Q73">
        <v>35958.31</v>
      </c>
      <c r="R73">
        <f t="shared" si="4"/>
        <v>33440.67</v>
      </c>
      <c r="S73">
        <v>26159.42</v>
      </c>
      <c r="T73">
        <v>181356.36</v>
      </c>
      <c r="U73">
        <f t="shared" si="5"/>
        <v>155196.94</v>
      </c>
    </row>
    <row r="74" spans="1:21" x14ac:dyDescent="0.3">
      <c r="A74" s="9" t="str">
        <f xml:space="preserve"> _xll.EPMOlapMemberO("[CECO].[PARENTH3].[AMSA1002AD3524]","","AMSA1002AD3524 - Abaste. Corporativos","","000")</f>
        <v>AMSA1002AD3524 - Abaste. Corporativos</v>
      </c>
      <c r="B74" s="8" t="str">
        <f xml:space="preserve"> _xll.EPMOlapMemberO("[CLACO].[PARENTH7].[AMSAG_VIAJES]","","Gastos de Viajes","","000")</f>
        <v>Gastos de Viajes</v>
      </c>
      <c r="C74" t="str">
        <f>_xlfn.CONCAT(_xll.EPMMemberProperty("COSTOS", _xll.EPMMemberID(A74), "PARENTH3"), " - ", _xll.EPMMemberDesc(_xll.EPMMemberProperty("COSTOS", _xll.EPMMemberID(A74), "PARENTH3"), "COSTOS"))</f>
        <v>N1002AD350 - Gerencia Administrac</v>
      </c>
      <c r="F74">
        <f t="shared" ref="F74:F119" si="6">E74-D74</f>
        <v>0</v>
      </c>
      <c r="I74">
        <f t="shared" ref="I74:I119" si="7">H74-G74</f>
        <v>0</v>
      </c>
      <c r="L74">
        <f t="shared" ref="L74:L119" si="8">K74-J74</f>
        <v>0</v>
      </c>
      <c r="M74">
        <v>525.30999999999995</v>
      </c>
      <c r="O74">
        <f t="shared" ref="O74:O119" si="9">N74-M74</f>
        <v>-525.30999999999995</v>
      </c>
      <c r="R74">
        <f t="shared" ref="R74:R119" si="10">Q74-P74</f>
        <v>0</v>
      </c>
      <c r="S74">
        <v>525.30999999999995</v>
      </c>
      <c r="U74">
        <f t="shared" ref="U74:U119" si="11">T74-S74</f>
        <v>-525.30999999999995</v>
      </c>
    </row>
    <row r="75" spans="1:21" x14ac:dyDescent="0.3">
      <c r="A75" s="9" t="str">
        <f xml:space="preserve"> _xll.EPMOlapMemberO("[CECO].[PARENTH3].[AMSA1002AD3526]","","AMSA1002AD3526 - Riesg y Compl Corpor","","000")</f>
        <v>AMSA1002AD3526 - Riesg y Compl Corpor</v>
      </c>
      <c r="B75" s="8" t="str">
        <f xml:space="preserve"> _xll.EPMOlapMemberO("[CLACO].[PARENTH7].[AMSAENTRENAMI]","","Entrenamiento","","000")</f>
        <v>Entrenamiento</v>
      </c>
      <c r="C75" t="str">
        <f>_xlfn.CONCAT(_xll.EPMMemberProperty("COSTOS", _xll.EPMMemberID(A75), "PARENTH3"), " - ", _xll.EPMMemberDesc(_xll.EPMMemberProperty("COSTOS", _xll.EPMMemberID(A75), "PARENTH3"), "COSTOS"))</f>
        <v>N1002AD350 - Gerencia Administrac</v>
      </c>
      <c r="F75">
        <f t="shared" si="6"/>
        <v>0</v>
      </c>
      <c r="G75">
        <v>1212.1500000000001</v>
      </c>
      <c r="I75">
        <f t="shared" si="7"/>
        <v>-1212.1500000000001</v>
      </c>
      <c r="J75">
        <v>0</v>
      </c>
      <c r="K75">
        <v>0</v>
      </c>
      <c r="L75">
        <f t="shared" si="8"/>
        <v>0</v>
      </c>
      <c r="M75">
        <v>0</v>
      </c>
      <c r="O75">
        <f t="shared" si="9"/>
        <v>0</v>
      </c>
      <c r="R75">
        <f t="shared" si="10"/>
        <v>0</v>
      </c>
      <c r="S75">
        <v>1212.1500000000001</v>
      </c>
      <c r="T75">
        <v>1108.1400000000001</v>
      </c>
      <c r="U75">
        <f t="shared" si="11"/>
        <v>-104.00999999999999</v>
      </c>
    </row>
    <row r="76" spans="1:21" x14ac:dyDescent="0.3">
      <c r="A76" s="9" t="str">
        <f xml:space="preserve"> _xll.EPMOlapMemberO("[CECO].[PARENTH3].[AMSA1002AD3526]","","AMSA1002AD3526 - Riesg y Compl Corpor","","000")</f>
        <v>AMSA1002AD3526 - Riesg y Compl Corpor</v>
      </c>
      <c r="B76" s="8" t="str">
        <f xml:space="preserve"> _xll.EPMOlapMemberO("[CLACO].[PARENTH7].[AMSAASESORIAS]","","Asesorías y Consulto","","000")</f>
        <v>Asesorías y Consulto</v>
      </c>
      <c r="C76" t="str">
        <f>_xlfn.CONCAT(_xll.EPMMemberProperty("COSTOS", _xll.EPMMemberID(A76), "PARENTH3"), " - ", _xll.EPMMemberDesc(_xll.EPMMemberProperty("COSTOS", _xll.EPMMemberID(A76), "PARENTH3"), "COSTOS"))</f>
        <v>N1002AD350 - Gerencia Administrac</v>
      </c>
      <c r="D76">
        <v>-9078.74</v>
      </c>
      <c r="F76">
        <f t="shared" si="6"/>
        <v>9078.74</v>
      </c>
      <c r="G76">
        <v>12002.44</v>
      </c>
      <c r="I76">
        <f t="shared" si="7"/>
        <v>-12002.44</v>
      </c>
      <c r="J76">
        <v>-513.98</v>
      </c>
      <c r="K76">
        <v>4683.22</v>
      </c>
      <c r="L76">
        <f t="shared" si="8"/>
        <v>5197.2000000000007</v>
      </c>
      <c r="M76">
        <v>203.54</v>
      </c>
      <c r="O76">
        <f t="shared" si="9"/>
        <v>-203.54</v>
      </c>
      <c r="P76">
        <v>103.92</v>
      </c>
      <c r="Q76">
        <v>2742.92</v>
      </c>
      <c r="R76">
        <f t="shared" si="10"/>
        <v>2639</v>
      </c>
      <c r="S76">
        <v>2717.18</v>
      </c>
      <c r="T76">
        <v>27166.16</v>
      </c>
      <c r="U76">
        <f t="shared" si="11"/>
        <v>24448.98</v>
      </c>
    </row>
    <row r="77" spans="1:21" x14ac:dyDescent="0.3">
      <c r="A77" s="9" t="str">
        <f xml:space="preserve"> _xll.EPMOlapMemberO("[CECO].[PARENTH3].[AMSA1002AD3526]","","AMSA1002AD3526 - Riesg y Compl Corpor","","000")</f>
        <v>AMSA1002AD3526 - Riesg y Compl Corpor</v>
      </c>
      <c r="B77" s="8" t="str">
        <f xml:space="preserve"> _xll.EPMOlapMemberO("[CLACO].[PARENTH7].[AMSASERVICIOS]","","Servicios","","000")</f>
        <v>Servicios</v>
      </c>
      <c r="C77" t="str">
        <f>_xlfn.CONCAT(_xll.EPMMemberProperty("COSTOS", _xll.EPMMemberID(A77), "PARENTH3"), " - ", _xll.EPMMemberDesc(_xll.EPMMemberProperty("COSTOS", _xll.EPMMemberID(A77), "PARENTH3"), "COSTOS"))</f>
        <v>N1002AD350 - Gerencia Administrac</v>
      </c>
      <c r="D77">
        <v>5972.62</v>
      </c>
      <c r="E77">
        <v>4828.1099999999997</v>
      </c>
      <c r="F77">
        <f t="shared" si="6"/>
        <v>-1144.5100000000002</v>
      </c>
      <c r="G77">
        <v>21174.82</v>
      </c>
      <c r="H77">
        <v>0</v>
      </c>
      <c r="I77">
        <f t="shared" si="7"/>
        <v>-21174.82</v>
      </c>
      <c r="J77">
        <v>6834.93</v>
      </c>
      <c r="K77">
        <v>33526.18</v>
      </c>
      <c r="L77">
        <f t="shared" si="8"/>
        <v>26691.25</v>
      </c>
      <c r="M77">
        <v>21840.82</v>
      </c>
      <c r="N77">
        <v>4868.6400000000003</v>
      </c>
      <c r="O77">
        <f t="shared" si="9"/>
        <v>-16972.18</v>
      </c>
      <c r="P77">
        <v>7590.61</v>
      </c>
      <c r="R77">
        <f t="shared" si="10"/>
        <v>-7590.61</v>
      </c>
      <c r="S77">
        <v>63413.8</v>
      </c>
      <c r="T77">
        <v>155344.07999999999</v>
      </c>
      <c r="U77">
        <f t="shared" si="11"/>
        <v>91930.279999999984</v>
      </c>
    </row>
    <row r="78" spans="1:21" x14ac:dyDescent="0.3">
      <c r="A78" s="9" t="str">
        <f xml:space="preserve"> _xll.EPMOlapMemberO("[CECO].[PARENTH3].[AMSA1002AD3526]","","AMSA1002AD3526 - Riesg y Compl Corpor","","000")</f>
        <v>AMSA1002AD3526 - Riesg y Compl Corpor</v>
      </c>
      <c r="B78" s="8" t="str">
        <f xml:space="preserve"> _xll.EPMOlapMemberO("[CLACO].[PARENTH7].[AMSAINFORMATIC]","","Informática y Comuni","","000")</f>
        <v>Informática y Comuni</v>
      </c>
      <c r="C78" t="str">
        <f>_xlfn.CONCAT(_xll.EPMMemberProperty("COSTOS", _xll.EPMMemberID(A78), "PARENTH3"), " - ", _xll.EPMMemberDesc(_xll.EPMMemberProperty("COSTOS", _xll.EPMMemberID(A78), "PARENTH3"), "COSTOS"))</f>
        <v>N1002AD350 - Gerencia Administrac</v>
      </c>
      <c r="D78">
        <v>-33192.730000000003</v>
      </c>
      <c r="F78">
        <f t="shared" si="6"/>
        <v>33192.730000000003</v>
      </c>
      <c r="G78">
        <v>33699.620000000003</v>
      </c>
      <c r="H78">
        <v>0</v>
      </c>
      <c r="I78">
        <f t="shared" si="7"/>
        <v>-33699.620000000003</v>
      </c>
      <c r="J78">
        <v>32345.37</v>
      </c>
      <c r="K78">
        <v>6302.49</v>
      </c>
      <c r="L78">
        <f t="shared" si="8"/>
        <v>-26042.879999999997</v>
      </c>
      <c r="M78">
        <v>442.21</v>
      </c>
      <c r="N78">
        <v>42916.47</v>
      </c>
      <c r="O78">
        <f t="shared" si="9"/>
        <v>42474.26</v>
      </c>
      <c r="P78">
        <v>5299.12</v>
      </c>
      <c r="Q78">
        <v>8642.6299999999992</v>
      </c>
      <c r="R78">
        <f t="shared" si="10"/>
        <v>3343.5099999999993</v>
      </c>
      <c r="S78">
        <v>38593.589999999997</v>
      </c>
      <c r="T78">
        <v>94975.33</v>
      </c>
      <c r="U78">
        <f t="shared" si="11"/>
        <v>56381.740000000005</v>
      </c>
    </row>
    <row r="79" spans="1:21" x14ac:dyDescent="0.3">
      <c r="A79" s="9" t="str">
        <f xml:space="preserve"> _xll.EPMOlapMemberO("[CECO].[PARENTH3].[AMSA1002AD3526]","","AMSA1002AD3526 - Riesg y Compl Corpor","","000")</f>
        <v>AMSA1002AD3526 - Riesg y Compl Corpor</v>
      </c>
      <c r="B79" s="8" t="str">
        <f xml:space="preserve"> _xll.EPMOlapMemberO("[CLACO].[PARENTH7].[AMSAGGENERALES.2]","","Otros Gastos","","000")</f>
        <v>Otros Gastos</v>
      </c>
      <c r="C79" t="str">
        <f>_xlfn.CONCAT(_xll.EPMMemberProperty("COSTOS", _xll.EPMMemberID(A79), "PARENTH3"), " - ", _xll.EPMMemberDesc(_xll.EPMMemberProperty("COSTOS", _xll.EPMMemberID(A79), "PARENTH3"), "COSTOS"))</f>
        <v>N1002AD350 - Gerencia Administrac</v>
      </c>
      <c r="D79">
        <v>0</v>
      </c>
      <c r="F79">
        <f t="shared" si="6"/>
        <v>0</v>
      </c>
      <c r="G79">
        <v>0</v>
      </c>
      <c r="I79">
        <f t="shared" si="7"/>
        <v>0</v>
      </c>
      <c r="J79">
        <v>0</v>
      </c>
      <c r="K79">
        <v>2043.12</v>
      </c>
      <c r="L79">
        <f t="shared" si="8"/>
        <v>2043.12</v>
      </c>
      <c r="M79">
        <v>595.48</v>
      </c>
      <c r="O79">
        <f t="shared" si="9"/>
        <v>-595.48</v>
      </c>
      <c r="R79">
        <f t="shared" si="10"/>
        <v>0</v>
      </c>
      <c r="S79">
        <v>595.48</v>
      </c>
      <c r="T79">
        <v>8275.9500000000007</v>
      </c>
      <c r="U79">
        <f t="shared" si="11"/>
        <v>7680.4700000000012</v>
      </c>
    </row>
    <row r="80" spans="1:21" x14ac:dyDescent="0.3">
      <c r="A80" s="9" t="str">
        <f xml:space="preserve"> _xll.EPMOlapMemberO("[CECO].[PARENTH3].[AMSA1002AD3522]","","AMSA1002AD3522 - Servicios Generales","","000")</f>
        <v>AMSA1002AD3522 - Servicios Generales</v>
      </c>
      <c r="B80" s="8" t="str">
        <f xml:space="preserve"> _xll.EPMOlapMemberO("[CLACO].[PARENTH7].[AMSAENERGIA]","","Energía","","000")</f>
        <v>Energía</v>
      </c>
      <c r="C80" t="str">
        <f>_xlfn.CONCAT(_xll.EPMMemberProperty("COSTOS", _xll.EPMMemberID(A80), "PARENTH3"), " - ", _xll.EPMMemberDesc(_xll.EPMMemberProperty("COSTOS", _xll.EPMMemberID(A80), "PARENTH3"), "COSTOS"))</f>
        <v>N1002AD400 - Gerencia de Recursos</v>
      </c>
      <c r="D80">
        <v>1566.9</v>
      </c>
      <c r="E80">
        <v>2140.9699999999998</v>
      </c>
      <c r="F80">
        <f t="shared" si="6"/>
        <v>574.06999999999971</v>
      </c>
      <c r="G80">
        <v>1541.09</v>
      </c>
      <c r="H80">
        <v>2146.83</v>
      </c>
      <c r="I80">
        <f t="shared" si="7"/>
        <v>605.74</v>
      </c>
      <c r="J80">
        <v>1000.56</v>
      </c>
      <c r="K80">
        <v>2152.88</v>
      </c>
      <c r="L80">
        <f t="shared" si="8"/>
        <v>1152.3200000000002</v>
      </c>
      <c r="M80">
        <v>950.62</v>
      </c>
      <c r="N80">
        <v>2158.92</v>
      </c>
      <c r="O80">
        <f t="shared" si="9"/>
        <v>1208.3000000000002</v>
      </c>
      <c r="Q80">
        <v>2164.9699999999998</v>
      </c>
      <c r="R80">
        <f t="shared" si="10"/>
        <v>2164.9699999999998</v>
      </c>
      <c r="S80">
        <v>6009.02</v>
      </c>
      <c r="T80">
        <v>26089.13</v>
      </c>
      <c r="U80">
        <f t="shared" si="11"/>
        <v>20080.11</v>
      </c>
    </row>
    <row r="81" spans="1:21" x14ac:dyDescent="0.3">
      <c r="A81" s="9" t="str">
        <f xml:space="preserve"> _xll.EPMOlapMemberO("[CECO].[PARENTH3].[AMSA1002AD3522]","","AMSA1002AD3522 - Servicios Generales","","000")</f>
        <v>AMSA1002AD3522 - Servicios Generales</v>
      </c>
      <c r="B81" s="8" t="str">
        <f xml:space="preserve"> _xll.EPMOlapMemberO("[CLACO].[PARENTH7].[AMSAARRIENDOS]","","Arriendos","","000")</f>
        <v>Arriendos</v>
      </c>
      <c r="C81" t="str">
        <f>_xlfn.CONCAT(_xll.EPMMemberProperty("COSTOS", _xll.EPMMemberID(A81), "PARENTH3"), " - ", _xll.EPMMemberDesc(_xll.EPMMemberProperty("COSTOS", _xll.EPMMemberID(A81), "PARENTH3"), "COSTOS"))</f>
        <v>N1002AD400 - Gerencia de Recursos</v>
      </c>
      <c r="D81">
        <v>66229.570000000007</v>
      </c>
      <c r="E81">
        <v>68416.990000000005</v>
      </c>
      <c r="F81">
        <f t="shared" si="6"/>
        <v>2187.4199999999983</v>
      </c>
      <c r="G81">
        <v>67128.97</v>
      </c>
      <c r="H81">
        <v>68607.88</v>
      </c>
      <c r="I81">
        <f t="shared" si="7"/>
        <v>1478.9100000000035</v>
      </c>
      <c r="J81">
        <v>64373.53</v>
      </c>
      <c r="K81">
        <v>68799.31</v>
      </c>
      <c r="L81">
        <f t="shared" si="8"/>
        <v>4425.7799999999988</v>
      </c>
      <c r="M81">
        <v>65600.070000000007</v>
      </c>
      <c r="N81">
        <v>68991.27</v>
      </c>
      <c r="O81">
        <f t="shared" si="9"/>
        <v>3391.1999999999971</v>
      </c>
      <c r="P81">
        <v>65614.66</v>
      </c>
      <c r="Q81">
        <v>69183.759999999995</v>
      </c>
      <c r="R81">
        <f t="shared" si="10"/>
        <v>3569.0999999999913</v>
      </c>
      <c r="S81">
        <v>396021.54</v>
      </c>
      <c r="T81">
        <v>833720.68</v>
      </c>
      <c r="U81">
        <f t="shared" si="11"/>
        <v>437699.14000000007</v>
      </c>
    </row>
    <row r="82" spans="1:21" x14ac:dyDescent="0.3">
      <c r="A82" s="9" t="str">
        <f xml:space="preserve"> _xll.EPMOlapMemberO("[CECO].[PARENTH3].[AMSA1002AD3522]","","AMSA1002AD3522 - Servicios Generales","","000")</f>
        <v>AMSA1002AD3522 - Servicios Generales</v>
      </c>
      <c r="B82" s="8" t="str">
        <f xml:space="preserve"> _xll.EPMOlapMemberO("[CLACO].[PARENTH7].[AMSASERMANTO.REPA]","","Servicios Mantenimie","","000")</f>
        <v>Servicios Mantenimie</v>
      </c>
      <c r="C82" t="str">
        <f>_xlfn.CONCAT(_xll.EPMMemberProperty("COSTOS", _xll.EPMMemberID(A82), "PARENTH3"), " - ", _xll.EPMMemberDesc(_xll.EPMMemberProperty("COSTOS", _xll.EPMMemberID(A82), "PARENTH3"), "COSTOS"))</f>
        <v>N1002AD400 - Gerencia de Recursos</v>
      </c>
      <c r="D82">
        <v>9159</v>
      </c>
      <c r="E82">
        <v>8250.82</v>
      </c>
      <c r="F82">
        <f t="shared" si="6"/>
        <v>-908.18000000000029</v>
      </c>
      <c r="G82">
        <v>9432.0300000000007</v>
      </c>
      <c r="H82">
        <v>8273.3799999999992</v>
      </c>
      <c r="I82">
        <f t="shared" si="7"/>
        <v>-1158.6500000000015</v>
      </c>
      <c r="J82">
        <v>8583.76</v>
      </c>
      <c r="K82">
        <v>8296.68</v>
      </c>
      <c r="L82">
        <f t="shared" si="8"/>
        <v>-287.07999999999993</v>
      </c>
      <c r="M82">
        <v>8805.7800000000007</v>
      </c>
      <c r="N82">
        <v>8320</v>
      </c>
      <c r="O82">
        <f t="shared" si="9"/>
        <v>-485.78000000000065</v>
      </c>
      <c r="P82">
        <v>9440.57</v>
      </c>
      <c r="Q82">
        <v>8343.31</v>
      </c>
      <c r="R82">
        <f t="shared" si="10"/>
        <v>-1097.2600000000002</v>
      </c>
      <c r="S82">
        <v>54196.51</v>
      </c>
      <c r="T82">
        <v>100541.49</v>
      </c>
      <c r="U82">
        <f t="shared" si="11"/>
        <v>46344.98</v>
      </c>
    </row>
    <row r="83" spans="1:21" x14ac:dyDescent="0.3">
      <c r="A83" s="9" t="str">
        <f xml:space="preserve"> _xll.EPMOlapMemberO("[CECO].[PARENTH3].[AMSA1002AD3522]","","AMSA1002AD3522 - Servicios Generales","","000")</f>
        <v>AMSA1002AD3522 - Servicios Generales</v>
      </c>
      <c r="B83" s="8" t="str">
        <f xml:space="preserve"> _xll.EPMOlapMemberO("[CLACO].[PARENTH7].[AMSAGGENERALES.2]","","Otros Gastos","","000")</f>
        <v>Otros Gastos</v>
      </c>
      <c r="C83" t="str">
        <f>_xlfn.CONCAT(_xll.EPMMemberProperty("COSTOS", _xll.EPMMemberID(A83), "PARENTH3"), " - ", _xll.EPMMemberDesc(_xll.EPMMemberProperty("COSTOS", _xll.EPMMemberID(A83), "PARENTH3"), "COSTOS"))</f>
        <v>N1002AD400 - Gerencia de Recursos</v>
      </c>
      <c r="D83">
        <v>9561.09</v>
      </c>
      <c r="E83">
        <v>10348.870000000001</v>
      </c>
      <c r="F83">
        <f t="shared" si="6"/>
        <v>787.78000000000065</v>
      </c>
      <c r="G83">
        <v>9845.32</v>
      </c>
      <c r="H83">
        <v>10377.16</v>
      </c>
      <c r="I83">
        <f t="shared" si="7"/>
        <v>531.84000000000015</v>
      </c>
      <c r="J83">
        <v>9658.8700000000008</v>
      </c>
      <c r="K83">
        <v>10406.4</v>
      </c>
      <c r="L83">
        <f t="shared" si="8"/>
        <v>747.52999999999884</v>
      </c>
      <c r="M83">
        <v>9568.2099999999991</v>
      </c>
      <c r="N83">
        <v>10435.629999999999</v>
      </c>
      <c r="O83">
        <f t="shared" si="9"/>
        <v>867.42000000000007</v>
      </c>
      <c r="Q83">
        <v>10464.870000000001</v>
      </c>
      <c r="R83">
        <f t="shared" si="10"/>
        <v>10464.870000000001</v>
      </c>
      <c r="S83">
        <v>47904.33</v>
      </c>
      <c r="T83">
        <v>126107.53</v>
      </c>
      <c r="U83">
        <f t="shared" si="11"/>
        <v>78203.199999999997</v>
      </c>
    </row>
    <row r="84" spans="1:21" x14ac:dyDescent="0.3">
      <c r="A84" s="9" t="str">
        <f xml:space="preserve"> _xll.EPMOlapMemberO("[CECO].[PARENTH3].[AMSA1002AD4020]","","AMSA1002AD4020 - RRHH  Corporativo","","000")</f>
        <v>AMSA1002AD4020 - RRHH  Corporativo</v>
      </c>
      <c r="B84" s="8" t="str">
        <f xml:space="preserve"> _xll.EPMOlapMemberO("[CLACO].[PARENTH7].[AMSAADM_PERSON]","","Administración Perso","","000")</f>
        <v>Administración Perso</v>
      </c>
      <c r="C84" t="str">
        <f>_xlfn.CONCAT(_xll.EPMMemberProperty("COSTOS", _xll.EPMMemberID(A84), "PARENTH3"), " - ", _xll.EPMMemberDesc(_xll.EPMMemberProperty("COSTOS", _xll.EPMMemberID(A84), "PARENTH3"), "COSTOS"))</f>
        <v>N1002AD400 - Gerencia de Recursos</v>
      </c>
      <c r="D84">
        <v>114886.41</v>
      </c>
      <c r="E84">
        <v>87479</v>
      </c>
      <c r="F84">
        <f t="shared" si="6"/>
        <v>-27407.410000000003</v>
      </c>
      <c r="G84">
        <v>137716.94</v>
      </c>
      <c r="H84">
        <v>87720.43</v>
      </c>
      <c r="I84">
        <f t="shared" si="7"/>
        <v>-49996.510000000009</v>
      </c>
      <c r="J84">
        <v>86042.78</v>
      </c>
      <c r="K84">
        <v>88026.44</v>
      </c>
      <c r="L84">
        <f t="shared" si="8"/>
        <v>1983.6600000000035</v>
      </c>
      <c r="M84">
        <v>42626.04</v>
      </c>
      <c r="N84">
        <v>88273.07</v>
      </c>
      <c r="O84">
        <f t="shared" si="9"/>
        <v>45647.030000000006</v>
      </c>
      <c r="P84">
        <v>164978.72</v>
      </c>
      <c r="Q84">
        <v>88519.95</v>
      </c>
      <c r="R84">
        <f t="shared" si="10"/>
        <v>-76458.77</v>
      </c>
      <c r="S84">
        <v>546279.41</v>
      </c>
      <c r="T84">
        <v>1073301.5900000001</v>
      </c>
      <c r="U84">
        <f t="shared" si="11"/>
        <v>527022.18000000005</v>
      </c>
    </row>
    <row r="85" spans="1:21" x14ac:dyDescent="0.3">
      <c r="A85" s="9" t="str">
        <f xml:space="preserve"> _xll.EPMOlapMemberO("[CECO].[PARENTH3].[AMSA1002AD4020]","","AMSA1002AD4020 - RRHH  Corporativo","","000")</f>
        <v>AMSA1002AD4020 - RRHH  Corporativo</v>
      </c>
      <c r="B85" s="8" t="str">
        <f xml:space="preserve"> _xll.EPMOlapMemberO("[CLACO].[PARENTH7].[AMSAENTRENAMI]","","Entrenamiento","","000")</f>
        <v>Entrenamiento</v>
      </c>
      <c r="C85" t="str">
        <f>_xlfn.CONCAT(_xll.EPMMemberProperty("COSTOS", _xll.EPMMemberID(A85), "PARENTH3"), " - ", _xll.EPMMemberDesc(_xll.EPMMemberProperty("COSTOS", _xll.EPMMemberID(A85), "PARENTH3"), "COSTOS"))</f>
        <v>N1002AD400 - Gerencia de Recursos</v>
      </c>
      <c r="D85">
        <v>335.83</v>
      </c>
      <c r="F85">
        <f t="shared" si="6"/>
        <v>-335.83</v>
      </c>
      <c r="G85">
        <v>1105.33</v>
      </c>
      <c r="H85">
        <v>5199.97</v>
      </c>
      <c r="I85">
        <f t="shared" si="7"/>
        <v>4094.6400000000003</v>
      </c>
      <c r="J85">
        <v>35606.28</v>
      </c>
      <c r="K85">
        <v>45095.1</v>
      </c>
      <c r="L85">
        <f t="shared" si="8"/>
        <v>9488.82</v>
      </c>
      <c r="M85">
        <v>55972.68</v>
      </c>
      <c r="N85">
        <v>42025.42</v>
      </c>
      <c r="O85">
        <f t="shared" si="9"/>
        <v>-13947.260000000002</v>
      </c>
      <c r="P85">
        <v>4331.08</v>
      </c>
      <c r="Q85">
        <v>0</v>
      </c>
      <c r="R85">
        <f t="shared" si="10"/>
        <v>-4331.08</v>
      </c>
      <c r="S85">
        <v>97351.2</v>
      </c>
      <c r="T85">
        <v>255408.01</v>
      </c>
      <c r="U85">
        <f t="shared" si="11"/>
        <v>158056.81</v>
      </c>
    </row>
    <row r="86" spans="1:21" x14ac:dyDescent="0.3">
      <c r="A86" s="9" t="str">
        <f xml:space="preserve"> _xll.EPMOlapMemberO("[CECO].[PARENTH3].[AMSA1002AD4020]","","AMSA1002AD4020 - RRHH  Corporativo","","000")</f>
        <v>AMSA1002AD4020 - RRHH  Corporativo</v>
      </c>
      <c r="B86" s="8" t="str">
        <f xml:space="preserve"> _xll.EPMOlapMemberO("[CLACO].[PARENTH7].[AMSAASESORIAS]","","Asesorías y Consulto","","000")</f>
        <v>Asesorías y Consulto</v>
      </c>
      <c r="C86" t="str">
        <f>_xlfn.CONCAT(_xll.EPMMemberProperty("COSTOS", _xll.EPMMemberID(A86), "PARENTH3"), " - ", _xll.EPMMemberDesc(_xll.EPMMemberProperty("COSTOS", _xll.EPMMemberID(A86), "PARENTH3"), "COSTOS"))</f>
        <v>N1002AD400 - Gerencia de Recursos</v>
      </c>
      <c r="D86">
        <v>-2293.71</v>
      </c>
      <c r="E86">
        <v>6936.16</v>
      </c>
      <c r="F86">
        <f t="shared" si="6"/>
        <v>9229.869999999999</v>
      </c>
      <c r="G86">
        <v>9202.66</v>
      </c>
      <c r="H86">
        <v>6955.52</v>
      </c>
      <c r="I86">
        <f t="shared" si="7"/>
        <v>-2247.1399999999994</v>
      </c>
      <c r="J86">
        <v>9874.2099999999991</v>
      </c>
      <c r="K86">
        <v>13927.75</v>
      </c>
      <c r="L86">
        <f t="shared" si="8"/>
        <v>4053.5400000000009</v>
      </c>
      <c r="M86">
        <v>8997.09</v>
      </c>
      <c r="N86">
        <v>10731.82</v>
      </c>
      <c r="O86">
        <f t="shared" si="9"/>
        <v>1734.7299999999996</v>
      </c>
      <c r="P86">
        <v>13692.17</v>
      </c>
      <c r="Q86">
        <v>17916.05</v>
      </c>
      <c r="R86">
        <f t="shared" si="10"/>
        <v>4223.8799999999992</v>
      </c>
      <c r="S86">
        <v>39472.42</v>
      </c>
      <c r="T86">
        <v>164073.85999999999</v>
      </c>
      <c r="U86">
        <f t="shared" si="11"/>
        <v>124601.43999999999</v>
      </c>
    </row>
    <row r="87" spans="1:21" x14ac:dyDescent="0.3">
      <c r="A87" s="9" t="str">
        <f xml:space="preserve"> _xll.EPMOlapMemberO("[CECO].[PARENTH3].[AMSA1002AD4020]","","AMSA1002AD4020 - RRHH  Corporativo","","000")</f>
        <v>AMSA1002AD4020 - RRHH  Corporativo</v>
      </c>
      <c r="B87" s="8" t="str">
        <f xml:space="preserve"> _xll.EPMOlapMemberO("[CLACO].[PARENTH7].[AMSAINFORMATIC]","","Informática y Comuni","","000")</f>
        <v>Informática y Comuni</v>
      </c>
      <c r="C87" t="str">
        <f>_xlfn.CONCAT(_xll.EPMMemberProperty("COSTOS", _xll.EPMMemberID(A87), "PARENTH3"), " - ", _xll.EPMMemberDesc(_xll.EPMMemberProperty("COSTOS", _xll.EPMMemberID(A87), "PARENTH3"), "COSTOS"))</f>
        <v>N1002AD400 - Gerencia de Recursos</v>
      </c>
      <c r="D87">
        <v>22663.95</v>
      </c>
      <c r="E87">
        <v>106149.99</v>
      </c>
      <c r="F87">
        <f t="shared" si="6"/>
        <v>83486.040000000008</v>
      </c>
      <c r="G87">
        <v>6348</v>
      </c>
      <c r="H87">
        <v>148803.26</v>
      </c>
      <c r="I87">
        <f t="shared" si="7"/>
        <v>142455.26</v>
      </c>
      <c r="J87">
        <v>95438.73</v>
      </c>
      <c r="K87">
        <v>93746.85</v>
      </c>
      <c r="L87">
        <f t="shared" si="8"/>
        <v>-1691.8799999999901</v>
      </c>
      <c r="M87">
        <v>26376.26</v>
      </c>
      <c r="N87">
        <v>120097.75</v>
      </c>
      <c r="O87">
        <f t="shared" si="9"/>
        <v>93721.49</v>
      </c>
      <c r="P87">
        <v>122372.5</v>
      </c>
      <c r="Q87">
        <v>119558.86</v>
      </c>
      <c r="R87">
        <f t="shared" si="10"/>
        <v>-2813.6399999999994</v>
      </c>
      <c r="S87">
        <v>273670.82</v>
      </c>
      <c r="T87">
        <v>1704192.96</v>
      </c>
      <c r="U87">
        <f t="shared" si="11"/>
        <v>1430522.14</v>
      </c>
    </row>
    <row r="88" spans="1:21" x14ac:dyDescent="0.3">
      <c r="A88" s="9" t="str">
        <f xml:space="preserve"> _xll.EPMOlapMemberO("[CECO].[PARENTH3].[AMSA1002AD4020]","","AMSA1002AD4020 - RRHH  Corporativo","","000")</f>
        <v>AMSA1002AD4020 - RRHH  Corporativo</v>
      </c>
      <c r="B88" s="8" t="str">
        <f xml:space="preserve"> _xll.EPMOlapMemberO("[CLACO].[PARENTH7].[AMSAG_VIAJES]","","Gastos de Viajes","","000")</f>
        <v>Gastos de Viajes</v>
      </c>
      <c r="C88" t="str">
        <f>_xlfn.CONCAT(_xll.EPMMemberProperty("COSTOS", _xll.EPMMemberID(A88), "PARENTH3"), " - ", _xll.EPMMemberDesc(_xll.EPMMemberProperty("COSTOS", _xll.EPMMemberID(A88), "PARENTH3"), "COSTOS"))</f>
        <v>N1002AD400 - Gerencia de Recursos</v>
      </c>
      <c r="F88">
        <f t="shared" si="6"/>
        <v>0</v>
      </c>
      <c r="I88">
        <f t="shared" si="7"/>
        <v>0</v>
      </c>
      <c r="L88">
        <f t="shared" si="8"/>
        <v>0</v>
      </c>
      <c r="O88">
        <f t="shared" si="9"/>
        <v>0</v>
      </c>
      <c r="R88">
        <f t="shared" si="10"/>
        <v>0</v>
      </c>
      <c r="T88">
        <v>703.2</v>
      </c>
      <c r="U88">
        <f t="shared" si="11"/>
        <v>703.2</v>
      </c>
    </row>
    <row r="89" spans="1:21" x14ac:dyDescent="0.3">
      <c r="A89" s="9" t="str">
        <f xml:space="preserve"> _xll.EPMOlapMemberO("[CECO].[PARENTH3].[AMSA1002AD4020]","","AMSA1002AD4020 - RRHH  Corporativo","","000")</f>
        <v>AMSA1002AD4020 - RRHH  Corporativo</v>
      </c>
      <c r="B89" s="8" t="str">
        <f xml:space="preserve"> _xll.EPMOlapMemberO("[CLACO].[PARENTH7].[AMSAGGENERALES.2]","","Otros Gastos","","000")</f>
        <v>Otros Gastos</v>
      </c>
      <c r="C89" t="str">
        <f>_xlfn.CONCAT(_xll.EPMMemberProperty("COSTOS", _xll.EPMMemberID(A89), "PARENTH3"), " - ", _xll.EPMMemberDesc(_xll.EPMMemberProperty("COSTOS", _xll.EPMMemberID(A89), "PARENTH3"), "COSTOS"))</f>
        <v>N1002AD400 - Gerencia de Recursos</v>
      </c>
      <c r="D89">
        <v>0</v>
      </c>
      <c r="E89">
        <v>3306.04</v>
      </c>
      <c r="F89">
        <f t="shared" si="6"/>
        <v>3306.04</v>
      </c>
      <c r="G89">
        <v>0</v>
      </c>
      <c r="H89">
        <v>3315.38</v>
      </c>
      <c r="I89">
        <f t="shared" si="7"/>
        <v>3315.38</v>
      </c>
      <c r="J89">
        <v>0</v>
      </c>
      <c r="K89">
        <v>3354.65</v>
      </c>
      <c r="L89">
        <f t="shared" si="8"/>
        <v>3354.65</v>
      </c>
      <c r="M89">
        <v>19837.07</v>
      </c>
      <c r="N89">
        <v>39979.949999999997</v>
      </c>
      <c r="O89">
        <f t="shared" si="9"/>
        <v>20142.879999999997</v>
      </c>
      <c r="P89">
        <v>477.42</v>
      </c>
      <c r="Q89">
        <v>3373.49</v>
      </c>
      <c r="R89">
        <f t="shared" si="10"/>
        <v>2896.0699999999997</v>
      </c>
      <c r="S89">
        <v>20314.490000000002</v>
      </c>
      <c r="T89">
        <v>105865.2</v>
      </c>
      <c r="U89">
        <f t="shared" si="11"/>
        <v>85550.709999999992</v>
      </c>
    </row>
    <row r="90" spans="1:21" x14ac:dyDescent="0.3">
      <c r="A90" s="9" t="str">
        <f xml:space="preserve"> _xll.EPMOlapMemberO("[CECO].[PARENTH3].[AMSA1002AD4020]","","AMSA1002AD4020 - RRHH  Corporativo","","000")</f>
        <v>AMSA1002AD4020 - RRHH  Corporativo</v>
      </c>
      <c r="B90" s="8" t="str">
        <f xml:space="preserve"> _xll.EPMOlapMemberO("[CLACO].[PARENTH7].[AMSASERV_CORP]","","Servicios Corporativ","","000")</f>
        <v>Servicios Corporativ</v>
      </c>
      <c r="C90" t="str">
        <f>_xlfn.CONCAT(_xll.EPMMemberProperty("COSTOS", _xll.EPMMemberID(A90), "PARENTH3"), " - ", _xll.EPMMemberDesc(_xll.EPMMemberProperty("COSTOS", _xll.EPMMemberID(A90), "PARENTH3"), "COSTOS"))</f>
        <v>N1002AD400 - Gerencia de Recursos</v>
      </c>
      <c r="D90">
        <v>71527.08</v>
      </c>
      <c r="E90">
        <v>70721.2</v>
      </c>
      <c r="F90">
        <f t="shared" si="6"/>
        <v>-805.88000000000466</v>
      </c>
      <c r="G90">
        <v>74454.13</v>
      </c>
      <c r="H90">
        <v>70918.52</v>
      </c>
      <c r="I90">
        <f t="shared" si="7"/>
        <v>-3535.6100000000006</v>
      </c>
      <c r="J90">
        <v>74103.12</v>
      </c>
      <c r="K90">
        <v>71116.39</v>
      </c>
      <c r="L90">
        <f t="shared" si="8"/>
        <v>-2986.7299999999959</v>
      </c>
      <c r="M90">
        <v>69693.67</v>
      </c>
      <c r="N90">
        <v>71314.81</v>
      </c>
      <c r="O90">
        <f t="shared" si="9"/>
        <v>1621.1399999999994</v>
      </c>
      <c r="P90">
        <v>72174</v>
      </c>
      <c r="Q90">
        <v>71513.789999999994</v>
      </c>
      <c r="R90">
        <f t="shared" si="10"/>
        <v>-660.2100000000064</v>
      </c>
      <c r="S90">
        <v>361952</v>
      </c>
      <c r="T90">
        <v>861799.41</v>
      </c>
      <c r="U90">
        <f t="shared" si="11"/>
        <v>499847.41000000003</v>
      </c>
    </row>
    <row r="91" spans="1:21" x14ac:dyDescent="0.3">
      <c r="A91" s="9" t="str">
        <f xml:space="preserve"> _xll.EPMOlapMemberO("[CECO].[PARENTH3].[AMSA1002AD4502]","","AMSA1002AD4502 - Com Internas","","000")</f>
        <v>AMSA1002AD4502 - Com Internas</v>
      </c>
      <c r="B91" s="8" t="str">
        <f xml:space="preserve"> _xll.EPMOlapMemberO("[CLACO].[PARENTH7].[AMSAASESORIAS]","","Asesorías y Consulto","","000")</f>
        <v>Asesorías y Consulto</v>
      </c>
      <c r="C91" t="str">
        <f>_xlfn.CONCAT(_xll.EPMMemberProperty("COSTOS", _xll.EPMMemberID(A91), "PARENTH3"), " - ", _xll.EPMMemberDesc(_xll.EPMMemberProperty("COSTOS", _xll.EPMMemberID(A91), "PARENTH3"), "COSTOS"))</f>
        <v>N1002AD450 - Gerencia Asuntos Ext</v>
      </c>
      <c r="D91">
        <v>0</v>
      </c>
      <c r="F91">
        <f t="shared" si="6"/>
        <v>0</v>
      </c>
      <c r="G91">
        <v>0</v>
      </c>
      <c r="I91">
        <f t="shared" si="7"/>
        <v>0</v>
      </c>
      <c r="J91">
        <v>0</v>
      </c>
      <c r="L91">
        <f t="shared" si="8"/>
        <v>0</v>
      </c>
      <c r="M91">
        <v>0</v>
      </c>
      <c r="O91">
        <f t="shared" si="9"/>
        <v>0</v>
      </c>
      <c r="R91">
        <f t="shared" si="10"/>
        <v>0</v>
      </c>
      <c r="S91">
        <v>0</v>
      </c>
      <c r="U91">
        <f t="shared" si="11"/>
        <v>0</v>
      </c>
    </row>
    <row r="92" spans="1:21" x14ac:dyDescent="0.3">
      <c r="A92" s="9" t="str">
        <f xml:space="preserve"> _xll.EPMOlapMemberO("[CECO].[PARENTH3].[AMSA1002AD4502]","","AMSA1002AD4502 - Com Internas","","000")</f>
        <v>AMSA1002AD4502 - Com Internas</v>
      </c>
      <c r="B92" s="8" t="str">
        <f xml:space="preserve"> _xll.EPMOlapMemberO("[CLACO].[PARENTH7].[AMSAINFORMATIC]","","Informática y Comuni","","000")</f>
        <v>Informática y Comuni</v>
      </c>
      <c r="C92" t="str">
        <f>_xlfn.CONCAT(_xll.EPMMemberProperty("COSTOS", _xll.EPMMemberID(A92), "PARENTH3"), " - ", _xll.EPMMemberDesc(_xll.EPMMemberProperty("COSTOS", _xll.EPMMemberID(A92), "PARENTH3"), "COSTOS"))</f>
        <v>N1002AD450 - Gerencia Asuntos Ext</v>
      </c>
      <c r="D92">
        <v>27405.29</v>
      </c>
      <c r="E92">
        <v>25842.63</v>
      </c>
      <c r="F92">
        <f t="shared" si="6"/>
        <v>-1562.6599999999999</v>
      </c>
      <c r="G92">
        <v>27875.32</v>
      </c>
      <c r="H92">
        <v>25913.31</v>
      </c>
      <c r="I92">
        <f t="shared" si="7"/>
        <v>-1962.0099999999984</v>
      </c>
      <c r="J92">
        <v>28186.91</v>
      </c>
      <c r="K92">
        <v>26487.71</v>
      </c>
      <c r="L92">
        <f t="shared" si="8"/>
        <v>-1699.2000000000007</v>
      </c>
      <c r="M92">
        <v>28121.93</v>
      </c>
      <c r="N92">
        <v>26059.3</v>
      </c>
      <c r="O92">
        <f t="shared" si="9"/>
        <v>-2062.630000000001</v>
      </c>
      <c r="P92">
        <v>27372.14</v>
      </c>
      <c r="Q92">
        <v>26132.3</v>
      </c>
      <c r="R92">
        <f t="shared" si="10"/>
        <v>-1239.8400000000001</v>
      </c>
      <c r="S92">
        <v>166614.42000000001</v>
      </c>
      <c r="T92">
        <v>316941.42</v>
      </c>
      <c r="U92">
        <f t="shared" si="11"/>
        <v>150326.99999999997</v>
      </c>
    </row>
    <row r="93" spans="1:21" x14ac:dyDescent="0.3">
      <c r="A93" s="9" t="str">
        <f xml:space="preserve"> _xll.EPMOlapMemberO("[CECO].[PARENTH3].[AMSA1002AD4502]","","AMSA1002AD4502 - Com Internas","","000")</f>
        <v>AMSA1002AD4502 - Com Internas</v>
      </c>
      <c r="B93" s="8" t="str">
        <f xml:space="preserve"> _xll.EPMOlapMemberO("[CLACO].[PARENTH7].[AMSAGGENERALES.2]","","Otros Gastos","","000")</f>
        <v>Otros Gastos</v>
      </c>
      <c r="C93" t="str">
        <f>_xlfn.CONCAT(_xll.EPMMemberProperty("COSTOS", _xll.EPMMemberID(A93), "PARENTH3"), " - ", _xll.EPMMemberDesc(_xll.EPMMemberProperty("COSTOS", _xll.EPMMemberID(A93), "PARENTH3"), "COSTOS"))</f>
        <v>N1002AD450 - Gerencia Asuntos Ext</v>
      </c>
      <c r="D93">
        <v>10055.709999999999</v>
      </c>
      <c r="E93">
        <v>70916.86</v>
      </c>
      <c r="F93">
        <f t="shared" si="6"/>
        <v>60861.15</v>
      </c>
      <c r="G93">
        <v>29371.98</v>
      </c>
      <c r="H93">
        <v>0</v>
      </c>
      <c r="I93">
        <f t="shared" si="7"/>
        <v>-29371.98</v>
      </c>
      <c r="J93">
        <v>51893.4</v>
      </c>
      <c r="K93">
        <v>7799.65</v>
      </c>
      <c r="L93">
        <f t="shared" si="8"/>
        <v>-44093.75</v>
      </c>
      <c r="M93">
        <v>41.9</v>
      </c>
      <c r="N93">
        <v>34079.67</v>
      </c>
      <c r="O93">
        <f t="shared" si="9"/>
        <v>34037.769999999997</v>
      </c>
      <c r="P93">
        <v>65995.740000000005</v>
      </c>
      <c r="Q93">
        <v>62747.82</v>
      </c>
      <c r="R93">
        <f t="shared" si="10"/>
        <v>-3247.9200000000055</v>
      </c>
      <c r="S93">
        <v>157358.79999999999</v>
      </c>
      <c r="T93">
        <v>346850.08</v>
      </c>
      <c r="U93">
        <f t="shared" si="11"/>
        <v>189491.28000000003</v>
      </c>
    </row>
    <row r="94" spans="1:21" x14ac:dyDescent="0.3">
      <c r="A94" s="9" t="str">
        <f xml:space="preserve"> _xll.EPMOlapMemberO("[CECO].[PARENTH3].[AMSA1002AD4505]","","AMSA1002AD4505 - Med.Ambte Corporativ","","000")</f>
        <v>AMSA1002AD4505 - Med.Ambte Corporativ</v>
      </c>
      <c r="B94" s="8" t="str">
        <f xml:space="preserve"> _xll.EPMOlapMemberO("[CLACO].[PARENTH7].[AMSAASESORIAS]","","Asesorías y Consulto","","000")</f>
        <v>Asesorías y Consulto</v>
      </c>
      <c r="C94" t="str">
        <f>_xlfn.CONCAT(_xll.EPMMemberProperty("COSTOS", _xll.EPMMemberID(A94), "PARENTH3"), " - ", _xll.EPMMemberDesc(_xll.EPMMemberProperty("COSTOS", _xll.EPMMemberID(A94), "PARENTH3"), "COSTOS"))</f>
        <v>N1002AD450 - Gerencia Asuntos Ext</v>
      </c>
      <c r="D94">
        <v>0</v>
      </c>
      <c r="E94">
        <v>2578.1</v>
      </c>
      <c r="F94">
        <f t="shared" si="6"/>
        <v>2578.1</v>
      </c>
      <c r="G94">
        <v>0</v>
      </c>
      <c r="H94">
        <v>2589.7800000000002</v>
      </c>
      <c r="I94">
        <f t="shared" si="7"/>
        <v>2589.7800000000002</v>
      </c>
      <c r="J94">
        <v>0</v>
      </c>
      <c r="K94">
        <v>2601.88</v>
      </c>
      <c r="L94">
        <f t="shared" si="8"/>
        <v>2601.88</v>
      </c>
      <c r="M94">
        <v>0</v>
      </c>
      <c r="N94">
        <v>2613.6999999999998</v>
      </c>
      <c r="O94">
        <f t="shared" si="9"/>
        <v>2613.6999999999998</v>
      </c>
      <c r="Q94">
        <v>2625.54</v>
      </c>
      <c r="R94">
        <f t="shared" si="10"/>
        <v>2625.54</v>
      </c>
      <c r="S94">
        <v>0</v>
      </c>
      <c r="T94">
        <v>31722.32</v>
      </c>
      <c r="U94">
        <f t="shared" si="11"/>
        <v>31722.32</v>
      </c>
    </row>
    <row r="95" spans="1:21" x14ac:dyDescent="0.3">
      <c r="A95" s="9" t="str">
        <f xml:space="preserve"> _xll.EPMOlapMemberO("[CECO].[PARENTH3].[AMSA1002AD4505]","","AMSA1002AD4505 - Med.Ambte Corporativ","","000")</f>
        <v>AMSA1002AD4505 - Med.Ambte Corporativ</v>
      </c>
      <c r="B95" s="8" t="str">
        <f xml:space="preserve"> _xll.EPMOlapMemberO("[CLACO].[PARENTH7].[AMSASERVICIOS]","","Servicios","","000")</f>
        <v>Servicios</v>
      </c>
      <c r="C95" t="str">
        <f>_xlfn.CONCAT(_xll.EPMMemberProperty("COSTOS", _xll.EPMMemberID(A95), "PARENTH3"), " - ", _xll.EPMMemberDesc(_xll.EPMMemberProperty("COSTOS", _xll.EPMMemberID(A95), "PARENTH3"), "COSTOS"))</f>
        <v>N1002AD450 - Gerencia Asuntos Ext</v>
      </c>
      <c r="F95">
        <f t="shared" si="6"/>
        <v>0</v>
      </c>
      <c r="I95">
        <f t="shared" si="7"/>
        <v>0</v>
      </c>
      <c r="J95">
        <v>1556.84</v>
      </c>
      <c r="L95">
        <f t="shared" si="8"/>
        <v>-1556.84</v>
      </c>
      <c r="M95">
        <v>0</v>
      </c>
      <c r="O95">
        <f t="shared" si="9"/>
        <v>0</v>
      </c>
      <c r="R95">
        <f t="shared" si="10"/>
        <v>0</v>
      </c>
      <c r="S95">
        <v>1556.84</v>
      </c>
      <c r="U95">
        <f t="shared" si="11"/>
        <v>-1556.84</v>
      </c>
    </row>
    <row r="96" spans="1:21" x14ac:dyDescent="0.3">
      <c r="A96" s="9" t="str">
        <f xml:space="preserve"> _xll.EPMOlapMemberO("[CECO].[PARENTH3].[AMSA1002AD4505]","","AMSA1002AD4505 - Med.Ambte Corporativ","","000")</f>
        <v>AMSA1002AD4505 - Med.Ambte Corporativ</v>
      </c>
      <c r="B96" s="8" t="str">
        <f xml:space="preserve"> _xll.EPMOlapMemberO("[CLACO].[PARENTH7].[AMSAINFORMATIC]","","Informática y Comuni","","000")</f>
        <v>Informática y Comuni</v>
      </c>
      <c r="C96" t="str">
        <f>_xlfn.CONCAT(_xll.EPMMemberProperty("COSTOS", _xll.EPMMemberID(A96), "PARENTH3"), " - ", _xll.EPMMemberDesc(_xll.EPMMemberProperty("COSTOS", _xll.EPMMemberID(A96), "PARENTH3"), "COSTOS"))</f>
        <v>N1002AD450 - Gerencia Asuntos Ext</v>
      </c>
      <c r="D96">
        <v>8653.84</v>
      </c>
      <c r="F96">
        <f t="shared" si="6"/>
        <v>-8653.84</v>
      </c>
      <c r="G96">
        <v>-1625.54</v>
      </c>
      <c r="I96">
        <f t="shared" si="7"/>
        <v>1625.54</v>
      </c>
      <c r="J96">
        <v>-19005.3</v>
      </c>
      <c r="K96">
        <v>8659.56</v>
      </c>
      <c r="L96">
        <f t="shared" si="8"/>
        <v>27664.86</v>
      </c>
      <c r="M96">
        <v>-1180.92</v>
      </c>
      <c r="O96">
        <f t="shared" si="9"/>
        <v>1180.92</v>
      </c>
      <c r="P96">
        <v>-907.15</v>
      </c>
      <c r="Q96">
        <v>40337.01</v>
      </c>
      <c r="R96">
        <f t="shared" si="10"/>
        <v>41244.160000000003</v>
      </c>
      <c r="S96">
        <v>-14065.07</v>
      </c>
      <c r="T96">
        <v>75273.13</v>
      </c>
      <c r="U96">
        <f t="shared" si="11"/>
        <v>89338.200000000012</v>
      </c>
    </row>
    <row r="97" spans="1:21" x14ac:dyDescent="0.3">
      <c r="A97" s="9" t="str">
        <f xml:space="preserve"> _xll.EPMOlapMemberO("[CECO].[PARENTH3].[AMSA1002AD4508]","","AMSA1002AD4508 - Adm y gastos operac","","000")</f>
        <v>AMSA1002AD4508 - Adm y gastos operac</v>
      </c>
      <c r="B97" s="8" t="str">
        <f xml:space="preserve"> _xll.EPMOlapMemberO("[CLACO].[PARENTH7].[AMSAMAT_Y_REP.2]","","Materiales y repuest","","000")</f>
        <v>Materiales y repuest</v>
      </c>
      <c r="C97" t="str">
        <f>_xlfn.CONCAT(_xll.EPMMemberProperty("COSTOS", _xll.EPMMemberID(A97), "PARENTH3"), " - ", _xll.EPMMemberDesc(_xll.EPMMemberProperty("COSTOS", _xll.EPMMemberID(A97), "PARENTH3"), "COSTOS"))</f>
        <v>N1002AD450 - Gerencia Asuntos Ext</v>
      </c>
      <c r="E97">
        <v>138.51</v>
      </c>
      <c r="F97">
        <f t="shared" si="6"/>
        <v>138.51</v>
      </c>
      <c r="H97">
        <v>138.88999999999999</v>
      </c>
      <c r="I97">
        <f t="shared" si="7"/>
        <v>138.88999999999999</v>
      </c>
      <c r="K97">
        <v>139.28</v>
      </c>
      <c r="L97">
        <f t="shared" si="8"/>
        <v>139.28</v>
      </c>
      <c r="N97">
        <v>139.66999999999999</v>
      </c>
      <c r="O97">
        <f t="shared" si="9"/>
        <v>139.66999999999999</v>
      </c>
      <c r="P97">
        <v>35.909999999999997</v>
      </c>
      <c r="Q97">
        <v>140.06</v>
      </c>
      <c r="R97">
        <f t="shared" si="10"/>
        <v>104.15</v>
      </c>
      <c r="S97">
        <v>35.909999999999997</v>
      </c>
      <c r="T97">
        <v>1687.82</v>
      </c>
      <c r="U97">
        <f t="shared" si="11"/>
        <v>1651.9099999999999</v>
      </c>
    </row>
    <row r="98" spans="1:21" x14ac:dyDescent="0.3">
      <c r="A98" s="9" t="str">
        <f xml:space="preserve"> _xll.EPMOlapMemberO("[CECO].[PARENTH3].[AMSA1002AD4508]","","AMSA1002AD4508 - Adm y gastos operac","","000")</f>
        <v>AMSA1002AD4508 - Adm y gastos operac</v>
      </c>
      <c r="B98" s="8" t="str">
        <f xml:space="preserve"> _xll.EPMOlapMemberO("[CLACO].[PARENTH7].[AMSAADM_PERSON]","","Administración Perso","","000")</f>
        <v>Administración Perso</v>
      </c>
      <c r="C98" t="str">
        <f>_xlfn.CONCAT(_xll.EPMMemberProperty("COSTOS", _xll.EPMMemberID(A98), "PARENTH3"), " - ", _xll.EPMMemberDesc(_xll.EPMMemberProperty("COSTOS", _xll.EPMMemberID(A98), "PARENTH3"), "COSTOS"))</f>
        <v>N1002AD450 - Gerencia Asuntos Ext</v>
      </c>
      <c r="F98">
        <f t="shared" si="6"/>
        <v>0</v>
      </c>
      <c r="G98">
        <v>81.12</v>
      </c>
      <c r="I98">
        <f t="shared" si="7"/>
        <v>-81.12</v>
      </c>
      <c r="J98">
        <v>0</v>
      </c>
      <c r="L98">
        <f t="shared" si="8"/>
        <v>0</v>
      </c>
      <c r="M98">
        <v>0</v>
      </c>
      <c r="O98">
        <f t="shared" si="9"/>
        <v>0</v>
      </c>
      <c r="R98">
        <f t="shared" si="10"/>
        <v>0</v>
      </c>
      <c r="S98">
        <v>81.12</v>
      </c>
      <c r="U98">
        <f t="shared" si="11"/>
        <v>-81.12</v>
      </c>
    </row>
    <row r="99" spans="1:21" x14ac:dyDescent="0.3">
      <c r="A99" s="9" t="str">
        <f xml:space="preserve"> _xll.EPMOlapMemberO("[CECO].[PARENTH3].[AMSA1002AD4508]","","AMSA1002AD4508 - Adm y gastos operac","","000")</f>
        <v>AMSA1002AD4508 - Adm y gastos operac</v>
      </c>
      <c r="B99" s="8" t="str">
        <f xml:space="preserve"> _xll.EPMOlapMemberO("[CLACO].[PARENTH7].[AMSAASESORIAS]","","Asesorías y Consulto","","000")</f>
        <v>Asesorías y Consulto</v>
      </c>
      <c r="C99" t="str">
        <f>_xlfn.CONCAT(_xll.EPMMemberProperty("COSTOS", _xll.EPMMemberID(A99), "PARENTH3"), " - ", _xll.EPMMemberDesc(_xll.EPMMemberProperty("COSTOS", _xll.EPMMemberID(A99), "PARENTH3"), "COSTOS"))</f>
        <v>N1002AD450 - Gerencia Asuntos Ext</v>
      </c>
      <c r="D99">
        <v>2369.56</v>
      </c>
      <c r="F99">
        <f t="shared" si="6"/>
        <v>-2369.56</v>
      </c>
      <c r="G99">
        <v>1985.39</v>
      </c>
      <c r="I99">
        <f t="shared" si="7"/>
        <v>-1985.39</v>
      </c>
      <c r="J99">
        <v>2904.8</v>
      </c>
      <c r="L99">
        <f t="shared" si="8"/>
        <v>-2904.8</v>
      </c>
      <c r="M99">
        <v>2960.7</v>
      </c>
      <c r="O99">
        <f t="shared" si="9"/>
        <v>-2960.7</v>
      </c>
      <c r="P99">
        <v>4319.8900000000003</v>
      </c>
      <c r="R99">
        <f t="shared" si="10"/>
        <v>-4319.8900000000003</v>
      </c>
      <c r="S99">
        <v>14540.34</v>
      </c>
      <c r="U99">
        <f t="shared" si="11"/>
        <v>-14540.34</v>
      </c>
    </row>
    <row r="100" spans="1:21" x14ac:dyDescent="0.3">
      <c r="A100" s="9" t="str">
        <f xml:space="preserve"> _xll.EPMOlapMemberO("[CECO].[PARENTH3].[AMSA1002AD4508]","","AMSA1002AD4508 - Adm y gastos operac","","000")</f>
        <v>AMSA1002AD4508 - Adm y gastos operac</v>
      </c>
      <c r="B100" s="8" t="str">
        <f xml:space="preserve"> _xll.EPMOlapMemberO("[CLACO].[PARENTH7].[AMSASERVICIOS]","","Servicios","","000")</f>
        <v>Servicios</v>
      </c>
      <c r="C100" t="str">
        <f>_xlfn.CONCAT(_xll.EPMMemberProperty("COSTOS", _xll.EPMMemberID(A100), "PARENTH3"), " - ", _xll.EPMMemberDesc(_xll.EPMMemberProperty("COSTOS", _xll.EPMMemberID(A100), "PARENTH3"), "COSTOS"))</f>
        <v>N1002AD450 - Gerencia Asuntos Ext</v>
      </c>
      <c r="D100">
        <v>16551.95</v>
      </c>
      <c r="E100">
        <v>40513.449999999997</v>
      </c>
      <c r="F100">
        <f t="shared" si="6"/>
        <v>23961.499999999996</v>
      </c>
      <c r="G100">
        <v>65995.53</v>
      </c>
      <c r="H100">
        <v>40623.440000000002</v>
      </c>
      <c r="I100">
        <f t="shared" si="7"/>
        <v>-25372.089999999997</v>
      </c>
      <c r="J100">
        <v>30440.82</v>
      </c>
      <c r="K100">
        <v>40736.93</v>
      </c>
      <c r="L100">
        <f t="shared" si="8"/>
        <v>10296.11</v>
      </c>
      <c r="M100">
        <v>37927.57</v>
      </c>
      <c r="N100">
        <v>40850.44</v>
      </c>
      <c r="O100">
        <f t="shared" si="9"/>
        <v>2922.8700000000026</v>
      </c>
      <c r="P100">
        <v>38209.14</v>
      </c>
      <c r="Q100">
        <v>40963.980000000003</v>
      </c>
      <c r="R100">
        <f t="shared" si="10"/>
        <v>2754.8400000000038</v>
      </c>
      <c r="S100">
        <v>189050.45</v>
      </c>
      <c r="T100">
        <v>493622.81</v>
      </c>
      <c r="U100">
        <f t="shared" si="11"/>
        <v>304572.36</v>
      </c>
    </row>
    <row r="101" spans="1:21" x14ac:dyDescent="0.3">
      <c r="A101" s="9" t="str">
        <f xml:space="preserve"> _xll.EPMOlapMemberO("[CECO].[PARENTH3].[AMSA1002AD4508]","","AMSA1002AD4508 - Adm y gastos operac","","000")</f>
        <v>AMSA1002AD4508 - Adm y gastos operac</v>
      </c>
      <c r="B101" s="8" t="str">
        <f xml:space="preserve"> _xll.EPMOlapMemberO("[CLACO].[PARENTH7].[AMSAINFORMATIC]","","Informática y Comuni","","000")</f>
        <v>Informática y Comuni</v>
      </c>
      <c r="C101" t="str">
        <f>_xlfn.CONCAT(_xll.EPMMemberProperty("COSTOS", _xll.EPMMemberID(A101), "PARENTH3"), " - ", _xll.EPMMemberDesc(_xll.EPMMemberProperty("COSTOS", _xll.EPMMemberID(A101), "PARENTH3"), "COSTOS"))</f>
        <v>N1002AD450 - Gerencia Asuntos Ext</v>
      </c>
      <c r="D101">
        <v>2900.38</v>
      </c>
      <c r="F101">
        <f t="shared" si="6"/>
        <v>-2900.38</v>
      </c>
      <c r="G101">
        <v>1570.78</v>
      </c>
      <c r="I101">
        <f t="shared" si="7"/>
        <v>-1570.78</v>
      </c>
      <c r="J101">
        <v>1440.08</v>
      </c>
      <c r="L101">
        <f t="shared" si="8"/>
        <v>-1440.08</v>
      </c>
      <c r="M101">
        <v>4119.26</v>
      </c>
      <c r="O101">
        <f t="shared" si="9"/>
        <v>-4119.26</v>
      </c>
      <c r="P101">
        <v>38.89</v>
      </c>
      <c r="R101">
        <f t="shared" si="10"/>
        <v>-38.89</v>
      </c>
      <c r="S101">
        <v>10108.25</v>
      </c>
      <c r="U101">
        <f t="shared" si="11"/>
        <v>-10108.25</v>
      </c>
    </row>
    <row r="102" spans="1:21" x14ac:dyDescent="0.3">
      <c r="A102" s="9" t="str">
        <f xml:space="preserve"> _xll.EPMOlapMemberO("[CECO].[PARENTH3].[AMSA1002AD4508]","","AMSA1002AD4508 - Adm y gastos operac","","000")</f>
        <v>AMSA1002AD4508 - Adm y gastos operac</v>
      </c>
      <c r="B102" s="8" t="str">
        <f xml:space="preserve"> _xll.EPMOlapMemberO("[CLACO].[PARENTH7].[AMSAG_VIAJES]","","Gastos de Viajes","","000")</f>
        <v>Gastos de Viajes</v>
      </c>
      <c r="C102" t="str">
        <f>_xlfn.CONCAT(_xll.EPMMemberProperty("COSTOS", _xll.EPMMemberID(A102), "PARENTH3"), " - ", _xll.EPMMemberDesc(_xll.EPMMemberProperty("COSTOS", _xll.EPMMemberID(A102), "PARENTH3"), "COSTOS"))</f>
        <v>N1002AD450 - Gerencia Asuntos Ext</v>
      </c>
      <c r="D102">
        <v>14779.07</v>
      </c>
      <c r="E102">
        <v>11634.8</v>
      </c>
      <c r="F102">
        <f t="shared" si="6"/>
        <v>-3144.2700000000004</v>
      </c>
      <c r="G102">
        <v>14744.04</v>
      </c>
      <c r="H102">
        <v>11666.61</v>
      </c>
      <c r="I102">
        <f t="shared" si="7"/>
        <v>-3077.4300000000003</v>
      </c>
      <c r="J102">
        <v>18542.240000000002</v>
      </c>
      <c r="K102">
        <v>13147.98</v>
      </c>
      <c r="L102">
        <f t="shared" si="8"/>
        <v>-5394.260000000002</v>
      </c>
      <c r="M102">
        <v>28179.58</v>
      </c>
      <c r="N102">
        <v>13184.93</v>
      </c>
      <c r="O102">
        <f t="shared" si="9"/>
        <v>-14994.650000000001</v>
      </c>
      <c r="P102">
        <v>15878.66</v>
      </c>
      <c r="Q102">
        <v>13221.86</v>
      </c>
      <c r="R102">
        <f t="shared" si="10"/>
        <v>-2656.7999999999993</v>
      </c>
      <c r="S102">
        <v>82315.47</v>
      </c>
      <c r="T102">
        <v>156564.70000000001</v>
      </c>
      <c r="U102">
        <f t="shared" si="11"/>
        <v>74249.23000000001</v>
      </c>
    </row>
    <row r="103" spans="1:21" x14ac:dyDescent="0.3">
      <c r="A103" s="9" t="str">
        <f xml:space="preserve"> _xll.EPMOlapMemberO("[CECO].[PARENTH3].[AMSA1002AD4508]","","AMSA1002AD4508 - Adm y gastos operac","","000")</f>
        <v>AMSA1002AD4508 - Adm y gastos operac</v>
      </c>
      <c r="B103" s="8" t="str">
        <f xml:space="preserve"> _xll.EPMOlapMemberO("[CLACO].[PARENTH7].[AMSAGGENERALES.2]","","Otros Gastos","","000")</f>
        <v>Otros Gastos</v>
      </c>
      <c r="C103" t="str">
        <f>_xlfn.CONCAT(_xll.EPMMemberProperty("COSTOS", _xll.EPMMemberID(A103), "PARENTH3"), " - ", _xll.EPMMemberDesc(_xll.EPMMemberProperty("COSTOS", _xll.EPMMemberID(A103), "PARENTH3"), "COSTOS"))</f>
        <v>N1002AD450 - Gerencia Asuntos Ext</v>
      </c>
      <c r="D103">
        <v>78.44</v>
      </c>
      <c r="F103">
        <f t="shared" si="6"/>
        <v>-78.44</v>
      </c>
      <c r="G103">
        <v>186.47</v>
      </c>
      <c r="I103">
        <f t="shared" si="7"/>
        <v>-186.47</v>
      </c>
      <c r="J103">
        <v>99</v>
      </c>
      <c r="L103">
        <f t="shared" si="8"/>
        <v>-99</v>
      </c>
      <c r="M103">
        <v>0.23</v>
      </c>
      <c r="O103">
        <f t="shared" si="9"/>
        <v>-0.23</v>
      </c>
      <c r="P103">
        <v>377.34</v>
      </c>
      <c r="R103">
        <f t="shared" si="10"/>
        <v>-377.34</v>
      </c>
      <c r="S103">
        <v>741.48</v>
      </c>
      <c r="U103">
        <f t="shared" si="11"/>
        <v>-741.48</v>
      </c>
    </row>
    <row r="104" spans="1:21" x14ac:dyDescent="0.3">
      <c r="A104" s="9" t="str">
        <f xml:space="preserve"> _xll.EPMOlapMemberO("[CECO].[PARENTH3].[AMSA1002AD5005]","","AMSA1002AD5005 - SSO Corporativo","","000")</f>
        <v>AMSA1002AD5005 - SSO Corporativo</v>
      </c>
      <c r="B104" s="8" t="str">
        <f xml:space="preserve"> _xll.EPMOlapMemberO("[CLACO].[PARENTH7].[AMSAASESORIAS]","","Asesorías y Consulto","","000")</f>
        <v>Asesorías y Consulto</v>
      </c>
      <c r="C104" t="str">
        <f>_xlfn.CONCAT(_xll.EPMMemberProperty("COSTOS", _xll.EPMMemberID(A104), "PARENTH3"), " - ", _xll.EPMMemberDesc(_xll.EPMMemberProperty("COSTOS", _xll.EPMMemberID(A104), "PARENTH3"), "COSTOS"))</f>
        <v>N1002AD500 - Gerencia de Segurida</v>
      </c>
      <c r="D104">
        <v>-4.59</v>
      </c>
      <c r="F104">
        <f t="shared" si="6"/>
        <v>4.59</v>
      </c>
      <c r="G104">
        <v>23221.03</v>
      </c>
      <c r="I104">
        <f t="shared" si="7"/>
        <v>-23221.03</v>
      </c>
      <c r="J104">
        <v>15211.86</v>
      </c>
      <c r="L104">
        <f t="shared" si="8"/>
        <v>-15211.86</v>
      </c>
      <c r="M104">
        <v>31513.87</v>
      </c>
      <c r="O104">
        <f t="shared" si="9"/>
        <v>-31513.87</v>
      </c>
      <c r="P104">
        <v>15235.91</v>
      </c>
      <c r="R104">
        <f t="shared" si="10"/>
        <v>-15235.91</v>
      </c>
      <c r="S104">
        <v>85178.08</v>
      </c>
      <c r="U104">
        <f t="shared" si="11"/>
        <v>-85178.08</v>
      </c>
    </row>
    <row r="105" spans="1:21" x14ac:dyDescent="0.3">
      <c r="A105" s="9" t="str">
        <f xml:space="preserve"> _xll.EPMOlapMemberO("[CECO].[PARENTH3].[AMSA1002AD5005]","","AMSA1002AD5005 - SSO Corporativo","","000")</f>
        <v>AMSA1002AD5005 - SSO Corporativo</v>
      </c>
      <c r="B105" s="8" t="str">
        <f xml:space="preserve"> _xll.EPMOlapMemberO("[CLACO].[PARENTH7].[AMSASERVICIOS]","","Servicios","","000")</f>
        <v>Servicios</v>
      </c>
      <c r="C105" t="str">
        <f>_xlfn.CONCAT(_xll.EPMMemberProperty("COSTOS", _xll.EPMMemberID(A105), "PARENTH3"), " - ", _xll.EPMMemberDesc(_xll.EPMMemberProperty("COSTOS", _xll.EPMMemberID(A105), "PARENTH3"), "COSTOS"))</f>
        <v>N1002AD500 - Gerencia de Segurida</v>
      </c>
      <c r="E105">
        <v>20962.580000000002</v>
      </c>
      <c r="F105">
        <f t="shared" si="6"/>
        <v>20962.580000000002</v>
      </c>
      <c r="H105">
        <v>16242.14</v>
      </c>
      <c r="I105">
        <f t="shared" si="7"/>
        <v>16242.14</v>
      </c>
      <c r="K105">
        <v>16287.9</v>
      </c>
      <c r="L105">
        <f t="shared" si="8"/>
        <v>16287.9</v>
      </c>
      <c r="N105">
        <v>16333.66</v>
      </c>
      <c r="O105">
        <f t="shared" si="9"/>
        <v>16333.66</v>
      </c>
      <c r="Q105">
        <v>16379.42</v>
      </c>
      <c r="R105">
        <f t="shared" si="10"/>
        <v>16379.42</v>
      </c>
      <c r="T105">
        <v>202145.89</v>
      </c>
      <c r="U105">
        <f t="shared" si="11"/>
        <v>202145.89</v>
      </c>
    </row>
    <row r="106" spans="1:21" x14ac:dyDescent="0.3">
      <c r="A106" s="9" t="str">
        <f xml:space="preserve"> _xll.EPMOlapMemberO("[CECO].[PARENTH3].[AMSA1002AD5005]","","AMSA1002AD5005 - SSO Corporativo","","000")</f>
        <v>AMSA1002AD5005 - SSO Corporativo</v>
      </c>
      <c r="B106" s="8" t="str">
        <f xml:space="preserve"> _xll.EPMOlapMemberO("[CLACO].[PARENTH7].[AMSAINFORMATIC]","","Informática y Comuni","","000")</f>
        <v>Informática y Comuni</v>
      </c>
      <c r="C106" t="str">
        <f>_xlfn.CONCAT(_xll.EPMMemberProperty("COSTOS", _xll.EPMMemberID(A106), "PARENTH3"), " - ", _xll.EPMMemberDesc(_xll.EPMMemberProperty("COSTOS", _xll.EPMMemberID(A106), "PARENTH3"), "COSTOS"))</f>
        <v>N1002AD500 - Gerencia de Segurida</v>
      </c>
      <c r="D106">
        <v>0</v>
      </c>
      <c r="E106">
        <v>20016.28</v>
      </c>
      <c r="F106">
        <f t="shared" si="6"/>
        <v>20016.28</v>
      </c>
      <c r="G106">
        <v>0</v>
      </c>
      <c r="I106">
        <f t="shared" si="7"/>
        <v>0</v>
      </c>
      <c r="J106">
        <v>0</v>
      </c>
      <c r="K106">
        <v>20091.77</v>
      </c>
      <c r="L106">
        <f t="shared" si="8"/>
        <v>20091.77</v>
      </c>
      <c r="M106">
        <v>674.71</v>
      </c>
      <c r="N106">
        <v>0</v>
      </c>
      <c r="O106">
        <f t="shared" si="9"/>
        <v>-674.71</v>
      </c>
      <c r="P106">
        <v>680.24</v>
      </c>
      <c r="R106">
        <f t="shared" si="10"/>
        <v>-680.24</v>
      </c>
      <c r="S106">
        <v>1354.95</v>
      </c>
      <c r="T106">
        <v>75604.5</v>
      </c>
      <c r="U106">
        <f t="shared" si="11"/>
        <v>74249.55</v>
      </c>
    </row>
    <row r="107" spans="1:21" x14ac:dyDescent="0.3">
      <c r="A107" s="9" t="str">
        <f xml:space="preserve"> _xll.EPMOlapMemberO("[CECO].[PARENTH3].[AMSA1002AD5005]","","AMSA1002AD5005 - SSO Corporativo","","000")</f>
        <v>AMSA1002AD5005 - SSO Corporativo</v>
      </c>
      <c r="B107" s="8" t="str">
        <f xml:space="preserve"> _xll.EPMOlapMemberO("[CLACO].[PARENTH7].[AMSAG_VIAJES]","","Gastos de Viajes","","000")</f>
        <v>Gastos de Viajes</v>
      </c>
      <c r="C107" t="str">
        <f>_xlfn.CONCAT(_xll.EPMMemberProperty("COSTOS", _xll.EPMMemberID(A107), "PARENTH3"), " - ", _xll.EPMMemberDesc(_xll.EPMMemberProperty("COSTOS", _xll.EPMMemberID(A107), "PARENTH3"), "COSTOS"))</f>
        <v>N1002AD500 - Gerencia de Segurida</v>
      </c>
      <c r="F107">
        <f t="shared" si="6"/>
        <v>0</v>
      </c>
      <c r="I107">
        <f t="shared" si="7"/>
        <v>0</v>
      </c>
      <c r="J107">
        <v>1284.22</v>
      </c>
      <c r="L107">
        <f t="shared" si="8"/>
        <v>-1284.22</v>
      </c>
      <c r="M107">
        <v>-13.54</v>
      </c>
      <c r="O107">
        <f t="shared" si="9"/>
        <v>13.54</v>
      </c>
      <c r="R107">
        <f t="shared" si="10"/>
        <v>0</v>
      </c>
      <c r="S107">
        <v>1270.68</v>
      </c>
      <c r="U107">
        <f t="shared" si="11"/>
        <v>-1270.68</v>
      </c>
    </row>
    <row r="108" spans="1:21" x14ac:dyDescent="0.3">
      <c r="A108" s="9" t="str">
        <f xml:space="preserve"> _xll.EPMOlapMemberO("[CECO].[PARENTH3].[AMSA1002AD5500]","","AMSA1002AD5500 - Admin Legal","","000")</f>
        <v>AMSA1002AD5500 - Admin Legal</v>
      </c>
      <c r="B108" s="8" t="str">
        <f xml:space="preserve"> _xll.EPMOlapMemberO("[CLACO].[PARENTH7].[AMSAASESORIAS]","","Asesorías y Consulto","","000")</f>
        <v>Asesorías y Consulto</v>
      </c>
      <c r="C108" t="str">
        <f>_xlfn.CONCAT(_xll.EPMMemberProperty("COSTOS", _xll.EPMMemberID(A108), "PARENTH3"), " - ", _xll.EPMMemberDesc(_xll.EPMMemberProperty("COSTOS", _xll.EPMMemberID(A108), "PARENTH3"), "COSTOS"))</f>
        <v>N1002AD550 - Legal</v>
      </c>
      <c r="D108">
        <v>35126.65</v>
      </c>
      <c r="E108">
        <v>28181.41</v>
      </c>
      <c r="F108">
        <f t="shared" si="6"/>
        <v>-6945.2400000000016</v>
      </c>
      <c r="G108">
        <v>13826.93</v>
      </c>
      <c r="H108">
        <v>28260.06</v>
      </c>
      <c r="I108">
        <f t="shared" si="7"/>
        <v>14433.130000000001</v>
      </c>
      <c r="J108">
        <v>60367.22</v>
      </c>
      <c r="K108">
        <v>28338.9</v>
      </c>
      <c r="L108">
        <f t="shared" si="8"/>
        <v>-32028.32</v>
      </c>
      <c r="M108">
        <v>45488.97</v>
      </c>
      <c r="N108">
        <v>28417.96</v>
      </c>
      <c r="O108">
        <f t="shared" si="9"/>
        <v>-17071.010000000002</v>
      </c>
      <c r="P108">
        <v>52636.47</v>
      </c>
      <c r="Q108">
        <v>28497.26</v>
      </c>
      <c r="R108">
        <f t="shared" si="10"/>
        <v>-24139.210000000003</v>
      </c>
      <c r="S108">
        <v>246401.7</v>
      </c>
      <c r="T108">
        <v>343415.16</v>
      </c>
      <c r="U108">
        <f t="shared" si="11"/>
        <v>97013.459999999963</v>
      </c>
    </row>
    <row r="109" spans="1:21" x14ac:dyDescent="0.3">
      <c r="A109" s="9" t="str">
        <f xml:space="preserve"> _xll.EPMOlapMemberO("[CECO].[PARENTH3].[AMSA1002AD5500]","","AMSA1002AD5500 - Admin Legal","","000")</f>
        <v>AMSA1002AD5500 - Admin Legal</v>
      </c>
      <c r="B109" s="8" t="str">
        <f xml:space="preserve"> _xll.EPMOlapMemberO("[CLACO].[PARENTH7].[AMSASERVICIOS]","","Servicios","","000")</f>
        <v>Servicios</v>
      </c>
      <c r="C109" t="str">
        <f>_xlfn.CONCAT(_xll.EPMMemberProperty("COSTOS", _xll.EPMMemberID(A109), "PARENTH3"), " - ", _xll.EPMMemberDesc(_xll.EPMMemberProperty("COSTOS", _xll.EPMMemberID(A109), "PARENTH3"), "COSTOS"))</f>
        <v>N1002AD550 - Legal</v>
      </c>
      <c r="D109">
        <v>2522.81</v>
      </c>
      <c r="E109">
        <v>799.66</v>
      </c>
      <c r="F109">
        <f t="shared" si="6"/>
        <v>-1723.15</v>
      </c>
      <c r="G109">
        <v>874.14</v>
      </c>
      <c r="H109">
        <v>773.86</v>
      </c>
      <c r="I109">
        <f t="shared" si="7"/>
        <v>-100.27999999999997</v>
      </c>
      <c r="J109">
        <v>392.35</v>
      </c>
      <c r="K109">
        <v>1238.55</v>
      </c>
      <c r="L109">
        <f t="shared" si="8"/>
        <v>846.19999999999993</v>
      </c>
      <c r="M109">
        <v>271.3</v>
      </c>
      <c r="N109">
        <v>1269.8599999999999</v>
      </c>
      <c r="O109">
        <f t="shared" si="9"/>
        <v>998.56</v>
      </c>
      <c r="P109">
        <v>1928.15</v>
      </c>
      <c r="Q109">
        <v>780.39</v>
      </c>
      <c r="R109">
        <f t="shared" si="10"/>
        <v>-1147.7600000000002</v>
      </c>
      <c r="S109">
        <v>6147.22</v>
      </c>
      <c r="T109">
        <v>10727.15</v>
      </c>
      <c r="U109">
        <f t="shared" si="11"/>
        <v>4579.9299999999994</v>
      </c>
    </row>
    <row r="110" spans="1:21" x14ac:dyDescent="0.3">
      <c r="A110" s="9" t="str">
        <f xml:space="preserve"> _xll.EPMOlapMemberO("[CECO].[PARENTH3].[AMSA1002AD5500]","","AMSA1002AD5500 - Admin Legal","","000")</f>
        <v>AMSA1002AD5500 - Admin Legal</v>
      </c>
      <c r="B110" s="8" t="str">
        <f xml:space="preserve"> _xll.EPMOlapMemberO("[CLACO].[PARENTH7].[AMSAG_VIAJES]","","Gastos de Viajes","","000")</f>
        <v>Gastos de Viajes</v>
      </c>
      <c r="C110" t="str">
        <f>_xlfn.CONCAT(_xll.EPMMemberProperty("COSTOS", _xll.EPMMemberID(A110), "PARENTH3"), " - ", _xll.EPMMemberDesc(_xll.EPMMemberProperty("COSTOS", _xll.EPMMemberID(A110), "PARENTH3"), "COSTOS"))</f>
        <v>N1002AD550 - Legal</v>
      </c>
      <c r="D110">
        <v>1778.48</v>
      </c>
      <c r="E110">
        <v>1065.8699999999999</v>
      </c>
      <c r="F110">
        <f t="shared" si="6"/>
        <v>-712.61000000000013</v>
      </c>
      <c r="G110">
        <v>1053.6199999999999</v>
      </c>
      <c r="H110">
        <v>1067.8900000000001</v>
      </c>
      <c r="I110">
        <f t="shared" si="7"/>
        <v>14.270000000000209</v>
      </c>
      <c r="J110">
        <v>209.8</v>
      </c>
      <c r="K110">
        <v>1069.8900000000001</v>
      </c>
      <c r="L110">
        <f t="shared" si="8"/>
        <v>860.09000000000015</v>
      </c>
      <c r="M110">
        <v>1267.57</v>
      </c>
      <c r="N110">
        <v>1071.93</v>
      </c>
      <c r="O110">
        <f t="shared" si="9"/>
        <v>-195.63999999999987</v>
      </c>
      <c r="P110">
        <v>856.69</v>
      </c>
      <c r="Q110">
        <v>1073.97</v>
      </c>
      <c r="R110">
        <f t="shared" si="10"/>
        <v>217.27999999999997</v>
      </c>
      <c r="S110">
        <v>5166.16</v>
      </c>
      <c r="T110">
        <v>12924.58</v>
      </c>
      <c r="U110">
        <f t="shared" si="11"/>
        <v>7758.42</v>
      </c>
    </row>
    <row r="111" spans="1:21" x14ac:dyDescent="0.3">
      <c r="A111" s="9" t="str">
        <f xml:space="preserve"> _xll.EPMOlapMemberO("[CECO].[PARENTH3].[AMSA1002AD5500]","","AMSA1002AD5500 - Admin Legal","","000")</f>
        <v>AMSA1002AD5500 - Admin Legal</v>
      </c>
      <c r="B111" s="8" t="str">
        <f xml:space="preserve"> _xll.EPMOlapMemberO("[CLACO].[PARENTH7].[AMSAIMP_PATEN]","","Impuestos / Patentes","","000")</f>
        <v>Impuestos / Patentes</v>
      </c>
      <c r="C111" t="str">
        <f>_xlfn.CONCAT(_xll.EPMMemberProperty("COSTOS", _xll.EPMMemberID(A111), "PARENTH3"), " - ", _xll.EPMMemberDesc(_xll.EPMMemberProperty("COSTOS", _xll.EPMMemberID(A111), "PARENTH3"), "COSTOS"))</f>
        <v>N1002AD550 - Legal</v>
      </c>
      <c r="D111">
        <v>445486.16</v>
      </c>
      <c r="E111">
        <v>440673.47</v>
      </c>
      <c r="F111">
        <f t="shared" si="6"/>
        <v>-4812.6900000000023</v>
      </c>
      <c r="G111">
        <v>79.78</v>
      </c>
      <c r="H111">
        <v>238.89</v>
      </c>
      <c r="I111">
        <f t="shared" si="7"/>
        <v>159.10999999999999</v>
      </c>
      <c r="J111">
        <v>2062275.85</v>
      </c>
      <c r="K111">
        <v>2223659.09</v>
      </c>
      <c r="L111">
        <f t="shared" si="8"/>
        <v>161383.23999999976</v>
      </c>
      <c r="M111">
        <v>-108167.89</v>
      </c>
      <c r="N111">
        <v>22630.75</v>
      </c>
      <c r="O111">
        <f t="shared" si="9"/>
        <v>130798.64</v>
      </c>
      <c r="P111">
        <v>13160.99</v>
      </c>
      <c r="Q111">
        <v>253.23</v>
      </c>
      <c r="R111">
        <f t="shared" si="10"/>
        <v>-12907.76</v>
      </c>
      <c r="S111">
        <v>2424861.52</v>
      </c>
      <c r="T111">
        <v>3255768.04</v>
      </c>
      <c r="U111">
        <f t="shared" si="11"/>
        <v>830906.52</v>
      </c>
    </row>
    <row r="112" spans="1:21" x14ac:dyDescent="0.3">
      <c r="A112" s="9" t="str">
        <f xml:space="preserve"> _xll.EPMOlapMemberO("[CECO].[PARENTH3].[AMSA1002AD5500]","","AMSA1002AD5500 - Admin Legal","","000")</f>
        <v>AMSA1002AD5500 - Admin Legal</v>
      </c>
      <c r="B112" s="8" t="str">
        <f xml:space="preserve"> _xll.EPMOlapMemberO("[CLACO].[PARENTH7].[AMSAGGENERALES.2]","","Otros Gastos","","000")</f>
        <v>Otros Gastos</v>
      </c>
      <c r="C112" t="str">
        <f>_xlfn.CONCAT(_xll.EPMMemberProperty("COSTOS", _xll.EPMMemberID(A112), "PARENTH3"), " - ", _xll.EPMMemberDesc(_xll.EPMMemberProperty("COSTOS", _xll.EPMMemberID(A112), "PARENTH3"), "COSTOS"))</f>
        <v>N1002AD550 - Legal</v>
      </c>
      <c r="D112">
        <v>13.69</v>
      </c>
      <c r="E112">
        <v>80.489999999999995</v>
      </c>
      <c r="F112">
        <f t="shared" si="6"/>
        <v>66.8</v>
      </c>
      <c r="G112">
        <v>13.41</v>
      </c>
      <c r="H112">
        <v>14.34</v>
      </c>
      <c r="I112">
        <f t="shared" si="7"/>
        <v>0.92999999999999972</v>
      </c>
      <c r="J112">
        <v>12.89</v>
      </c>
      <c r="K112">
        <v>1758.51</v>
      </c>
      <c r="L112">
        <f t="shared" si="8"/>
        <v>1745.62</v>
      </c>
      <c r="M112">
        <v>19.03</v>
      </c>
      <c r="N112">
        <v>855.1</v>
      </c>
      <c r="O112">
        <f t="shared" si="9"/>
        <v>836.07</v>
      </c>
      <c r="P112">
        <v>15.7</v>
      </c>
      <c r="Q112">
        <v>14.45</v>
      </c>
      <c r="R112">
        <f t="shared" si="10"/>
        <v>-1.25</v>
      </c>
      <c r="S112">
        <v>74.75</v>
      </c>
      <c r="T112">
        <v>3650.47</v>
      </c>
      <c r="U112">
        <f t="shared" si="11"/>
        <v>3575.72</v>
      </c>
    </row>
    <row r="113" spans="1:21" x14ac:dyDescent="0.3">
      <c r="A113" s="9" t="str">
        <f xml:space="preserve"> _xll.EPMOlapMemberO("[CECO].[PARENTH3].[AMSA1002AD6000]","","AMSA1002AD6000 - Adm Comercialización","","000")</f>
        <v>AMSA1002AD6000 - Adm Comercialización</v>
      </c>
      <c r="B113" s="8" t="str">
        <f xml:space="preserve"> _xll.EPMOlapMemberO("[CLACO].[PARENTH7].[AMSAASESORIAS]","","Asesorías y Consulto","","000")</f>
        <v>Asesorías y Consulto</v>
      </c>
      <c r="C113" t="str">
        <f>_xlfn.CONCAT(_xll.EPMMemberProperty("COSTOS", _xll.EPMMemberID(A113), "PARENTH3"), " - ", _xll.EPMMemberDesc(_xll.EPMMemberProperty("COSTOS", _xll.EPMMemberID(A113), "PARENTH3"), "COSTOS"))</f>
        <v>N1002AD610 - Gastos Cu</v>
      </c>
      <c r="F113">
        <f t="shared" si="6"/>
        <v>0</v>
      </c>
      <c r="I113">
        <f t="shared" si="7"/>
        <v>0</v>
      </c>
      <c r="L113">
        <f t="shared" si="8"/>
        <v>0</v>
      </c>
      <c r="O113">
        <f t="shared" si="9"/>
        <v>0</v>
      </c>
      <c r="R113">
        <f t="shared" si="10"/>
        <v>0</v>
      </c>
      <c r="T113">
        <v>17416.98</v>
      </c>
      <c r="U113">
        <f t="shared" si="11"/>
        <v>17416.98</v>
      </c>
    </row>
    <row r="114" spans="1:21" x14ac:dyDescent="0.3">
      <c r="A114" s="9" t="str">
        <f xml:space="preserve"> _xll.EPMOlapMemberO("[CECO].[PARENTH3].[AMSA1002AD6000]","","AMSA1002AD6000 - Adm Comercialización","","000")</f>
        <v>AMSA1002AD6000 - Adm Comercialización</v>
      </c>
      <c r="B114" s="8" t="str">
        <f xml:space="preserve"> _xll.EPMOlapMemberO("[CLACO].[PARENTH7].[AMSASERVICIOS]","","Servicios","","000")</f>
        <v>Servicios</v>
      </c>
      <c r="C114" t="str">
        <f>_xlfn.CONCAT(_xll.EPMMemberProperty("COSTOS", _xll.EPMMemberID(A114), "PARENTH3"), " - ", _xll.EPMMemberDesc(_xll.EPMMemberProperty("COSTOS", _xll.EPMMemberID(A114), "PARENTH3"), "COSTOS"))</f>
        <v>N1002AD610 - Gastos Cu</v>
      </c>
      <c r="F114">
        <f t="shared" si="6"/>
        <v>0</v>
      </c>
      <c r="G114">
        <v>2704.17</v>
      </c>
      <c r="I114">
        <f t="shared" si="7"/>
        <v>-2704.17</v>
      </c>
      <c r="L114">
        <f t="shared" si="8"/>
        <v>0</v>
      </c>
      <c r="O114">
        <f t="shared" si="9"/>
        <v>0</v>
      </c>
      <c r="R114">
        <f t="shared" si="10"/>
        <v>0</v>
      </c>
      <c r="S114">
        <v>2704.17</v>
      </c>
      <c r="U114">
        <f t="shared" si="11"/>
        <v>-2704.17</v>
      </c>
    </row>
    <row r="115" spans="1:21" x14ac:dyDescent="0.3">
      <c r="A115" s="9" t="str">
        <f xml:space="preserve"> _xll.EPMOlapMemberO("[CECO].[PARENTH3].[AMSA1002AD6000]","","AMSA1002AD6000 - Adm Comercialización","","000")</f>
        <v>AMSA1002AD6000 - Adm Comercialización</v>
      </c>
      <c r="B115" s="8" t="str">
        <f xml:space="preserve"> _xll.EPMOlapMemberO("[CLACO].[PARENTH7].[AMSAINFORMATIC]","","Informática y Comuni","","000")</f>
        <v>Informática y Comuni</v>
      </c>
      <c r="C115" t="str">
        <f>_xlfn.CONCAT(_xll.EPMMemberProperty("COSTOS", _xll.EPMMemberID(A115), "PARENTH3"), " - ", _xll.EPMMemberDesc(_xll.EPMMemberProperty("COSTOS", _xll.EPMMemberID(A115), "PARENTH3"), "COSTOS"))</f>
        <v>N1002AD610 - Gastos Cu</v>
      </c>
      <c r="D115">
        <v>0</v>
      </c>
      <c r="F115">
        <f t="shared" si="6"/>
        <v>0</v>
      </c>
      <c r="G115">
        <v>0</v>
      </c>
      <c r="H115">
        <v>8357.52</v>
      </c>
      <c r="I115">
        <f t="shared" si="7"/>
        <v>8357.52</v>
      </c>
      <c r="J115">
        <v>0</v>
      </c>
      <c r="L115">
        <f t="shared" si="8"/>
        <v>0</v>
      </c>
      <c r="M115">
        <v>0</v>
      </c>
      <c r="O115">
        <f t="shared" si="9"/>
        <v>0</v>
      </c>
      <c r="R115">
        <f t="shared" si="10"/>
        <v>0</v>
      </c>
      <c r="S115">
        <v>0</v>
      </c>
      <c r="T115">
        <v>8357.52</v>
      </c>
      <c r="U115">
        <f t="shared" si="11"/>
        <v>8357.52</v>
      </c>
    </row>
    <row r="116" spans="1:21" x14ac:dyDescent="0.3">
      <c r="A116" s="9" t="str">
        <f xml:space="preserve"> _xll.EPMOlapMemberO("[CECO].[PARENTH3].[AMSA1002AD6000]","","AMSA1002AD6000 - Adm Comercialización","","000")</f>
        <v>AMSA1002AD6000 - Adm Comercialización</v>
      </c>
      <c r="B116" s="8" t="str">
        <f xml:space="preserve"> _xll.EPMOlapMemberO("[CLACO].[PARENTH7].[AMSAG_VIAJES]","","Gastos de Viajes","","000")</f>
        <v>Gastos de Viajes</v>
      </c>
      <c r="C116" t="str">
        <f>_xlfn.CONCAT(_xll.EPMMemberProperty("COSTOS", _xll.EPMMemberID(A116), "PARENTH3"), " - ", _xll.EPMMemberDesc(_xll.EPMMemberProperty("COSTOS", _xll.EPMMemberID(A116), "PARENTH3"), "COSTOS"))</f>
        <v>N1002AD610 - Gastos Cu</v>
      </c>
      <c r="D116">
        <v>8377.9500000000007</v>
      </c>
      <c r="E116">
        <v>5044.09</v>
      </c>
      <c r="F116">
        <f t="shared" si="6"/>
        <v>-3333.8600000000006</v>
      </c>
      <c r="G116">
        <v>4358.8999999999996</v>
      </c>
      <c r="I116">
        <f t="shared" si="7"/>
        <v>-4358.8999999999996</v>
      </c>
      <c r="J116">
        <v>564.58000000000004</v>
      </c>
      <c r="K116">
        <v>22261.67</v>
      </c>
      <c r="L116">
        <f t="shared" si="8"/>
        <v>21697.089999999997</v>
      </c>
      <c r="M116">
        <v>9755.75</v>
      </c>
      <c r="N116">
        <v>1227.93</v>
      </c>
      <c r="O116">
        <f t="shared" si="9"/>
        <v>-8527.82</v>
      </c>
      <c r="P116">
        <v>8570.18</v>
      </c>
      <c r="Q116">
        <v>5586.68</v>
      </c>
      <c r="R116">
        <f t="shared" si="10"/>
        <v>-2983.5</v>
      </c>
      <c r="S116">
        <v>31627.360000000001</v>
      </c>
      <c r="T116">
        <v>228183.95</v>
      </c>
      <c r="U116">
        <f t="shared" si="11"/>
        <v>196556.59000000003</v>
      </c>
    </row>
    <row r="117" spans="1:21" x14ac:dyDescent="0.3">
      <c r="A117" s="9" t="str">
        <f xml:space="preserve"> _xll.EPMOlapMemberO("[CECO].[PARENTH3].[AMSA1002AD6000]","","AMSA1002AD6000 - Adm Comercialización","","000")</f>
        <v>AMSA1002AD6000 - Adm Comercialización</v>
      </c>
      <c r="B117" s="8" t="str">
        <f xml:space="preserve"> _xll.EPMOlapMemberO("[CLACO].[PARENTH7].[AMSAGGENERALES.2]","","Otros Gastos","","000")</f>
        <v>Otros Gastos</v>
      </c>
      <c r="C117" t="str">
        <f>_xlfn.CONCAT(_xll.EPMMemberProperty("COSTOS", _xll.EPMMemberID(A117), "PARENTH3"), " - ", _xll.EPMMemberDesc(_xll.EPMMemberProperty("COSTOS", _xll.EPMMemberID(A117), "PARENTH3"), "COSTOS"))</f>
        <v>N1002AD610 - Gastos Cu</v>
      </c>
      <c r="D117">
        <v>5701.01</v>
      </c>
      <c r="E117">
        <v>247508.54</v>
      </c>
      <c r="F117">
        <f t="shared" si="6"/>
        <v>241807.53</v>
      </c>
      <c r="G117">
        <v>25063.759999999998</v>
      </c>
      <c r="H117">
        <v>2058.6999999999998</v>
      </c>
      <c r="I117">
        <f t="shared" si="7"/>
        <v>-23005.059999999998</v>
      </c>
      <c r="J117">
        <v>38083.07</v>
      </c>
      <c r="K117">
        <v>11958.44</v>
      </c>
      <c r="L117">
        <f t="shared" si="8"/>
        <v>-26124.629999999997</v>
      </c>
      <c r="M117">
        <v>18072.189999999999</v>
      </c>
      <c r="N117">
        <v>150657.31</v>
      </c>
      <c r="O117">
        <f t="shared" si="9"/>
        <v>132585.12</v>
      </c>
      <c r="P117">
        <v>4589.68</v>
      </c>
      <c r="Q117">
        <v>49798.19</v>
      </c>
      <c r="R117">
        <f t="shared" si="10"/>
        <v>45208.51</v>
      </c>
      <c r="S117">
        <v>91502.63</v>
      </c>
      <c r="T117">
        <v>768515.28</v>
      </c>
      <c r="U117">
        <f t="shared" si="11"/>
        <v>677012.65</v>
      </c>
    </row>
    <row r="118" spans="1:21" x14ac:dyDescent="0.3">
      <c r="A118" s="9" t="str">
        <f xml:space="preserve"> _xll.EPMOlapMemberO("[CECO].[PARENTH3].[AMSA1002AD6000]","","AMSA1002AD6000 - Adm Comercialización","","000")</f>
        <v>AMSA1002AD6000 - Adm Comercialización</v>
      </c>
      <c r="B118" s="8" t="str">
        <f xml:space="preserve"> _xll.EPMOlapMemberO("[CLACO].[PARENTH7].[AMSACOMERCIALI]","","Comercial","","000")</f>
        <v>Comercial</v>
      </c>
      <c r="C118" t="str">
        <f>_xlfn.CONCAT(_xll.EPMMemberProperty("COSTOS", _xll.EPMMemberID(A118), "PARENTH3"), " - ", _xll.EPMMemberDesc(_xll.EPMMemberProperty("COSTOS", _xll.EPMMemberID(A118), "PARENTH3"), "COSTOS"))</f>
        <v>N1002AD610 - Gastos Cu</v>
      </c>
      <c r="E118">
        <v>551161.82999999996</v>
      </c>
      <c r="F118">
        <f t="shared" si="6"/>
        <v>551161.82999999996</v>
      </c>
      <c r="H118">
        <v>436541.34</v>
      </c>
      <c r="I118">
        <f t="shared" si="7"/>
        <v>436541.34</v>
      </c>
      <c r="K118">
        <v>579929.91</v>
      </c>
      <c r="L118">
        <f t="shared" si="8"/>
        <v>579929.91</v>
      </c>
      <c r="N118">
        <v>723178.79</v>
      </c>
      <c r="O118">
        <f t="shared" si="9"/>
        <v>723178.79</v>
      </c>
      <c r="Q118">
        <v>647925.51</v>
      </c>
      <c r="R118">
        <f t="shared" si="10"/>
        <v>647925.51</v>
      </c>
      <c r="T118">
        <v>7557366.1699999999</v>
      </c>
      <c r="U118">
        <f t="shared" si="11"/>
        <v>7557366.1699999999</v>
      </c>
    </row>
    <row r="119" spans="1:21" x14ac:dyDescent="0.3">
      <c r="A119" s="4" t="str">
        <f xml:space="preserve"> _xll.EPMOlapMemberO("[CECO].[PARENTH3].[AMSA1002AD6000]","","AMSA1002AD6000 - Adm Comercialización","","000")</f>
        <v>AMSA1002AD6000 - Adm Comercialización</v>
      </c>
      <c r="B119" s="6" t="str">
        <f xml:space="preserve"> _xll.EPMOlapMemberO("[CLACO].[PARENTH7].[AMSASERV_CORP]","","Servicios Corporativ","","000")</f>
        <v>Servicios Corporativ</v>
      </c>
      <c r="C119" t="str">
        <f>_xlfn.CONCAT(_xll.EPMMemberProperty("COSTOS", _xll.EPMMemberID(A119), "PARENTH3"), " - ", _xll.EPMMemberDesc(_xll.EPMMemberProperty("COSTOS", _xll.EPMMemberID(A119), "PARENTH3"), "COSTOS"))</f>
        <v>N1002AD610 - Gastos Cu</v>
      </c>
      <c r="D119">
        <v>232830.74</v>
      </c>
      <c r="E119">
        <v>4030599.18</v>
      </c>
      <c r="F119">
        <f t="shared" si="6"/>
        <v>3797768.4400000004</v>
      </c>
      <c r="G119">
        <v>239506.29</v>
      </c>
      <c r="H119">
        <v>2789736.58</v>
      </c>
      <c r="I119">
        <f t="shared" si="7"/>
        <v>2550230.29</v>
      </c>
      <c r="J119">
        <v>238705.75</v>
      </c>
      <c r="K119">
        <v>3791133.02</v>
      </c>
      <c r="L119">
        <f t="shared" si="8"/>
        <v>3552427.27</v>
      </c>
      <c r="M119">
        <v>228651.22</v>
      </c>
      <c r="N119">
        <v>3555786.61</v>
      </c>
      <c r="O119">
        <f t="shared" si="9"/>
        <v>3327135.3899999997</v>
      </c>
      <c r="P119">
        <v>234307</v>
      </c>
      <c r="Q119">
        <v>3218943.08</v>
      </c>
      <c r="R119">
        <f t="shared" si="10"/>
        <v>2984636.08</v>
      </c>
      <c r="S119">
        <v>1174001</v>
      </c>
      <c r="T119">
        <v>42399843.020000003</v>
      </c>
      <c r="U119">
        <f t="shared" si="11"/>
        <v>41225842.020000003</v>
      </c>
    </row>
  </sheetData>
  <pageMargins left="0.7" right="0.7" top="0.75" bottom="0.75" header="0.3" footer="0.3"/>
  <customProperties>
    <customPr name="FPMExcelClientCellBasedFunctionStatus" r:id="rId1"/>
    <customPr name="FPMExcelClientRefreshTime" r:id="rId2"/>
  </customProperties>
  <drawing r:id="rId3"/>
  <legacyDrawing r:id="rId4"/>
  <controls>
    <mc:AlternateContent xmlns:mc="http://schemas.openxmlformats.org/markup-compatibility/2006">
      <mc:Choice Requires="x14">
        <control shapeId="7172" r:id="rId5" name="AnalyzerDynReport000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556260</xdr:colOff>
                <xdr:row>0</xdr:row>
                <xdr:rowOff>0</xdr:rowOff>
              </to>
            </anchor>
          </controlPr>
        </control>
      </mc:Choice>
      <mc:Fallback>
        <control shapeId="7172" r:id="rId5" name="AnalyzerDynReport000tb1"/>
      </mc:Fallback>
    </mc:AlternateContent>
    <mc:AlternateContent xmlns:mc="http://schemas.openxmlformats.org/markup-compatibility/2006">
      <mc:Choice Requires="x14">
        <control shapeId="7171" r:id="rId7" name="MultipleReportManagerInfo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556260</xdr:colOff>
                <xdr:row>0</xdr:row>
                <xdr:rowOff>0</xdr:rowOff>
              </to>
            </anchor>
          </controlPr>
        </control>
      </mc:Choice>
      <mc:Fallback>
        <control shapeId="7171" r:id="rId7" name="MultipleReportManagerInfotb1"/>
      </mc:Fallback>
    </mc:AlternateContent>
    <mc:AlternateContent xmlns:mc="http://schemas.openxmlformats.org/markup-compatibility/2006">
      <mc:Choice Requires="x14">
        <control shapeId="7170" r:id="rId9" name="ConnectionDescriptors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556260</xdr:colOff>
                <xdr:row>0</xdr:row>
                <xdr:rowOff>0</xdr:rowOff>
              </to>
            </anchor>
          </controlPr>
        </control>
      </mc:Choice>
      <mc:Fallback>
        <control shapeId="7170" r:id="rId9" name="ConnectionDescriptorsInfotb1"/>
      </mc:Fallback>
    </mc:AlternateContent>
    <mc:AlternateContent xmlns:mc="http://schemas.openxmlformats.org/markup-compatibility/2006">
      <mc:Choice Requires="x14">
        <control shapeId="7169" r:id="rId11" name="FPMExcelClientSheetOptionstb1">
          <controlPr defaultSize="0" autoLine="0" autoPict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556260</xdr:colOff>
                <xdr:row>0</xdr:row>
                <xdr:rowOff>0</xdr:rowOff>
              </to>
            </anchor>
          </controlPr>
        </control>
      </mc:Choice>
      <mc:Fallback>
        <control shapeId="7169" r:id="rId11" name="FPMExcelClientSheetOptionstb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F262-67B5-4B7C-A741-3B19B6BF1F04}">
  <sheetPr codeName="Hoja4"/>
  <dimension ref="A1:U125"/>
  <sheetViews>
    <sheetView zoomScale="70" zoomScaleNormal="70" workbookViewId="0">
      <selection activeCell="S6" sqref="S6"/>
    </sheetView>
  </sheetViews>
  <sheetFormatPr baseColWidth="10" defaultRowHeight="13.8" x14ac:dyDescent="0.3"/>
  <cols>
    <col min="1" max="1" width="35.5546875" bestFit="1" customWidth="1"/>
    <col min="2" max="2" width="37.109375" bestFit="1" customWidth="1"/>
    <col min="3" max="3" width="28.88671875" bestFit="1" customWidth="1"/>
    <col min="4" max="5" width="11" bestFit="1" customWidth="1"/>
    <col min="6" max="6" width="10.5546875" bestFit="1" customWidth="1"/>
    <col min="7" max="7" width="10" bestFit="1" customWidth="1"/>
    <col min="8" max="8" width="11" bestFit="1" customWidth="1"/>
    <col min="9" max="9" width="10.5546875" bestFit="1" customWidth="1"/>
    <col min="10" max="10" width="10" bestFit="1" customWidth="1"/>
    <col min="11" max="11" width="11" bestFit="1" customWidth="1"/>
    <col min="12" max="12" width="10.5546875" bestFit="1" customWidth="1"/>
    <col min="13" max="13" width="10" bestFit="1" customWidth="1"/>
    <col min="14" max="14" width="11" bestFit="1" customWidth="1"/>
    <col min="15" max="15" width="10.5546875" bestFit="1" customWidth="1"/>
    <col min="16" max="17" width="11" bestFit="1" customWidth="1"/>
    <col min="18" max="18" width="9.5546875" bestFit="1" customWidth="1"/>
    <col min="19" max="19" width="11" bestFit="1" customWidth="1"/>
    <col min="20" max="20" width="12" bestFit="1" customWidth="1"/>
    <col min="21" max="21" width="11" bestFit="1" customWidth="1"/>
    <col min="22" max="22" width="9.44140625" bestFit="1" customWidth="1"/>
    <col min="23" max="24" width="11" bestFit="1" customWidth="1"/>
    <col min="25" max="25" width="9.44140625" bestFit="1" customWidth="1"/>
    <col min="26" max="27" width="11" bestFit="1" customWidth="1"/>
    <col min="28" max="28" width="9.44140625" bestFit="1" customWidth="1"/>
    <col min="29" max="30" width="11" bestFit="1" customWidth="1"/>
    <col min="31" max="31" width="9.44140625" bestFit="1" customWidth="1"/>
    <col min="32" max="33" width="11" bestFit="1" customWidth="1"/>
    <col min="34" max="34" width="9.44140625" bestFit="1" customWidth="1"/>
    <col min="35" max="36" width="11" bestFit="1" customWidth="1"/>
    <col min="37" max="37" width="9.44140625" bestFit="1" customWidth="1"/>
    <col min="38" max="40" width="11" bestFit="1" customWidth="1"/>
    <col min="41" max="42" width="12" bestFit="1" customWidth="1"/>
  </cols>
  <sheetData>
    <row r="1" spans="1:21" x14ac:dyDescent="0.3">
      <c r="A1" t="str" cm="1">
        <f t="array" ref="A1">_xll.EPMDimensionOverrideRange("000","CECO",CECOS!$B$2:$B$128)</f>
        <v>Expansión de CECO sobrescrita</v>
      </c>
    </row>
    <row r="2" spans="1:21" x14ac:dyDescent="0.3">
      <c r="A2" s="7" t="str">
        <f xml:space="preserve"> _xll.EPMOlapMemberO("[CEBE].[PARENTH1].[JE-]","","Gr Antofagasta Miner","","000")</f>
        <v>Gr Antofagasta Miner</v>
      </c>
    </row>
    <row r="4" spans="1:21" x14ac:dyDescent="0.3">
      <c r="A4" s="7" t="str">
        <f xml:space="preserve"> _xll.EPMOlapMemberO("[ENTITY].[PARENTH1].[1005]","","1005 - Compañia Minera Zaldivar","","000")</f>
        <v>1005 - Compañia Minera Zaldivar</v>
      </c>
    </row>
    <row r="7" spans="1:21" x14ac:dyDescent="0.3">
      <c r="C7" t="str">
        <f xml:space="preserve"> _xll.EPMOlapMemberO("[Blank Member]","","","","000")</f>
        <v/>
      </c>
      <c r="D7" t="str">
        <f xml:space="preserve"> _xll.EPMOlapMemberO("[TIME].[PARENTH1].[2026.01]","","2026.01","","000")</f>
        <v>2026.01</v>
      </c>
      <c r="G7" t="str">
        <f xml:space="preserve"> _xll.EPMOlapMemberO("[TIME].[PARENTH1].[2026.02]","","2026.02","","000")</f>
        <v>2026.02</v>
      </c>
      <c r="J7" t="str">
        <f xml:space="preserve"> _xll.EPMOlapMemberO("[TIME].[PARENTH1].[2026.03]","","2026.03","","000")</f>
        <v>2026.03</v>
      </c>
      <c r="M7" t="str">
        <f xml:space="preserve"> _xll.EPMOlapMemberO("[TIME].[PARENTH1].[2026.04]","","2026.04","","000")</f>
        <v>2026.04</v>
      </c>
      <c r="P7" t="str">
        <f xml:space="preserve"> _xll.EPMOlapMemberO("[TIME].[PARENTH1].[2026.05]","","2026.05","","000")</f>
        <v>2026.05</v>
      </c>
      <c r="S7" t="str">
        <f xml:space="preserve"> _xll.EPMOlapMemberO("[TIME].[PARENTH1].[2026.TOTAL]","","2026.TOTAL","","000")</f>
        <v>2026.TOTAL</v>
      </c>
    </row>
    <row r="8" spans="1:21" x14ac:dyDescent="0.3">
      <c r="C8" t="str">
        <f xml:space="preserve"> _xll.FPMXLClient.TechnicalCategory.EPMLocalMember("CeCo Padre","000","000")</f>
        <v>CeCo Padre</v>
      </c>
      <c r="D8" t="str">
        <f xml:space="preserve"> _xll.EPMOlapMemberO("[CATEGORY].[].[REAL]","","Real - Real","","000")</f>
        <v>Real - Real</v>
      </c>
      <c r="E8" t="str">
        <f xml:space="preserve"> _xll.EPMOlapMemberO("[CATEGORY].[].[PLAN]","","Plan - Plan","","000")</f>
        <v>Plan - Plan</v>
      </c>
      <c r="F8" t="str">
        <f xml:space="preserve"> _xll.FPMXLClient.TechnicalCategory.EPMLocalMember("Var","001","000")</f>
        <v>Var</v>
      </c>
      <c r="G8" t="str">
        <f xml:space="preserve"> _xll.EPMOlapMemberO("[CATEGORY].[].[REAL]","","Real - Real","","000")</f>
        <v>Real - Real</v>
      </c>
      <c r="H8" t="str">
        <f xml:space="preserve"> _xll.EPMOlapMemberO("[CATEGORY].[].[PLAN]","","Plan - Plan","","000")</f>
        <v>Plan - Plan</v>
      </c>
      <c r="I8" t="str">
        <f xml:space="preserve"> _xll.FPMXLClient.TechnicalCategory.EPMLocalMember("Var","001","000")</f>
        <v>Var</v>
      </c>
      <c r="J8" t="str">
        <f xml:space="preserve"> _xll.EPMOlapMemberO("[CATEGORY].[].[REAL]","","Real - Real","","000")</f>
        <v>Real - Real</v>
      </c>
      <c r="K8" t="str">
        <f xml:space="preserve"> _xll.EPMOlapMemberO("[CATEGORY].[].[PLAN]","","Plan - Plan","","000")</f>
        <v>Plan - Plan</v>
      </c>
      <c r="L8" t="str">
        <f xml:space="preserve"> _xll.FPMXLClient.TechnicalCategory.EPMLocalMember("Var","001","000")</f>
        <v>Var</v>
      </c>
      <c r="M8" t="str">
        <f xml:space="preserve"> _xll.EPMOlapMemberO("[CATEGORY].[].[REAL]","","Real - Real","","000")</f>
        <v>Real - Real</v>
      </c>
      <c r="N8" t="str">
        <f xml:space="preserve"> _xll.EPMOlapMemberO("[CATEGORY].[].[PLAN]","","Plan - Plan","","000")</f>
        <v>Plan - Plan</v>
      </c>
      <c r="O8" t="str">
        <f xml:space="preserve"> _xll.FPMXLClient.TechnicalCategory.EPMLocalMember("Var","001","000")</f>
        <v>Var</v>
      </c>
      <c r="P8" t="str">
        <f xml:space="preserve"> _xll.EPMOlapMemberO("[CATEGORY].[].[REAL]","","Real - Real","","000")</f>
        <v>Real - Real</v>
      </c>
      <c r="Q8" t="str">
        <f xml:space="preserve"> _xll.EPMOlapMemberO("[CATEGORY].[].[PLAN]","","Plan - Plan","","000")</f>
        <v>Plan - Plan</v>
      </c>
      <c r="R8" t="str">
        <f xml:space="preserve"> _xll.FPMXLClient.TechnicalCategory.EPMLocalMember("Var","001","000")</f>
        <v>Var</v>
      </c>
      <c r="S8" t="str">
        <f xml:space="preserve"> _xll.EPMOlapMemberO("[CATEGORY].[].[REAL]","","Real - Real","","000")</f>
        <v>Real - Real</v>
      </c>
      <c r="T8" t="str">
        <f xml:space="preserve"> _xll.EPMOlapMemberO("[CATEGORY].[].[PLAN]","","Plan - Plan","","000")</f>
        <v>Plan - Plan</v>
      </c>
      <c r="U8" t="str">
        <f xml:space="preserve"> _xll.FPMXLClient.TechnicalCategory.EPMLocalMember("Var","001","000")</f>
        <v>Var</v>
      </c>
    </row>
    <row r="9" spans="1:21" x14ac:dyDescent="0.3">
      <c r="A9" s="5" t="str">
        <f xml:space="preserve"> _xll.EPMOlapMemberO("[CECO].[PARENTH3].[AMSA1005AD0504]","","AMSA1005AD0504 - Corporativo","","000")</f>
        <v>AMSA1005AD0504 - Corporativo</v>
      </c>
      <c r="B9" s="6" t="str">
        <f xml:space="preserve"> _xll.EPMOlapMemberO("[CLACO].[PARENTH7].[AMSASERV_CORP]","","AMSASERV_CORP - Servicios Corporativ","","000")</f>
        <v>AMSASERV_CORP - Servicios Corporativ</v>
      </c>
      <c r="C9" t="str">
        <f>_xlfn.CONCAT(_xll.EPMMemberProperty("COSTOS", _xll.EPMMemberID(A9), "PARENTH3"), " - ", _xll.EPMMemberDesc(_xll.EPMMemberProperty("COSTOS", _xll.EPMMemberID(A9), "PARENTH3"), "COSTOS"))</f>
        <v>N1005AD050 - Gerencia General</v>
      </c>
      <c r="D9">
        <v>22554.91</v>
      </c>
      <c r="E9">
        <v>22300.59</v>
      </c>
      <c r="F9">
        <f>E9-D9</f>
        <v>-254.31999999999971</v>
      </c>
      <c r="G9">
        <v>23477.91</v>
      </c>
      <c r="H9">
        <v>22362.81</v>
      </c>
      <c r="I9">
        <f>H9-G9</f>
        <v>-1115.0999999999985</v>
      </c>
      <c r="J9">
        <v>23367.22</v>
      </c>
      <c r="K9">
        <v>22425.21</v>
      </c>
      <c r="L9">
        <f>K9-J9</f>
        <v>-942.01000000000204</v>
      </c>
      <c r="M9">
        <v>21976.97</v>
      </c>
      <c r="N9">
        <v>22487.78</v>
      </c>
      <c r="O9">
        <f>N9-M9</f>
        <v>510.80999999999767</v>
      </c>
      <c r="P9">
        <v>22758.99</v>
      </c>
      <c r="Q9">
        <v>22550.52</v>
      </c>
      <c r="R9">
        <f>Q9-P9</f>
        <v>-208.47000000000116</v>
      </c>
      <c r="S9">
        <v>114136</v>
      </c>
      <c r="T9">
        <v>271752.14</v>
      </c>
      <c r="U9">
        <f>T9-S9</f>
        <v>157616.14000000001</v>
      </c>
    </row>
    <row r="10" spans="1:21" x14ac:dyDescent="0.3">
      <c r="A10" s="5" t="str">
        <f xml:space="preserve"> _xll.EPMOlapMemberO("[CECO].[PARENTH3].[AMSA1005AD0505]","","AMSA1005AD0505 - Desarrollo Corp","","000")</f>
        <v>AMSA1005AD0505 - Desarrollo Corp</v>
      </c>
      <c r="B10" s="6" t="str">
        <f xml:space="preserve"> _xll.EPMOlapMemberO("[CLACO].[PARENTH7].[AMSAASESORIAS]","","AMSAASESORIAS - Asesorías y Consulto","","000")</f>
        <v>AMSAASESORIAS - Asesorías y Consulto</v>
      </c>
      <c r="C10" t="str">
        <f>_xlfn.CONCAT(_xll.EPMMemberProperty("COSTOS", _xll.EPMMemberID(A10), "PARENTH3"), " - ", _xll.EPMMemberDesc(_xll.EPMMemberProperty("COSTOS", _xll.EPMMemberID(A10), "PARENTH3"), "COSTOS"))</f>
        <v>N1005AD050 - Gerencia General</v>
      </c>
      <c r="F10">
        <f t="shared" ref="F10:F73" si="0">E10-D10</f>
        <v>0</v>
      </c>
      <c r="I10">
        <f t="shared" ref="I10:I73" si="1">H10-G10</f>
        <v>0</v>
      </c>
      <c r="L10">
        <f t="shared" ref="L10:L73" si="2">K10-J10</f>
        <v>0</v>
      </c>
      <c r="O10">
        <f t="shared" ref="O10:O73" si="3">N10-M10</f>
        <v>0</v>
      </c>
      <c r="Q10">
        <v>45379.13</v>
      </c>
      <c r="R10">
        <f t="shared" ref="R10:R73" si="4">Q10-P10</f>
        <v>45379.13</v>
      </c>
      <c r="T10">
        <v>45379.13</v>
      </c>
      <c r="U10">
        <f t="shared" ref="U10:U73" si="5">T10-S10</f>
        <v>45379.13</v>
      </c>
    </row>
    <row r="11" spans="1:21" x14ac:dyDescent="0.3">
      <c r="A11" s="5" t="str">
        <f xml:space="preserve"> _xll.EPMOlapMemberO("[CECO].[PARENTH3].[AMSA1005AD0505]","","AMSA1005AD0505 - Desarrollo Corp","","000")</f>
        <v>AMSA1005AD0505 - Desarrollo Corp</v>
      </c>
      <c r="B11" s="6" t="str">
        <f xml:space="preserve"> _xll.EPMOlapMemberO("[CLACO].[PARENTH7].[AMSAINFORMATIC]","","AMSAINFORMATIC - Informática y Comuni","","000")</f>
        <v>AMSAINFORMATIC - Informática y Comuni</v>
      </c>
      <c r="C11" t="str">
        <f>_xlfn.CONCAT(_xll.EPMMemberProperty("COSTOS", _xll.EPMMemberID(A11), "PARENTH3"), " - ", _xll.EPMMemberDesc(_xll.EPMMemberProperty("COSTOS", _xll.EPMMemberID(A11), "PARENTH3"), "COSTOS"))</f>
        <v>N1005AD050 - Gerencia General</v>
      </c>
      <c r="D11">
        <v>10200</v>
      </c>
      <c r="E11">
        <v>12510.18</v>
      </c>
      <c r="F11">
        <f t="shared" si="0"/>
        <v>2310.1800000000003</v>
      </c>
      <c r="G11">
        <v>0</v>
      </c>
      <c r="I11">
        <f t="shared" si="1"/>
        <v>0</v>
      </c>
      <c r="J11">
        <v>0</v>
      </c>
      <c r="L11">
        <f t="shared" si="2"/>
        <v>0</v>
      </c>
      <c r="M11">
        <v>2237.98</v>
      </c>
      <c r="O11">
        <f t="shared" si="3"/>
        <v>-2237.98</v>
      </c>
      <c r="P11">
        <v>0</v>
      </c>
      <c r="R11">
        <f t="shared" si="4"/>
        <v>0</v>
      </c>
      <c r="S11">
        <v>12437.98</v>
      </c>
      <c r="T11">
        <v>12510.18</v>
      </c>
      <c r="U11">
        <f t="shared" si="5"/>
        <v>72.200000000000728</v>
      </c>
    </row>
    <row r="12" spans="1:21" x14ac:dyDescent="0.3">
      <c r="A12" s="5" t="str">
        <f xml:space="preserve"> _xll.EPMOlapMemberO("[CECO].[PARENTH3].[AMSA1005AD0505]","","AMSA1005AD0505 - Desarrollo Corp","","000")</f>
        <v>AMSA1005AD0505 - Desarrollo Corp</v>
      </c>
      <c r="B12" s="6" t="str">
        <f xml:space="preserve"> _xll.EPMOlapMemberO("[CLACO].[PARENTH7].[AMSAG_VIAJES]","","AMSAG_VIAJES - Gastos de Viajes","","000")</f>
        <v>AMSAG_VIAJES - Gastos de Viajes</v>
      </c>
      <c r="C12" t="str">
        <f>_xlfn.CONCAT(_xll.EPMMemberProperty("COSTOS", _xll.EPMMemberID(A12), "PARENTH3"), " - ", _xll.EPMMemberDesc(_xll.EPMMemberProperty("COSTOS", _xll.EPMMemberID(A12), "PARENTH3"), "COSTOS"))</f>
        <v>N1005AD050 - Gerencia General</v>
      </c>
      <c r="E12">
        <v>1477.2</v>
      </c>
      <c r="F12">
        <f t="shared" si="0"/>
        <v>1477.2</v>
      </c>
      <c r="H12">
        <v>1479.98</v>
      </c>
      <c r="I12">
        <f t="shared" si="1"/>
        <v>1479.98</v>
      </c>
      <c r="K12">
        <v>1482.78</v>
      </c>
      <c r="L12">
        <f t="shared" si="2"/>
        <v>1482.78</v>
      </c>
      <c r="N12">
        <v>1485.61</v>
      </c>
      <c r="O12">
        <f t="shared" si="3"/>
        <v>1485.61</v>
      </c>
      <c r="Q12">
        <v>1488.44</v>
      </c>
      <c r="R12">
        <f t="shared" si="4"/>
        <v>1488.44</v>
      </c>
      <c r="T12">
        <v>17912.349999999999</v>
      </c>
      <c r="U12">
        <f t="shared" si="5"/>
        <v>17912.349999999999</v>
      </c>
    </row>
    <row r="13" spans="1:21" x14ac:dyDescent="0.3">
      <c r="A13" s="5" t="str">
        <f xml:space="preserve"> _xll.EPMOlapMemberO("[CECO].[PARENTH3].[AMSA1005AD0505]","","AMSA1005AD0505 - Desarrollo Corp","","000")</f>
        <v>AMSA1005AD0505 - Desarrollo Corp</v>
      </c>
      <c r="B13" s="6" t="str">
        <f xml:space="preserve"> _xll.EPMOlapMemberO("[CLACO].[PARENTH7].[AMSASERV_CORP]","","AMSASERV_CORP - Servicios Corporativ","","000")</f>
        <v>AMSASERV_CORP - Servicios Corporativ</v>
      </c>
      <c r="C13" t="str">
        <f>_xlfn.CONCAT(_xll.EPMMemberProperty("COSTOS", _xll.EPMMemberID(A13), "PARENTH3"), " - ", _xll.EPMMemberDesc(_xll.EPMMemberProperty("COSTOS", _xll.EPMMemberID(A13), "PARENTH3"), "COSTOS"))</f>
        <v>N1005AD050 - Gerencia General</v>
      </c>
      <c r="D13">
        <v>31003.24</v>
      </c>
      <c r="E13">
        <v>30653.89</v>
      </c>
      <c r="F13">
        <f t="shared" si="0"/>
        <v>-349.35000000000218</v>
      </c>
      <c r="G13">
        <v>32271.96</v>
      </c>
      <c r="H13">
        <v>30739.42</v>
      </c>
      <c r="I13">
        <f t="shared" si="1"/>
        <v>-1532.5400000000009</v>
      </c>
      <c r="J13">
        <v>32119.81</v>
      </c>
      <c r="K13">
        <v>30825.18</v>
      </c>
      <c r="L13">
        <f t="shared" si="2"/>
        <v>-1294.630000000001</v>
      </c>
      <c r="M13">
        <v>30208.82</v>
      </c>
      <c r="N13">
        <v>30911.19</v>
      </c>
      <c r="O13">
        <f t="shared" si="3"/>
        <v>702.36999999999898</v>
      </c>
      <c r="P13">
        <v>31284.17</v>
      </c>
      <c r="Q13">
        <v>30997.43</v>
      </c>
      <c r="R13">
        <f t="shared" si="4"/>
        <v>-286.73999999999796</v>
      </c>
      <c r="S13">
        <v>156888</v>
      </c>
      <c r="T13">
        <v>373544.33</v>
      </c>
      <c r="U13">
        <f t="shared" si="5"/>
        <v>216656.33000000002</v>
      </c>
    </row>
    <row r="14" spans="1:21" x14ac:dyDescent="0.3">
      <c r="A14" s="5" t="str">
        <f xml:space="preserve"> _xll.EPMOlapMemberO("[CECO].[PARENTH3].[AMSA1005AD0506]","","AMSA1005AD0506 - Estrateg e Inn Corp","","000")</f>
        <v>AMSA1005AD0506 - Estrateg e Inn Corp</v>
      </c>
      <c r="B14" s="6" t="str">
        <f xml:space="preserve"> _xll.EPMOlapMemberO("[CLACO].[PARENTH7].[AMSASERVICIOS]","","AMSASERVICIOS - Servicios","","000")</f>
        <v>AMSASERVICIOS - Servicios</v>
      </c>
      <c r="C14" t="str">
        <f>_xlfn.CONCAT(_xll.EPMMemberProperty("COSTOS", _xll.EPMMemberID(A14), "PARENTH3"), " - ", _xll.EPMMemberDesc(_xll.EPMMemberProperty("COSTOS", _xll.EPMMemberID(A14), "PARENTH3"), "COSTOS"))</f>
        <v>N1005AD050 - Gerencia General</v>
      </c>
      <c r="D14">
        <v>0</v>
      </c>
      <c r="E14">
        <v>5226.53</v>
      </c>
      <c r="F14">
        <f t="shared" si="0"/>
        <v>5226.53</v>
      </c>
      <c r="G14">
        <v>23265.279999999999</v>
      </c>
      <c r="H14">
        <v>5227.13</v>
      </c>
      <c r="I14">
        <f t="shared" si="1"/>
        <v>-18038.149999999998</v>
      </c>
      <c r="J14">
        <v>14398.78</v>
      </c>
      <c r="K14">
        <v>5227.68</v>
      </c>
      <c r="L14">
        <f t="shared" si="2"/>
        <v>-9171.1</v>
      </c>
      <c r="M14">
        <v>15181.05</v>
      </c>
      <c r="N14">
        <v>5228.6400000000003</v>
      </c>
      <c r="O14">
        <f t="shared" si="3"/>
        <v>-9952.41</v>
      </c>
      <c r="P14">
        <v>0</v>
      </c>
      <c r="Q14">
        <v>5229.57</v>
      </c>
      <c r="R14">
        <f t="shared" si="4"/>
        <v>5229.57</v>
      </c>
      <c r="S14">
        <v>52845.11</v>
      </c>
      <c r="T14">
        <v>62769.78</v>
      </c>
      <c r="U14">
        <f t="shared" si="5"/>
        <v>9924.6699999999983</v>
      </c>
    </row>
    <row r="15" spans="1:21" x14ac:dyDescent="0.3">
      <c r="A15" s="5" t="str">
        <f xml:space="preserve"> _xll.EPMOlapMemberO("[CECO].[PARENTH3].[AMSA1005AD0506]","","AMSA1005AD0506 - Estrateg e Inn Corp","","000")</f>
        <v>AMSA1005AD0506 - Estrateg e Inn Corp</v>
      </c>
      <c r="B15" s="6" t="str">
        <f xml:space="preserve"> _xll.EPMOlapMemberO("[CLACO].[PARENTH7].[AMSAINFORMATIC]","","AMSAINFORMATIC - Informática y Comuni","","000")</f>
        <v>AMSAINFORMATIC - Informática y Comuni</v>
      </c>
      <c r="C15" t="str">
        <f>_xlfn.CONCAT(_xll.EPMMemberProperty("COSTOS", _xll.EPMMemberID(A15), "PARENTH3"), " - ", _xll.EPMMemberDesc(_xll.EPMMemberProperty("COSTOS", _xll.EPMMemberID(A15), "PARENTH3"), "COSTOS"))</f>
        <v>N1005AD050 - Gerencia General</v>
      </c>
      <c r="D15">
        <v>36427.81</v>
      </c>
      <c r="E15">
        <v>40044.06</v>
      </c>
      <c r="F15">
        <f t="shared" si="0"/>
        <v>3616.25</v>
      </c>
      <c r="G15">
        <v>37234.769999999997</v>
      </c>
      <c r="H15">
        <v>40264.53</v>
      </c>
      <c r="I15">
        <f t="shared" si="1"/>
        <v>3029.760000000002</v>
      </c>
      <c r="J15">
        <v>34676.75</v>
      </c>
      <c r="K15">
        <v>40704.06</v>
      </c>
      <c r="L15">
        <f t="shared" si="2"/>
        <v>6027.3099999999977</v>
      </c>
      <c r="M15">
        <v>29483.26</v>
      </c>
      <c r="N15">
        <v>40447.86</v>
      </c>
      <c r="O15">
        <f t="shared" si="3"/>
        <v>10964.600000000002</v>
      </c>
      <c r="P15">
        <v>53323.3</v>
      </c>
      <c r="Q15">
        <v>40458.01</v>
      </c>
      <c r="R15">
        <f t="shared" si="4"/>
        <v>-12865.29</v>
      </c>
      <c r="S15">
        <v>137822.59</v>
      </c>
      <c r="T15">
        <v>492125.91</v>
      </c>
      <c r="U15">
        <f t="shared" si="5"/>
        <v>354303.31999999995</v>
      </c>
    </row>
    <row r="16" spans="1:21" x14ac:dyDescent="0.3">
      <c r="A16" s="5" t="str">
        <f xml:space="preserve"> _xll.EPMOlapMemberO("[CECO].[PARENTH3].[AMSA1005AD0506]","","AMSA1005AD0506 - Estrateg e Inn Corp","","000")</f>
        <v>AMSA1005AD0506 - Estrateg e Inn Corp</v>
      </c>
      <c r="B16" s="6" t="str">
        <f xml:space="preserve"> _xll.EPMOlapMemberO("[CLACO].[PARENTH7].[AMSASERV_CORP]","","AMSASERV_CORP - Servicios Corporativ","","000")</f>
        <v>AMSASERV_CORP - Servicios Corporativ</v>
      </c>
      <c r="C16" t="str">
        <f>_xlfn.CONCAT(_xll.EPMMemberProperty("COSTOS", _xll.EPMMemberID(A16), "PARENTH3"), " - ", _xll.EPMMemberDesc(_xll.EPMMemberProperty("COSTOS", _xll.EPMMemberID(A16), "PARENTH3"), "COSTOS"))</f>
        <v>N1005AD050 - Gerencia General</v>
      </c>
      <c r="D16">
        <v>58641.96</v>
      </c>
      <c r="E16">
        <v>57980.93</v>
      </c>
      <c r="F16">
        <f t="shared" si="0"/>
        <v>-661.02999999999884</v>
      </c>
      <c r="G16">
        <v>61041.72</v>
      </c>
      <c r="H16">
        <v>58142.7</v>
      </c>
      <c r="I16">
        <f t="shared" si="1"/>
        <v>-2899.0200000000041</v>
      </c>
      <c r="J16">
        <v>60753.94</v>
      </c>
      <c r="K16">
        <v>58304.93</v>
      </c>
      <c r="L16">
        <f t="shared" si="2"/>
        <v>-2449.010000000002</v>
      </c>
      <c r="M16">
        <v>57139.33</v>
      </c>
      <c r="N16">
        <v>58467.61</v>
      </c>
      <c r="O16">
        <f t="shared" si="3"/>
        <v>1328.2799999999988</v>
      </c>
      <c r="P16">
        <v>59172.05</v>
      </c>
      <c r="Q16">
        <v>58630.74</v>
      </c>
      <c r="R16">
        <f t="shared" si="4"/>
        <v>-541.31000000000495</v>
      </c>
      <c r="S16">
        <v>296749</v>
      </c>
      <c r="T16">
        <v>706548.14</v>
      </c>
      <c r="U16">
        <f t="shared" si="5"/>
        <v>409799.14</v>
      </c>
    </row>
    <row r="17" spans="1:21" x14ac:dyDescent="0.3">
      <c r="A17" s="5" t="str">
        <f xml:space="preserve"> _xll.EPMOlapMemberO("[CECO].[PARENTH3].[AMSA1005AD0507]","","AMSA1005AD0507 - Operaciones Corp","","000")</f>
        <v>AMSA1005AD0507 - Operaciones Corp</v>
      </c>
      <c r="B17" s="6" t="str">
        <f xml:space="preserve"> _xll.EPMOlapMemberO("[CLACO].[PARENTH7].[AMSAENTRENAMI]","","AMSAENTRENAMI - Entrenamiento","","000")</f>
        <v>AMSAENTRENAMI - Entrenamiento</v>
      </c>
      <c r="C17" t="str">
        <f>_xlfn.CONCAT(_xll.EPMMemberProperty("COSTOS", _xll.EPMMemberID(A17), "PARENTH3"), " - ", _xll.EPMMemberDesc(_xll.EPMMemberProperty("COSTOS", _xll.EPMMemberID(A17), "PARENTH3"), "COSTOS"))</f>
        <v>N1005AD050 - Gerencia General</v>
      </c>
      <c r="F17">
        <f t="shared" si="0"/>
        <v>0</v>
      </c>
      <c r="I17">
        <f t="shared" si="1"/>
        <v>0</v>
      </c>
      <c r="J17">
        <v>4927.13</v>
      </c>
      <c r="L17">
        <f t="shared" si="2"/>
        <v>-4927.13</v>
      </c>
      <c r="M17">
        <v>0</v>
      </c>
      <c r="O17">
        <f t="shared" si="3"/>
        <v>0</v>
      </c>
      <c r="P17">
        <v>0</v>
      </c>
      <c r="R17">
        <f t="shared" si="4"/>
        <v>0</v>
      </c>
      <c r="S17">
        <v>4927.13</v>
      </c>
      <c r="U17">
        <f t="shared" si="5"/>
        <v>-4927.13</v>
      </c>
    </row>
    <row r="18" spans="1:21" x14ac:dyDescent="0.3">
      <c r="A18" s="5" t="str">
        <f xml:space="preserve"> _xll.EPMOlapMemberO("[CECO].[PARENTH3].[AMSA1005AD0507]","","AMSA1005AD0507 - Operaciones Corp","","000")</f>
        <v>AMSA1005AD0507 - Operaciones Corp</v>
      </c>
      <c r="B18" s="6" t="str">
        <f xml:space="preserve"> _xll.EPMOlapMemberO("[CLACO].[PARENTH7].[AMSAASESORIAS]","","AMSAASESORIAS - Asesorías y Consulto","","000")</f>
        <v>AMSAASESORIAS - Asesorías y Consulto</v>
      </c>
      <c r="C18" t="str">
        <f>_xlfn.CONCAT(_xll.EPMMemberProperty("COSTOS", _xll.EPMMemberID(A18), "PARENTH3"), " - ", _xll.EPMMemberDesc(_xll.EPMMemberProperty("COSTOS", _xll.EPMMemberID(A18), "PARENTH3"), "COSTOS"))</f>
        <v>N1005AD050 - Gerencia General</v>
      </c>
      <c r="D18">
        <v>1736.27</v>
      </c>
      <c r="E18">
        <v>1248.1199999999999</v>
      </c>
      <c r="F18">
        <f t="shared" si="0"/>
        <v>-488.15000000000009</v>
      </c>
      <c r="G18">
        <v>0</v>
      </c>
      <c r="H18">
        <v>1247.58</v>
      </c>
      <c r="I18">
        <f t="shared" si="1"/>
        <v>1247.58</v>
      </c>
      <c r="J18">
        <v>62198.94</v>
      </c>
      <c r="K18">
        <v>1895.55</v>
      </c>
      <c r="L18">
        <f t="shared" si="2"/>
        <v>-60303.39</v>
      </c>
      <c r="M18">
        <v>2501.7399999999998</v>
      </c>
      <c r="N18">
        <v>1894.62</v>
      </c>
      <c r="O18">
        <f t="shared" si="3"/>
        <v>-607.11999999999989</v>
      </c>
      <c r="P18">
        <v>35533.370000000003</v>
      </c>
      <c r="Q18">
        <v>23823.03</v>
      </c>
      <c r="R18">
        <f t="shared" si="4"/>
        <v>-11710.340000000004</v>
      </c>
      <c r="S18">
        <v>101970.32</v>
      </c>
      <c r="T18">
        <v>82638.820000000007</v>
      </c>
      <c r="U18">
        <f t="shared" si="5"/>
        <v>-19331.5</v>
      </c>
    </row>
    <row r="19" spans="1:21" x14ac:dyDescent="0.3">
      <c r="A19" s="5" t="str">
        <f xml:space="preserve"> _xll.EPMOlapMemberO("[CECO].[PARENTH3].[AMSA1005AD0507]","","AMSA1005AD0507 - Operaciones Corp","","000")</f>
        <v>AMSA1005AD0507 - Operaciones Corp</v>
      </c>
      <c r="B19" s="6" t="str">
        <f xml:space="preserve"> _xll.EPMOlapMemberO("[CLACO].[PARENTH7].[AMSASERVICIOS]","","AMSASERVICIOS - Servicios","","000")</f>
        <v>AMSASERVICIOS - Servicios</v>
      </c>
      <c r="C19" t="str">
        <f>_xlfn.CONCAT(_xll.EPMMemberProperty("COSTOS", _xll.EPMMemberID(A19), "PARENTH3"), " - ", _xll.EPMMemberDesc(_xll.EPMMemberProperty("COSTOS", _xll.EPMMemberID(A19), "PARENTH3"), "COSTOS"))</f>
        <v>N1005AD050 - Gerencia General</v>
      </c>
      <c r="D19">
        <v>9798.6200000000008</v>
      </c>
      <c r="E19">
        <v>21802.33</v>
      </c>
      <c r="F19">
        <f t="shared" si="0"/>
        <v>12003.710000000001</v>
      </c>
      <c r="G19">
        <v>9022.32</v>
      </c>
      <c r="H19">
        <v>11528.37</v>
      </c>
      <c r="I19">
        <f t="shared" si="1"/>
        <v>2506.0500000000011</v>
      </c>
      <c r="J19">
        <v>8215.43</v>
      </c>
      <c r="K19">
        <v>22718.38</v>
      </c>
      <c r="L19">
        <f t="shared" si="2"/>
        <v>14502.95</v>
      </c>
      <c r="M19">
        <v>15148.76</v>
      </c>
      <c r="N19">
        <v>19115.07</v>
      </c>
      <c r="O19">
        <f t="shared" si="3"/>
        <v>3966.3099999999995</v>
      </c>
      <c r="P19">
        <v>1103.43</v>
      </c>
      <c r="Q19">
        <v>5162.57</v>
      </c>
      <c r="R19">
        <f t="shared" si="4"/>
        <v>4059.1399999999994</v>
      </c>
      <c r="S19">
        <v>42185.13</v>
      </c>
      <c r="T19">
        <v>233938.2</v>
      </c>
      <c r="U19">
        <f t="shared" si="5"/>
        <v>191753.07</v>
      </c>
    </row>
    <row r="20" spans="1:21" x14ac:dyDescent="0.3">
      <c r="A20" s="5" t="str">
        <f xml:space="preserve"> _xll.EPMOlapMemberO("[CECO].[PARENTH3].[AMSA1005AD0507]","","AMSA1005AD0507 - Operaciones Corp","","000")</f>
        <v>AMSA1005AD0507 - Operaciones Corp</v>
      </c>
      <c r="B20" s="6" t="str">
        <f xml:space="preserve"> _xll.EPMOlapMemberO("[CLACO].[PARENTH7].[AMSAINFORMATIC]","","AMSAINFORMATIC - Informática y Comuni","","000")</f>
        <v>AMSAINFORMATIC - Informática y Comuni</v>
      </c>
      <c r="C20" t="str">
        <f>_xlfn.CONCAT(_xll.EPMMemberProperty("COSTOS", _xll.EPMMemberID(A20), "PARENTH3"), " - ", _xll.EPMMemberDesc(_xll.EPMMemberProperty("COSTOS", _xll.EPMMemberID(A20), "PARENTH3"), "COSTOS"))</f>
        <v>N1005AD050 - Gerencia General</v>
      </c>
      <c r="D20">
        <v>-23471.06</v>
      </c>
      <c r="E20">
        <v>249.62</v>
      </c>
      <c r="F20">
        <f t="shared" si="0"/>
        <v>23720.68</v>
      </c>
      <c r="G20">
        <v>0</v>
      </c>
      <c r="H20">
        <v>249.51</v>
      </c>
      <c r="I20">
        <f t="shared" si="1"/>
        <v>249.51</v>
      </c>
      <c r="J20">
        <v>0</v>
      </c>
      <c r="K20">
        <v>249.4</v>
      </c>
      <c r="L20">
        <f t="shared" si="2"/>
        <v>249.4</v>
      </c>
      <c r="M20">
        <v>0</v>
      </c>
      <c r="N20">
        <v>249.3</v>
      </c>
      <c r="O20">
        <f t="shared" si="3"/>
        <v>249.3</v>
      </c>
      <c r="P20">
        <v>0</v>
      </c>
      <c r="Q20">
        <v>249.2</v>
      </c>
      <c r="R20">
        <f t="shared" si="4"/>
        <v>249.2</v>
      </c>
      <c r="S20">
        <v>-23471.06</v>
      </c>
      <c r="T20">
        <v>2988.64</v>
      </c>
      <c r="U20">
        <f t="shared" si="5"/>
        <v>26459.7</v>
      </c>
    </row>
    <row r="21" spans="1:21" x14ac:dyDescent="0.3">
      <c r="A21" s="5" t="str">
        <f xml:space="preserve"> _xll.EPMOlapMemberO("[CECO].[PARENTH3].[AMSA1005AD0507]","","AMSA1005AD0507 - Operaciones Corp","","000")</f>
        <v>AMSA1005AD0507 - Operaciones Corp</v>
      </c>
      <c r="B21" s="6" t="str">
        <f xml:space="preserve"> _xll.EPMOlapMemberO("[CLACO].[PARENTH7].[AMSAG_VIAJES]","","AMSAG_VIAJES - Gastos de Viajes","","000")</f>
        <v>AMSAG_VIAJES - Gastos de Viajes</v>
      </c>
      <c r="C21" t="str">
        <f>_xlfn.CONCAT(_xll.EPMMemberProperty("COSTOS", _xll.EPMMemberID(A21), "PARENTH3"), " - ", _xll.EPMMemberDesc(_xll.EPMMemberProperty("COSTOS", _xll.EPMMemberID(A21), "PARENTH3"), "COSTOS"))</f>
        <v>N1005AD050 - Gerencia General</v>
      </c>
      <c r="D21">
        <v>0</v>
      </c>
      <c r="F21">
        <f t="shared" si="0"/>
        <v>0</v>
      </c>
      <c r="G21">
        <v>0</v>
      </c>
      <c r="I21">
        <f t="shared" si="1"/>
        <v>0</v>
      </c>
      <c r="J21">
        <v>0</v>
      </c>
      <c r="L21">
        <f t="shared" si="2"/>
        <v>0</v>
      </c>
      <c r="M21">
        <v>410.08</v>
      </c>
      <c r="O21">
        <f t="shared" si="3"/>
        <v>-410.08</v>
      </c>
      <c r="P21">
        <v>0</v>
      </c>
      <c r="R21">
        <f t="shared" si="4"/>
        <v>0</v>
      </c>
      <c r="S21">
        <v>410.08</v>
      </c>
      <c r="U21">
        <f t="shared" si="5"/>
        <v>-410.08</v>
      </c>
    </row>
    <row r="22" spans="1:21" x14ac:dyDescent="0.3">
      <c r="A22" s="5" t="str">
        <f xml:space="preserve"> _xll.EPMOlapMemberO("[CECO].[PARENTH3].[AMSA1005AD0507]","","AMSA1005AD0507 - Operaciones Corp","","000")</f>
        <v>AMSA1005AD0507 - Operaciones Corp</v>
      </c>
      <c r="B22" s="6" t="str">
        <f xml:space="preserve"> _xll.EPMOlapMemberO("[CLACO].[PARENTH7].[AMSASERV_CORP]","","AMSASERV_CORP - Servicios Corporativ","","000")</f>
        <v>AMSASERV_CORP - Servicios Corporativ</v>
      </c>
      <c r="C22" t="str">
        <f>_xlfn.CONCAT(_xll.EPMMemberProperty("COSTOS", _xll.EPMMemberID(A22), "PARENTH3"), " - ", _xll.EPMMemberDesc(_xll.EPMMemberProperty("COSTOS", _xll.EPMMemberID(A22), "PARENTH3"), "COSTOS"))</f>
        <v>N1005AD050 - Gerencia General</v>
      </c>
      <c r="D22">
        <v>105485.28</v>
      </c>
      <c r="E22">
        <v>104296.54</v>
      </c>
      <c r="F22">
        <f t="shared" si="0"/>
        <v>-1188.7400000000052</v>
      </c>
      <c r="G22">
        <v>109801.98</v>
      </c>
      <c r="H22">
        <v>104587.54</v>
      </c>
      <c r="I22">
        <f t="shared" si="1"/>
        <v>-5214.4400000000023</v>
      </c>
      <c r="J22">
        <v>109284.32</v>
      </c>
      <c r="K22">
        <v>104879.35</v>
      </c>
      <c r="L22">
        <f t="shared" si="2"/>
        <v>-4404.9700000000012</v>
      </c>
      <c r="M22">
        <v>102782.36</v>
      </c>
      <c r="N22">
        <v>105171.98</v>
      </c>
      <c r="O22">
        <f t="shared" si="3"/>
        <v>2389.6199999999953</v>
      </c>
      <c r="P22">
        <v>106439.06</v>
      </c>
      <c r="Q22">
        <v>105465.42</v>
      </c>
      <c r="R22">
        <f t="shared" si="4"/>
        <v>-973.63999999999942</v>
      </c>
      <c r="S22">
        <v>533793</v>
      </c>
      <c r="T22">
        <v>1270944.22</v>
      </c>
      <c r="U22">
        <f t="shared" si="5"/>
        <v>737151.22</v>
      </c>
    </row>
    <row r="23" spans="1:21" x14ac:dyDescent="0.3">
      <c r="A23" s="5" t="str">
        <f xml:space="preserve"> _xll.EPMOlapMemberO("[CECO].[PARENTH3].[AMSA1005AD0509]","","AMSA1005AD0509 - Finanzas Corporativo","","000")</f>
        <v>AMSA1005AD0509 - Finanzas Corporativo</v>
      </c>
      <c r="B23" s="6" t="str">
        <f xml:space="preserve"> _xll.EPMOlapMemberO("[CLACO].[PARENTH7].[AMSAG_VIAJES]","","AMSAG_VIAJES - Gastos de Viajes","","000")</f>
        <v>AMSAG_VIAJES - Gastos de Viajes</v>
      </c>
      <c r="C23" t="str">
        <f>_xlfn.CONCAT(_xll.EPMMemberProperty("COSTOS", _xll.EPMMemberID(A23), "PARENTH3"), " - ", _xll.EPMMemberDesc(_xll.EPMMemberProperty("COSTOS", _xll.EPMMemberID(A23), "PARENTH3"), "COSTOS"))</f>
        <v>N1005AD050 - Gerencia General</v>
      </c>
      <c r="D23">
        <v>87.09</v>
      </c>
      <c r="F23">
        <f t="shared" si="0"/>
        <v>-87.09</v>
      </c>
      <c r="I23">
        <f t="shared" si="1"/>
        <v>0</v>
      </c>
      <c r="L23">
        <f t="shared" si="2"/>
        <v>0</v>
      </c>
      <c r="O23">
        <f t="shared" si="3"/>
        <v>0</v>
      </c>
      <c r="R23">
        <f t="shared" si="4"/>
        <v>0</v>
      </c>
      <c r="S23">
        <v>87.09</v>
      </c>
      <c r="U23">
        <f t="shared" si="5"/>
        <v>-87.09</v>
      </c>
    </row>
    <row r="24" spans="1:21" x14ac:dyDescent="0.3">
      <c r="A24" s="5" t="str">
        <f xml:space="preserve"> _xll.EPMOlapMemberO("[CECO].[PARENTH3].[AMSA1005AD0509]","","AMSA1005AD0509 - Finanzas Corporativo","","000")</f>
        <v>AMSA1005AD0509 - Finanzas Corporativo</v>
      </c>
      <c r="B24" s="6" t="str">
        <f xml:space="preserve"> _xll.EPMOlapMemberO("[CLACO].[PARENTH7].[AMSASERV_CORP]","","AMSASERV_CORP - Servicios Corporativ","","000")</f>
        <v>AMSASERV_CORP - Servicios Corporativ</v>
      </c>
      <c r="C24" t="str">
        <f>_xlfn.CONCAT(_xll.EPMMemberProperty("COSTOS", _xll.EPMMemberID(A24), "PARENTH3"), " - ", _xll.EPMMemberDesc(_xll.EPMMemberProperty("COSTOS", _xll.EPMMemberID(A24), "PARENTH3"), "COSTOS"))</f>
        <v>N1005AD050 - Gerencia General</v>
      </c>
      <c r="D24">
        <v>211903.21</v>
      </c>
      <c r="E24">
        <v>209515.46</v>
      </c>
      <c r="F24">
        <f t="shared" si="0"/>
        <v>-2387.75</v>
      </c>
      <c r="G24">
        <v>220574.77</v>
      </c>
      <c r="H24">
        <v>210100.03</v>
      </c>
      <c r="I24">
        <f t="shared" si="1"/>
        <v>-10474.739999999991</v>
      </c>
      <c r="J24">
        <v>219534.87</v>
      </c>
      <c r="K24">
        <v>210686.24</v>
      </c>
      <c r="L24">
        <f t="shared" si="2"/>
        <v>-8848.6300000000047</v>
      </c>
      <c r="M24">
        <v>206473.47</v>
      </c>
      <c r="N24">
        <v>211274.08</v>
      </c>
      <c r="O24">
        <f t="shared" si="3"/>
        <v>4800.609999999986</v>
      </c>
      <c r="P24">
        <v>213819.68</v>
      </c>
      <c r="Q24">
        <v>211863.56</v>
      </c>
      <c r="R24">
        <f t="shared" si="4"/>
        <v>-1956.1199999999953</v>
      </c>
      <c r="S24">
        <v>1072306</v>
      </c>
      <c r="T24">
        <v>2553128.39</v>
      </c>
      <c r="U24">
        <f t="shared" si="5"/>
        <v>1480822.3900000001</v>
      </c>
    </row>
    <row r="25" spans="1:21" x14ac:dyDescent="0.3">
      <c r="A25" s="5" t="str">
        <f xml:space="preserve"> _xll.EPMOlapMemberO("[CECO].[PARENTH3].[AMSA1005AD0510]","","AMSA1005AD0510 - Legal Corporativo","","000")</f>
        <v>AMSA1005AD0510 - Legal Corporativo</v>
      </c>
      <c r="B25" s="6" t="str">
        <f xml:space="preserve"> _xll.EPMOlapMemberO("[CLACO].[PARENTH7].[AMSASERV_CORP]","","AMSASERV_CORP - Servicios Corporativ","","000")</f>
        <v>AMSASERV_CORP - Servicios Corporativ</v>
      </c>
      <c r="C25" t="str">
        <f>_xlfn.CONCAT(_xll.EPMMemberProperty("COSTOS", _xll.EPMMemberID(A25), "PARENTH3"), " - ", _xll.EPMMemberDesc(_xll.EPMMemberProperty("COSTOS", _xll.EPMMemberID(A25), "PARENTH3"), "COSTOS"))</f>
        <v>N1005AD050 - Gerencia General</v>
      </c>
      <c r="D25">
        <v>36294.589999999997</v>
      </c>
      <c r="E25">
        <v>35885.65</v>
      </c>
      <c r="F25">
        <f t="shared" si="0"/>
        <v>-408.93999999999505</v>
      </c>
      <c r="G25">
        <v>37779.839999999997</v>
      </c>
      <c r="H25">
        <v>35985.78</v>
      </c>
      <c r="I25">
        <f t="shared" si="1"/>
        <v>-1794.0599999999977</v>
      </c>
      <c r="J25">
        <v>37601.730000000003</v>
      </c>
      <c r="K25">
        <v>36086.18</v>
      </c>
      <c r="L25">
        <f t="shared" si="2"/>
        <v>-1515.5500000000029</v>
      </c>
      <c r="M25">
        <v>35364.58</v>
      </c>
      <c r="N25">
        <v>36186.86</v>
      </c>
      <c r="O25">
        <f t="shared" si="3"/>
        <v>822.27999999999884</v>
      </c>
      <c r="P25">
        <v>36624.26</v>
      </c>
      <c r="Q25">
        <v>36287.83</v>
      </c>
      <c r="R25">
        <f t="shared" si="4"/>
        <v>-336.43000000000029</v>
      </c>
      <c r="S25">
        <v>183665</v>
      </c>
      <c r="T25">
        <v>437297.89</v>
      </c>
      <c r="U25">
        <f t="shared" si="5"/>
        <v>253632.89</v>
      </c>
    </row>
    <row r="26" spans="1:21" x14ac:dyDescent="0.3">
      <c r="A26" s="5" t="str">
        <f xml:space="preserve"> _xll.EPMOlapMemberO("[CECO].[PARENTH3].[AMSA1005AD0512]","","AMSA1005AD0512 - Reporting VPACS Corp","","000")</f>
        <v>AMSA1005AD0512 - Reporting VPACS Corp</v>
      </c>
      <c r="B26" s="6" t="str">
        <f xml:space="preserve"> _xll.EPMOlapMemberO("[CLACO].[PARENTH7].[AMSASERVICIOS]","","AMSASERVICIOS - Servicios","","000")</f>
        <v>AMSASERVICIOS - Servicios</v>
      </c>
      <c r="C26" t="str">
        <f>_xlfn.CONCAT(_xll.EPMMemberProperty("COSTOS", _xll.EPMMemberID(A26), "PARENTH3"), " - ", _xll.EPMMemberDesc(_xll.EPMMemberProperty("COSTOS", _xll.EPMMemberID(A26), "PARENTH3"), "COSTOS"))</f>
        <v>N1005AD050 - Gerencia General</v>
      </c>
      <c r="D26">
        <v>0</v>
      </c>
      <c r="F26">
        <f t="shared" si="0"/>
        <v>0</v>
      </c>
      <c r="G26">
        <v>231.28</v>
      </c>
      <c r="H26">
        <v>7520.26</v>
      </c>
      <c r="I26">
        <f t="shared" si="1"/>
        <v>7288.9800000000005</v>
      </c>
      <c r="J26">
        <v>182.58</v>
      </c>
      <c r="K26">
        <v>12125.38</v>
      </c>
      <c r="L26">
        <f t="shared" si="2"/>
        <v>11942.8</v>
      </c>
      <c r="M26">
        <v>7787.88</v>
      </c>
      <c r="N26">
        <v>7548.8</v>
      </c>
      <c r="O26">
        <f t="shared" si="3"/>
        <v>-239.07999999999993</v>
      </c>
      <c r="P26">
        <v>880.94</v>
      </c>
      <c r="R26">
        <f t="shared" si="4"/>
        <v>-880.94</v>
      </c>
      <c r="S26">
        <v>8201.74</v>
      </c>
      <c r="T26">
        <v>75167.78</v>
      </c>
      <c r="U26">
        <f t="shared" si="5"/>
        <v>66966.039999999994</v>
      </c>
    </row>
    <row r="27" spans="1:21" x14ac:dyDescent="0.3">
      <c r="A27" s="5" t="str">
        <f xml:space="preserve"> _xll.EPMOlapMemberO("[CECO].[PARENTH3].[AMSA1005AD0512]","","AMSA1005AD0512 - Reporting VPACS Corp","","000")</f>
        <v>AMSA1005AD0512 - Reporting VPACS Corp</v>
      </c>
      <c r="B27" s="6" t="str">
        <f xml:space="preserve"> _xll.EPMOlapMemberO("[CLACO].[PARENTH7].[AMSAGGENERALES.2]","","AMSAGGENERALES.2 - Otros Gastos","","000")</f>
        <v>AMSAGGENERALES.2 - Otros Gastos</v>
      </c>
      <c r="C27" t="str">
        <f>_xlfn.CONCAT(_xll.EPMMemberProperty("COSTOS", _xll.EPMMemberID(A27), "PARENTH3"), " - ", _xll.EPMMemberDesc(_xll.EPMMemberProperty("COSTOS", _xll.EPMMemberID(A27), "PARENTH3"), "COSTOS"))</f>
        <v>N1005AD050 - Gerencia General</v>
      </c>
      <c r="F27">
        <f t="shared" si="0"/>
        <v>0</v>
      </c>
      <c r="I27">
        <f t="shared" si="1"/>
        <v>0</v>
      </c>
      <c r="K27">
        <v>3013.77</v>
      </c>
      <c r="L27">
        <f t="shared" si="2"/>
        <v>3013.77</v>
      </c>
      <c r="O27">
        <f t="shared" si="3"/>
        <v>0</v>
      </c>
      <c r="P27">
        <v>60536.57</v>
      </c>
      <c r="R27">
        <f t="shared" si="4"/>
        <v>-60536.57</v>
      </c>
      <c r="S27">
        <v>0</v>
      </c>
      <c r="T27">
        <v>65267.86</v>
      </c>
      <c r="U27">
        <f t="shared" si="5"/>
        <v>65267.86</v>
      </c>
    </row>
    <row r="28" spans="1:21" x14ac:dyDescent="0.3">
      <c r="A28" s="5" t="str">
        <f xml:space="preserve"> _xll.EPMOlapMemberO("[CECO].[PARENTH3].[AMSA1005AD3503]","","AMSA1005AD3503 - Finanzas","","000")</f>
        <v>AMSA1005AD3503 - Finanzas</v>
      </c>
      <c r="B28" s="6" t="str">
        <f xml:space="preserve"> _xll.EPMOlapMemberO("[CLACO].[PARENTH7].[AMSAMAT_Y_REP.2]","","AMSAMAT_Y_REP.2 - Materiales y repuest","","000")</f>
        <v>AMSAMAT_Y_REP.2 - Materiales y repuest</v>
      </c>
      <c r="C28" t="str">
        <f>_xlfn.CONCAT(_xll.EPMMemberProperty("COSTOS", _xll.EPMMemberID(A28), "PARENTH3"), " - ", _xll.EPMMemberDesc(_xll.EPMMemberProperty("COSTOS", _xll.EPMMemberID(A28), "PARENTH3"), "COSTOS"))</f>
        <v>N1005AD350 - Administración y Fin</v>
      </c>
      <c r="F28">
        <f t="shared" si="0"/>
        <v>0</v>
      </c>
      <c r="I28">
        <f t="shared" si="1"/>
        <v>0</v>
      </c>
      <c r="L28">
        <f t="shared" si="2"/>
        <v>0</v>
      </c>
      <c r="O28">
        <f t="shared" si="3"/>
        <v>0</v>
      </c>
      <c r="R28">
        <f t="shared" si="4"/>
        <v>0</v>
      </c>
      <c r="S28">
        <v>421.64</v>
      </c>
      <c r="U28">
        <f t="shared" si="5"/>
        <v>-421.64</v>
      </c>
    </row>
    <row r="29" spans="1:21" x14ac:dyDescent="0.3">
      <c r="A29" s="5" t="str">
        <f xml:space="preserve"> _xll.EPMOlapMemberO("[CECO].[PARENTH3].[AMSA1005AD3503]","","AMSA1005AD3503 - Finanzas","","000")</f>
        <v>AMSA1005AD3503 - Finanzas</v>
      </c>
      <c r="B29" s="6" t="str">
        <f xml:space="preserve"> _xll.EPMOlapMemberO("[CLACO].[PARENTH7].[AMSAADM_PERSON]","","AMSAADM_PERSON - Administración Perso","","000")</f>
        <v>AMSAADM_PERSON - Administración Perso</v>
      </c>
      <c r="C29" t="str">
        <f>_xlfn.CONCAT(_xll.EPMMemberProperty("COSTOS", _xll.EPMMemberID(A29), "PARENTH3"), " - ", _xll.EPMMemberDesc(_xll.EPMMemberProperty("COSTOS", _xll.EPMMemberID(A29), "PARENTH3"), "COSTOS"))</f>
        <v>N1005AD350 - Administración y Fin</v>
      </c>
      <c r="F29">
        <f t="shared" si="0"/>
        <v>0</v>
      </c>
      <c r="I29">
        <f t="shared" si="1"/>
        <v>0</v>
      </c>
      <c r="L29">
        <f t="shared" si="2"/>
        <v>0</v>
      </c>
      <c r="M29">
        <v>55.3</v>
      </c>
      <c r="O29">
        <f t="shared" si="3"/>
        <v>-55.3</v>
      </c>
      <c r="R29">
        <f t="shared" si="4"/>
        <v>0</v>
      </c>
      <c r="S29">
        <v>55.3</v>
      </c>
      <c r="U29">
        <f t="shared" si="5"/>
        <v>-55.3</v>
      </c>
    </row>
    <row r="30" spans="1:21" x14ac:dyDescent="0.3">
      <c r="A30" s="5" t="str">
        <f xml:space="preserve"> _xll.EPMOlapMemberO("[CECO].[PARENTH3].[AMSA1005AD3503]","","AMSA1005AD3503 - Finanzas","","000")</f>
        <v>AMSA1005AD3503 - Finanzas</v>
      </c>
      <c r="B30" s="6" t="str">
        <f xml:space="preserve"> _xll.EPMOlapMemberO("[CLACO].[PARENTH7].[AMSAASESORIAS]","","AMSAASESORIAS - Asesorías y Consulto","","000")</f>
        <v>AMSAASESORIAS - Asesorías y Consulto</v>
      </c>
      <c r="C30" t="str">
        <f>_xlfn.CONCAT(_xll.EPMMemberProperty("COSTOS", _xll.EPMMemberID(A30), "PARENTH3"), " - ", _xll.EPMMemberDesc(_xll.EPMMemberProperty("COSTOS", _xll.EPMMemberID(A30), "PARENTH3"), "COSTOS"))</f>
        <v>N1005AD350 - Administración y Fin</v>
      </c>
      <c r="D30">
        <v>0</v>
      </c>
      <c r="F30">
        <f t="shared" si="0"/>
        <v>0</v>
      </c>
      <c r="I30">
        <f t="shared" si="1"/>
        <v>0</v>
      </c>
      <c r="L30">
        <f t="shared" si="2"/>
        <v>0</v>
      </c>
      <c r="O30">
        <f t="shared" si="3"/>
        <v>0</v>
      </c>
      <c r="P30">
        <v>-68.58</v>
      </c>
      <c r="R30">
        <f t="shared" si="4"/>
        <v>68.58</v>
      </c>
      <c r="S30">
        <v>-68.58</v>
      </c>
      <c r="T30">
        <v>1297.29</v>
      </c>
      <c r="U30">
        <f t="shared" si="5"/>
        <v>1365.87</v>
      </c>
    </row>
    <row r="31" spans="1:21" x14ac:dyDescent="0.3">
      <c r="A31" s="5" t="str">
        <f xml:space="preserve"> _xll.EPMOlapMemberO("[CECO].[PARENTH3].[AMSA1005AD3503]","","AMSA1005AD3503 - Finanzas","","000")</f>
        <v>AMSA1005AD3503 - Finanzas</v>
      </c>
      <c r="B31" s="6" t="str">
        <f xml:space="preserve"> _xll.EPMOlapMemberO("[CLACO].[PARENTH7].[AMSAINFORMATIC]","","AMSAINFORMATIC - Informática y Comuni","","000")</f>
        <v>AMSAINFORMATIC - Informática y Comuni</v>
      </c>
      <c r="C31" t="str">
        <f>_xlfn.CONCAT(_xll.EPMMemberProperty("COSTOS", _xll.EPMMemberID(A31), "PARENTH3"), " - ", _xll.EPMMemberDesc(_xll.EPMMemberProperty("COSTOS", _xll.EPMMemberID(A31), "PARENTH3"), "COSTOS"))</f>
        <v>N1005AD350 - Administración y Fin</v>
      </c>
      <c r="D31">
        <v>0</v>
      </c>
      <c r="F31">
        <f t="shared" si="0"/>
        <v>0</v>
      </c>
      <c r="G31">
        <v>0</v>
      </c>
      <c r="I31">
        <f t="shared" si="1"/>
        <v>0</v>
      </c>
      <c r="J31">
        <v>0</v>
      </c>
      <c r="L31">
        <f t="shared" si="2"/>
        <v>0</v>
      </c>
      <c r="M31">
        <v>0</v>
      </c>
      <c r="O31">
        <f t="shared" si="3"/>
        <v>0</v>
      </c>
      <c r="P31">
        <v>2102.46</v>
      </c>
      <c r="R31">
        <f t="shared" si="4"/>
        <v>-2102.46</v>
      </c>
      <c r="S31">
        <v>-6323</v>
      </c>
      <c r="T31">
        <v>399.01</v>
      </c>
      <c r="U31">
        <f t="shared" si="5"/>
        <v>6722.01</v>
      </c>
    </row>
    <row r="32" spans="1:21" x14ac:dyDescent="0.3">
      <c r="A32" s="5" t="str">
        <f xml:space="preserve"> _xll.EPMOlapMemberO("[CECO].[PARENTH3].[AMSA1005AD3503]","","AMSA1005AD3503 - Finanzas","","000")</f>
        <v>AMSA1005AD3503 - Finanzas</v>
      </c>
      <c r="B32" s="6" t="str">
        <f xml:space="preserve"> _xll.EPMOlapMemberO("[CLACO].[PARENTH7].[AMSAG_VIAJES]","","AMSAG_VIAJES - Gastos de Viajes","","000")</f>
        <v>AMSAG_VIAJES - Gastos de Viajes</v>
      </c>
      <c r="C32" t="str">
        <f>_xlfn.CONCAT(_xll.EPMMemberProperty("COSTOS", _xll.EPMMemberID(A32), "PARENTH3"), " - ", _xll.EPMMemberDesc(_xll.EPMMemberProperty("COSTOS", _xll.EPMMemberID(A32), "PARENTH3"), "COSTOS"))</f>
        <v>N1005AD350 - Administración y Fin</v>
      </c>
      <c r="F32">
        <f t="shared" si="0"/>
        <v>0</v>
      </c>
      <c r="I32">
        <f t="shared" si="1"/>
        <v>0</v>
      </c>
      <c r="L32">
        <f t="shared" si="2"/>
        <v>0</v>
      </c>
      <c r="M32">
        <v>300.08</v>
      </c>
      <c r="O32">
        <f t="shared" si="3"/>
        <v>-300.08</v>
      </c>
      <c r="R32">
        <f t="shared" si="4"/>
        <v>0</v>
      </c>
      <c r="S32">
        <v>300.08</v>
      </c>
      <c r="U32">
        <f t="shared" si="5"/>
        <v>-300.08</v>
      </c>
    </row>
    <row r="33" spans="1:21" x14ac:dyDescent="0.3">
      <c r="A33" s="5" t="str">
        <f xml:space="preserve"> _xll.EPMOlapMemberO("[CECO].[PARENTH3].[AMSA1005AD3504]","","AMSA1005AD3504 - Contabilidad","","000")</f>
        <v>AMSA1005AD3504 - Contabilidad</v>
      </c>
      <c r="B33" s="6" t="str">
        <f xml:space="preserve"> _xll.EPMOlapMemberO("[CLACO].[PARENTH7].[AMSAMAT_Y_REP.2]","","AMSAMAT_Y_REP.2 - Materiales y repuest","","000")</f>
        <v>AMSAMAT_Y_REP.2 - Materiales y repuest</v>
      </c>
      <c r="C33" t="str">
        <f>_xlfn.CONCAT(_xll.EPMMemberProperty("COSTOS", _xll.EPMMemberID(A33), "PARENTH3"), " - ", _xll.EPMMemberDesc(_xll.EPMMemberProperty("COSTOS", _xll.EPMMemberID(A33), "PARENTH3"), "COSTOS"))</f>
        <v>N1005AD350 - Administración y Fin</v>
      </c>
      <c r="F33">
        <f t="shared" si="0"/>
        <v>0</v>
      </c>
      <c r="I33">
        <f t="shared" si="1"/>
        <v>0</v>
      </c>
      <c r="K33">
        <v>120.55</v>
      </c>
      <c r="L33">
        <f t="shared" si="2"/>
        <v>120.55</v>
      </c>
      <c r="O33">
        <f t="shared" si="3"/>
        <v>0</v>
      </c>
      <c r="R33">
        <f t="shared" si="4"/>
        <v>0</v>
      </c>
      <c r="T33">
        <v>120.55</v>
      </c>
      <c r="U33">
        <f t="shared" si="5"/>
        <v>120.55</v>
      </c>
    </row>
    <row r="34" spans="1:21" x14ac:dyDescent="0.3">
      <c r="A34" s="5" t="str">
        <f xml:space="preserve"> _xll.EPMOlapMemberO("[CECO].[PARENTH3].[AMSA1005AD3504]","","AMSA1005AD3504 - Contabilidad","","000")</f>
        <v>AMSA1005AD3504 - Contabilidad</v>
      </c>
      <c r="B34" s="6" t="str">
        <f xml:space="preserve"> _xll.EPMOlapMemberO("[CLACO].[PARENTH7].[AMSAASESORIAS]","","AMSAASESORIAS - Asesorías y Consulto","","000")</f>
        <v>AMSAASESORIAS - Asesorías y Consulto</v>
      </c>
      <c r="C34" t="str">
        <f>_xlfn.CONCAT(_xll.EPMMemberProperty("COSTOS", _xll.EPMMemberID(A34), "PARENTH3"), " - ", _xll.EPMMemberDesc(_xll.EPMMemberProperty("COSTOS", _xll.EPMMemberID(A34), "PARENTH3"), "COSTOS"))</f>
        <v>N1005AD350 - Administración y Fin</v>
      </c>
      <c r="D34">
        <v>2780.76</v>
      </c>
      <c r="F34">
        <f t="shared" si="0"/>
        <v>-2780.76</v>
      </c>
      <c r="G34">
        <v>-66.37</v>
      </c>
      <c r="I34">
        <f t="shared" si="1"/>
        <v>66.37</v>
      </c>
      <c r="J34">
        <v>-2120.7600000000002</v>
      </c>
      <c r="K34">
        <v>495.77</v>
      </c>
      <c r="L34">
        <f t="shared" si="2"/>
        <v>2616.5300000000002</v>
      </c>
      <c r="M34">
        <v>15.68</v>
      </c>
      <c r="O34">
        <f t="shared" si="3"/>
        <v>-15.68</v>
      </c>
      <c r="P34">
        <v>0</v>
      </c>
      <c r="Q34">
        <v>7493.48</v>
      </c>
      <c r="R34">
        <f t="shared" si="4"/>
        <v>7493.48</v>
      </c>
      <c r="S34">
        <v>609.30999999999995</v>
      </c>
      <c r="T34">
        <v>254648.14</v>
      </c>
      <c r="U34">
        <f t="shared" si="5"/>
        <v>254038.83000000002</v>
      </c>
    </row>
    <row r="35" spans="1:21" x14ac:dyDescent="0.3">
      <c r="A35" s="5" t="str">
        <f xml:space="preserve"> _xll.EPMOlapMemberO("[CECO].[PARENTH3].[AMSA1005AD3504]","","AMSA1005AD3504 - Contabilidad","","000")</f>
        <v>AMSA1005AD3504 - Contabilidad</v>
      </c>
      <c r="B35" s="6" t="str">
        <f xml:space="preserve"> _xll.EPMOlapMemberO("[CLACO].[PARENTH7].[AMSAINFORMATIC]","","AMSAINFORMATIC - Informática y Comuni","","000")</f>
        <v>AMSAINFORMATIC - Informática y Comuni</v>
      </c>
      <c r="C35" t="str">
        <f>_xlfn.CONCAT(_xll.EPMMemberProperty("COSTOS", _xll.EPMMemberID(A35), "PARENTH3"), " - ", _xll.EPMMemberDesc(_xll.EPMMemberProperty("COSTOS", _xll.EPMMemberID(A35), "PARENTH3"), "COSTOS"))</f>
        <v>N1005AD350 - Administración y Fin</v>
      </c>
      <c r="D35">
        <v>4181.95</v>
      </c>
      <c r="E35">
        <v>4838.57</v>
      </c>
      <c r="F35">
        <f t="shared" si="0"/>
        <v>656.61999999999989</v>
      </c>
      <c r="G35">
        <v>4237.5600000000004</v>
      </c>
      <c r="H35">
        <v>4852.07</v>
      </c>
      <c r="I35">
        <f t="shared" si="1"/>
        <v>614.50999999999931</v>
      </c>
      <c r="J35">
        <v>4494.45</v>
      </c>
      <c r="K35">
        <v>4865.6099999999997</v>
      </c>
      <c r="L35">
        <f t="shared" si="2"/>
        <v>371.15999999999985</v>
      </c>
      <c r="M35">
        <v>3229.36</v>
      </c>
      <c r="N35">
        <v>4879.1899999999996</v>
      </c>
      <c r="O35">
        <f t="shared" si="3"/>
        <v>1649.8299999999995</v>
      </c>
      <c r="Q35">
        <v>4892.8</v>
      </c>
      <c r="R35">
        <f t="shared" si="4"/>
        <v>4892.8</v>
      </c>
      <c r="S35">
        <v>20132.46</v>
      </c>
      <c r="T35">
        <v>58962.2</v>
      </c>
      <c r="U35">
        <f t="shared" si="5"/>
        <v>38829.74</v>
      </c>
    </row>
    <row r="36" spans="1:21" x14ac:dyDescent="0.3">
      <c r="A36" s="5" t="str">
        <f xml:space="preserve"> _xll.EPMOlapMemberO("[CECO].[PARENTH3].[AMSA1005AD3504]","","AMSA1005AD3504 - Contabilidad","","000")</f>
        <v>AMSA1005AD3504 - Contabilidad</v>
      </c>
      <c r="B36" s="6" t="str">
        <f xml:space="preserve"> _xll.EPMOlapMemberO("[CLACO].[PARENTH7].[AMSAG_VIAJES]","","AMSAG_VIAJES - Gastos de Viajes","","000")</f>
        <v>AMSAG_VIAJES - Gastos de Viajes</v>
      </c>
      <c r="C36" t="str">
        <f>_xlfn.CONCAT(_xll.EPMMemberProperty("COSTOS", _xll.EPMMemberID(A36), "PARENTH3"), " - ", _xll.EPMMemberDesc(_xll.EPMMemberProperty("COSTOS", _xll.EPMMemberID(A36), "PARENTH3"), "COSTOS"))</f>
        <v>N1005AD350 - Administración y Fin</v>
      </c>
      <c r="D36">
        <v>-492.4</v>
      </c>
      <c r="F36">
        <f t="shared" si="0"/>
        <v>492.4</v>
      </c>
      <c r="G36">
        <v>1394.75</v>
      </c>
      <c r="I36">
        <f t="shared" si="1"/>
        <v>-1394.75</v>
      </c>
      <c r="J36">
        <v>523.54999999999995</v>
      </c>
      <c r="K36">
        <v>2262.33</v>
      </c>
      <c r="L36">
        <f t="shared" si="2"/>
        <v>1738.78</v>
      </c>
      <c r="M36">
        <v>673.97</v>
      </c>
      <c r="O36">
        <f t="shared" si="3"/>
        <v>-673.97</v>
      </c>
      <c r="P36">
        <v>0</v>
      </c>
      <c r="R36">
        <f t="shared" si="4"/>
        <v>0</v>
      </c>
      <c r="S36">
        <v>2099.87</v>
      </c>
      <c r="T36">
        <v>12342.07</v>
      </c>
      <c r="U36">
        <f t="shared" si="5"/>
        <v>10242.200000000001</v>
      </c>
    </row>
    <row r="37" spans="1:21" x14ac:dyDescent="0.3">
      <c r="A37" s="5" t="str">
        <f xml:space="preserve"> _xll.EPMOlapMemberO("[CECO].[PARENTH3].[AMSA1005AD3504]","","AMSA1005AD3504 - Contabilidad","","000")</f>
        <v>AMSA1005AD3504 - Contabilidad</v>
      </c>
      <c r="B37" s="6" t="str">
        <f xml:space="preserve"> _xll.EPMOlapMemberO("[CLACO].[PARENTH7].[AMSASERV_CORP]","","AMSASERV_CORP - Servicios Corporativ","","000")</f>
        <v>AMSASERV_CORP - Servicios Corporativ</v>
      </c>
      <c r="C37" t="str">
        <f>_xlfn.CONCAT(_xll.EPMMemberProperty("COSTOS", _xll.EPMMemberID(A37), "PARENTH3"), " - ", _xll.EPMMemberDesc(_xll.EPMMemberProperty("COSTOS", _xll.EPMMemberID(A37), "PARENTH3"), "COSTOS"))</f>
        <v>N1005AD350 - Administración y Fin</v>
      </c>
      <c r="D37">
        <v>1287.23</v>
      </c>
      <c r="E37">
        <v>5584.7</v>
      </c>
      <c r="F37">
        <f t="shared" si="0"/>
        <v>4297.4699999999993</v>
      </c>
      <c r="G37">
        <v>9805.33</v>
      </c>
      <c r="H37">
        <v>5599.97</v>
      </c>
      <c r="I37">
        <f t="shared" si="1"/>
        <v>-4205.3599999999997</v>
      </c>
      <c r="J37">
        <v>4864.6000000000004</v>
      </c>
      <c r="K37">
        <v>5615.75</v>
      </c>
      <c r="L37">
        <f t="shared" si="2"/>
        <v>751.14999999999964</v>
      </c>
      <c r="M37">
        <v>4872.01</v>
      </c>
      <c r="N37">
        <v>5631.53</v>
      </c>
      <c r="O37">
        <f t="shared" si="3"/>
        <v>759.51999999999953</v>
      </c>
      <c r="P37">
        <v>5294.63</v>
      </c>
      <c r="Q37">
        <v>5647.3</v>
      </c>
      <c r="R37">
        <f t="shared" si="4"/>
        <v>352.67000000000007</v>
      </c>
      <c r="S37">
        <v>20829.169999999998</v>
      </c>
      <c r="T37">
        <v>68053.16</v>
      </c>
      <c r="U37">
        <f t="shared" si="5"/>
        <v>47223.990000000005</v>
      </c>
    </row>
    <row r="38" spans="1:21" x14ac:dyDescent="0.3">
      <c r="A38" s="5" t="str">
        <f xml:space="preserve"> _xll.EPMOlapMemberO("[CECO].[PARENTH3].[AMSA1005AD3507]","","AMSA1005AD3507 - Gestión de Impuestos","","000")</f>
        <v>AMSA1005AD3507 - Gestión de Impuestos</v>
      </c>
      <c r="B38" s="6" t="str">
        <f xml:space="preserve"> _xll.EPMOlapMemberO("[CLACO].[PARENTH7].[AMSAENTRENAMI]","","AMSAENTRENAMI - Entrenamiento","","000")</f>
        <v>AMSAENTRENAMI - Entrenamiento</v>
      </c>
      <c r="C38" t="str">
        <f>_xlfn.CONCAT(_xll.EPMMemberProperty("COSTOS", _xll.EPMMemberID(A38), "PARENTH3"), " - ", _xll.EPMMemberDesc(_xll.EPMMemberProperty("COSTOS", _xll.EPMMemberID(A38), "PARENTH3"), "COSTOS"))</f>
        <v>N1005AD350 - Administración y Fin</v>
      </c>
      <c r="F38">
        <f t="shared" si="0"/>
        <v>0</v>
      </c>
      <c r="I38">
        <f t="shared" si="1"/>
        <v>0</v>
      </c>
      <c r="L38">
        <f t="shared" si="2"/>
        <v>0</v>
      </c>
      <c r="O38">
        <f t="shared" si="3"/>
        <v>0</v>
      </c>
      <c r="R38">
        <f t="shared" si="4"/>
        <v>0</v>
      </c>
      <c r="T38">
        <v>1023.6</v>
      </c>
      <c r="U38">
        <f t="shared" si="5"/>
        <v>1023.6</v>
      </c>
    </row>
    <row r="39" spans="1:21" x14ac:dyDescent="0.3">
      <c r="A39" s="5" t="str">
        <f xml:space="preserve"> _xll.EPMOlapMemberO("[CECO].[PARENTH3].[AMSA1005AD3507]","","AMSA1005AD3507 - Gestión de Impuestos","","000")</f>
        <v>AMSA1005AD3507 - Gestión de Impuestos</v>
      </c>
      <c r="B39" s="6" t="str">
        <f xml:space="preserve"> _xll.EPMOlapMemberO("[CLACO].[PARENTH7].[AMSAASESORIAS]","","AMSAASESORIAS - Asesorías y Consulto","","000")</f>
        <v>AMSAASESORIAS - Asesorías y Consulto</v>
      </c>
      <c r="C39" t="str">
        <f>_xlfn.CONCAT(_xll.EPMMemberProperty("COSTOS", _xll.EPMMemberID(A39), "PARENTH3"), " - ", _xll.EPMMemberDesc(_xll.EPMMemberProperty("COSTOS", _xll.EPMMemberID(A39), "PARENTH3"), "COSTOS"))</f>
        <v>N1005AD350 - Administración y Fin</v>
      </c>
      <c r="D39">
        <v>5519.62</v>
      </c>
      <c r="E39">
        <v>1969.6</v>
      </c>
      <c r="F39">
        <f t="shared" si="0"/>
        <v>-3550.02</v>
      </c>
      <c r="G39">
        <v>48336.34</v>
      </c>
      <c r="H39">
        <v>1968.69</v>
      </c>
      <c r="I39">
        <f t="shared" si="1"/>
        <v>-46367.649999999994</v>
      </c>
      <c r="J39">
        <v>-511.3</v>
      </c>
      <c r="K39">
        <v>1967.85</v>
      </c>
      <c r="L39">
        <f t="shared" si="2"/>
        <v>2479.15</v>
      </c>
      <c r="M39">
        <v>204.25</v>
      </c>
      <c r="N39">
        <v>1967.07</v>
      </c>
      <c r="O39">
        <f t="shared" si="3"/>
        <v>1762.82</v>
      </c>
      <c r="P39">
        <v>204.07</v>
      </c>
      <c r="Q39">
        <v>1966.25</v>
      </c>
      <c r="R39">
        <f t="shared" si="4"/>
        <v>1762.18</v>
      </c>
      <c r="S39">
        <v>53548.91</v>
      </c>
      <c r="T39">
        <v>49257.66</v>
      </c>
      <c r="U39">
        <f t="shared" si="5"/>
        <v>-4291.25</v>
      </c>
    </row>
    <row r="40" spans="1:21" x14ac:dyDescent="0.3">
      <c r="A40" s="5" t="str">
        <f xml:space="preserve"> _xll.EPMOlapMemberO("[CECO].[PARENTH3].[AMSA1005AD3507]","","AMSA1005AD3507 - Gestión de Impuestos","","000")</f>
        <v>AMSA1005AD3507 - Gestión de Impuestos</v>
      </c>
      <c r="B40" s="6" t="str">
        <f xml:space="preserve"> _xll.EPMOlapMemberO("[CLACO].[PARENTH7].[AMSAG_VIAJES]","","AMSAG_VIAJES - Gastos de Viajes","","000")</f>
        <v>AMSAG_VIAJES - Gastos de Viajes</v>
      </c>
      <c r="C40" t="str">
        <f>_xlfn.CONCAT(_xll.EPMMemberProperty("COSTOS", _xll.EPMMemberID(A40), "PARENTH3"), " - ", _xll.EPMMemberDesc(_xll.EPMMemberProperty("COSTOS", _xll.EPMMemberID(A40), "PARENTH3"), "COSTOS"))</f>
        <v>N1005AD350 - Administración y Fin</v>
      </c>
      <c r="F40">
        <f t="shared" si="0"/>
        <v>0</v>
      </c>
      <c r="I40">
        <f t="shared" si="1"/>
        <v>0</v>
      </c>
      <c r="L40">
        <f t="shared" si="2"/>
        <v>0</v>
      </c>
      <c r="O40">
        <f t="shared" si="3"/>
        <v>0</v>
      </c>
      <c r="R40">
        <f t="shared" si="4"/>
        <v>0</v>
      </c>
      <c r="T40">
        <v>3289.76</v>
      </c>
      <c r="U40">
        <f t="shared" si="5"/>
        <v>3289.76</v>
      </c>
    </row>
    <row r="41" spans="1:21" x14ac:dyDescent="0.3">
      <c r="A41" s="5" t="str">
        <f xml:space="preserve"> _xll.EPMOlapMemberO("[CECO].[PARENTH3].[AMSA1005AD3507]","","AMSA1005AD3507 - Gestión de Impuestos","","000")</f>
        <v>AMSA1005AD3507 - Gestión de Impuestos</v>
      </c>
      <c r="B41" s="6" t="str">
        <f xml:space="preserve"> _xll.EPMOlapMemberO("[CLACO].[PARENTH7].[AMSAIMP_PATEN]","","AMSAIMP_PATEN - Impuestos / Patentes","","000")</f>
        <v>AMSAIMP_PATEN - Impuestos / Patentes</v>
      </c>
      <c r="C41" t="str">
        <f>_xlfn.CONCAT(_xll.EPMMemberProperty("COSTOS", _xll.EPMMemberID(A41), "PARENTH3"), " - ", _xll.EPMMemberDesc(_xll.EPMMemberProperty("COSTOS", _xll.EPMMemberID(A41), "PARENTH3"), "COSTOS"))</f>
        <v>N1005AD350 - Administración y Fin</v>
      </c>
      <c r="D41">
        <v>312434.46999999997</v>
      </c>
      <c r="E41">
        <v>310719.33</v>
      </c>
      <c r="F41">
        <f t="shared" si="0"/>
        <v>-1715.1399999999558</v>
      </c>
      <c r="I41">
        <f t="shared" si="1"/>
        <v>0</v>
      </c>
      <c r="L41">
        <f t="shared" si="2"/>
        <v>0</v>
      </c>
      <c r="M41">
        <v>319075.40999999997</v>
      </c>
      <c r="N41">
        <v>356985.07</v>
      </c>
      <c r="O41">
        <f t="shared" si="3"/>
        <v>37909.660000000033</v>
      </c>
      <c r="R41">
        <f t="shared" si="4"/>
        <v>0</v>
      </c>
      <c r="S41">
        <v>631509.88</v>
      </c>
      <c r="T41">
        <v>1219991.05</v>
      </c>
      <c r="U41">
        <f t="shared" si="5"/>
        <v>588481.17000000004</v>
      </c>
    </row>
    <row r="42" spans="1:21" x14ac:dyDescent="0.3">
      <c r="A42" s="5" t="str">
        <f xml:space="preserve"> _xll.EPMOlapMemberO("[CECO].[PARENTH3].[AMSA1005AD3520]","","AMSA1005AD3520 - Abaste. Corporativos","","000")</f>
        <v>AMSA1005AD3520 - Abaste. Corporativos</v>
      </c>
      <c r="B42" s="6" t="str">
        <f xml:space="preserve"> _xll.EPMOlapMemberO("[CLACO].[PARENTH7].[AMSAADM_PERSON]","","AMSAADM_PERSON - Administración Perso","","000")</f>
        <v>AMSAADM_PERSON - Administración Perso</v>
      </c>
      <c r="C42" t="str">
        <f>_xlfn.CONCAT(_xll.EPMMemberProperty("COSTOS", _xll.EPMMemberID(A42), "PARENTH3"), " - ", _xll.EPMMemberDesc(_xll.EPMMemberProperty("COSTOS", _xll.EPMMemberID(A42), "PARENTH3"), "COSTOS"))</f>
        <v>N1005AD350 - Administración y Fin</v>
      </c>
      <c r="D42">
        <v>0</v>
      </c>
      <c r="F42">
        <f t="shared" si="0"/>
        <v>0</v>
      </c>
      <c r="G42">
        <v>0</v>
      </c>
      <c r="I42">
        <f t="shared" si="1"/>
        <v>0</v>
      </c>
      <c r="J42">
        <v>0</v>
      </c>
      <c r="L42">
        <f t="shared" si="2"/>
        <v>0</v>
      </c>
      <c r="M42">
        <v>0</v>
      </c>
      <c r="O42">
        <f t="shared" si="3"/>
        <v>0</v>
      </c>
      <c r="P42">
        <v>0</v>
      </c>
      <c r="R42">
        <f t="shared" si="4"/>
        <v>0</v>
      </c>
      <c r="S42">
        <v>0</v>
      </c>
      <c r="U42">
        <f t="shared" si="5"/>
        <v>0</v>
      </c>
    </row>
    <row r="43" spans="1:21" x14ac:dyDescent="0.3">
      <c r="A43" s="5" t="str">
        <f xml:space="preserve"> _xll.EPMOlapMemberO("[CECO].[PARENTH3].[AMSA1005AD3520]","","AMSA1005AD3520 - Abaste. Corporativos","","000")</f>
        <v>AMSA1005AD3520 - Abaste. Corporativos</v>
      </c>
      <c r="B43" s="6" t="str">
        <f xml:space="preserve"> _xll.EPMOlapMemberO("[CLACO].[PARENTH7].[AMSAENTRENAMI]","","AMSAENTRENAMI - Entrenamiento","","000")</f>
        <v>AMSAENTRENAMI - Entrenamiento</v>
      </c>
      <c r="C43" t="str">
        <f>_xlfn.CONCAT(_xll.EPMMemberProperty("COSTOS", _xll.EPMMemberID(A43), "PARENTH3"), " - ", _xll.EPMMemberDesc(_xll.EPMMemberProperty("COSTOS", _xll.EPMMemberID(A43), "PARENTH3"), "COSTOS"))</f>
        <v>N1005AD350 - Administración y Fin</v>
      </c>
      <c r="F43">
        <f t="shared" si="0"/>
        <v>0</v>
      </c>
      <c r="H43">
        <v>325.7</v>
      </c>
      <c r="I43">
        <f t="shared" si="1"/>
        <v>325.7</v>
      </c>
      <c r="K43">
        <v>17655.439999999999</v>
      </c>
      <c r="L43">
        <f t="shared" si="2"/>
        <v>17655.439999999999</v>
      </c>
      <c r="N43">
        <v>3087.11</v>
      </c>
      <c r="O43">
        <f t="shared" si="3"/>
        <v>3087.11</v>
      </c>
      <c r="Q43">
        <v>5412.74</v>
      </c>
      <c r="R43">
        <f t="shared" si="4"/>
        <v>5412.74</v>
      </c>
      <c r="T43">
        <v>46325.54</v>
      </c>
      <c r="U43">
        <f t="shared" si="5"/>
        <v>46325.54</v>
      </c>
    </row>
    <row r="44" spans="1:21" x14ac:dyDescent="0.3">
      <c r="A44" s="5" t="str">
        <f xml:space="preserve"> _xll.EPMOlapMemberO("[CECO].[PARENTH3].[AMSA1005AD3520]","","AMSA1005AD3520 - Abaste. Corporativos","","000")</f>
        <v>AMSA1005AD3520 - Abaste. Corporativos</v>
      </c>
      <c r="B44" s="6" t="str">
        <f xml:space="preserve"> _xll.EPMOlapMemberO("[CLACO].[PARENTH7].[AMSASERVICIOS]","","AMSASERVICIOS - Servicios","","000")</f>
        <v>AMSASERVICIOS - Servicios</v>
      </c>
      <c r="C44" t="str">
        <f>_xlfn.CONCAT(_xll.EPMMemberProperty("COSTOS", _xll.EPMMemberID(A44), "PARENTH3"), " - ", _xll.EPMMemberDesc(_xll.EPMMemberProperty("COSTOS", _xll.EPMMemberID(A44), "PARENTH3"), "COSTOS"))</f>
        <v>N1005AD350 - Administración y Fin</v>
      </c>
      <c r="D44">
        <v>17567.79</v>
      </c>
      <c r="E44">
        <v>12849.39</v>
      </c>
      <c r="F44">
        <f t="shared" si="0"/>
        <v>-4718.4000000000015</v>
      </c>
      <c r="G44">
        <v>17424.150000000001</v>
      </c>
      <c r="H44">
        <v>12890.96</v>
      </c>
      <c r="I44">
        <f t="shared" si="1"/>
        <v>-4533.1900000000023</v>
      </c>
      <c r="J44">
        <v>17805.240000000002</v>
      </c>
      <c r="K44">
        <v>12919.48</v>
      </c>
      <c r="L44">
        <f t="shared" si="2"/>
        <v>-4885.760000000002</v>
      </c>
      <c r="M44">
        <v>18679.75</v>
      </c>
      <c r="N44">
        <v>13311.89</v>
      </c>
      <c r="O44">
        <f t="shared" si="3"/>
        <v>-5367.8600000000006</v>
      </c>
      <c r="P44">
        <v>61299.29</v>
      </c>
      <c r="Q44">
        <v>13405.53</v>
      </c>
      <c r="R44">
        <f t="shared" si="4"/>
        <v>-47893.760000000002</v>
      </c>
      <c r="S44">
        <v>71476.929999999993</v>
      </c>
      <c r="T44">
        <v>160514.44</v>
      </c>
      <c r="U44">
        <f t="shared" si="5"/>
        <v>89037.510000000009</v>
      </c>
    </row>
    <row r="45" spans="1:21" x14ac:dyDescent="0.3">
      <c r="A45" s="5" t="str">
        <f xml:space="preserve"> _xll.EPMOlapMemberO("[CECO].[PARENTH3].[AMSA1005AD3520]","","AMSA1005AD3520 - Abaste. Corporativos","","000")</f>
        <v>AMSA1005AD3520 - Abaste. Corporativos</v>
      </c>
      <c r="B45" s="6" t="str">
        <f xml:space="preserve"> _xll.EPMOlapMemberO("[CLACO].[PARENTH7].[AMSAINFORMATIC]","","AMSAINFORMATIC - Informática y Comuni","","000")</f>
        <v>AMSAINFORMATIC - Informática y Comuni</v>
      </c>
      <c r="C45" t="str">
        <f>_xlfn.CONCAT(_xll.EPMMemberProperty("COSTOS", _xll.EPMMemberID(A45), "PARENTH3"), " - ", _xll.EPMMemberDesc(_xll.EPMMemberProperty("COSTOS", _xll.EPMMemberID(A45), "PARENTH3"), "COSTOS"))</f>
        <v>N1005AD350 - Administración y Fin</v>
      </c>
      <c r="D45">
        <v>-11341.81</v>
      </c>
      <c r="E45">
        <v>8464.11</v>
      </c>
      <c r="F45">
        <f t="shared" si="0"/>
        <v>19805.919999999998</v>
      </c>
      <c r="G45">
        <v>16877.330000000002</v>
      </c>
      <c r="H45">
        <v>6711.77</v>
      </c>
      <c r="I45">
        <f t="shared" si="1"/>
        <v>-10165.560000000001</v>
      </c>
      <c r="J45">
        <v>4466.7299999999996</v>
      </c>
      <c r="K45">
        <v>14951.38</v>
      </c>
      <c r="L45">
        <f t="shared" si="2"/>
        <v>10484.65</v>
      </c>
      <c r="M45">
        <v>543.33000000000004</v>
      </c>
      <c r="N45">
        <v>717.55</v>
      </c>
      <c r="O45">
        <f t="shared" si="3"/>
        <v>174.21999999999991</v>
      </c>
      <c r="P45">
        <v>6208.21</v>
      </c>
      <c r="Q45">
        <v>15410.71</v>
      </c>
      <c r="R45">
        <f t="shared" si="4"/>
        <v>9202.5</v>
      </c>
      <c r="S45">
        <v>10545.58</v>
      </c>
      <c r="T45">
        <v>77724.160000000003</v>
      </c>
      <c r="U45">
        <f t="shared" si="5"/>
        <v>67178.58</v>
      </c>
    </row>
    <row r="46" spans="1:21" x14ac:dyDescent="0.3">
      <c r="A46" s="5" t="str">
        <f xml:space="preserve"> _xll.EPMOlapMemberO("[CECO].[PARENTH3].[AMSA1005AD3521]","","AMSA1005AD3521 - TICA Corporativo","","000")</f>
        <v>AMSA1005AD3521 - TICA Corporativo</v>
      </c>
      <c r="B46" s="6" t="str">
        <f xml:space="preserve"> _xll.EPMOlapMemberO("[CLACO].[PARENTH7].[AMSAMAT_Y_REP.2]","","AMSAMAT_Y_REP.2 - Materiales y repuest","","000")</f>
        <v>AMSAMAT_Y_REP.2 - Materiales y repuest</v>
      </c>
      <c r="C46" t="str">
        <f>_xlfn.CONCAT(_xll.EPMMemberProperty("COSTOS", _xll.EPMMemberID(A46), "PARENTH3"), " - ", _xll.EPMMemberDesc(_xll.EPMMemberProperty("COSTOS", _xll.EPMMemberID(A46), "PARENTH3"), "COSTOS"))</f>
        <v>N1005AD350 - Administración y Fin</v>
      </c>
      <c r="D46">
        <v>1794.1</v>
      </c>
      <c r="E46">
        <v>664.85</v>
      </c>
      <c r="F46">
        <f t="shared" si="0"/>
        <v>-1129.25</v>
      </c>
      <c r="G46">
        <v>645.41999999999996</v>
      </c>
      <c r="H46">
        <v>666.66</v>
      </c>
      <c r="I46">
        <f t="shared" si="1"/>
        <v>21.240000000000009</v>
      </c>
      <c r="J46">
        <v>1409.07</v>
      </c>
      <c r="K46">
        <v>11719.02</v>
      </c>
      <c r="L46">
        <f t="shared" si="2"/>
        <v>10309.950000000001</v>
      </c>
      <c r="M46">
        <v>698.06</v>
      </c>
      <c r="N46">
        <v>11943.3</v>
      </c>
      <c r="O46">
        <f t="shared" si="3"/>
        <v>11245.24</v>
      </c>
      <c r="P46">
        <v>181.98</v>
      </c>
      <c r="Q46">
        <v>12773.4</v>
      </c>
      <c r="R46">
        <f t="shared" si="4"/>
        <v>12591.42</v>
      </c>
      <c r="S46">
        <v>6842.12</v>
      </c>
      <c r="T46">
        <v>117126.24</v>
      </c>
      <c r="U46">
        <f t="shared" si="5"/>
        <v>110284.12000000001</v>
      </c>
    </row>
    <row r="47" spans="1:21" x14ac:dyDescent="0.3">
      <c r="A47" s="5" t="str">
        <f xml:space="preserve"> _xll.EPMOlapMemberO("[CECO].[PARENTH3].[AMSA1005AD3521]","","AMSA1005AD3521 - TICA Corporativo","","000")</f>
        <v>AMSA1005AD3521 - TICA Corporativo</v>
      </c>
      <c r="B47" s="6" t="str">
        <f xml:space="preserve"> _xll.EPMOlapMemberO("[CLACO].[PARENTH7].[AMSACOMBUSTIBL]","","AMSACOMBUSTIBL - Combustibles  / Lubr","","000")</f>
        <v>AMSACOMBUSTIBL - Combustibles  / Lubr</v>
      </c>
      <c r="C47" t="str">
        <f>_xlfn.CONCAT(_xll.EPMMemberProperty("COSTOS", _xll.EPMMemberID(A47), "PARENTH3"), " - ", _xll.EPMMemberDesc(_xll.EPMMemberProperty("COSTOS", _xll.EPMMemberID(A47), "PARENTH3"), "COSTOS"))</f>
        <v>N1005AD350 - Administración y Fin</v>
      </c>
      <c r="D47">
        <v>247.09</v>
      </c>
      <c r="E47">
        <v>200.16</v>
      </c>
      <c r="F47">
        <f t="shared" si="0"/>
        <v>-46.930000000000007</v>
      </c>
      <c r="G47">
        <v>373.11</v>
      </c>
      <c r="H47">
        <v>200.54</v>
      </c>
      <c r="I47">
        <f t="shared" si="1"/>
        <v>-172.57000000000002</v>
      </c>
      <c r="J47">
        <v>305.85000000000002</v>
      </c>
      <c r="K47">
        <v>200.92</v>
      </c>
      <c r="L47">
        <f t="shared" si="2"/>
        <v>-104.93000000000004</v>
      </c>
      <c r="M47">
        <v>348.66</v>
      </c>
      <c r="N47">
        <v>201.3</v>
      </c>
      <c r="O47">
        <f t="shared" si="3"/>
        <v>-147.36000000000001</v>
      </c>
      <c r="P47">
        <v>368.32</v>
      </c>
      <c r="Q47">
        <v>201.69</v>
      </c>
      <c r="R47">
        <f t="shared" si="4"/>
        <v>-166.63</v>
      </c>
      <c r="S47">
        <v>1553.62</v>
      </c>
      <c r="T47">
        <v>2427.16</v>
      </c>
      <c r="U47">
        <f t="shared" si="5"/>
        <v>873.54</v>
      </c>
    </row>
    <row r="48" spans="1:21" x14ac:dyDescent="0.3">
      <c r="A48" s="5" t="str">
        <f xml:space="preserve"> _xll.EPMOlapMemberO("[CECO].[PARENTH3].[AMSA1005AD3521]","","AMSA1005AD3521 - TICA Corporativo","","000")</f>
        <v>AMSA1005AD3521 - TICA Corporativo</v>
      </c>
      <c r="B48" s="6" t="str">
        <f xml:space="preserve"> _xll.EPMOlapMemberO("[CLACO].[PARENTH7].[AMSAADM_PERSON]","","AMSAADM_PERSON - Administración Perso","","000")</f>
        <v>AMSAADM_PERSON - Administración Perso</v>
      </c>
      <c r="C48" t="str">
        <f>_xlfn.CONCAT(_xll.EPMMemberProperty("COSTOS", _xll.EPMMemberID(A48), "PARENTH3"), " - ", _xll.EPMMemberDesc(_xll.EPMMemberProperty("COSTOS", _xll.EPMMemberID(A48), "PARENTH3"), "COSTOS"))</f>
        <v>N1005AD350 - Administración y Fin</v>
      </c>
      <c r="D48">
        <v>1041.33</v>
      </c>
      <c r="F48">
        <f t="shared" si="0"/>
        <v>-1041.33</v>
      </c>
      <c r="G48">
        <v>64.290000000000006</v>
      </c>
      <c r="I48">
        <f t="shared" si="1"/>
        <v>-64.290000000000006</v>
      </c>
      <c r="J48">
        <v>123.52</v>
      </c>
      <c r="L48">
        <f t="shared" si="2"/>
        <v>-123.52</v>
      </c>
      <c r="M48">
        <v>55.3</v>
      </c>
      <c r="O48">
        <f t="shared" si="3"/>
        <v>-55.3</v>
      </c>
      <c r="P48">
        <v>153.91999999999999</v>
      </c>
      <c r="R48">
        <f t="shared" si="4"/>
        <v>-153.91999999999999</v>
      </c>
      <c r="S48">
        <v>1438.69</v>
      </c>
      <c r="U48">
        <f t="shared" si="5"/>
        <v>-1438.69</v>
      </c>
    </row>
    <row r="49" spans="1:21" x14ac:dyDescent="0.3">
      <c r="A49" s="5" t="str">
        <f xml:space="preserve"> _xll.EPMOlapMemberO("[CECO].[PARENTH3].[AMSA1005AD3521]","","AMSA1005AD3521 - TICA Corporativo","","000")</f>
        <v>AMSA1005AD3521 - TICA Corporativo</v>
      </c>
      <c r="B49" s="6" t="str">
        <f xml:space="preserve"> _xll.EPMOlapMemberO("[CLACO].[PARENTH7].[AMSAARRIENDOS]","","AMSAARRIENDOS - Arriendos","","000")</f>
        <v>AMSAARRIENDOS - Arriendos</v>
      </c>
      <c r="C49" t="str">
        <f>_xlfn.CONCAT(_xll.EPMMemberProperty("COSTOS", _xll.EPMMemberID(A49), "PARENTH3"), " - ", _xll.EPMMemberDesc(_xll.EPMMemberProperty("COSTOS", _xll.EPMMemberID(A49), "PARENTH3"), "COSTOS"))</f>
        <v>N1005AD350 - Administración y Fin</v>
      </c>
      <c r="D49">
        <v>1171.81</v>
      </c>
      <c r="E49">
        <v>1161</v>
      </c>
      <c r="F49">
        <f t="shared" si="0"/>
        <v>-10.809999999999945</v>
      </c>
      <c r="H49">
        <v>1161</v>
      </c>
      <c r="I49">
        <f t="shared" si="1"/>
        <v>1161</v>
      </c>
      <c r="J49">
        <v>2248.52</v>
      </c>
      <c r="K49">
        <v>1161</v>
      </c>
      <c r="L49">
        <f t="shared" si="2"/>
        <v>-1087.52</v>
      </c>
      <c r="M49">
        <v>1064.1400000000001</v>
      </c>
      <c r="N49">
        <v>1161</v>
      </c>
      <c r="O49">
        <f t="shared" si="3"/>
        <v>96.8599999999999</v>
      </c>
      <c r="P49">
        <v>2160.75</v>
      </c>
      <c r="Q49">
        <v>1161</v>
      </c>
      <c r="R49">
        <f t="shared" si="4"/>
        <v>-999.75</v>
      </c>
      <c r="S49">
        <v>6645.22</v>
      </c>
      <c r="T49">
        <v>13932</v>
      </c>
      <c r="U49">
        <f t="shared" si="5"/>
        <v>7286.78</v>
      </c>
    </row>
    <row r="50" spans="1:21" x14ac:dyDescent="0.3">
      <c r="A50" s="5" t="str">
        <f xml:space="preserve"> _xll.EPMOlapMemberO("[CECO].[PARENTH3].[AMSA1005AD3521]","","AMSA1005AD3521 - TICA Corporativo","","000")</f>
        <v>AMSA1005AD3521 - TICA Corporativo</v>
      </c>
      <c r="B50" s="6" t="str">
        <f xml:space="preserve"> _xll.EPMOlapMemberO("[CLACO].[PARENTH7].[AMSASERVICIOS]","","AMSASERVICIOS - Servicios","","000")</f>
        <v>AMSASERVICIOS - Servicios</v>
      </c>
      <c r="C50" t="str">
        <f>_xlfn.CONCAT(_xll.EPMMemberProperty("COSTOS", _xll.EPMMemberID(A50), "PARENTH3"), " - ", _xll.EPMMemberDesc(_xll.EPMMemberProperty("COSTOS", _xll.EPMMemberID(A50), "PARENTH3"), "COSTOS"))</f>
        <v>N1005AD350 - Administración y Fin</v>
      </c>
      <c r="D50">
        <v>1996.75</v>
      </c>
      <c r="F50">
        <f t="shared" si="0"/>
        <v>-1996.75</v>
      </c>
      <c r="G50">
        <v>7271.1</v>
      </c>
      <c r="I50">
        <f t="shared" si="1"/>
        <v>-7271.1</v>
      </c>
      <c r="J50">
        <v>7046.07</v>
      </c>
      <c r="L50">
        <f t="shared" si="2"/>
        <v>-7046.07</v>
      </c>
      <c r="M50">
        <v>-12.69</v>
      </c>
      <c r="O50">
        <f t="shared" si="3"/>
        <v>12.69</v>
      </c>
      <c r="R50">
        <f t="shared" si="4"/>
        <v>0</v>
      </c>
      <c r="S50">
        <v>16301.23</v>
      </c>
      <c r="U50">
        <f t="shared" si="5"/>
        <v>-16301.23</v>
      </c>
    </row>
    <row r="51" spans="1:21" x14ac:dyDescent="0.3">
      <c r="A51" s="5" t="str">
        <f xml:space="preserve"> _xll.EPMOlapMemberO("[CECO].[PARENTH3].[AMSA1005AD3521]","","AMSA1005AD3521 - TICA Corporativo","","000")</f>
        <v>AMSA1005AD3521 - TICA Corporativo</v>
      </c>
      <c r="B51" s="6" t="str">
        <f xml:space="preserve"> _xll.EPMOlapMemberO("[CLACO].[PARENTH7].[AMSAINFORMATIC]","","AMSAINFORMATIC - Informática y Comuni","","000")</f>
        <v>AMSAINFORMATIC - Informática y Comuni</v>
      </c>
      <c r="C51" t="str">
        <f>_xlfn.CONCAT(_xll.EPMMemberProperty("COSTOS", _xll.EPMMemberID(A51), "PARENTH3"), " - ", _xll.EPMMemberDesc(_xll.EPMMemberProperty("COSTOS", _xll.EPMMemberID(A51), "PARENTH3"), "COSTOS"))</f>
        <v>N1005AD350 - Administración y Fin</v>
      </c>
      <c r="D51">
        <v>215868.75</v>
      </c>
      <c r="E51">
        <v>358384.53</v>
      </c>
      <c r="F51">
        <f t="shared" si="0"/>
        <v>142515.78000000003</v>
      </c>
      <c r="G51">
        <v>458144.11</v>
      </c>
      <c r="H51">
        <v>277899.08</v>
      </c>
      <c r="I51">
        <f t="shared" si="1"/>
        <v>-180245.02999999997</v>
      </c>
      <c r="J51">
        <v>270525.98</v>
      </c>
      <c r="K51">
        <v>301641.71000000002</v>
      </c>
      <c r="L51">
        <f t="shared" si="2"/>
        <v>31115.73000000004</v>
      </c>
      <c r="M51">
        <v>197893.46</v>
      </c>
      <c r="N51">
        <v>282281.63</v>
      </c>
      <c r="O51">
        <f t="shared" si="3"/>
        <v>84388.170000000013</v>
      </c>
      <c r="P51">
        <v>273668.03000000003</v>
      </c>
      <c r="Q51">
        <v>347808.8</v>
      </c>
      <c r="R51">
        <f t="shared" si="4"/>
        <v>74140.76999999996</v>
      </c>
      <c r="S51">
        <v>684645.83</v>
      </c>
      <c r="T51">
        <v>3573455.68</v>
      </c>
      <c r="U51">
        <f t="shared" si="5"/>
        <v>2888809.85</v>
      </c>
    </row>
    <row r="52" spans="1:21" x14ac:dyDescent="0.3">
      <c r="A52" s="5" t="str">
        <f xml:space="preserve"> _xll.EPMOlapMemberO("[CECO].[PARENTH3].[AMSA1005AD3521]","","AMSA1005AD3521 - TICA Corporativo","","000")</f>
        <v>AMSA1005AD3521 - TICA Corporativo</v>
      </c>
      <c r="B52" s="6" t="str">
        <f xml:space="preserve"> _xll.EPMOlapMemberO("[CLACO].[PARENTH7].[AMSAG_VIAJES]","","AMSAG_VIAJES - Gastos de Viajes","","000")</f>
        <v>AMSAG_VIAJES - Gastos de Viajes</v>
      </c>
      <c r="C52" t="str">
        <f>_xlfn.CONCAT(_xll.EPMMemberProperty("COSTOS", _xll.EPMMemberID(A52), "PARENTH3"), " - ", _xll.EPMMemberDesc(_xll.EPMMemberProperty("COSTOS", _xll.EPMMemberID(A52), "PARENTH3"), "COSTOS"))</f>
        <v>N1005AD350 - Administración y Fin</v>
      </c>
      <c r="D52">
        <v>276.97000000000003</v>
      </c>
      <c r="E52">
        <v>2190.7600000000002</v>
      </c>
      <c r="F52">
        <f t="shared" si="0"/>
        <v>1913.7900000000002</v>
      </c>
      <c r="G52">
        <v>250.32</v>
      </c>
      <c r="H52">
        <v>2194.9</v>
      </c>
      <c r="I52">
        <f t="shared" si="1"/>
        <v>1944.5800000000002</v>
      </c>
      <c r="J52">
        <v>169.24</v>
      </c>
      <c r="K52">
        <v>2199.0500000000002</v>
      </c>
      <c r="L52">
        <f t="shared" si="2"/>
        <v>2029.8100000000002</v>
      </c>
      <c r="M52">
        <v>881.79</v>
      </c>
      <c r="N52">
        <v>2203.25</v>
      </c>
      <c r="O52">
        <f t="shared" si="3"/>
        <v>1321.46</v>
      </c>
      <c r="P52">
        <v>529.99</v>
      </c>
      <c r="Q52">
        <v>2207.44</v>
      </c>
      <c r="R52">
        <f t="shared" si="4"/>
        <v>1677.45</v>
      </c>
      <c r="S52">
        <v>3278.83</v>
      </c>
      <c r="T52">
        <v>26565.11</v>
      </c>
      <c r="U52">
        <f t="shared" si="5"/>
        <v>23286.28</v>
      </c>
    </row>
    <row r="53" spans="1:21" x14ac:dyDescent="0.3">
      <c r="A53" s="5" t="str">
        <f xml:space="preserve"> _xll.EPMOlapMemberO("[CECO].[PARENTH3].[AMSA1005AD3521]","","AMSA1005AD3521 - TICA Corporativo","","000")</f>
        <v>AMSA1005AD3521 - TICA Corporativo</v>
      </c>
      <c r="B53" s="6" t="str">
        <f xml:space="preserve"> _xll.EPMOlapMemberO("[CLACO].[PARENTH7].[AMSAGGENERALES.2]","","AMSAGGENERALES.2 - Otros Gastos","","000")</f>
        <v>AMSAGGENERALES.2 - Otros Gastos</v>
      </c>
      <c r="C53" t="str">
        <f>_xlfn.CONCAT(_xll.EPMMemberProperty("COSTOS", _xll.EPMMemberID(A53), "PARENTH3"), " - ", _xll.EPMMemberDesc(_xll.EPMMemberProperty("COSTOS", _xll.EPMMemberID(A53), "PARENTH3"), "COSTOS"))</f>
        <v>N1005AD350 - Administración y Fin</v>
      </c>
      <c r="F53">
        <f t="shared" si="0"/>
        <v>0</v>
      </c>
      <c r="G53">
        <v>355.17</v>
      </c>
      <c r="I53">
        <f t="shared" si="1"/>
        <v>-355.17</v>
      </c>
      <c r="J53">
        <v>54.08</v>
      </c>
      <c r="L53">
        <f t="shared" si="2"/>
        <v>-54.08</v>
      </c>
      <c r="M53">
        <v>550.21</v>
      </c>
      <c r="O53">
        <f t="shared" si="3"/>
        <v>-550.21</v>
      </c>
      <c r="P53">
        <v>143.85</v>
      </c>
      <c r="R53">
        <f t="shared" si="4"/>
        <v>-143.85</v>
      </c>
      <c r="S53">
        <v>1103.6199999999999</v>
      </c>
      <c r="U53">
        <f t="shared" si="5"/>
        <v>-1103.6199999999999</v>
      </c>
    </row>
    <row r="54" spans="1:21" x14ac:dyDescent="0.3">
      <c r="A54" s="5" t="str">
        <f xml:space="preserve"> _xll.EPMOlapMemberO("[CECO].[PARENTH3].[AMSA1005AD3521]","","AMSA1005AD3521 - TICA Corporativo","","000")</f>
        <v>AMSA1005AD3521 - TICA Corporativo</v>
      </c>
      <c r="B54" s="6" t="str">
        <f xml:space="preserve"> _xll.EPMOlapMemberO("[CLACO].[PARENTH7].[AMSASUBREPARTO.SEC]","","AMSASUBREPARTO.SEC - Subrepartos","","000")</f>
        <v>AMSASUBREPARTO.SEC - Subrepartos</v>
      </c>
      <c r="C54" t="str">
        <f>_xlfn.CONCAT(_xll.EPMMemberProperty("COSTOS", _xll.EPMMemberID(A54), "PARENTH3"), " - ", _xll.EPMMemberDesc(_xll.EPMMemberProperty("COSTOS", _xll.EPMMemberID(A54), "PARENTH3"), "COSTOS"))</f>
        <v>N1005AD350 - Administración y Fin</v>
      </c>
      <c r="D54">
        <v>21546.880000000001</v>
      </c>
      <c r="E54">
        <v>19943.43</v>
      </c>
      <c r="F54">
        <f t="shared" si="0"/>
        <v>-1603.4500000000007</v>
      </c>
      <c r="G54">
        <v>27401.94</v>
      </c>
      <c r="H54">
        <v>18140.169999999998</v>
      </c>
      <c r="I54">
        <f t="shared" si="1"/>
        <v>-9261.77</v>
      </c>
      <c r="J54">
        <v>19045.55</v>
      </c>
      <c r="K54">
        <v>20641.03</v>
      </c>
      <c r="L54">
        <f t="shared" si="2"/>
        <v>1595.4799999999996</v>
      </c>
      <c r="M54">
        <v>23185.64</v>
      </c>
      <c r="N54">
        <v>21009.31</v>
      </c>
      <c r="O54">
        <f t="shared" si="3"/>
        <v>-2176.3299999999981</v>
      </c>
      <c r="P54">
        <v>21270.080000000002</v>
      </c>
      <c r="Q54">
        <v>19780.18</v>
      </c>
      <c r="R54">
        <f t="shared" si="4"/>
        <v>-1489.9000000000015</v>
      </c>
      <c r="S54">
        <v>112450.09</v>
      </c>
      <c r="T54">
        <v>234227.59</v>
      </c>
      <c r="U54">
        <f t="shared" si="5"/>
        <v>121777.5</v>
      </c>
    </row>
    <row r="55" spans="1:21" x14ac:dyDescent="0.3">
      <c r="A55" s="5" t="str">
        <f xml:space="preserve"> _xll.EPMOlapMemberO("[CECO].[PARENTH3].[AMSA1005AD3521]","","AMSA1005AD3521 - TICA Corporativo","","000")</f>
        <v>AMSA1005AD3521 - TICA Corporativo</v>
      </c>
      <c r="B55" s="6" t="str">
        <f xml:space="preserve"> _xll.EPMOlapMemberO("[CLACO].[PARENTH7].[AMSASERV_CORP]","","AMSASERV_CORP - Servicios Corporativ","","000")</f>
        <v>AMSASERV_CORP - Servicios Corporativ</v>
      </c>
      <c r="C55" t="str">
        <f>_xlfn.CONCAT(_xll.EPMMemberProperty("COSTOS", _xll.EPMMemberID(A55), "PARENTH3"), " - ", _xll.EPMMemberDesc(_xll.EPMMemberProperty("COSTOS", _xll.EPMMemberID(A55), "PARENTH3"), "COSTOS"))</f>
        <v>N1005AD350 - Administración y Fin</v>
      </c>
      <c r="D55">
        <v>122223.44</v>
      </c>
      <c r="E55">
        <v>123004.38</v>
      </c>
      <c r="F55">
        <f t="shared" si="0"/>
        <v>780.94000000000233</v>
      </c>
      <c r="G55">
        <v>122223.44</v>
      </c>
      <c r="H55">
        <v>123347.57</v>
      </c>
      <c r="I55">
        <f t="shared" si="1"/>
        <v>1124.1300000000047</v>
      </c>
      <c r="J55">
        <v>122223.44</v>
      </c>
      <c r="K55">
        <v>123691.73</v>
      </c>
      <c r="L55">
        <f t="shared" si="2"/>
        <v>1468.2899999999936</v>
      </c>
      <c r="M55">
        <v>122223.44</v>
      </c>
      <c r="N55">
        <v>124036.85</v>
      </c>
      <c r="O55">
        <f t="shared" si="3"/>
        <v>1813.4100000000035</v>
      </c>
      <c r="P55">
        <v>122223.44</v>
      </c>
      <c r="Q55">
        <v>124382.93</v>
      </c>
      <c r="R55">
        <f t="shared" si="4"/>
        <v>2159.4899999999907</v>
      </c>
      <c r="S55">
        <v>0</v>
      </c>
      <c r="T55">
        <v>1498915.55</v>
      </c>
      <c r="U55">
        <f t="shared" si="5"/>
        <v>1498915.55</v>
      </c>
    </row>
    <row r="56" spans="1:21" x14ac:dyDescent="0.3">
      <c r="A56" s="5" t="str">
        <f xml:space="preserve"> _xll.EPMOlapMemberO("[CECO].[PARENTH3].[AMSA1005AD3525]","","AMSA1005AD3525 - Gestión de Seguros","","000")</f>
        <v>AMSA1005AD3525 - Gestión de Seguros</v>
      </c>
      <c r="B56" s="6" t="str">
        <f xml:space="preserve"> _xll.EPMOlapMemberO("[CLACO].[PARENTH7].[AMSAG_VIAJES]","","AMSAG_VIAJES - Gastos de Viajes","","000")</f>
        <v>AMSAG_VIAJES - Gastos de Viajes</v>
      </c>
      <c r="C56" t="str">
        <f>_xlfn.CONCAT(_xll.EPMMemberProperty("COSTOS", _xll.EPMMemberID(A56), "PARENTH3"), " - ", _xll.EPMMemberDesc(_xll.EPMMemberProperty("COSTOS", _xll.EPMMemberID(A56), "PARENTH3"), "COSTOS"))</f>
        <v>N1005AD350 - Administración y Fin</v>
      </c>
      <c r="F56">
        <f t="shared" si="0"/>
        <v>0</v>
      </c>
      <c r="I56">
        <f t="shared" si="1"/>
        <v>0</v>
      </c>
      <c r="L56">
        <f t="shared" si="2"/>
        <v>0</v>
      </c>
      <c r="O56">
        <f t="shared" si="3"/>
        <v>0</v>
      </c>
      <c r="R56">
        <f t="shared" si="4"/>
        <v>0</v>
      </c>
      <c r="T56">
        <v>3744.92</v>
      </c>
      <c r="U56">
        <f t="shared" si="5"/>
        <v>3744.92</v>
      </c>
    </row>
    <row r="57" spans="1:21" x14ac:dyDescent="0.3">
      <c r="A57" s="5" t="str">
        <f xml:space="preserve"> _xll.EPMOlapMemberO("[CECO].[PARENTH3].[AMSA1005AD3525]","","AMSA1005AD3525 - Gestión de Seguros","","000")</f>
        <v>AMSA1005AD3525 - Gestión de Seguros</v>
      </c>
      <c r="B57" s="6" t="str">
        <f xml:space="preserve"> _xll.EPMOlapMemberO("[CLACO].[PARENTH7].[AMSASEGUROS]","","AMSASEGUROS - Seguros","","000")</f>
        <v>AMSASEGUROS - Seguros</v>
      </c>
      <c r="C57" t="str">
        <f>_xlfn.CONCAT(_xll.EPMMemberProperty("COSTOS", _xll.EPMMemberID(A57), "PARENTH3"), " - ", _xll.EPMMemberDesc(_xll.EPMMemberProperty("COSTOS", _xll.EPMMemberID(A57), "PARENTH3"), "COSTOS"))</f>
        <v>N1005AD350 - Administración y Fin</v>
      </c>
      <c r="D57">
        <v>231245.55</v>
      </c>
      <c r="E57">
        <v>239510.7</v>
      </c>
      <c r="F57">
        <f t="shared" si="0"/>
        <v>8265.1500000000233</v>
      </c>
      <c r="G57">
        <v>321966.68</v>
      </c>
      <c r="H57">
        <v>329881.7</v>
      </c>
      <c r="I57">
        <f t="shared" si="1"/>
        <v>7915.0200000000186</v>
      </c>
      <c r="J57">
        <v>237383.23</v>
      </c>
      <c r="K57">
        <v>239298.65</v>
      </c>
      <c r="L57">
        <f t="shared" si="2"/>
        <v>1915.4199999999837</v>
      </c>
      <c r="M57">
        <v>125152.48</v>
      </c>
      <c r="N57">
        <v>239204.37</v>
      </c>
      <c r="O57">
        <f t="shared" si="3"/>
        <v>114051.89</v>
      </c>
      <c r="P57">
        <v>284070.36</v>
      </c>
      <c r="Q57">
        <v>293090.12</v>
      </c>
      <c r="R57">
        <f t="shared" si="4"/>
        <v>9019.7600000000093</v>
      </c>
      <c r="S57">
        <v>1252434.98</v>
      </c>
      <c r="T57">
        <v>3180915.05</v>
      </c>
      <c r="U57">
        <f t="shared" si="5"/>
        <v>1928480.0699999998</v>
      </c>
    </row>
    <row r="58" spans="1:21" x14ac:dyDescent="0.3">
      <c r="A58" s="5" t="str">
        <f xml:space="preserve"> _xll.EPMOlapMemberO("[CECO].[PARENTH3].[AMSA1005AD3527]","","AMSA1005AD3527 - Control Inter y Ries","","000")</f>
        <v>AMSA1005AD3527 - Control Inter y Ries</v>
      </c>
      <c r="B58" s="6" t="str">
        <f xml:space="preserve"> _xll.EPMOlapMemberO("[CLACO].[PARENTH7].[AMSAENTRENAMI]","","AMSAENTRENAMI - Entrenamiento","","000")</f>
        <v>AMSAENTRENAMI - Entrenamiento</v>
      </c>
      <c r="C58" t="str">
        <f>_xlfn.CONCAT(_xll.EPMMemberProperty("COSTOS", _xll.EPMMemberID(A58), "PARENTH3"), " - ", _xll.EPMMemberDesc(_xll.EPMMemberProperty("COSTOS", _xll.EPMMemberID(A58), "PARENTH3"), "COSTOS"))</f>
        <v>N1005AD350 - Administración y Fin</v>
      </c>
      <c r="F58">
        <f t="shared" si="0"/>
        <v>0</v>
      </c>
      <c r="G58">
        <v>648.12</v>
      </c>
      <c r="I58">
        <f t="shared" si="1"/>
        <v>-648.12</v>
      </c>
      <c r="J58">
        <v>0</v>
      </c>
      <c r="L58">
        <f t="shared" si="2"/>
        <v>0</v>
      </c>
      <c r="M58">
        <v>0</v>
      </c>
      <c r="O58">
        <f t="shared" si="3"/>
        <v>0</v>
      </c>
      <c r="P58">
        <v>0</v>
      </c>
      <c r="R58">
        <f t="shared" si="4"/>
        <v>0</v>
      </c>
      <c r="S58">
        <v>648.12</v>
      </c>
      <c r="T58">
        <v>1108.1300000000001</v>
      </c>
      <c r="U58">
        <f t="shared" si="5"/>
        <v>460.0100000000001</v>
      </c>
    </row>
    <row r="59" spans="1:21" x14ac:dyDescent="0.3">
      <c r="A59" s="5" t="str">
        <f xml:space="preserve"> _xll.EPMOlapMemberO("[CECO].[PARENTH3].[AMSA1005AD3527]","","AMSA1005AD3527 - Control Inter y Ries","","000")</f>
        <v>AMSA1005AD3527 - Control Inter y Ries</v>
      </c>
      <c r="B59" s="6" t="str">
        <f xml:space="preserve"> _xll.EPMOlapMemberO("[CLACO].[PARENTH7].[AMSAASESORIAS]","","AMSAASESORIAS - Asesorías y Consulto","","000")</f>
        <v>AMSAASESORIAS - Asesorías y Consulto</v>
      </c>
      <c r="C59" t="str">
        <f>_xlfn.CONCAT(_xll.EPMMemberProperty("COSTOS", _xll.EPMMemberID(A59), "PARENTH3"), " - ", _xll.EPMMemberDesc(_xll.EPMMemberProperty("COSTOS", _xll.EPMMemberID(A59), "PARENTH3"), "COSTOS"))</f>
        <v>N1005AD350 - Administración y Fin</v>
      </c>
      <c r="D59">
        <v>-6806.35</v>
      </c>
      <c r="F59">
        <f t="shared" si="0"/>
        <v>6806.35</v>
      </c>
      <c r="G59">
        <v>5689.13</v>
      </c>
      <c r="I59">
        <f t="shared" si="1"/>
        <v>-5689.13</v>
      </c>
      <c r="J59">
        <v>-281.70999999999998</v>
      </c>
      <c r="K59">
        <v>2521.73</v>
      </c>
      <c r="L59">
        <f t="shared" si="2"/>
        <v>2803.44</v>
      </c>
      <c r="M59">
        <v>125.12</v>
      </c>
      <c r="O59">
        <f t="shared" si="3"/>
        <v>-125.12</v>
      </c>
      <c r="P59">
        <v>56.95</v>
      </c>
      <c r="Q59">
        <v>1613.48</v>
      </c>
      <c r="R59">
        <f t="shared" si="4"/>
        <v>1556.53</v>
      </c>
      <c r="S59">
        <v>-1273.81</v>
      </c>
      <c r="T59">
        <v>15038.29</v>
      </c>
      <c r="U59">
        <f t="shared" si="5"/>
        <v>16312.1</v>
      </c>
    </row>
    <row r="60" spans="1:21" x14ac:dyDescent="0.3">
      <c r="A60" s="5" t="str">
        <f xml:space="preserve"> _xll.EPMOlapMemberO("[CECO].[PARENTH3].[AMSA1005AD3527]","","AMSA1005AD3527 - Control Inter y Ries","","000")</f>
        <v>AMSA1005AD3527 - Control Inter y Ries</v>
      </c>
      <c r="B60" s="6" t="str">
        <f xml:space="preserve"> _xll.EPMOlapMemberO("[CLACO].[PARENTH7].[AMSASERVICIOS]","","AMSASERVICIOS - Servicios","","000")</f>
        <v>AMSASERVICIOS - Servicios</v>
      </c>
      <c r="C60" t="str">
        <f>_xlfn.CONCAT(_xll.EPMMemberProperty("COSTOS", _xll.EPMMemberID(A60), "PARENTH3"), " - ", _xll.EPMMemberDesc(_xll.EPMMemberProperty("COSTOS", _xll.EPMMemberID(A60), "PARENTH3"), "COSTOS"))</f>
        <v>N1005AD350 - Administración y Fin</v>
      </c>
      <c r="D60">
        <v>4159.25</v>
      </c>
      <c r="E60">
        <v>2599.75</v>
      </c>
      <c r="F60">
        <f t="shared" si="0"/>
        <v>-1559.5</v>
      </c>
      <c r="G60">
        <v>11210.61</v>
      </c>
      <c r="I60">
        <f t="shared" si="1"/>
        <v>-11210.61</v>
      </c>
      <c r="J60">
        <v>4106.01</v>
      </c>
      <c r="K60">
        <v>20342.93</v>
      </c>
      <c r="L60">
        <f t="shared" si="2"/>
        <v>16236.92</v>
      </c>
      <c r="M60">
        <v>12533.18</v>
      </c>
      <c r="N60">
        <v>2621.57</v>
      </c>
      <c r="O60">
        <f t="shared" si="3"/>
        <v>-9911.61</v>
      </c>
      <c r="P60">
        <v>4904.45</v>
      </c>
      <c r="R60">
        <f t="shared" si="4"/>
        <v>-4904.45</v>
      </c>
      <c r="S60">
        <v>32009.05</v>
      </c>
      <c r="T60">
        <v>92924.27</v>
      </c>
      <c r="U60">
        <f t="shared" si="5"/>
        <v>60915.22</v>
      </c>
    </row>
    <row r="61" spans="1:21" x14ac:dyDescent="0.3">
      <c r="A61" s="5" t="str">
        <f xml:space="preserve"> _xll.EPMOlapMemberO("[CECO].[PARENTH3].[AMSA1005AD3527]","","AMSA1005AD3527 - Control Inter y Ries","","000")</f>
        <v>AMSA1005AD3527 - Control Inter y Ries</v>
      </c>
      <c r="B61" s="6" t="str">
        <f xml:space="preserve"> _xll.EPMOlapMemberO("[CLACO].[PARENTH7].[AMSAINFORMATIC]","","AMSAINFORMATIC - Informática y Comuni","","000")</f>
        <v>AMSAINFORMATIC - Informática y Comuni</v>
      </c>
      <c r="C61" t="str">
        <f>_xlfn.CONCAT(_xll.EPMMemberProperty("COSTOS", _xll.EPMMemberID(A61), "PARENTH3"), " - ", _xll.EPMMemberDesc(_xll.EPMMemberProperty("COSTOS", _xll.EPMMemberID(A61), "PARENTH3"), "COSTOS"))</f>
        <v>N1005AD350 - Administración y Fin</v>
      </c>
      <c r="D61">
        <v>-16242.55</v>
      </c>
      <c r="F61">
        <f t="shared" si="0"/>
        <v>16242.55</v>
      </c>
      <c r="G61">
        <v>16238.33</v>
      </c>
      <c r="I61">
        <f t="shared" si="1"/>
        <v>-16238.33</v>
      </c>
      <c r="J61">
        <v>19191.53</v>
      </c>
      <c r="K61">
        <v>6302.49</v>
      </c>
      <c r="L61">
        <f t="shared" si="2"/>
        <v>-12889.039999999999</v>
      </c>
      <c r="M61">
        <v>196.7</v>
      </c>
      <c r="N61">
        <v>27382.02</v>
      </c>
      <c r="O61">
        <f t="shared" si="3"/>
        <v>27185.32</v>
      </c>
      <c r="P61">
        <v>3353.04</v>
      </c>
      <c r="Q61">
        <v>8642.6299999999992</v>
      </c>
      <c r="R61">
        <f t="shared" si="4"/>
        <v>5289.5899999999992</v>
      </c>
      <c r="S61">
        <v>19384.009999999998</v>
      </c>
      <c r="T61">
        <v>73829.31</v>
      </c>
      <c r="U61">
        <f t="shared" si="5"/>
        <v>54445.3</v>
      </c>
    </row>
    <row r="62" spans="1:21" x14ac:dyDescent="0.3">
      <c r="A62" s="5" t="str">
        <f xml:space="preserve"> _xll.EPMOlapMemberO("[CECO].[PARENTH3].[AMSA1005AD3527]","","AMSA1005AD3527 - Control Inter y Ries","","000")</f>
        <v>AMSA1005AD3527 - Control Inter y Ries</v>
      </c>
      <c r="B62" s="6" t="str">
        <f xml:space="preserve"> _xll.EPMOlapMemberO("[CLACO].[PARENTH7].[AMSAGGENERALES.2]","","AMSAGGENERALES.2 - Otros Gastos","","000")</f>
        <v>AMSAGGENERALES.2 - Otros Gastos</v>
      </c>
      <c r="C62" t="str">
        <f>_xlfn.CONCAT(_xll.EPMMemberProperty("COSTOS", _xll.EPMMemberID(A62), "PARENTH3"), " - ", _xll.EPMMemberDesc(_xll.EPMMemberProperty("COSTOS", _xll.EPMMemberID(A62), "PARENTH3"), "COSTOS"))</f>
        <v>N1005AD350 - Administración y Fin</v>
      </c>
      <c r="D62">
        <v>0</v>
      </c>
      <c r="F62">
        <f t="shared" si="0"/>
        <v>0</v>
      </c>
      <c r="I62">
        <f t="shared" si="1"/>
        <v>0</v>
      </c>
      <c r="K62">
        <v>2043.12</v>
      </c>
      <c r="L62">
        <f t="shared" si="2"/>
        <v>2043.12</v>
      </c>
      <c r="M62">
        <v>595.48</v>
      </c>
      <c r="O62">
        <f t="shared" si="3"/>
        <v>-595.48</v>
      </c>
      <c r="R62">
        <f t="shared" si="4"/>
        <v>0</v>
      </c>
      <c r="S62">
        <v>595.48</v>
      </c>
      <c r="T62">
        <v>8275.9500000000007</v>
      </c>
      <c r="U62">
        <f t="shared" si="5"/>
        <v>7680.4700000000012</v>
      </c>
    </row>
    <row r="63" spans="1:21" x14ac:dyDescent="0.3">
      <c r="A63" s="5" t="str">
        <f xml:space="preserve"> _xll.EPMOlapMemberO("[CECO].[PARENTH3].[AMSA1005AD3522]","","AMSA1005AD3522 - Servicios Generales","","000")</f>
        <v>AMSA1005AD3522 - Servicios Generales</v>
      </c>
      <c r="B63" s="6" t="str">
        <f xml:space="preserve"> _xll.EPMOlapMemberO("[CLACO].[PARENTH7].[AMSASERMANTO.REPA]","","AMSASERMANTO.REPA - Servicios Mantenimie","","000")</f>
        <v>AMSASERMANTO.REPA - Servicios Mantenimie</v>
      </c>
      <c r="C63" t="str">
        <f>_xlfn.CONCAT(_xll.EPMMemberProperty("COSTOS", _xll.EPMMemberID(A63), "PARENTH3"), " - ", _xll.EPMMemberDesc(_xll.EPMMemberProperty("COSTOS", _xll.EPMMemberID(A63), "PARENTH3"), "COSTOS"))</f>
        <v>N1005AD400 - Recursos Humanos</v>
      </c>
      <c r="D63">
        <v>1024.49</v>
      </c>
      <c r="E63">
        <v>947.05</v>
      </c>
      <c r="F63">
        <f t="shared" si="0"/>
        <v>-77.440000000000055</v>
      </c>
      <c r="G63">
        <v>1068.47</v>
      </c>
      <c r="H63">
        <v>949.65</v>
      </c>
      <c r="I63">
        <f t="shared" si="1"/>
        <v>-118.82000000000005</v>
      </c>
      <c r="J63">
        <v>-67.17</v>
      </c>
      <c r="K63">
        <v>952.33</v>
      </c>
      <c r="L63">
        <f t="shared" si="2"/>
        <v>1019.5</v>
      </c>
      <c r="M63">
        <v>984.98</v>
      </c>
      <c r="N63">
        <v>955</v>
      </c>
      <c r="O63">
        <f t="shared" si="3"/>
        <v>-29.980000000000018</v>
      </c>
      <c r="P63">
        <v>1055.99</v>
      </c>
      <c r="Q63">
        <v>957.68</v>
      </c>
      <c r="R63">
        <f t="shared" si="4"/>
        <v>-98.310000000000059</v>
      </c>
      <c r="S63">
        <v>5048.34</v>
      </c>
      <c r="T63">
        <v>11540.5</v>
      </c>
      <c r="U63">
        <f t="shared" si="5"/>
        <v>6492.16</v>
      </c>
    </row>
    <row r="64" spans="1:21" x14ac:dyDescent="0.3">
      <c r="A64" s="5" t="str">
        <f xml:space="preserve"> _xll.EPMOlapMemberO("[CECO].[PARENTH3].[AMSA1005AD4020]","","AMSA1005AD4020 - RRHH  Corporativo","","000")</f>
        <v>AMSA1005AD4020 - RRHH  Corporativo</v>
      </c>
      <c r="B64" s="6" t="str">
        <f xml:space="preserve"> _xll.EPMOlapMemberO("[CLACO].[PARENTH7].[AMSAADM_PERSON]","","AMSAADM_PERSON - Administración Perso","","000")</f>
        <v>AMSAADM_PERSON - Administración Perso</v>
      </c>
      <c r="C64" t="str">
        <f>_xlfn.CONCAT(_xll.EPMMemberProperty("COSTOS", _xll.EPMMemberID(A64), "PARENTH3"), " - ", _xll.EPMMemberDesc(_xll.EPMMemberProperty("COSTOS", _xll.EPMMemberID(A64), "PARENTH3"), "COSTOS"))</f>
        <v>N1005AD400 - Recursos Humanos</v>
      </c>
      <c r="D64">
        <v>31285.05</v>
      </c>
      <c r="E64">
        <v>21742.79</v>
      </c>
      <c r="F64">
        <f t="shared" si="0"/>
        <v>-9542.2599999999984</v>
      </c>
      <c r="G64">
        <v>-4307.0200000000004</v>
      </c>
      <c r="H64">
        <v>21802.78</v>
      </c>
      <c r="I64">
        <f t="shared" si="1"/>
        <v>26109.8</v>
      </c>
      <c r="J64">
        <v>15607.64</v>
      </c>
      <c r="K64">
        <v>21863.94</v>
      </c>
      <c r="L64">
        <f t="shared" si="2"/>
        <v>6256.2999999999993</v>
      </c>
      <c r="M64">
        <v>14155.97</v>
      </c>
      <c r="N64">
        <v>21925.18</v>
      </c>
      <c r="O64">
        <f t="shared" si="3"/>
        <v>7769.2100000000009</v>
      </c>
      <c r="P64">
        <v>70063.210000000006</v>
      </c>
      <c r="Q64">
        <v>21986.5</v>
      </c>
      <c r="R64">
        <f t="shared" si="4"/>
        <v>-48076.710000000006</v>
      </c>
      <c r="S64">
        <v>83288.53</v>
      </c>
      <c r="T64">
        <v>266867.78999999998</v>
      </c>
      <c r="U64">
        <f t="shared" si="5"/>
        <v>183579.25999999998</v>
      </c>
    </row>
    <row r="65" spans="1:21" x14ac:dyDescent="0.3">
      <c r="A65" s="5" t="str">
        <f xml:space="preserve"> _xll.EPMOlapMemberO("[CECO].[PARENTH3].[AMSA1005AD4020]","","AMSA1005AD4020 - RRHH  Corporativo","","000")</f>
        <v>AMSA1005AD4020 - RRHH  Corporativo</v>
      </c>
      <c r="B65" s="6" t="str">
        <f xml:space="preserve"> _xll.EPMOlapMemberO("[CLACO].[PARENTH7].[AMSAENTRENAMI]","","AMSAENTRENAMI - Entrenamiento","","000")</f>
        <v>AMSAENTRENAMI - Entrenamiento</v>
      </c>
      <c r="C65" t="str">
        <f>_xlfn.CONCAT(_xll.EPMMemberProperty("COSTOS", _xll.EPMMemberID(A65), "PARENTH3"), " - ", _xll.EPMMemberDesc(_xll.EPMMemberProperty("COSTOS", _xll.EPMMemberID(A65), "PARENTH3"), "COSTOS"))</f>
        <v>N1005AD400 - Recursos Humanos</v>
      </c>
      <c r="D65">
        <v>120.55</v>
      </c>
      <c r="F65">
        <f t="shared" si="0"/>
        <v>-120.55</v>
      </c>
      <c r="G65">
        <v>495.49</v>
      </c>
      <c r="H65">
        <v>1866.66</v>
      </c>
      <c r="I65">
        <f t="shared" si="1"/>
        <v>1371.17</v>
      </c>
      <c r="J65">
        <v>13291.38</v>
      </c>
      <c r="K65">
        <v>16990.37</v>
      </c>
      <c r="L65">
        <f t="shared" si="2"/>
        <v>3698.99</v>
      </c>
      <c r="M65">
        <v>26546.82</v>
      </c>
      <c r="N65">
        <v>21483.9</v>
      </c>
      <c r="O65">
        <f t="shared" si="3"/>
        <v>-5062.9199999999983</v>
      </c>
      <c r="P65">
        <v>1618.34</v>
      </c>
      <c r="R65">
        <f t="shared" si="4"/>
        <v>-1618.34</v>
      </c>
      <c r="S65">
        <v>40454.239999999998</v>
      </c>
      <c r="T65">
        <v>105737.82</v>
      </c>
      <c r="U65">
        <f t="shared" si="5"/>
        <v>65283.580000000009</v>
      </c>
    </row>
    <row r="66" spans="1:21" x14ac:dyDescent="0.3">
      <c r="A66" s="5" t="str">
        <f xml:space="preserve"> _xll.EPMOlapMemberO("[CECO].[PARENTH3].[AMSA1005AD4020]","","AMSA1005AD4020 - RRHH  Corporativo","","000")</f>
        <v>AMSA1005AD4020 - RRHH  Corporativo</v>
      </c>
      <c r="B66" s="6" t="str">
        <f xml:space="preserve"> _xll.EPMOlapMemberO("[CLACO].[PARENTH7].[AMSAASESORIAS]","","AMSAASESORIAS - Asesorías y Consulto","","000")</f>
        <v>AMSAASESORIAS - Asesorías y Consulto</v>
      </c>
      <c r="C66" t="str">
        <f>_xlfn.CONCAT(_xll.EPMMemberProperty("COSTOS", _xll.EPMMemberID(A66), "PARENTH3"), " - ", _xll.EPMMemberDesc(_xll.EPMMemberProperty("COSTOS", _xll.EPMMemberID(A66), "PARENTH3"), "COSTOS"))</f>
        <v>N1005AD400 - Recursos Humanos</v>
      </c>
      <c r="D66">
        <v>-6925.59</v>
      </c>
      <c r="E66">
        <v>1761.06</v>
      </c>
      <c r="F66">
        <f t="shared" si="0"/>
        <v>8686.65</v>
      </c>
      <c r="G66">
        <v>2460.1799999999998</v>
      </c>
      <c r="H66">
        <v>1765.97</v>
      </c>
      <c r="I66">
        <f t="shared" si="1"/>
        <v>-694.20999999999981</v>
      </c>
      <c r="J66">
        <v>3525.08</v>
      </c>
      <c r="K66">
        <v>4266.8</v>
      </c>
      <c r="L66">
        <f t="shared" si="2"/>
        <v>741.72000000000025</v>
      </c>
      <c r="M66">
        <v>3195.49</v>
      </c>
      <c r="N66">
        <v>3114.08</v>
      </c>
      <c r="O66">
        <f t="shared" si="3"/>
        <v>-81.409999999999854</v>
      </c>
      <c r="P66">
        <v>4894.96</v>
      </c>
      <c r="Q66">
        <v>2494.65</v>
      </c>
      <c r="R66">
        <f t="shared" si="4"/>
        <v>-2400.31</v>
      </c>
      <c r="S66">
        <v>2255.16</v>
      </c>
      <c r="T66">
        <v>47617.81</v>
      </c>
      <c r="U66">
        <f t="shared" si="5"/>
        <v>45362.649999999994</v>
      </c>
    </row>
    <row r="67" spans="1:21" x14ac:dyDescent="0.3">
      <c r="A67" s="5" t="str">
        <f xml:space="preserve"> _xll.EPMOlapMemberO("[CECO].[PARENTH3].[AMSA1005AD4020]","","AMSA1005AD4020 - RRHH  Corporativo","","000")</f>
        <v>AMSA1005AD4020 - RRHH  Corporativo</v>
      </c>
      <c r="B67" s="6" t="str">
        <f xml:space="preserve"> _xll.EPMOlapMemberO("[CLACO].[PARENTH7].[AMSAINFORMATIC]","","AMSAINFORMATIC - Informática y Comuni","","000")</f>
        <v>AMSAINFORMATIC - Informática y Comuni</v>
      </c>
      <c r="C67" t="str">
        <f>_xlfn.CONCAT(_xll.EPMMemberProperty("COSTOS", _xll.EPMMemberID(A67), "PARENTH3"), " - ", _xll.EPMMemberDesc(_xll.EPMMemberProperty("COSTOS", _xll.EPMMemberID(A67), "PARENTH3"), "COSTOS"))</f>
        <v>N1005AD400 - Recursos Humanos</v>
      </c>
      <c r="D67">
        <v>6474.19</v>
      </c>
      <c r="E67">
        <v>18379.88</v>
      </c>
      <c r="F67">
        <f t="shared" si="0"/>
        <v>11905.690000000002</v>
      </c>
      <c r="G67">
        <v>2895.9</v>
      </c>
      <c r="H67">
        <v>34335.040000000001</v>
      </c>
      <c r="I67">
        <f t="shared" si="1"/>
        <v>31439.14</v>
      </c>
      <c r="J67">
        <v>55650.34</v>
      </c>
      <c r="K67">
        <v>13618.01</v>
      </c>
      <c r="L67">
        <f t="shared" si="2"/>
        <v>-42032.329999999994</v>
      </c>
      <c r="M67">
        <v>25768.15</v>
      </c>
      <c r="N67">
        <v>22207.759999999998</v>
      </c>
      <c r="O67">
        <f t="shared" si="3"/>
        <v>-3560.3900000000031</v>
      </c>
      <c r="P67">
        <v>27957</v>
      </c>
      <c r="Q67">
        <v>22288.799999999999</v>
      </c>
      <c r="R67">
        <f t="shared" si="4"/>
        <v>-5668.2000000000007</v>
      </c>
      <c r="S67">
        <v>107686.16</v>
      </c>
      <c r="T67">
        <v>349380.65</v>
      </c>
      <c r="U67">
        <f t="shared" si="5"/>
        <v>241694.49000000002</v>
      </c>
    </row>
    <row r="68" spans="1:21" x14ac:dyDescent="0.3">
      <c r="A68" s="5" t="str">
        <f xml:space="preserve"> _xll.EPMOlapMemberO("[CECO].[PARENTH3].[AMSA1005AD4020]","","AMSA1005AD4020 - RRHH  Corporativo","","000")</f>
        <v>AMSA1005AD4020 - RRHH  Corporativo</v>
      </c>
      <c r="B68" s="6" t="str">
        <f xml:space="preserve"> _xll.EPMOlapMemberO("[CLACO].[PARENTH7].[AMSAG_VIAJES]","","AMSAG_VIAJES - Gastos de Viajes","","000")</f>
        <v>AMSAG_VIAJES - Gastos de Viajes</v>
      </c>
      <c r="C68" t="str">
        <f>_xlfn.CONCAT(_xll.EPMMemberProperty("COSTOS", _xll.EPMMemberID(A68), "PARENTH3"), " - ", _xll.EPMMemberDesc(_xll.EPMMemberProperty("COSTOS", _xll.EPMMemberID(A68), "PARENTH3"), "COSTOS"))</f>
        <v>N1005AD400 - Recursos Humanos</v>
      </c>
      <c r="D68">
        <v>0</v>
      </c>
      <c r="F68">
        <f t="shared" si="0"/>
        <v>0</v>
      </c>
      <c r="G68">
        <v>0</v>
      </c>
      <c r="I68">
        <f t="shared" si="1"/>
        <v>0</v>
      </c>
      <c r="J68">
        <v>0</v>
      </c>
      <c r="L68">
        <f t="shared" si="2"/>
        <v>0</v>
      </c>
      <c r="M68">
        <v>247.25</v>
      </c>
      <c r="O68">
        <f t="shared" si="3"/>
        <v>-247.25</v>
      </c>
      <c r="P68">
        <v>0</v>
      </c>
      <c r="R68">
        <f t="shared" si="4"/>
        <v>0</v>
      </c>
      <c r="S68">
        <v>247.25</v>
      </c>
      <c r="T68">
        <v>703.2</v>
      </c>
      <c r="U68">
        <f t="shared" si="5"/>
        <v>455.95000000000005</v>
      </c>
    </row>
    <row r="69" spans="1:21" x14ac:dyDescent="0.3">
      <c r="A69" s="5" t="str">
        <f xml:space="preserve"> _xll.EPMOlapMemberO("[CECO].[PARENTH3].[AMSA1005AD4020]","","AMSA1005AD4020 - RRHH  Corporativo","","000")</f>
        <v>AMSA1005AD4020 - RRHH  Corporativo</v>
      </c>
      <c r="B69" s="6" t="str">
        <f xml:space="preserve"> _xll.EPMOlapMemberO("[CLACO].[PARENTH7].[AMSAGGENERALES.2]","","AMSAGGENERALES.2 - Otros Gastos","","000")</f>
        <v>AMSAGGENERALES.2 - Otros Gastos</v>
      </c>
      <c r="C69" t="str">
        <f>_xlfn.CONCAT(_xll.EPMMemberProperty("COSTOS", _xll.EPMMemberID(A69), "PARENTH3"), " - ", _xll.EPMMemberDesc(_xll.EPMMemberProperty("COSTOS", _xll.EPMMemberID(A69), "PARENTH3"), "COSTOS"))</f>
        <v>N1005AD400 - Recursos Humanos</v>
      </c>
      <c r="D69">
        <v>0</v>
      </c>
      <c r="F69">
        <f t="shared" si="0"/>
        <v>0</v>
      </c>
      <c r="I69">
        <f t="shared" si="1"/>
        <v>0</v>
      </c>
      <c r="L69">
        <f t="shared" si="2"/>
        <v>0</v>
      </c>
      <c r="M69">
        <v>7030.29</v>
      </c>
      <c r="N69">
        <v>13055.12</v>
      </c>
      <c r="O69">
        <f t="shared" si="3"/>
        <v>6024.8300000000008</v>
      </c>
      <c r="P69">
        <v>156.04</v>
      </c>
      <c r="R69">
        <f t="shared" si="4"/>
        <v>-156.04</v>
      </c>
      <c r="S69">
        <v>7030.29</v>
      </c>
      <c r="T69">
        <v>27471.48</v>
      </c>
      <c r="U69">
        <f t="shared" si="5"/>
        <v>20441.189999999999</v>
      </c>
    </row>
    <row r="70" spans="1:21" x14ac:dyDescent="0.3">
      <c r="A70" s="5" t="str">
        <f xml:space="preserve"> _xll.EPMOlapMemberO("[CECO].[PARENTH3].[AMSA1005AD4020]","","AMSA1005AD4020 - RRHH  Corporativo","","000")</f>
        <v>AMSA1005AD4020 - RRHH  Corporativo</v>
      </c>
      <c r="B70" s="6" t="str">
        <f xml:space="preserve"> _xll.EPMOlapMemberO("[CLACO].[PARENTH7].[AMSASERV_CORP]","","AMSASERV_CORP - Servicios Corporativ","","000")</f>
        <v>AMSASERV_CORP - Servicios Corporativ</v>
      </c>
      <c r="C70" t="str">
        <f>_xlfn.CONCAT(_xll.EPMMemberProperty("COSTOS", _xll.EPMMemberID(A70), "PARENTH3"), " - ", _xll.EPMMemberDesc(_xll.EPMMemberProperty("COSTOS", _xll.EPMMemberID(A70), "PARENTH3"), "COSTOS"))</f>
        <v>N1005AD400 - Recursos Humanos</v>
      </c>
      <c r="D70">
        <v>67155.649999999994</v>
      </c>
      <c r="E70">
        <v>66398.740000000005</v>
      </c>
      <c r="F70">
        <f t="shared" si="0"/>
        <v>-756.90999999998894</v>
      </c>
      <c r="G70">
        <v>69903.81</v>
      </c>
      <c r="H70">
        <v>66584</v>
      </c>
      <c r="I70">
        <f t="shared" si="1"/>
        <v>-3319.8099999999977</v>
      </c>
      <c r="J70">
        <v>69574.240000000005</v>
      </c>
      <c r="K70">
        <v>66769.78</v>
      </c>
      <c r="L70">
        <f t="shared" si="2"/>
        <v>-2804.4600000000064</v>
      </c>
      <c r="M70">
        <v>65434.87</v>
      </c>
      <c r="N70">
        <v>66956.06</v>
      </c>
      <c r="O70">
        <f t="shared" si="3"/>
        <v>1521.1899999999951</v>
      </c>
      <c r="P70">
        <v>67763.429999999993</v>
      </c>
      <c r="Q70">
        <v>67142.89</v>
      </c>
      <c r="R70">
        <f t="shared" si="4"/>
        <v>-620.5399999999936</v>
      </c>
      <c r="S70">
        <v>339832</v>
      </c>
      <c r="T70">
        <v>809126.49</v>
      </c>
      <c r="U70">
        <f t="shared" si="5"/>
        <v>469294.49</v>
      </c>
    </row>
    <row r="71" spans="1:21" x14ac:dyDescent="0.3">
      <c r="A71" s="5" t="str">
        <f xml:space="preserve"> _xll.EPMOlapMemberO("[CECO].[PARENTH3].[AMSA1005AD4501]","","AMSA1005AD4501 - Asuntos gubernament.","","000")</f>
        <v>AMSA1005AD4501 - Asuntos gubernament.</v>
      </c>
      <c r="B71" s="6" t="str">
        <f xml:space="preserve"> _xll.EPMOlapMemberO("[CLACO].[PARENTH7].[AMSAADM_PERSON]","","AMSAADM_PERSON - Administración Perso","","000")</f>
        <v>AMSAADM_PERSON - Administración Perso</v>
      </c>
      <c r="C71" t="str">
        <f>_xlfn.CONCAT(_xll.EPMMemberProperty("COSTOS", _xll.EPMMemberID(A71), "PARENTH3"), " - ", _xll.EPMMemberDesc(_xll.EPMMemberProperty("COSTOS", _xll.EPMMemberID(A71), "PARENTH3"), "COSTOS"))</f>
        <v>N1005AD450 - Gerencia. AAEE</v>
      </c>
      <c r="F71">
        <f t="shared" si="0"/>
        <v>0</v>
      </c>
      <c r="I71">
        <f t="shared" si="1"/>
        <v>0</v>
      </c>
      <c r="L71">
        <f t="shared" si="2"/>
        <v>0</v>
      </c>
      <c r="M71">
        <v>762.18</v>
      </c>
      <c r="O71">
        <f t="shared" si="3"/>
        <v>-762.18</v>
      </c>
      <c r="R71">
        <f t="shared" si="4"/>
        <v>0</v>
      </c>
      <c r="S71">
        <v>762.18</v>
      </c>
      <c r="U71">
        <f t="shared" si="5"/>
        <v>-762.18</v>
      </c>
    </row>
    <row r="72" spans="1:21" x14ac:dyDescent="0.3">
      <c r="A72" s="5" t="str">
        <f xml:space="preserve"> _xll.EPMOlapMemberO("[CECO].[PARENTH3].[AMSA1005AD4501]","","AMSA1005AD4501 - Asuntos gubernament.","","000")</f>
        <v>AMSA1005AD4501 - Asuntos gubernament.</v>
      </c>
      <c r="B72" s="6" t="str">
        <f xml:space="preserve"> _xll.EPMOlapMemberO("[CLACO].[PARENTH7].[AMSAENTRENAMI]","","AMSAENTRENAMI - Entrenamiento","","000")</f>
        <v>AMSAENTRENAMI - Entrenamiento</v>
      </c>
      <c r="C72" t="str">
        <f>_xlfn.CONCAT(_xll.EPMMemberProperty("COSTOS", _xll.EPMMemberID(A72), "PARENTH3"), " - ", _xll.EPMMemberDesc(_xll.EPMMemberProperty("COSTOS", _xll.EPMMemberID(A72), "PARENTH3"), "COSTOS"))</f>
        <v>N1005AD450 - Gerencia. AAEE</v>
      </c>
      <c r="D72">
        <v>0</v>
      </c>
      <c r="F72">
        <f t="shared" si="0"/>
        <v>0</v>
      </c>
      <c r="G72">
        <v>0</v>
      </c>
      <c r="I72">
        <f t="shared" si="1"/>
        <v>0</v>
      </c>
      <c r="J72">
        <v>0</v>
      </c>
      <c r="L72">
        <f t="shared" si="2"/>
        <v>0</v>
      </c>
      <c r="M72">
        <v>0</v>
      </c>
      <c r="O72">
        <f t="shared" si="3"/>
        <v>0</v>
      </c>
      <c r="P72">
        <v>0</v>
      </c>
      <c r="R72">
        <f t="shared" si="4"/>
        <v>0</v>
      </c>
      <c r="S72">
        <v>0</v>
      </c>
      <c r="U72">
        <f t="shared" si="5"/>
        <v>0</v>
      </c>
    </row>
    <row r="73" spans="1:21" x14ac:dyDescent="0.3">
      <c r="A73" s="5" t="str">
        <f xml:space="preserve"> _xll.EPMOlapMemberO("[CECO].[PARENTH3].[AMSA1005AD4501]","","AMSA1005AD4501 - Asuntos gubernament.","","000")</f>
        <v>AMSA1005AD4501 - Asuntos gubernament.</v>
      </c>
      <c r="B73" s="6" t="str">
        <f xml:space="preserve"> _xll.EPMOlapMemberO("[CLACO].[PARENTH7].[AMSAINFORMATIC]","","AMSAINFORMATIC - Informática y Comuni","","000")</f>
        <v>AMSAINFORMATIC - Informática y Comuni</v>
      </c>
      <c r="C73" t="str">
        <f>_xlfn.CONCAT(_xll.EPMMemberProperty("COSTOS", _xll.EPMMemberID(A73), "PARENTH3"), " - ", _xll.EPMMemberDesc(_xll.EPMMemberProperty("COSTOS", _xll.EPMMemberID(A73), "PARENTH3"), "COSTOS"))</f>
        <v>N1005AD450 - Gerencia. AAEE</v>
      </c>
      <c r="D73">
        <v>16137.17</v>
      </c>
      <c r="E73">
        <v>15814.53</v>
      </c>
      <c r="F73">
        <f t="shared" si="0"/>
        <v>-322.63999999999942</v>
      </c>
      <c r="G73">
        <v>16573.330000000002</v>
      </c>
      <c r="H73">
        <v>15857.8</v>
      </c>
      <c r="I73">
        <f t="shared" si="1"/>
        <v>-715.53000000000247</v>
      </c>
      <c r="J73">
        <v>16135.67</v>
      </c>
      <c r="K73">
        <v>15902.46</v>
      </c>
      <c r="L73">
        <f t="shared" si="2"/>
        <v>-233.21000000000095</v>
      </c>
      <c r="M73">
        <v>16216.97</v>
      </c>
      <c r="N73">
        <v>15947.13</v>
      </c>
      <c r="O73">
        <f t="shared" si="3"/>
        <v>-269.84000000000015</v>
      </c>
      <c r="P73">
        <v>15884.05</v>
      </c>
      <c r="Q73">
        <v>15991.81</v>
      </c>
      <c r="R73">
        <f t="shared" si="4"/>
        <v>107.76000000000022</v>
      </c>
      <c r="S73">
        <v>97004.7</v>
      </c>
      <c r="T73">
        <v>193282.04</v>
      </c>
      <c r="U73">
        <f t="shared" si="5"/>
        <v>96277.340000000011</v>
      </c>
    </row>
    <row r="74" spans="1:21" x14ac:dyDescent="0.3">
      <c r="A74" s="5" t="str">
        <f xml:space="preserve"> _xll.EPMOlapMemberO("[CECO].[PARENTH3].[AMSA1005AD4501]","","AMSA1005AD4501 - Asuntos gubernament.","","000")</f>
        <v>AMSA1005AD4501 - Asuntos gubernament.</v>
      </c>
      <c r="B74" s="6" t="str">
        <f xml:space="preserve"> _xll.EPMOlapMemberO("[CLACO].[PARENTH7].[AMSAGGENERALES.2]","","AMSAGGENERALES.2 - Otros Gastos","","000")</f>
        <v>AMSAGGENERALES.2 - Otros Gastos</v>
      </c>
      <c r="C74" t="str">
        <f>_xlfn.CONCAT(_xll.EPMMemberProperty("COSTOS", _xll.EPMMemberID(A74), "PARENTH3"), " - ", _xll.EPMMemberDesc(_xll.EPMMemberProperty("COSTOS", _xll.EPMMemberID(A74), "PARENTH3"), "COSTOS"))</f>
        <v>N1005AD450 - Gerencia. AAEE</v>
      </c>
      <c r="D74">
        <v>60743.95</v>
      </c>
      <c r="E74">
        <v>19945.37</v>
      </c>
      <c r="F74">
        <f t="shared" ref="F74:F125" si="6">E74-D74</f>
        <v>-40798.58</v>
      </c>
      <c r="G74">
        <v>607.53</v>
      </c>
      <c r="I74">
        <f t="shared" ref="I74:I125" si="7">H74-G74</f>
        <v>-607.53</v>
      </c>
      <c r="J74">
        <v>32781.51</v>
      </c>
      <c r="K74">
        <v>30641.49</v>
      </c>
      <c r="L74">
        <f t="shared" ref="L74:L125" si="8">K74-J74</f>
        <v>-2140.0200000000004</v>
      </c>
      <c r="M74">
        <v>3329.23</v>
      </c>
      <c r="O74">
        <f t="shared" ref="O74:O125" si="9">N74-M74</f>
        <v>-3329.23</v>
      </c>
      <c r="P74">
        <v>0</v>
      </c>
      <c r="R74">
        <f t="shared" ref="R74:R125" si="10">Q74-P74</f>
        <v>0</v>
      </c>
      <c r="S74">
        <v>97462.22</v>
      </c>
      <c r="T74">
        <v>119072.61</v>
      </c>
      <c r="U74">
        <f t="shared" ref="U74:U125" si="11">T74-S74</f>
        <v>21610.39</v>
      </c>
    </row>
    <row r="75" spans="1:21" x14ac:dyDescent="0.3">
      <c r="A75" s="5" t="str">
        <f xml:space="preserve"> _xll.EPMOlapMemberO("[CECO].[PARENTH3].[AMSA1005AD4506]","","AMSA1005AD4506 - Med.Ambte Corporativ","","000")</f>
        <v>AMSA1005AD4506 - Med.Ambte Corporativ</v>
      </c>
      <c r="B75" s="6" t="str">
        <f xml:space="preserve"> _xll.EPMOlapMemberO("[CLACO].[PARENTH7].[AMSAASESORIAS]","","AMSAASESORIAS - Asesorías y Consulto","","000")</f>
        <v>AMSAASESORIAS - Asesorías y Consulto</v>
      </c>
      <c r="C75" t="str">
        <f>_xlfn.CONCAT(_xll.EPMMemberProperty("COSTOS", _xll.EPMMemberID(A75), "PARENTH3"), " - ", _xll.EPMMemberDesc(_xll.EPMMemberProperty("COSTOS", _xll.EPMMemberID(A75), "PARENTH3"), "COSTOS"))</f>
        <v>N1005AD450 - Gerencia. AAEE</v>
      </c>
      <c r="D75">
        <v>0</v>
      </c>
      <c r="E75">
        <v>644.52</v>
      </c>
      <c r="F75">
        <f t="shared" si="6"/>
        <v>644.52</v>
      </c>
      <c r="G75">
        <v>0</v>
      </c>
      <c r="H75">
        <v>20701.47</v>
      </c>
      <c r="I75">
        <f t="shared" si="7"/>
        <v>20701.47</v>
      </c>
      <c r="J75">
        <v>0</v>
      </c>
      <c r="K75">
        <v>650.47</v>
      </c>
      <c r="L75">
        <f t="shared" si="8"/>
        <v>650.47</v>
      </c>
      <c r="M75">
        <v>0</v>
      </c>
      <c r="N75">
        <v>653.41</v>
      </c>
      <c r="O75">
        <f t="shared" si="9"/>
        <v>653.41</v>
      </c>
      <c r="P75">
        <v>0</v>
      </c>
      <c r="Q75">
        <v>656.38</v>
      </c>
      <c r="R75">
        <f t="shared" si="10"/>
        <v>656.38</v>
      </c>
      <c r="S75">
        <v>0</v>
      </c>
      <c r="T75">
        <v>27984.58</v>
      </c>
      <c r="U75">
        <f t="shared" si="11"/>
        <v>27984.58</v>
      </c>
    </row>
    <row r="76" spans="1:21" x14ac:dyDescent="0.3">
      <c r="A76" s="5" t="str">
        <f xml:space="preserve"> _xll.EPMOlapMemberO("[CECO].[PARENTH3].[AMSA1005AD4506]","","AMSA1005AD4506 - Med.Ambte Corporativ","","000")</f>
        <v>AMSA1005AD4506 - Med.Ambte Corporativ</v>
      </c>
      <c r="B76" s="6" t="str">
        <f xml:space="preserve"> _xll.EPMOlapMemberO("[CLACO].[PARENTH7].[AMSASERVICIOS]","","AMSASERVICIOS - Servicios","","000")</f>
        <v>AMSASERVICIOS - Servicios</v>
      </c>
      <c r="C76" t="str">
        <f>_xlfn.CONCAT(_xll.EPMMemberProperty("COSTOS", _xll.EPMMemberID(A76), "PARENTH3"), " - ", _xll.EPMMemberDesc(_xll.EPMMemberProperty("COSTOS", _xll.EPMMemberID(A76), "PARENTH3"), "COSTOS"))</f>
        <v>N1005AD450 - Gerencia. AAEE</v>
      </c>
      <c r="F76">
        <f t="shared" si="6"/>
        <v>0</v>
      </c>
      <c r="I76">
        <f t="shared" si="7"/>
        <v>0</v>
      </c>
      <c r="J76">
        <v>779.94</v>
      </c>
      <c r="L76">
        <f t="shared" si="8"/>
        <v>-779.94</v>
      </c>
      <c r="M76">
        <v>0</v>
      </c>
      <c r="O76">
        <f t="shared" si="9"/>
        <v>0</v>
      </c>
      <c r="P76">
        <v>0</v>
      </c>
      <c r="R76">
        <f t="shared" si="10"/>
        <v>0</v>
      </c>
      <c r="S76">
        <v>779.94</v>
      </c>
      <c r="U76">
        <f t="shared" si="11"/>
        <v>-779.94</v>
      </c>
    </row>
    <row r="77" spans="1:21" x14ac:dyDescent="0.3">
      <c r="A77" s="5" t="str">
        <f xml:space="preserve"> _xll.EPMOlapMemberO("[CECO].[PARENTH3].[AMSA1005AD4506]","","AMSA1005AD4506 - Med.Ambte Corporativ","","000")</f>
        <v>AMSA1005AD4506 - Med.Ambte Corporativ</v>
      </c>
      <c r="B77" s="6" t="str">
        <f xml:space="preserve"> _xll.EPMOlapMemberO("[CLACO].[PARENTH7].[AMSAINFORMATIC]","","AMSAINFORMATIC - Informática y Comuni","","000")</f>
        <v>AMSAINFORMATIC - Informática y Comuni</v>
      </c>
      <c r="C77" t="str">
        <f>_xlfn.CONCAT(_xll.EPMMemberProperty("COSTOS", _xll.EPMMemberID(A77), "PARENTH3"), " - ", _xll.EPMMemberDesc(_xll.EPMMemberProperty("COSTOS", _xll.EPMMemberID(A77), "PARENTH3"), "COSTOS"))</f>
        <v>N1005AD450 - Gerencia. AAEE</v>
      </c>
      <c r="D77">
        <v>8653.84</v>
      </c>
      <c r="F77">
        <f t="shared" si="6"/>
        <v>-8653.84</v>
      </c>
      <c r="G77">
        <v>-674.54</v>
      </c>
      <c r="I77">
        <f t="shared" si="7"/>
        <v>674.54</v>
      </c>
      <c r="J77">
        <v>-6081.21</v>
      </c>
      <c r="L77">
        <f t="shared" si="8"/>
        <v>6081.21</v>
      </c>
      <c r="M77">
        <v>509.08</v>
      </c>
      <c r="N77">
        <v>3354.68</v>
      </c>
      <c r="O77">
        <f t="shared" si="9"/>
        <v>2845.6</v>
      </c>
      <c r="P77">
        <v>1033.23</v>
      </c>
      <c r="Q77">
        <v>13445.33</v>
      </c>
      <c r="R77">
        <f t="shared" si="10"/>
        <v>12412.1</v>
      </c>
      <c r="S77">
        <v>2407.17</v>
      </c>
      <c r="T77">
        <v>37100.74</v>
      </c>
      <c r="U77">
        <f t="shared" si="11"/>
        <v>34693.57</v>
      </c>
    </row>
    <row r="78" spans="1:21" x14ac:dyDescent="0.3">
      <c r="A78" s="5" t="str">
        <f xml:space="preserve"> _xll.EPMOlapMemberO("[CECO].[PARENTH3].[AMSA1005AD4509]","","AMSA1005AD4509 - Adm y gastos operac","","000")</f>
        <v>AMSA1005AD4509 - Adm y gastos operac</v>
      </c>
      <c r="B78" s="6" t="str">
        <f xml:space="preserve"> _xll.EPMOlapMemberO("[CLACO].[PARENTH7].[AMSAMAT_Y_REP.2]","","AMSAMAT_Y_REP.2 - Materiales y repuest","","000")</f>
        <v>AMSAMAT_Y_REP.2 - Materiales y repuest</v>
      </c>
      <c r="C78" t="str">
        <f>_xlfn.CONCAT(_xll.EPMMemberProperty("COSTOS", _xll.EPMMemberID(A78), "PARENTH3"), " - ", _xll.EPMMemberDesc(_xll.EPMMemberProperty("COSTOS", _xll.EPMMemberID(A78), "PARENTH3"), "COSTOS"))</f>
        <v>N1005AD450 - Gerencia. AAEE</v>
      </c>
      <c r="E78">
        <v>83.11</v>
      </c>
      <c r="F78">
        <f t="shared" si="6"/>
        <v>83.11</v>
      </c>
      <c r="H78">
        <v>83.33</v>
      </c>
      <c r="I78">
        <f t="shared" si="7"/>
        <v>83.33</v>
      </c>
      <c r="K78">
        <v>83.57</v>
      </c>
      <c r="L78">
        <f t="shared" si="8"/>
        <v>83.57</v>
      </c>
      <c r="N78">
        <v>83.8</v>
      </c>
      <c r="O78">
        <f t="shared" si="9"/>
        <v>83.8</v>
      </c>
      <c r="Q78">
        <v>84.04</v>
      </c>
      <c r="R78">
        <f t="shared" si="10"/>
        <v>84.04</v>
      </c>
      <c r="T78">
        <v>1012.7</v>
      </c>
      <c r="U78">
        <f t="shared" si="11"/>
        <v>1012.7</v>
      </c>
    </row>
    <row r="79" spans="1:21" x14ac:dyDescent="0.3">
      <c r="A79" s="5" t="str">
        <f xml:space="preserve"> _xll.EPMOlapMemberO("[CECO].[PARENTH3].[AMSA1005AD4509]","","AMSA1005AD4509 - Adm y gastos operac","","000")</f>
        <v>AMSA1005AD4509 - Adm y gastos operac</v>
      </c>
      <c r="B79" s="6" t="str">
        <f xml:space="preserve"> _xll.EPMOlapMemberO("[CLACO].[PARENTH7].[AMSAADM_PERSON]","","AMSAADM_PERSON - Administración Perso","","000")</f>
        <v>AMSAADM_PERSON - Administración Perso</v>
      </c>
      <c r="C79" t="str">
        <f>_xlfn.CONCAT(_xll.EPMMemberProperty("COSTOS", _xll.EPMMemberID(A79), "PARENTH3"), " - ", _xll.EPMMemberDesc(_xll.EPMMemberProperty("COSTOS", _xll.EPMMemberID(A79), "PARENTH3"), "COSTOS"))</f>
        <v>N1005AD450 - Gerencia. AAEE</v>
      </c>
      <c r="F79">
        <f t="shared" si="6"/>
        <v>0</v>
      </c>
      <c r="G79">
        <v>3980.68</v>
      </c>
      <c r="I79">
        <f t="shared" si="7"/>
        <v>-3980.68</v>
      </c>
      <c r="J79">
        <v>0</v>
      </c>
      <c r="L79">
        <f t="shared" si="8"/>
        <v>0</v>
      </c>
      <c r="M79">
        <v>0</v>
      </c>
      <c r="O79">
        <f t="shared" si="9"/>
        <v>0</v>
      </c>
      <c r="P79">
        <v>0</v>
      </c>
      <c r="R79">
        <f t="shared" si="10"/>
        <v>0</v>
      </c>
      <c r="S79">
        <v>3980.68</v>
      </c>
      <c r="U79">
        <f t="shared" si="11"/>
        <v>-3980.68</v>
      </c>
    </row>
    <row r="80" spans="1:21" x14ac:dyDescent="0.3">
      <c r="A80" s="5" t="str">
        <f xml:space="preserve"> _xll.EPMOlapMemberO("[CECO].[PARENTH3].[AMSA1005AD4509]","","AMSA1005AD4509 - Adm y gastos operac","","000")</f>
        <v>AMSA1005AD4509 - Adm y gastos operac</v>
      </c>
      <c r="B80" s="6" t="str">
        <f xml:space="preserve"> _xll.EPMOlapMemberO("[CLACO].[PARENTH7].[AMSAASESORIAS]","","AMSAASESORIAS - Asesorías y Consulto","","000")</f>
        <v>AMSAASESORIAS - Asesorías y Consulto</v>
      </c>
      <c r="C80" t="str">
        <f>_xlfn.CONCAT(_xll.EPMMemberProperty("COSTOS", _xll.EPMMemberID(A80), "PARENTH3"), " - ", _xll.EPMMemberDesc(_xll.EPMMemberProperty("COSTOS", _xll.EPMMemberID(A80), "PARENTH3"), "COSTOS"))</f>
        <v>N1005AD450 - Gerencia. AAEE</v>
      </c>
      <c r="D80">
        <v>950.01</v>
      </c>
      <c r="F80">
        <f t="shared" si="6"/>
        <v>-950.01</v>
      </c>
      <c r="G80">
        <v>11864.22</v>
      </c>
      <c r="I80">
        <f t="shared" si="7"/>
        <v>-11864.22</v>
      </c>
      <c r="J80">
        <v>1546.23</v>
      </c>
      <c r="L80">
        <f t="shared" si="8"/>
        <v>-1546.23</v>
      </c>
      <c r="M80">
        <v>1536.4</v>
      </c>
      <c r="O80">
        <f t="shared" si="9"/>
        <v>-1536.4</v>
      </c>
      <c r="P80">
        <v>2252.36</v>
      </c>
      <c r="R80">
        <f t="shared" si="10"/>
        <v>-2252.36</v>
      </c>
      <c r="S80">
        <v>15896.86</v>
      </c>
      <c r="U80">
        <f t="shared" si="11"/>
        <v>-15896.86</v>
      </c>
    </row>
    <row r="81" spans="1:21" x14ac:dyDescent="0.3">
      <c r="A81" s="5" t="str">
        <f xml:space="preserve"> _xll.EPMOlapMemberO("[CECO].[PARENTH3].[AMSA1005AD4509]","","AMSA1005AD4509 - Adm y gastos operac","","000")</f>
        <v>AMSA1005AD4509 - Adm y gastos operac</v>
      </c>
      <c r="B81" s="6" t="str">
        <f xml:space="preserve"> _xll.EPMOlapMemberO("[CLACO].[PARENTH7].[AMSASERVICIOS]","","AMSASERVICIOS - Servicios","","000")</f>
        <v>AMSASERVICIOS - Servicios</v>
      </c>
      <c r="C81" t="str">
        <f>_xlfn.CONCAT(_xll.EPMMemberProperty("COSTOS", _xll.EPMMemberID(A81), "PARENTH3"), " - ", _xll.EPMMemberDesc(_xll.EPMMemberProperty("COSTOS", _xll.EPMMemberID(A81), "PARENTH3"), "COSTOS"))</f>
        <v>N1005AD450 - Gerencia. AAEE</v>
      </c>
      <c r="D81">
        <v>49816.6</v>
      </c>
      <c r="E81">
        <v>28624.71</v>
      </c>
      <c r="F81">
        <f t="shared" si="6"/>
        <v>-21191.89</v>
      </c>
      <c r="G81">
        <v>29628.37</v>
      </c>
      <c r="H81">
        <v>28699.38</v>
      </c>
      <c r="I81">
        <f t="shared" si="7"/>
        <v>-928.98999999999796</v>
      </c>
      <c r="J81">
        <v>23798.14</v>
      </c>
      <c r="K81">
        <v>28775.9</v>
      </c>
      <c r="L81">
        <f t="shared" si="8"/>
        <v>4977.760000000002</v>
      </c>
      <c r="M81">
        <v>34051.96</v>
      </c>
      <c r="N81">
        <v>28852.6</v>
      </c>
      <c r="O81">
        <f t="shared" si="9"/>
        <v>-5199.3600000000006</v>
      </c>
      <c r="P81">
        <v>13997.13</v>
      </c>
      <c r="Q81">
        <v>28929.32</v>
      </c>
      <c r="R81">
        <f t="shared" si="10"/>
        <v>14932.19</v>
      </c>
      <c r="S81">
        <v>148448.28</v>
      </c>
      <c r="T81">
        <v>348542.16</v>
      </c>
      <c r="U81">
        <f t="shared" si="11"/>
        <v>200093.87999999998</v>
      </c>
    </row>
    <row r="82" spans="1:21" x14ac:dyDescent="0.3">
      <c r="A82" s="5" t="str">
        <f xml:space="preserve"> _xll.EPMOlapMemberO("[CECO].[PARENTH3].[AMSA1005AD4509]","","AMSA1005AD4509 - Adm y gastos operac","","000")</f>
        <v>AMSA1005AD4509 - Adm y gastos operac</v>
      </c>
      <c r="B82" s="6" t="str">
        <f xml:space="preserve"> _xll.EPMOlapMemberO("[CLACO].[PARENTH7].[AMSAINFORMATIC]","","AMSAINFORMATIC - Informática y Comuni","","000")</f>
        <v>AMSAINFORMATIC - Informática y Comuni</v>
      </c>
      <c r="C82" t="str">
        <f>_xlfn.CONCAT(_xll.EPMMemberProperty("COSTOS", _xll.EPMMemberID(A82), "PARENTH3"), " - ", _xll.EPMMemberDesc(_xll.EPMMemberProperty("COSTOS", _xll.EPMMemberID(A82), "PARENTH3"), "COSTOS"))</f>
        <v>N1005AD450 - Gerencia. AAEE</v>
      </c>
      <c r="D82">
        <v>1380.98</v>
      </c>
      <c r="F82">
        <f t="shared" si="6"/>
        <v>-1380.98</v>
      </c>
      <c r="G82">
        <v>3167.65</v>
      </c>
      <c r="I82">
        <f t="shared" si="7"/>
        <v>-3167.65</v>
      </c>
      <c r="J82">
        <v>-118.48</v>
      </c>
      <c r="L82">
        <f t="shared" si="8"/>
        <v>118.48</v>
      </c>
      <c r="M82">
        <v>131.66999999999999</v>
      </c>
      <c r="O82">
        <f t="shared" si="9"/>
        <v>-131.66999999999999</v>
      </c>
      <c r="R82">
        <f t="shared" si="10"/>
        <v>0</v>
      </c>
      <c r="S82">
        <v>5292.72</v>
      </c>
      <c r="U82">
        <f t="shared" si="11"/>
        <v>-5292.72</v>
      </c>
    </row>
    <row r="83" spans="1:21" x14ac:dyDescent="0.3">
      <c r="A83" s="5" t="str">
        <f xml:space="preserve"> _xll.EPMOlapMemberO("[CECO].[PARENTH3].[AMSA1005AD4509]","","AMSA1005AD4509 - Adm y gastos operac","","000")</f>
        <v>AMSA1005AD4509 - Adm y gastos operac</v>
      </c>
      <c r="B83" s="6" t="str">
        <f xml:space="preserve"> _xll.EPMOlapMemberO("[CLACO].[PARENTH7].[AMSAG_VIAJES]","","AMSAG_VIAJES - Gastos de Viajes","","000")</f>
        <v>AMSAG_VIAJES - Gastos de Viajes</v>
      </c>
      <c r="C83" t="str">
        <f>_xlfn.CONCAT(_xll.EPMMemberProperty("COSTOS", _xll.EPMMemberID(A83), "PARENTH3"), " - ", _xll.EPMMemberDesc(_xll.EPMMemberProperty("COSTOS", _xll.EPMMemberID(A83), "PARENTH3"), "COSTOS"))</f>
        <v>N1005AD450 - Gerencia. AAEE</v>
      </c>
      <c r="D83">
        <v>21651.11</v>
      </c>
      <c r="E83">
        <v>13850.95</v>
      </c>
      <c r="F83">
        <f t="shared" si="6"/>
        <v>-7800.16</v>
      </c>
      <c r="G83">
        <v>24541.18</v>
      </c>
      <c r="H83">
        <v>13333.27</v>
      </c>
      <c r="I83">
        <f t="shared" si="7"/>
        <v>-11207.91</v>
      </c>
      <c r="J83">
        <v>22151.29</v>
      </c>
      <c r="K83">
        <v>13983.68</v>
      </c>
      <c r="L83">
        <f t="shared" si="8"/>
        <v>-8167.6100000000006</v>
      </c>
      <c r="M83">
        <v>32292.03</v>
      </c>
      <c r="N83">
        <v>13464.26</v>
      </c>
      <c r="O83">
        <f t="shared" si="9"/>
        <v>-18827.769999999997</v>
      </c>
      <c r="P83">
        <v>1837.92</v>
      </c>
      <c r="Q83">
        <v>14062.24</v>
      </c>
      <c r="R83">
        <f t="shared" si="10"/>
        <v>12224.32</v>
      </c>
      <c r="S83">
        <v>122536.92</v>
      </c>
      <c r="T83">
        <v>166152.06</v>
      </c>
      <c r="U83">
        <f t="shared" si="11"/>
        <v>43615.14</v>
      </c>
    </row>
    <row r="84" spans="1:21" x14ac:dyDescent="0.3">
      <c r="A84" s="5" t="str">
        <f xml:space="preserve"> _xll.EPMOlapMemberO("[CECO].[PARENTH3].[AMSA1005AD4509]","","AMSA1005AD4509 - Adm y gastos operac","","000")</f>
        <v>AMSA1005AD4509 - Adm y gastos operac</v>
      </c>
      <c r="B84" s="6" t="str">
        <f xml:space="preserve"> _xll.EPMOlapMemberO("[CLACO].[PARENTH7].[AMSAGGENERALES.2]","","AMSAGGENERALES.2 - Otros Gastos","","000")</f>
        <v>AMSAGGENERALES.2 - Otros Gastos</v>
      </c>
      <c r="C84" t="str">
        <f>_xlfn.CONCAT(_xll.EPMMemberProperty("COSTOS", _xll.EPMMemberID(A84), "PARENTH3"), " - ", _xll.EPMMemberDesc(_xll.EPMMemberProperty("COSTOS", _xll.EPMMemberID(A84), "PARENTH3"), "COSTOS"))</f>
        <v>N1005AD450 - Gerencia. AAEE</v>
      </c>
      <c r="D84">
        <v>9265.31</v>
      </c>
      <c r="F84">
        <f t="shared" si="6"/>
        <v>-9265.31</v>
      </c>
      <c r="G84">
        <v>375.13</v>
      </c>
      <c r="I84">
        <f t="shared" si="7"/>
        <v>-375.13</v>
      </c>
      <c r="J84">
        <v>0</v>
      </c>
      <c r="L84">
        <f t="shared" si="8"/>
        <v>0</v>
      </c>
      <c r="M84">
        <v>0</v>
      </c>
      <c r="O84">
        <f t="shared" si="9"/>
        <v>0</v>
      </c>
      <c r="P84">
        <v>9039.8700000000008</v>
      </c>
      <c r="R84">
        <f t="shared" si="10"/>
        <v>-9039.8700000000008</v>
      </c>
      <c r="S84">
        <v>18680.310000000001</v>
      </c>
      <c r="U84">
        <f t="shared" si="11"/>
        <v>-18680.310000000001</v>
      </c>
    </row>
    <row r="85" spans="1:21" x14ac:dyDescent="0.3">
      <c r="A85" s="5" t="str">
        <f xml:space="preserve"> _xll.EPMOlapMemberO("[CECO].[PARENTH3].[AMSA1005AD4509]","","AMSA1005AD4509 - Adm y gastos operac","","000")</f>
        <v>AMSA1005AD4509 - Adm y gastos operac</v>
      </c>
      <c r="B85" s="6" t="str">
        <f xml:space="preserve"> _xll.EPMOlapMemberO("[CLACO].[PARENTH7].[AMSALIQUIDACIO.SEC]","","AMSALIQUIDACIO.SEC - Liquidación Interna","","000")</f>
        <v>AMSALIQUIDACIO.SEC - Liquidación Interna</v>
      </c>
      <c r="C85" t="str">
        <f>_xlfn.CONCAT(_xll.EPMMemberProperty("COSTOS", _xll.EPMMemberID(A85), "PARENTH3"), " - ", _xll.EPMMemberDesc(_xll.EPMMemberProperty("COSTOS", _xll.EPMMemberID(A85), "PARENTH3"), "COSTOS"))</f>
        <v>N1005AD450 - Gerencia. AAEE</v>
      </c>
      <c r="F85">
        <f t="shared" si="6"/>
        <v>0</v>
      </c>
      <c r="G85">
        <v>4600.0200000000004</v>
      </c>
      <c r="I85">
        <f t="shared" si="7"/>
        <v>-4600.0200000000004</v>
      </c>
      <c r="J85">
        <v>1017.03</v>
      </c>
      <c r="L85">
        <f t="shared" si="8"/>
        <v>-1017.03</v>
      </c>
      <c r="M85">
        <v>17.350000000000001</v>
      </c>
      <c r="O85">
        <f t="shared" si="9"/>
        <v>-17.350000000000001</v>
      </c>
      <c r="P85">
        <v>2224.5100000000002</v>
      </c>
      <c r="R85">
        <f t="shared" si="10"/>
        <v>-2224.5100000000002</v>
      </c>
      <c r="S85">
        <v>7858.91</v>
      </c>
      <c r="U85">
        <f t="shared" si="11"/>
        <v>-7858.91</v>
      </c>
    </row>
    <row r="86" spans="1:21" x14ac:dyDescent="0.3">
      <c r="A86" s="6" t="str">
        <f xml:space="preserve"> _xll.EPMOlapMemberO("[CECO].[PARENTH3].[AMSA1005AD0508]","","AMSA1005AD0508 - VPACS Corporativo","","000")</f>
        <v>AMSA1005AD0508 - VPACS Corporativo</v>
      </c>
      <c r="B86" s="6" t="str">
        <f xml:space="preserve"> _xll.EPMOlapMemberO("[CLACO].[PARENTH7].[AMSASERV_CORP]","","AMSASERV_CORP - Servicios Corporativ","","000")</f>
        <v>AMSASERV_CORP - Servicios Corporativ</v>
      </c>
      <c r="C86" t="str">
        <f>_xlfn.CONCAT(_xll.EPMMemberProperty("COSTOS", _xll.EPMMemberID(A86), "PARENTH3"), " - ", _xll.EPMMemberDesc(_xll.EPMMemberProperty("COSTOS", _xll.EPMMemberID(A86), "PARENTH3"), "COSTOS"))</f>
        <v>N1005AD452 - Comunidades</v>
      </c>
      <c r="D86">
        <v>140751.74</v>
      </c>
      <c r="E86">
        <v>139165.66</v>
      </c>
      <c r="F86">
        <f t="shared" si="6"/>
        <v>-1586.0799999999872</v>
      </c>
      <c r="G86">
        <v>146511.60999999999</v>
      </c>
      <c r="H86">
        <v>139553.94</v>
      </c>
      <c r="I86">
        <f t="shared" si="7"/>
        <v>-6957.6699999999837</v>
      </c>
      <c r="J86">
        <v>145820.88</v>
      </c>
      <c r="K86">
        <v>139943.32</v>
      </c>
      <c r="L86">
        <f t="shared" si="8"/>
        <v>-5877.5599999999977</v>
      </c>
      <c r="M86">
        <v>137145.15</v>
      </c>
      <c r="N86">
        <v>140333.76000000001</v>
      </c>
      <c r="O86">
        <f t="shared" si="9"/>
        <v>3188.6100000000151</v>
      </c>
      <c r="P86">
        <v>142025.62</v>
      </c>
      <c r="Q86">
        <v>140725.32</v>
      </c>
      <c r="R86">
        <f t="shared" si="10"/>
        <v>-1300.2999999999884</v>
      </c>
      <c r="S86">
        <v>712255</v>
      </c>
      <c r="T86">
        <v>1695854.73</v>
      </c>
      <c r="U86">
        <f t="shared" si="11"/>
        <v>983599.73</v>
      </c>
    </row>
    <row r="87" spans="1:21" x14ac:dyDescent="0.3">
      <c r="A87" s="6" t="str">
        <f xml:space="preserve"> _xll.EPMOlapMemberO("[CECO].[PARENTH3].[AMSA1005AD4504]","","AMSA1005AD4504 - Comunidades","","000")</f>
        <v>AMSA1005AD4504 - Comunidades</v>
      </c>
      <c r="B87" s="6" t="str">
        <f xml:space="preserve"> _xll.EPMOlapMemberO("[CLACO].[PARENTH7].[AMSAADM_PERSON]","","AMSAADM_PERSON - Administración Perso","","000")</f>
        <v>AMSAADM_PERSON - Administración Perso</v>
      </c>
      <c r="C87" t="str">
        <f>_xlfn.CONCAT(_xll.EPMMemberProperty("COSTOS", _xll.EPMMemberID(A87), "PARENTH3"), " - ", _xll.EPMMemberDesc(_xll.EPMMemberProperty("COSTOS", _xll.EPMMemberID(A87), "PARENTH3"), "COSTOS"))</f>
        <v>N1005AD452 - Comunidades</v>
      </c>
      <c r="F87">
        <f t="shared" si="6"/>
        <v>0</v>
      </c>
      <c r="G87">
        <v>6048.72</v>
      </c>
      <c r="I87">
        <f t="shared" si="7"/>
        <v>-6048.72</v>
      </c>
      <c r="L87">
        <f t="shared" si="8"/>
        <v>0</v>
      </c>
      <c r="O87">
        <f t="shared" si="9"/>
        <v>0</v>
      </c>
      <c r="R87">
        <f t="shared" si="10"/>
        <v>0</v>
      </c>
      <c r="S87">
        <v>6048.72</v>
      </c>
      <c r="U87">
        <f t="shared" si="11"/>
        <v>-6048.72</v>
      </c>
    </row>
    <row r="88" spans="1:21" x14ac:dyDescent="0.3">
      <c r="A88" s="6" t="str">
        <f xml:space="preserve"> _xll.EPMOlapMemberO("[CECO].[PARENTH3].[AMSA1005AD4504]","","AMSA1005AD4504 - Comunidades","","000")</f>
        <v>AMSA1005AD4504 - Comunidades</v>
      </c>
      <c r="B88" s="6" t="str">
        <f xml:space="preserve"> _xll.EPMOlapMemberO("[CLACO].[PARENTH7].[AMSAASESORIAS]","","AMSAASESORIAS - Asesorías y Consulto","","000")</f>
        <v>AMSAASESORIAS - Asesorías y Consulto</v>
      </c>
      <c r="C88" t="str">
        <f>_xlfn.CONCAT(_xll.EPMMemberProperty("COSTOS", _xll.EPMMemberID(A88), "PARENTH3"), " - ", _xll.EPMMemberDesc(_xll.EPMMemberProperty("COSTOS", _xll.EPMMemberID(A88), "PARENTH3"), "COSTOS"))</f>
        <v>N1005AD452 - Comunidades</v>
      </c>
      <c r="D88">
        <v>-30566.69</v>
      </c>
      <c r="E88">
        <v>653.86</v>
      </c>
      <c r="F88">
        <f t="shared" si="6"/>
        <v>31220.55</v>
      </c>
      <c r="G88">
        <v>2295.6999999999998</v>
      </c>
      <c r="H88">
        <v>655.69</v>
      </c>
      <c r="I88">
        <f t="shared" si="7"/>
        <v>-1640.0099999999998</v>
      </c>
      <c r="J88">
        <v>663.92</v>
      </c>
      <c r="K88">
        <v>657.52</v>
      </c>
      <c r="L88">
        <f t="shared" si="8"/>
        <v>-6.3999999999999773</v>
      </c>
      <c r="M88">
        <v>2259.41</v>
      </c>
      <c r="N88">
        <v>659.35</v>
      </c>
      <c r="O88">
        <f t="shared" si="9"/>
        <v>-1600.06</v>
      </c>
      <c r="P88">
        <v>5842.53</v>
      </c>
      <c r="Q88">
        <v>661.19</v>
      </c>
      <c r="R88">
        <f t="shared" si="10"/>
        <v>-5181.34</v>
      </c>
      <c r="S88">
        <v>-26281.97</v>
      </c>
      <c r="T88">
        <v>7967.85</v>
      </c>
      <c r="U88">
        <f t="shared" si="11"/>
        <v>34249.82</v>
      </c>
    </row>
    <row r="89" spans="1:21" x14ac:dyDescent="0.3">
      <c r="A89" s="6" t="str">
        <f xml:space="preserve"> _xll.EPMOlapMemberO("[CECO].[PARENTH3].[AMSA1005AD4504]","","AMSA1005AD4504 - Comunidades","","000")</f>
        <v>AMSA1005AD4504 - Comunidades</v>
      </c>
      <c r="B89" s="6" t="str">
        <f xml:space="preserve"> _xll.EPMOlapMemberO("[CLACO].[PARENTH7].[AMSAARRIENDOS]","","AMSAARRIENDOS - Arriendos","","000")</f>
        <v>AMSAARRIENDOS - Arriendos</v>
      </c>
      <c r="C89" t="str">
        <f>_xlfn.CONCAT(_xll.EPMMemberProperty("COSTOS", _xll.EPMMemberID(A89), "PARENTH3"), " - ", _xll.EPMMemberDesc(_xll.EPMMemberProperty("COSTOS", _xll.EPMMemberID(A89), "PARENTH3"), "COSTOS"))</f>
        <v>N1005AD452 - Comunidades</v>
      </c>
      <c r="F89">
        <f t="shared" si="6"/>
        <v>0</v>
      </c>
      <c r="I89">
        <f t="shared" si="7"/>
        <v>0</v>
      </c>
      <c r="J89">
        <v>3972.85</v>
      </c>
      <c r="L89">
        <f t="shared" si="8"/>
        <v>-3972.85</v>
      </c>
      <c r="O89">
        <f t="shared" si="9"/>
        <v>0</v>
      </c>
      <c r="R89">
        <f t="shared" si="10"/>
        <v>0</v>
      </c>
      <c r="S89">
        <v>3972.85</v>
      </c>
      <c r="U89">
        <f t="shared" si="11"/>
        <v>-3972.85</v>
      </c>
    </row>
    <row r="90" spans="1:21" x14ac:dyDescent="0.3">
      <c r="A90" s="6" t="str">
        <f xml:space="preserve"> _xll.EPMOlapMemberO("[CECO].[PARENTH3].[AMSA1005AD4504]","","AMSA1005AD4504 - Comunidades","","000")</f>
        <v>AMSA1005AD4504 - Comunidades</v>
      </c>
      <c r="B90" s="6" t="str">
        <f xml:space="preserve"> _xll.EPMOlapMemberO("[CLACO].[PARENTH7].[AMSASERVICIOS]","","AMSASERVICIOS - Servicios","","000")</f>
        <v>AMSASERVICIOS - Servicios</v>
      </c>
      <c r="C90" t="str">
        <f>_xlfn.CONCAT(_xll.EPMMemberProperty("COSTOS", _xll.EPMMemberID(A90), "PARENTH3"), " - ", _xll.EPMMemberDesc(_xll.EPMMemberProperty("COSTOS", _xll.EPMMemberID(A90), "PARENTH3"), "COSTOS"))</f>
        <v>N1005AD452 - Comunidades</v>
      </c>
      <c r="D90">
        <v>0</v>
      </c>
      <c r="E90">
        <v>3351.17</v>
      </c>
      <c r="F90">
        <f t="shared" si="6"/>
        <v>3351.17</v>
      </c>
      <c r="G90">
        <v>1432.13</v>
      </c>
      <c r="H90">
        <v>3357.8</v>
      </c>
      <c r="I90">
        <f t="shared" si="7"/>
        <v>1925.67</v>
      </c>
      <c r="J90">
        <v>-1432.13</v>
      </c>
      <c r="K90">
        <v>3364.44</v>
      </c>
      <c r="L90">
        <f t="shared" si="8"/>
        <v>4796.57</v>
      </c>
      <c r="M90">
        <v>2180.06</v>
      </c>
      <c r="N90">
        <v>4488.54</v>
      </c>
      <c r="O90">
        <f t="shared" si="9"/>
        <v>2308.48</v>
      </c>
      <c r="P90">
        <v>-2180.06</v>
      </c>
      <c r="Q90">
        <v>3377.91</v>
      </c>
      <c r="R90">
        <f t="shared" si="10"/>
        <v>5557.9699999999993</v>
      </c>
      <c r="S90">
        <v>0</v>
      </c>
      <c r="T90">
        <v>44049.65</v>
      </c>
      <c r="U90">
        <f t="shared" si="11"/>
        <v>44049.65</v>
      </c>
    </row>
    <row r="91" spans="1:21" x14ac:dyDescent="0.3">
      <c r="A91" s="6" t="str">
        <f xml:space="preserve"> _xll.EPMOlapMemberO("[CECO].[PARENTH3].[AMSA1005AD4504]","","AMSA1005AD4504 - Comunidades","","000")</f>
        <v>AMSA1005AD4504 - Comunidades</v>
      </c>
      <c r="B91" s="6" t="str">
        <f xml:space="preserve"> _xll.EPMOlapMemberO("[CLACO].[PARENTH7].[AMSAINFORMATIC]","","AMSAINFORMATIC - Informática y Comuni","","000")</f>
        <v>AMSAINFORMATIC - Informática y Comuni</v>
      </c>
      <c r="C91" t="str">
        <f>_xlfn.CONCAT(_xll.EPMMemberProperty("COSTOS", _xll.EPMMemberID(A91), "PARENTH3"), " - ", _xll.EPMMemberDesc(_xll.EPMMemberProperty("COSTOS", _xll.EPMMemberID(A91), "PARENTH3"), "COSTOS"))</f>
        <v>N1005AD452 - Comunidades</v>
      </c>
      <c r="F91">
        <f t="shared" si="6"/>
        <v>0</v>
      </c>
      <c r="I91">
        <f t="shared" si="7"/>
        <v>0</v>
      </c>
      <c r="L91">
        <f t="shared" si="8"/>
        <v>0</v>
      </c>
      <c r="O91">
        <f t="shared" si="9"/>
        <v>0</v>
      </c>
      <c r="P91">
        <v>28.58</v>
      </c>
      <c r="R91">
        <f t="shared" si="10"/>
        <v>-28.58</v>
      </c>
      <c r="S91">
        <v>28.58</v>
      </c>
      <c r="U91">
        <f t="shared" si="11"/>
        <v>-28.58</v>
      </c>
    </row>
    <row r="92" spans="1:21" x14ac:dyDescent="0.3">
      <c r="A92" s="6" t="str">
        <f xml:space="preserve"> _xll.EPMOlapMemberO("[CECO].[PARENTH3].[AMSA1005AD4504]","","AMSA1005AD4504 - Comunidades","","000")</f>
        <v>AMSA1005AD4504 - Comunidades</v>
      </c>
      <c r="B92" s="6" t="str">
        <f xml:space="preserve"> _xll.EPMOlapMemberO("[CLACO].[PARENTH7].[AMSAG_VIAJES]","","AMSAG_VIAJES - Gastos de Viajes","","000")</f>
        <v>AMSAG_VIAJES - Gastos de Viajes</v>
      </c>
      <c r="C92" t="str">
        <f>_xlfn.CONCAT(_xll.EPMMemberProperty("COSTOS", _xll.EPMMemberID(A92), "PARENTH3"), " - ", _xll.EPMMemberDesc(_xll.EPMMemberProperty("COSTOS", _xll.EPMMemberID(A92), "PARENTH3"), "COSTOS"))</f>
        <v>N1005AD452 - Comunidades</v>
      </c>
      <c r="F92">
        <f t="shared" si="6"/>
        <v>0</v>
      </c>
      <c r="G92">
        <v>619.44000000000005</v>
      </c>
      <c r="I92">
        <f t="shared" si="7"/>
        <v>-619.44000000000005</v>
      </c>
      <c r="J92">
        <v>-346.62</v>
      </c>
      <c r="L92">
        <f t="shared" si="8"/>
        <v>346.62</v>
      </c>
      <c r="M92">
        <v>291.81</v>
      </c>
      <c r="O92">
        <f t="shared" si="9"/>
        <v>-291.81</v>
      </c>
      <c r="P92">
        <v>2262.2600000000002</v>
      </c>
      <c r="R92">
        <f t="shared" si="10"/>
        <v>-2262.2600000000002</v>
      </c>
      <c r="S92">
        <v>2968.93</v>
      </c>
      <c r="U92">
        <f t="shared" si="11"/>
        <v>-2968.93</v>
      </c>
    </row>
    <row r="93" spans="1:21" x14ac:dyDescent="0.3">
      <c r="A93" s="6" t="str">
        <f xml:space="preserve"> _xll.EPMOlapMemberO("[CECO].[PARENTH3].[AMSA1005AD4504]","","AMSA1005AD4504 - Comunidades","","000")</f>
        <v>AMSA1005AD4504 - Comunidades</v>
      </c>
      <c r="B93" s="6" t="str">
        <f xml:space="preserve"> _xll.EPMOlapMemberO("[CLACO].[PARENTH7].[AMSAGGENERALES.2]","","AMSAGGENERALES.2 - Otros Gastos","","000")</f>
        <v>AMSAGGENERALES.2 - Otros Gastos</v>
      </c>
      <c r="C93" t="str">
        <f>_xlfn.CONCAT(_xll.EPMMemberProperty("COSTOS", _xll.EPMMemberID(A93), "PARENTH3"), " - ", _xll.EPMMemberDesc(_xll.EPMMemberProperty("COSTOS", _xll.EPMMemberID(A93), "PARENTH3"), "COSTOS"))</f>
        <v>N1005AD452 - Comunidades</v>
      </c>
      <c r="D93">
        <v>1207.6199999999999</v>
      </c>
      <c r="F93">
        <f t="shared" si="6"/>
        <v>-1207.6199999999999</v>
      </c>
      <c r="G93">
        <v>9788.7199999999993</v>
      </c>
      <c r="I93">
        <f t="shared" si="7"/>
        <v>-9788.7199999999993</v>
      </c>
      <c r="J93">
        <v>1955.78</v>
      </c>
      <c r="L93">
        <f t="shared" si="8"/>
        <v>-1955.78</v>
      </c>
      <c r="M93">
        <v>37.94</v>
      </c>
      <c r="O93">
        <f t="shared" si="9"/>
        <v>-37.94</v>
      </c>
      <c r="P93">
        <v>37.770000000000003</v>
      </c>
      <c r="R93">
        <f t="shared" si="10"/>
        <v>-37.770000000000003</v>
      </c>
      <c r="S93">
        <v>13027.83</v>
      </c>
      <c r="U93">
        <f t="shared" si="11"/>
        <v>-13027.83</v>
      </c>
    </row>
    <row r="94" spans="1:21" x14ac:dyDescent="0.3">
      <c r="A94" s="6" t="str">
        <f xml:space="preserve"> _xll.EPMOlapMemberO("[CECO].[PARENTH3].[AMSA1005AD4504]","","AMSA1005AD4504 - Comunidades","","000")</f>
        <v>AMSA1005AD4504 - Comunidades</v>
      </c>
      <c r="B94" s="6" t="str">
        <f xml:space="preserve"> _xll.EPMOlapMemberO("[CLACO].[PARENTH7].[AMSALIQUIDACIO.SEC]","","AMSALIQUIDACIO.SEC - Liquidación Interna","","000")</f>
        <v>AMSALIQUIDACIO.SEC - Liquidación Interna</v>
      </c>
      <c r="C94" t="str">
        <f>_xlfn.CONCAT(_xll.EPMMemberProperty("COSTOS", _xll.EPMMemberID(A94), "PARENTH3"), " - ", _xll.EPMMemberDesc(_xll.EPMMemberProperty("COSTOS", _xll.EPMMemberID(A94), "PARENTH3"), "COSTOS"))</f>
        <v>N1005AD452 - Comunidades</v>
      </c>
      <c r="D94">
        <v>970.68</v>
      </c>
      <c r="F94">
        <f t="shared" si="6"/>
        <v>-970.68</v>
      </c>
      <c r="G94">
        <v>113.67</v>
      </c>
      <c r="I94">
        <f t="shared" si="7"/>
        <v>-113.67</v>
      </c>
      <c r="J94">
        <v>-0.62</v>
      </c>
      <c r="L94">
        <f t="shared" si="8"/>
        <v>0.62</v>
      </c>
      <c r="O94">
        <f t="shared" si="9"/>
        <v>0</v>
      </c>
      <c r="R94">
        <f t="shared" si="10"/>
        <v>0</v>
      </c>
      <c r="S94">
        <v>1083.73</v>
      </c>
      <c r="U94">
        <f t="shared" si="11"/>
        <v>-1083.73</v>
      </c>
    </row>
    <row r="95" spans="1:21" x14ac:dyDescent="0.3">
      <c r="A95" s="6" t="str">
        <f xml:space="preserve"> _xll.EPMOlapMemberO("[CECO].[PARENTH3].[AMSA1005AD4507]","","AMSA1005AD4507 - AAPP Corporativo","","000")</f>
        <v>AMSA1005AD4507 - AAPP Corporativo</v>
      </c>
      <c r="B95" s="6" t="str">
        <f xml:space="preserve"> _xll.EPMOlapMemberO("[CLACO].[PARENTH7].[AMSAASESORIAS]","","AMSAASESORIAS - Asesorías y Consulto","","000")</f>
        <v>AMSAASESORIAS - Asesorías y Consulto</v>
      </c>
      <c r="C95" t="str">
        <f>_xlfn.CONCAT(_xll.EPMMemberProperty("COSTOS", _xll.EPMMemberID(A95), "PARENTH3"), " - ", _xll.EPMMemberDesc(_xll.EPMMemberProperty("COSTOS", _xll.EPMMemberID(A95), "PARENTH3"), "COSTOS"))</f>
        <v>N1005AD452 - Comunidades</v>
      </c>
      <c r="D95">
        <v>2891</v>
      </c>
      <c r="E95">
        <v>3574.45</v>
      </c>
      <c r="F95">
        <f t="shared" si="6"/>
        <v>683.44999999999982</v>
      </c>
      <c r="G95">
        <v>4493.04</v>
      </c>
      <c r="H95">
        <v>3584.41</v>
      </c>
      <c r="I95">
        <f t="shared" si="7"/>
        <v>-908.63000000000011</v>
      </c>
      <c r="J95">
        <v>3223.81</v>
      </c>
      <c r="K95">
        <v>3594.41</v>
      </c>
      <c r="L95">
        <f t="shared" si="8"/>
        <v>370.59999999999991</v>
      </c>
      <c r="M95">
        <v>3672.76</v>
      </c>
      <c r="N95">
        <v>3604.45</v>
      </c>
      <c r="O95">
        <f t="shared" si="9"/>
        <v>-68.3100000000004</v>
      </c>
      <c r="P95">
        <v>6165.51</v>
      </c>
      <c r="Q95">
        <v>3614.49</v>
      </c>
      <c r="R95">
        <f t="shared" si="10"/>
        <v>-2551.0200000000004</v>
      </c>
      <c r="S95">
        <v>14280.61</v>
      </c>
      <c r="T95">
        <v>43557.66</v>
      </c>
      <c r="U95">
        <f t="shared" si="11"/>
        <v>29277.050000000003</v>
      </c>
    </row>
    <row r="96" spans="1:21" x14ac:dyDescent="0.3">
      <c r="A96" s="6" t="str">
        <f xml:space="preserve"> _xll.EPMOlapMemberO("[CECO].[PARENTH3].[AMSA1005AD4507]","","AMSA1005AD4507 - AAPP Corporativo","","000")</f>
        <v>AMSA1005AD4507 - AAPP Corporativo</v>
      </c>
      <c r="B96" s="6" t="str">
        <f xml:space="preserve"> _xll.EPMOlapMemberO("[CLACO].[PARENTH7].[AMSASERVICIOS]","","AMSASERVICIOS - Servicios","","000")</f>
        <v>AMSASERVICIOS - Servicios</v>
      </c>
      <c r="C96" t="str">
        <f>_xlfn.CONCAT(_xll.EPMMemberProperty("COSTOS", _xll.EPMMemberID(A96), "PARENTH3"), " - ", _xll.EPMMemberDesc(_xll.EPMMemberProperty("COSTOS", _xll.EPMMemberID(A96), "PARENTH3"), "COSTOS"))</f>
        <v>N1005AD452 - Comunidades</v>
      </c>
      <c r="F96">
        <f t="shared" si="6"/>
        <v>0</v>
      </c>
      <c r="I96">
        <f t="shared" si="7"/>
        <v>0</v>
      </c>
      <c r="L96">
        <f t="shared" si="8"/>
        <v>0</v>
      </c>
      <c r="M96">
        <v>24477.42</v>
      </c>
      <c r="O96">
        <f t="shared" si="9"/>
        <v>-24477.42</v>
      </c>
      <c r="P96">
        <v>-376.04</v>
      </c>
      <c r="R96">
        <f t="shared" si="10"/>
        <v>376.04</v>
      </c>
      <c r="S96">
        <v>24101.38</v>
      </c>
      <c r="U96">
        <f t="shared" si="11"/>
        <v>-24101.38</v>
      </c>
    </row>
    <row r="97" spans="1:21" x14ac:dyDescent="0.3">
      <c r="A97" s="6" t="str">
        <f xml:space="preserve"> _xll.EPMOlapMemberO("[CECO].[PARENTH3].[AMSA1005AD4507]","","AMSA1005AD4507 - AAPP Corporativo","","000")</f>
        <v>AMSA1005AD4507 - AAPP Corporativo</v>
      </c>
      <c r="B97" s="6" t="str">
        <f xml:space="preserve"> _xll.EPMOlapMemberO("[CLACO].[PARENTH7].[AMSAGGENERALES.2]","","AMSAGGENERALES.2 - Otros Gastos","","000")</f>
        <v>AMSAGGENERALES.2 - Otros Gastos</v>
      </c>
      <c r="C97" t="str">
        <f>_xlfn.CONCAT(_xll.EPMMemberProperty("COSTOS", _xll.EPMMemberID(A97), "PARENTH3"), " - ", _xll.EPMMemberDesc(_xll.EPMMemberProperty("COSTOS", _xll.EPMMemberID(A97), "PARENTH3"), "COSTOS"))</f>
        <v>N1005AD452 - Comunidades</v>
      </c>
      <c r="F97">
        <f t="shared" si="6"/>
        <v>0</v>
      </c>
      <c r="I97">
        <f t="shared" si="7"/>
        <v>0</v>
      </c>
      <c r="L97">
        <f t="shared" si="8"/>
        <v>0</v>
      </c>
      <c r="O97">
        <f t="shared" si="9"/>
        <v>0</v>
      </c>
      <c r="R97">
        <f t="shared" si="10"/>
        <v>0</v>
      </c>
      <c r="T97">
        <v>13316.33</v>
      </c>
      <c r="U97">
        <f t="shared" si="11"/>
        <v>13316.33</v>
      </c>
    </row>
    <row r="98" spans="1:21" x14ac:dyDescent="0.3">
      <c r="A98" s="6" t="str">
        <f xml:space="preserve"> _xll.EPMOlapMemberO("[CECO].[PARENTH3].[AMSA1005AD4507]","","AMSA1005AD4507 - AAPP Corporativo","","000")</f>
        <v>AMSA1005AD4507 - AAPP Corporativo</v>
      </c>
      <c r="B98" s="6" t="str">
        <f xml:space="preserve"> _xll.EPMOlapMemberO("[CLACO].[PARENTH7].[AMSALIQUIDACIO.SEC]","","AMSALIQUIDACIO.SEC - Liquidación Interna","","000")</f>
        <v>AMSALIQUIDACIO.SEC - Liquidación Interna</v>
      </c>
      <c r="C98" t="str">
        <f>_xlfn.CONCAT(_xll.EPMMemberProperty("COSTOS", _xll.EPMMemberID(A98), "PARENTH3"), " - ", _xll.EPMMemberDesc(_xll.EPMMemberProperty("COSTOS", _xll.EPMMemberID(A98), "PARENTH3"), "COSTOS"))</f>
        <v>N1005AD452 - Comunidades</v>
      </c>
      <c r="F98">
        <f t="shared" si="6"/>
        <v>0</v>
      </c>
      <c r="I98">
        <f t="shared" si="7"/>
        <v>0</v>
      </c>
      <c r="L98">
        <f t="shared" si="8"/>
        <v>0</v>
      </c>
      <c r="M98">
        <v>19825.93</v>
      </c>
      <c r="O98">
        <f t="shared" si="9"/>
        <v>-19825.93</v>
      </c>
      <c r="R98">
        <f t="shared" si="10"/>
        <v>0</v>
      </c>
      <c r="S98">
        <v>19825.93</v>
      </c>
      <c r="U98">
        <f t="shared" si="11"/>
        <v>-19825.93</v>
      </c>
    </row>
    <row r="99" spans="1:21" x14ac:dyDescent="0.3">
      <c r="A99" s="6" t="str">
        <f xml:space="preserve"> _xll.EPMOlapMemberO("[CECO].[PARENTH3].[AMSA1005AD4508]","","AMSA1005AD4508 - Comunicaciones Corpo","","000")</f>
        <v>AMSA1005AD4508 - Comunicaciones Corpo</v>
      </c>
      <c r="B99" s="6" t="str">
        <f xml:space="preserve"> _xll.EPMOlapMemberO("[CLACO].[PARENTH7].[AMSAASESORIAS]","","AMSAASESORIAS - Asesorías y Consulto","","000")</f>
        <v>AMSAASESORIAS - Asesorías y Consulto</v>
      </c>
      <c r="C99" t="str">
        <f>_xlfn.CONCAT(_xll.EPMMemberProperty("COSTOS", _xll.EPMMemberID(A99), "PARENTH3"), " - ", _xll.EPMMemberDesc(_xll.EPMMemberProperty("COSTOS", _xll.EPMMemberID(A99), "PARENTH3"), "COSTOS"))</f>
        <v>N1005AD452 - Comunidades</v>
      </c>
      <c r="D99">
        <v>0</v>
      </c>
      <c r="F99">
        <f t="shared" si="6"/>
        <v>0</v>
      </c>
      <c r="G99">
        <v>921.12</v>
      </c>
      <c r="I99">
        <f t="shared" si="7"/>
        <v>-921.12</v>
      </c>
      <c r="J99">
        <v>0</v>
      </c>
      <c r="L99">
        <f t="shared" si="8"/>
        <v>0</v>
      </c>
      <c r="M99">
        <v>435.99</v>
      </c>
      <c r="O99">
        <f t="shared" si="9"/>
        <v>-435.99</v>
      </c>
      <c r="P99">
        <v>491.48</v>
      </c>
      <c r="R99">
        <f t="shared" si="10"/>
        <v>-491.48</v>
      </c>
      <c r="S99">
        <v>1357.11</v>
      </c>
      <c r="U99">
        <f t="shared" si="11"/>
        <v>-1357.11</v>
      </c>
    </row>
    <row r="100" spans="1:21" x14ac:dyDescent="0.3">
      <c r="A100" s="6" t="str">
        <f xml:space="preserve"> _xll.EPMOlapMemberO("[CECO].[PARENTH3].[AMSA1005AD4508]","","AMSA1005AD4508 - Comunicaciones Corpo","","000")</f>
        <v>AMSA1005AD4508 - Comunicaciones Corpo</v>
      </c>
      <c r="B100" s="6" t="str">
        <f xml:space="preserve"> _xll.EPMOlapMemberO("[CLACO].[PARENTH7].[AMSAINFORMATIC]","","AMSAINFORMATIC - Informática y Comuni","","000")</f>
        <v>AMSAINFORMATIC - Informática y Comuni</v>
      </c>
      <c r="C100" t="str">
        <f>_xlfn.CONCAT(_xll.EPMMemberProperty("COSTOS", _xll.EPMMemberID(A100), "PARENTH3"), " - ", _xll.EPMMemberDesc(_xll.EPMMemberProperty("COSTOS", _xll.EPMMemberID(A100), "PARENTH3"), "COSTOS"))</f>
        <v>N1005AD452 - Comunidades</v>
      </c>
      <c r="E100">
        <v>221.62</v>
      </c>
      <c r="F100">
        <f t="shared" si="6"/>
        <v>221.62</v>
      </c>
      <c r="H100">
        <v>222.22</v>
      </c>
      <c r="I100">
        <f t="shared" si="7"/>
        <v>222.22</v>
      </c>
      <c r="K100">
        <v>8014.6</v>
      </c>
      <c r="L100">
        <f t="shared" si="8"/>
        <v>8014.6</v>
      </c>
      <c r="N100">
        <v>13410.46</v>
      </c>
      <c r="O100">
        <f t="shared" si="9"/>
        <v>13410.46</v>
      </c>
      <c r="Q100">
        <v>224.1</v>
      </c>
      <c r="R100">
        <f t="shared" si="10"/>
        <v>224.1</v>
      </c>
      <c r="T100">
        <v>35024.120000000003</v>
      </c>
      <c r="U100">
        <f t="shared" si="11"/>
        <v>35024.120000000003</v>
      </c>
    </row>
    <row r="101" spans="1:21" x14ac:dyDescent="0.3">
      <c r="A101" s="6" t="str">
        <f xml:space="preserve"> _xll.EPMOlapMemberO("[CECO].[PARENTH3].[AMSA1005AD4508]","","AMSA1005AD4508 - Comunicaciones Corpo","","000")</f>
        <v>AMSA1005AD4508 - Comunicaciones Corpo</v>
      </c>
      <c r="B101" s="6" t="str">
        <f xml:space="preserve"> _xll.EPMOlapMemberO("[CLACO].[PARENTH7].[AMSAG_VIAJES]","","AMSAG_VIAJES - Gastos de Viajes","","000")</f>
        <v>AMSAG_VIAJES - Gastos de Viajes</v>
      </c>
      <c r="C101" t="str">
        <f>_xlfn.CONCAT(_xll.EPMMemberProperty("COSTOS", _xll.EPMMemberID(A101), "PARENTH3"), " - ", _xll.EPMMemberDesc(_xll.EPMMemberProperty("COSTOS", _xll.EPMMemberID(A101), "PARENTH3"), "COSTOS"))</f>
        <v>N1005AD452 - Comunidades</v>
      </c>
      <c r="F101">
        <f t="shared" si="6"/>
        <v>0</v>
      </c>
      <c r="I101">
        <f t="shared" si="7"/>
        <v>0</v>
      </c>
      <c r="L101">
        <f t="shared" si="8"/>
        <v>0</v>
      </c>
      <c r="M101">
        <v>500.67</v>
      </c>
      <c r="O101">
        <f t="shared" si="9"/>
        <v>-500.67</v>
      </c>
      <c r="R101">
        <f t="shared" si="10"/>
        <v>0</v>
      </c>
      <c r="S101">
        <v>500.67</v>
      </c>
      <c r="U101">
        <f t="shared" si="11"/>
        <v>-500.67</v>
      </c>
    </row>
    <row r="102" spans="1:21" x14ac:dyDescent="0.3">
      <c r="A102" s="6" t="str">
        <f xml:space="preserve"> _xll.EPMOlapMemberO("[CECO].[PARENTH3].[AMSA1005AD4508]","","AMSA1005AD4508 - Comunicaciones Corpo","","000")</f>
        <v>AMSA1005AD4508 - Comunicaciones Corpo</v>
      </c>
      <c r="B102" s="6" t="str">
        <f xml:space="preserve"> _xll.EPMOlapMemberO("[CLACO].[PARENTH7].[AMSAGGENERALES.2]","","AMSAGGENERALES.2 - Otros Gastos","","000")</f>
        <v>AMSAGGENERALES.2 - Otros Gastos</v>
      </c>
      <c r="C102" t="str">
        <f>_xlfn.CONCAT(_xll.EPMMemberProperty("COSTOS", _xll.EPMMemberID(A102), "PARENTH3"), " - ", _xll.EPMMemberDesc(_xll.EPMMemberProperty("COSTOS", _xll.EPMMemberID(A102), "PARENTH3"), "COSTOS"))</f>
        <v>N1005AD452 - Comunidades</v>
      </c>
      <c r="D102">
        <v>2958.91</v>
      </c>
      <c r="E102">
        <v>18661.96</v>
      </c>
      <c r="F102">
        <f t="shared" si="6"/>
        <v>15703.05</v>
      </c>
      <c r="G102">
        <v>0</v>
      </c>
      <c r="H102">
        <v>5555.53</v>
      </c>
      <c r="I102">
        <f t="shared" si="7"/>
        <v>5555.53</v>
      </c>
      <c r="J102">
        <v>7663.81</v>
      </c>
      <c r="K102">
        <v>8012.78</v>
      </c>
      <c r="L102">
        <f t="shared" si="8"/>
        <v>348.96999999999935</v>
      </c>
      <c r="M102">
        <v>0</v>
      </c>
      <c r="N102">
        <v>5586.83</v>
      </c>
      <c r="O102">
        <f t="shared" si="9"/>
        <v>5586.83</v>
      </c>
      <c r="P102">
        <v>0</v>
      </c>
      <c r="Q102">
        <v>17738.89</v>
      </c>
      <c r="R102">
        <f t="shared" si="10"/>
        <v>17738.89</v>
      </c>
      <c r="S102">
        <v>10622.72</v>
      </c>
      <c r="T102">
        <v>100178.15</v>
      </c>
      <c r="U102">
        <f t="shared" si="11"/>
        <v>89555.43</v>
      </c>
    </row>
    <row r="103" spans="1:21" x14ac:dyDescent="0.3">
      <c r="A103" s="6" t="str">
        <f xml:space="preserve"> _xll.EPMOlapMemberO("[CECO].[PARENTH3].[AMSA1005AD4510]","","AMSA1005AD4510 - AAPP y RRII","","000")</f>
        <v>AMSA1005AD4510 - AAPP y RRII</v>
      </c>
      <c r="B103" s="6" t="str">
        <f xml:space="preserve"> _xll.EPMOlapMemberO("[CLACO].[PARENTH7].[AMSASERVICIOS]","","AMSASERVICIOS - Servicios","","000")</f>
        <v>AMSASERVICIOS - Servicios</v>
      </c>
      <c r="C103" t="str">
        <f>_xlfn.CONCAT(_xll.EPMMemberProperty("COSTOS", _xll.EPMMemberID(A103), "PARENTH3"), " - ", _xll.EPMMemberDesc(_xll.EPMMemberProperty("COSTOS", _xll.EPMMemberID(A103), "PARENTH3"), "COSTOS"))</f>
        <v>N1005AD452 - Comunidades</v>
      </c>
      <c r="D103">
        <v>-29631.91</v>
      </c>
      <c r="F103">
        <f t="shared" si="6"/>
        <v>29631.91</v>
      </c>
      <c r="I103">
        <f t="shared" si="7"/>
        <v>0</v>
      </c>
      <c r="L103">
        <f t="shared" si="8"/>
        <v>0</v>
      </c>
      <c r="O103">
        <f t="shared" si="9"/>
        <v>0</v>
      </c>
      <c r="R103">
        <f t="shared" si="10"/>
        <v>0</v>
      </c>
      <c r="S103">
        <v>-29631.91</v>
      </c>
      <c r="U103">
        <f t="shared" si="11"/>
        <v>29631.91</v>
      </c>
    </row>
    <row r="104" spans="1:21" x14ac:dyDescent="0.3">
      <c r="A104" s="6" t="str">
        <f xml:space="preserve"> _xll.EPMOlapMemberO("[CECO].[PARENTH3].[AMSA1005AD4510]","","AMSA1005AD4510 - AAPP y RRII","","000")</f>
        <v>AMSA1005AD4510 - AAPP y RRII</v>
      </c>
      <c r="B104" s="6" t="str">
        <f xml:space="preserve"> _xll.EPMOlapMemberO("[CLACO].[PARENTH7].[AMSAINFORMATIC]","","AMSAINFORMATIC - Informática y Comuni","","000")</f>
        <v>AMSAINFORMATIC - Informática y Comuni</v>
      </c>
      <c r="C104" t="str">
        <f>_xlfn.CONCAT(_xll.EPMMemberProperty("COSTOS", _xll.EPMMemberID(A104), "PARENTH3"), " - ", _xll.EPMMemberDesc(_xll.EPMMemberProperty("COSTOS", _xll.EPMMemberID(A104), "PARENTH3"), "COSTOS"))</f>
        <v>N1005AD452 - Comunidades</v>
      </c>
      <c r="F104">
        <f t="shared" si="6"/>
        <v>0</v>
      </c>
      <c r="I104">
        <f t="shared" si="7"/>
        <v>0</v>
      </c>
      <c r="J104">
        <v>3831.14</v>
      </c>
      <c r="L104">
        <f t="shared" si="8"/>
        <v>-3831.14</v>
      </c>
      <c r="M104">
        <v>-67.52</v>
      </c>
      <c r="O104">
        <f t="shared" si="9"/>
        <v>67.52</v>
      </c>
      <c r="P104">
        <v>3111.93</v>
      </c>
      <c r="R104">
        <f t="shared" si="10"/>
        <v>-3111.93</v>
      </c>
      <c r="S104">
        <v>6875.55</v>
      </c>
      <c r="U104">
        <f t="shared" si="11"/>
        <v>-6875.55</v>
      </c>
    </row>
    <row r="105" spans="1:21" x14ac:dyDescent="0.3">
      <c r="A105" s="6" t="str">
        <f xml:space="preserve"> _xll.EPMOlapMemberO("[CECO].[PARENTH3].[AMSA1005AD4510]","","AMSA1005AD4510 - AAPP y RRII","","000")</f>
        <v>AMSA1005AD4510 - AAPP y RRII</v>
      </c>
      <c r="B105" s="6" t="str">
        <f xml:space="preserve"> _xll.EPMOlapMemberO("[CLACO].[PARENTH7].[AMSAGGENERALES.2]","","AMSAGGENERALES.2 - Otros Gastos","","000")</f>
        <v>AMSAGGENERALES.2 - Otros Gastos</v>
      </c>
      <c r="C105" t="str">
        <f>_xlfn.CONCAT(_xll.EPMMemberProperty("COSTOS", _xll.EPMMemberID(A105), "PARENTH3"), " - ", _xll.EPMMemberDesc(_xll.EPMMemberProperty("COSTOS", _xll.EPMMemberID(A105), "PARENTH3"), "COSTOS"))</f>
        <v>N1005AD452 - Comunidades</v>
      </c>
      <c r="F105">
        <f t="shared" si="6"/>
        <v>0</v>
      </c>
      <c r="H105">
        <v>31648.720000000001</v>
      </c>
      <c r="I105">
        <f t="shared" si="7"/>
        <v>31648.720000000001</v>
      </c>
      <c r="L105">
        <f t="shared" si="8"/>
        <v>0</v>
      </c>
      <c r="N105">
        <v>22347.33</v>
      </c>
      <c r="O105">
        <f t="shared" si="9"/>
        <v>22347.33</v>
      </c>
      <c r="R105">
        <f t="shared" si="10"/>
        <v>0</v>
      </c>
      <c r="S105">
        <v>6746.63</v>
      </c>
      <c r="T105">
        <v>155068.6</v>
      </c>
      <c r="U105">
        <f t="shared" si="11"/>
        <v>148321.97</v>
      </c>
    </row>
    <row r="106" spans="1:21" x14ac:dyDescent="0.3">
      <c r="A106" s="6" t="str">
        <f xml:space="preserve"> _xll.EPMOlapMemberO("[CECO].[PARENTH3].[AMSA1005AD4510]","","AMSA1005AD4510 - AAPP y RRII","","000")</f>
        <v>AMSA1005AD4510 - AAPP y RRII</v>
      </c>
      <c r="B106" s="6" t="str">
        <f xml:space="preserve"> _xll.EPMOlapMemberO("[CLACO].[PARENTH7].[AMSALIQUIDACIO.SEC]","","AMSALIQUIDACIO.SEC - Liquidación Interna","","000")</f>
        <v>AMSALIQUIDACIO.SEC - Liquidación Interna</v>
      </c>
      <c r="C106" t="str">
        <f>_xlfn.CONCAT(_xll.EPMMemberProperty("COSTOS", _xll.EPMMemberID(A106), "PARENTH3"), " - ", _xll.EPMMemberDesc(_xll.EPMMemberProperty("COSTOS", _xll.EPMMemberID(A106), "PARENTH3"), "COSTOS"))</f>
        <v>N1005AD452 - Comunidades</v>
      </c>
      <c r="D106">
        <v>2592.02</v>
      </c>
      <c r="F106">
        <f t="shared" si="6"/>
        <v>-2592.02</v>
      </c>
      <c r="I106">
        <f t="shared" si="7"/>
        <v>0</v>
      </c>
      <c r="L106">
        <f t="shared" si="8"/>
        <v>0</v>
      </c>
      <c r="O106">
        <f t="shared" si="9"/>
        <v>0</v>
      </c>
      <c r="R106">
        <f t="shared" si="10"/>
        <v>0</v>
      </c>
      <c r="S106">
        <v>2592.02</v>
      </c>
      <c r="U106">
        <f t="shared" si="11"/>
        <v>-2592.02</v>
      </c>
    </row>
    <row r="107" spans="1:21" x14ac:dyDescent="0.3">
      <c r="A107" s="5" t="str">
        <f xml:space="preserve"> _xll.EPMOlapMemberO("[CECO].[PARENTH3].[AMSA1005AD5004]","","AMSA1005AD5004 - SSO Corporativo","","000")</f>
        <v>AMSA1005AD5004 - SSO Corporativo</v>
      </c>
      <c r="B107" s="6" t="str">
        <f xml:space="preserve"> _xll.EPMOlapMemberO("[CLACO].[PARENTH7].[AMSAASESORIAS]","","AMSAASESORIAS - Asesorías y Consulto","","000")</f>
        <v>AMSAASESORIAS - Asesorías y Consulto</v>
      </c>
      <c r="C107" t="str">
        <f>_xlfn.CONCAT(_xll.EPMMemberProperty("COSTOS", _xll.EPMMemberID(A107), "PARENTH3"), " - ", _xll.EPMMemberDesc(_xll.EPMMemberProperty("COSTOS", _xll.EPMMemberID(A107), "PARENTH3"), "COSTOS"))</f>
        <v>N1005AD500 - SSO</v>
      </c>
      <c r="D107">
        <v>-63.97</v>
      </c>
      <c r="F107">
        <f t="shared" si="6"/>
        <v>63.97</v>
      </c>
      <c r="G107">
        <v>11611.19</v>
      </c>
      <c r="I107">
        <f t="shared" si="7"/>
        <v>-11611.19</v>
      </c>
      <c r="J107">
        <v>7605.94</v>
      </c>
      <c r="L107">
        <f t="shared" si="8"/>
        <v>-7605.94</v>
      </c>
      <c r="M107">
        <v>15762.33</v>
      </c>
      <c r="O107">
        <f t="shared" si="9"/>
        <v>-15762.33</v>
      </c>
      <c r="P107">
        <v>7617.95</v>
      </c>
      <c r="R107">
        <f t="shared" si="10"/>
        <v>-7617.95</v>
      </c>
      <c r="S107">
        <v>34915.49</v>
      </c>
      <c r="U107">
        <f t="shared" si="11"/>
        <v>-34915.49</v>
      </c>
    </row>
    <row r="108" spans="1:21" x14ac:dyDescent="0.3">
      <c r="A108" s="5" t="str">
        <f xml:space="preserve"> _xll.EPMOlapMemberO("[CECO].[PARENTH3].[AMSA1005AD5004]","","AMSA1005AD5004 - SSO Corporativo","","000")</f>
        <v>AMSA1005AD5004 - SSO Corporativo</v>
      </c>
      <c r="B108" s="6" t="str">
        <f xml:space="preserve"> _xll.EPMOlapMemberO("[CLACO].[PARENTH7].[AMSASERVICIOS]","","AMSASERVICIOS - Servicios","","000")</f>
        <v>AMSASERVICIOS - Servicios</v>
      </c>
      <c r="C108" t="str">
        <f>_xlfn.CONCAT(_xll.EPMMemberProperty("COSTOS", _xll.EPMMemberID(A108), "PARENTH3"), " - ", _xll.EPMMemberDesc(_xll.EPMMemberProperty("COSTOS", _xll.EPMMemberID(A108), "PARENTH3"), "COSTOS"))</f>
        <v>N1005AD500 - SSO</v>
      </c>
      <c r="E108">
        <v>7665.67</v>
      </c>
      <c r="F108">
        <f t="shared" si="6"/>
        <v>7665.67</v>
      </c>
      <c r="H108">
        <v>7686.63</v>
      </c>
      <c r="I108">
        <f t="shared" si="7"/>
        <v>7686.63</v>
      </c>
      <c r="K108">
        <v>7708.28</v>
      </c>
      <c r="L108">
        <f t="shared" si="8"/>
        <v>7708.28</v>
      </c>
      <c r="N108">
        <v>7729.94</v>
      </c>
      <c r="O108">
        <f t="shared" si="9"/>
        <v>7729.94</v>
      </c>
      <c r="Q108">
        <v>7751.6</v>
      </c>
      <c r="R108">
        <f t="shared" si="10"/>
        <v>7751.6</v>
      </c>
      <c r="T108">
        <v>93411.06</v>
      </c>
      <c r="U108">
        <f t="shared" si="11"/>
        <v>93411.06</v>
      </c>
    </row>
    <row r="109" spans="1:21" x14ac:dyDescent="0.3">
      <c r="A109" s="5" t="str">
        <f xml:space="preserve"> _xll.EPMOlapMemberO("[CECO].[PARENTH3].[AMSA1005AD5004]","","AMSA1005AD5004 - SSO Corporativo","","000")</f>
        <v>AMSA1005AD5004 - SSO Corporativo</v>
      </c>
      <c r="B109" s="6" t="str">
        <f xml:space="preserve"> _xll.EPMOlapMemberO("[CLACO].[PARENTH7].[AMSAINFORMATIC]","","AMSAINFORMATIC - Informática y Comuni","","000")</f>
        <v>AMSAINFORMATIC - Informática y Comuni</v>
      </c>
      <c r="C109" t="str">
        <f>_xlfn.CONCAT(_xll.EPMMemberProperty("COSTOS", _xll.EPMMemberID(A109), "PARENTH3"), " - ", _xll.EPMMemberDesc(_xll.EPMMemberProperty("COSTOS", _xll.EPMMemberID(A109), "PARENTH3"), "COSTOS"))</f>
        <v>N1005AD500 - SSO</v>
      </c>
      <c r="D109">
        <v>0</v>
      </c>
      <c r="E109">
        <v>10008.14</v>
      </c>
      <c r="F109">
        <f t="shared" si="6"/>
        <v>10008.14</v>
      </c>
      <c r="I109">
        <f t="shared" si="7"/>
        <v>0</v>
      </c>
      <c r="K109">
        <v>10045.89</v>
      </c>
      <c r="L109">
        <f t="shared" si="8"/>
        <v>10045.89</v>
      </c>
      <c r="M109">
        <v>337.36</v>
      </c>
      <c r="O109">
        <f t="shared" si="9"/>
        <v>-337.36</v>
      </c>
      <c r="P109">
        <v>340.12</v>
      </c>
      <c r="R109">
        <f t="shared" si="10"/>
        <v>-340.12</v>
      </c>
      <c r="S109">
        <v>337.36</v>
      </c>
      <c r="T109">
        <v>37800.31</v>
      </c>
      <c r="U109">
        <f t="shared" si="11"/>
        <v>37462.949999999997</v>
      </c>
    </row>
    <row r="110" spans="1:21" x14ac:dyDescent="0.3">
      <c r="A110" s="5" t="str">
        <f xml:space="preserve"> _xll.EPMOlapMemberO("[CECO].[PARENTH3].[AMSA1005AD5004]","","AMSA1005AD5004 - SSO Corporativo","","000")</f>
        <v>AMSA1005AD5004 - SSO Corporativo</v>
      </c>
      <c r="B110" s="6" t="str">
        <f xml:space="preserve"> _xll.EPMOlapMemberO("[CLACO].[PARENTH7].[AMSAG_VIAJES]","","AMSAG_VIAJES - Gastos de Viajes","","000")</f>
        <v>AMSAG_VIAJES - Gastos de Viajes</v>
      </c>
      <c r="C110" t="str">
        <f>_xlfn.CONCAT(_xll.EPMMemberProperty("COSTOS", _xll.EPMMemberID(A110), "PARENTH3"), " - ", _xll.EPMMemberDesc(_xll.EPMMemberProperty("COSTOS", _xll.EPMMemberID(A110), "PARENTH3"), "COSTOS"))</f>
        <v>N1005AD500 - SSO</v>
      </c>
      <c r="F110">
        <f t="shared" si="6"/>
        <v>0</v>
      </c>
      <c r="I110">
        <f t="shared" si="7"/>
        <v>0</v>
      </c>
      <c r="L110">
        <f t="shared" si="8"/>
        <v>0</v>
      </c>
      <c r="M110">
        <v>506.69</v>
      </c>
      <c r="O110">
        <f t="shared" si="9"/>
        <v>-506.69</v>
      </c>
      <c r="R110">
        <f t="shared" si="10"/>
        <v>0</v>
      </c>
      <c r="S110">
        <v>506.69</v>
      </c>
      <c r="U110">
        <f t="shared" si="11"/>
        <v>-506.69</v>
      </c>
    </row>
    <row r="111" spans="1:21" x14ac:dyDescent="0.3">
      <c r="A111" s="5" t="str">
        <f xml:space="preserve"> _xll.EPMOlapMemberO("[CECO].[PARENTH3].[AMSA1005AD5004]","","AMSA1005AD5004 - SSO Corporativo","","000")</f>
        <v>AMSA1005AD5004 - SSO Corporativo</v>
      </c>
      <c r="B111" s="6" t="str">
        <f xml:space="preserve"> _xll.EPMOlapMemberO("[CLACO].[PARENTH7].[AMSAGGENERALES.2]","","AMSAGGENERALES.2 - Otros Gastos","","000")</f>
        <v>AMSAGGENERALES.2 - Otros Gastos</v>
      </c>
      <c r="C111" t="str">
        <f>_xlfn.CONCAT(_xll.EPMMemberProperty("COSTOS", _xll.EPMMemberID(A111), "PARENTH3"), " - ", _xll.EPMMemberDesc(_xll.EPMMemberProperty("COSTOS", _xll.EPMMemberID(A111), "PARENTH3"), "COSTOS"))</f>
        <v>N1005AD500 - SSO</v>
      </c>
      <c r="F111">
        <f t="shared" si="6"/>
        <v>0</v>
      </c>
      <c r="I111">
        <f t="shared" si="7"/>
        <v>0</v>
      </c>
      <c r="L111">
        <f t="shared" si="8"/>
        <v>0</v>
      </c>
      <c r="M111">
        <v>-65.260000000000005</v>
      </c>
      <c r="O111">
        <f t="shared" si="9"/>
        <v>65.260000000000005</v>
      </c>
      <c r="R111">
        <f t="shared" si="10"/>
        <v>0</v>
      </c>
      <c r="S111">
        <v>-65.260000000000005</v>
      </c>
      <c r="U111">
        <f t="shared" si="11"/>
        <v>65.260000000000005</v>
      </c>
    </row>
    <row r="112" spans="1:21" x14ac:dyDescent="0.3">
      <c r="A112" s="5" t="str">
        <f xml:space="preserve"> _xll.EPMOlapMemberO("[CECO].[PARENTH3].[AMSA1005AD5501]","","AMSA1005AD5501 - Legal","","000")</f>
        <v>AMSA1005AD5501 - Legal</v>
      </c>
      <c r="B112" s="6" t="str">
        <f xml:space="preserve"> _xll.EPMOlapMemberO("[CLACO].[PARENTH7].[AMSAASESORIAS]","","AMSAASESORIAS - Asesorías y Consulto","","000")</f>
        <v>AMSAASESORIAS - Asesorías y Consulto</v>
      </c>
      <c r="C112" t="str">
        <f>_xlfn.CONCAT(_xll.EPMMemberProperty("COSTOS", _xll.EPMMemberID(A112), "PARENTH3"), " - ", _xll.EPMMemberDesc(_xll.EPMMemberProperty("COSTOS", _xll.EPMMemberID(A112), "PARENTH3"), "COSTOS"))</f>
        <v>N1005AD550 - Legal</v>
      </c>
      <c r="D112">
        <v>10920.01</v>
      </c>
      <c r="E112">
        <v>23451.81</v>
      </c>
      <c r="F112">
        <f t="shared" si="6"/>
        <v>12531.800000000001</v>
      </c>
      <c r="G112">
        <v>1116.5899999999999</v>
      </c>
      <c r="H112">
        <v>23517.25</v>
      </c>
      <c r="I112">
        <f t="shared" si="7"/>
        <v>22400.66</v>
      </c>
      <c r="J112">
        <v>14269.9</v>
      </c>
      <c r="K112">
        <v>23582.89</v>
      </c>
      <c r="L112">
        <f t="shared" si="8"/>
        <v>9312.99</v>
      </c>
      <c r="M112">
        <v>19876.41</v>
      </c>
      <c r="N112">
        <v>23648.68</v>
      </c>
      <c r="O112">
        <f t="shared" si="9"/>
        <v>3772.2700000000004</v>
      </c>
      <c r="P112">
        <v>11841.84</v>
      </c>
      <c r="Q112">
        <v>23714.65</v>
      </c>
      <c r="R112">
        <f t="shared" si="10"/>
        <v>11872.810000000001</v>
      </c>
      <c r="S112">
        <v>65140.639999999999</v>
      </c>
      <c r="T112">
        <v>285780.90000000002</v>
      </c>
      <c r="U112">
        <f t="shared" si="11"/>
        <v>220640.26</v>
      </c>
    </row>
    <row r="113" spans="1:21" x14ac:dyDescent="0.3">
      <c r="A113" s="5" t="str">
        <f xml:space="preserve"> _xll.EPMOlapMemberO("[CECO].[PARENTH3].[AMSA1005AD5501]","","AMSA1005AD5501 - Legal","","000")</f>
        <v>AMSA1005AD5501 - Legal</v>
      </c>
      <c r="B113" s="6" t="str">
        <f xml:space="preserve"> _xll.EPMOlapMemberO("[CLACO].[PARENTH7].[AMSASERVICIOS]","","AMSASERVICIOS - Servicios","","000")</f>
        <v>AMSASERVICIOS - Servicios</v>
      </c>
      <c r="C113" t="str">
        <f>_xlfn.CONCAT(_xll.EPMMemberProperty("COSTOS", _xll.EPMMemberID(A113), "PARENTH3"), " - ", _xll.EPMMemberDesc(_xll.EPMMemberProperty("COSTOS", _xll.EPMMemberID(A113), "PARENTH3"), "COSTOS"))</f>
        <v>N1005AD550 - Legal</v>
      </c>
      <c r="F113">
        <f t="shared" si="6"/>
        <v>0</v>
      </c>
      <c r="I113">
        <f t="shared" si="7"/>
        <v>0</v>
      </c>
      <c r="L113">
        <f t="shared" si="8"/>
        <v>0</v>
      </c>
      <c r="O113">
        <f t="shared" si="9"/>
        <v>0</v>
      </c>
      <c r="P113">
        <v>14.86</v>
      </c>
      <c r="R113">
        <f t="shared" si="10"/>
        <v>-14.86</v>
      </c>
      <c r="S113">
        <v>14.86</v>
      </c>
      <c r="U113">
        <f t="shared" si="11"/>
        <v>-14.86</v>
      </c>
    </row>
    <row r="114" spans="1:21" x14ac:dyDescent="0.3">
      <c r="A114" s="5" t="str">
        <f xml:space="preserve"> _xll.EPMOlapMemberO("[CECO].[PARENTH3].[AMSA1005AD5501]","","AMSA1005AD5501 - Legal","","000")</f>
        <v>AMSA1005AD5501 - Legal</v>
      </c>
      <c r="B114" s="6" t="str">
        <f xml:space="preserve"> _xll.EPMOlapMemberO("[CLACO].[PARENTH7].[AMSAG_VIAJES]","","AMSAG_VIAJES - Gastos de Viajes","","000")</f>
        <v>AMSAG_VIAJES - Gastos de Viajes</v>
      </c>
      <c r="C114" t="str">
        <f>_xlfn.CONCAT(_xll.EPMMemberProperty("COSTOS", _xll.EPMMemberID(A114), "PARENTH3"), " - ", _xll.EPMMemberDesc(_xll.EPMMemberProperty("COSTOS", _xll.EPMMemberID(A114), "PARENTH3"), "COSTOS"))</f>
        <v>N1005AD550 - Legal</v>
      </c>
      <c r="D114">
        <v>597.96</v>
      </c>
      <c r="E114">
        <v>1131.9100000000001</v>
      </c>
      <c r="F114">
        <f t="shared" si="6"/>
        <v>533.95000000000005</v>
      </c>
      <c r="G114">
        <v>2131.52</v>
      </c>
      <c r="H114">
        <v>1134.06</v>
      </c>
      <c r="I114">
        <f t="shared" si="7"/>
        <v>-997.46</v>
      </c>
      <c r="J114">
        <v>0</v>
      </c>
      <c r="K114">
        <v>1136.19</v>
      </c>
      <c r="L114">
        <f t="shared" si="8"/>
        <v>1136.19</v>
      </c>
      <c r="M114">
        <v>2328.79</v>
      </c>
      <c r="N114">
        <v>1138.3499999999999</v>
      </c>
      <c r="O114">
        <f t="shared" si="9"/>
        <v>-1190.44</v>
      </c>
      <c r="P114">
        <v>545.30999999999995</v>
      </c>
      <c r="Q114">
        <v>1140.52</v>
      </c>
      <c r="R114">
        <f t="shared" si="10"/>
        <v>595.21</v>
      </c>
      <c r="S114">
        <v>5615.85</v>
      </c>
      <c r="T114">
        <v>13725.45</v>
      </c>
      <c r="U114">
        <f t="shared" si="11"/>
        <v>8109.6</v>
      </c>
    </row>
    <row r="115" spans="1:21" x14ac:dyDescent="0.3">
      <c r="A115" s="5" t="str">
        <f xml:space="preserve"> _xll.EPMOlapMemberO("[CECO].[PARENTH3].[AMSA1005AD5501]","","AMSA1005AD5501 - Legal","","000")</f>
        <v>AMSA1005AD5501 - Legal</v>
      </c>
      <c r="B115" s="6" t="str">
        <f xml:space="preserve"> _xll.EPMOlapMemberO("[CLACO].[PARENTH7].[AMSAIMP_PATEN]","","AMSAIMP_PATEN - Impuestos / Patentes","","000")</f>
        <v>AMSAIMP_PATEN - Impuestos / Patentes</v>
      </c>
      <c r="C115" t="str">
        <f>_xlfn.CONCAT(_xll.EPMMemberProperty("COSTOS", _xll.EPMMemberID(A115), "PARENTH3"), " - ", _xll.EPMMemberDesc(_xll.EPMMemberProperty("COSTOS", _xll.EPMMemberID(A115), "PARENTH3"), "COSTOS"))</f>
        <v>N1005AD550 - Legal</v>
      </c>
      <c r="D115">
        <v>12.17</v>
      </c>
      <c r="E115">
        <v>27.7</v>
      </c>
      <c r="F115">
        <f t="shared" si="6"/>
        <v>15.53</v>
      </c>
      <c r="G115">
        <v>0</v>
      </c>
      <c r="H115">
        <v>27.77</v>
      </c>
      <c r="I115">
        <f t="shared" si="7"/>
        <v>27.77</v>
      </c>
      <c r="J115">
        <v>218.29</v>
      </c>
      <c r="K115">
        <v>27.86</v>
      </c>
      <c r="L115">
        <f t="shared" si="8"/>
        <v>-190.43</v>
      </c>
      <c r="M115">
        <v>8.01</v>
      </c>
      <c r="N115">
        <v>27.93</v>
      </c>
      <c r="O115">
        <f t="shared" si="9"/>
        <v>19.920000000000002</v>
      </c>
      <c r="P115">
        <v>465.69</v>
      </c>
      <c r="Q115">
        <v>28.01</v>
      </c>
      <c r="R115">
        <f t="shared" si="10"/>
        <v>-437.68</v>
      </c>
      <c r="S115">
        <v>716.82</v>
      </c>
      <c r="T115">
        <v>337.54</v>
      </c>
      <c r="U115">
        <f t="shared" si="11"/>
        <v>-379.28000000000003</v>
      </c>
    </row>
    <row r="116" spans="1:21" x14ac:dyDescent="0.3">
      <c r="A116" s="5" t="str">
        <f xml:space="preserve"> _xll.EPMOlapMemberO("[CECO].[PARENTH3].[AMSA1005AD5502]","","AMSA1005AD5502 - Propiedad Minera","","000")</f>
        <v>AMSA1005AD5502 - Propiedad Minera</v>
      </c>
      <c r="B116" s="6" t="str">
        <f xml:space="preserve"> _xll.EPMOlapMemberO("[CLACO].[PARENTH7].[AMSASERVICIOS]","","AMSASERVICIOS - Servicios","","000")</f>
        <v>AMSASERVICIOS - Servicios</v>
      </c>
      <c r="C116" t="str">
        <f>_xlfn.CONCAT(_xll.EPMMemberProperty("COSTOS", _xll.EPMMemberID(A116), "PARENTH3"), " - ", _xll.EPMMemberDesc(_xll.EPMMemberProperty("COSTOS", _xll.EPMMemberID(A116), "PARENTH3"), "COSTOS"))</f>
        <v>N1005AD550 - Legal</v>
      </c>
      <c r="D116">
        <v>300.24</v>
      </c>
      <c r="E116">
        <v>766.2</v>
      </c>
      <c r="F116">
        <f t="shared" si="6"/>
        <v>465.96000000000004</v>
      </c>
      <c r="G116">
        <v>280.13</v>
      </c>
      <c r="H116">
        <v>768.3</v>
      </c>
      <c r="I116">
        <f t="shared" si="7"/>
        <v>488.16999999999996</v>
      </c>
      <c r="J116">
        <v>250.48</v>
      </c>
      <c r="K116">
        <v>770.46</v>
      </c>
      <c r="L116">
        <f t="shared" si="8"/>
        <v>519.98</v>
      </c>
      <c r="M116">
        <v>271.3</v>
      </c>
      <c r="N116">
        <v>783.8</v>
      </c>
      <c r="O116">
        <f t="shared" si="9"/>
        <v>512.5</v>
      </c>
      <c r="P116">
        <v>268.95</v>
      </c>
      <c r="Q116">
        <v>774.79</v>
      </c>
      <c r="R116">
        <f t="shared" si="10"/>
        <v>505.84</v>
      </c>
      <c r="S116">
        <v>1102.1500000000001</v>
      </c>
      <c r="T116">
        <v>9415.27</v>
      </c>
      <c r="U116">
        <f t="shared" si="11"/>
        <v>8313.1200000000008</v>
      </c>
    </row>
    <row r="117" spans="1:21" x14ac:dyDescent="0.3">
      <c r="A117" s="5" t="str">
        <f xml:space="preserve"> _xll.EPMOlapMemberO("[CECO].[PARENTH3].[AMSA1005AD5502]","","AMSA1005AD5502 - Propiedad Minera","","000")</f>
        <v>AMSA1005AD5502 - Propiedad Minera</v>
      </c>
      <c r="B117" s="6" t="str">
        <f xml:space="preserve"> _xll.EPMOlapMemberO("[CLACO].[PARENTH7].[AMSAIMP_PATEN]","","AMSAIMP_PATEN - Impuestos / Patentes","","000")</f>
        <v>AMSAIMP_PATEN - Impuestos / Patentes</v>
      </c>
      <c r="C117" t="str">
        <f>_xlfn.CONCAT(_xll.EPMMemberProperty("COSTOS", _xll.EPMMemberID(A117), "PARENTH3"), " - ", _xll.EPMMemberDesc(_xll.EPMMemberProperty("COSTOS", _xll.EPMMemberID(A117), "PARENTH3"), "COSTOS"))</f>
        <v>N1005AD550 - Legal</v>
      </c>
      <c r="D117">
        <v>40848.080000000002</v>
      </c>
      <c r="E117">
        <v>40192.019999999997</v>
      </c>
      <c r="F117">
        <f t="shared" si="6"/>
        <v>-656.06000000000495</v>
      </c>
      <c r="H117">
        <v>55.55</v>
      </c>
      <c r="I117">
        <f t="shared" si="7"/>
        <v>55.55</v>
      </c>
      <c r="J117">
        <v>251569.42</v>
      </c>
      <c r="K117">
        <v>261839.69</v>
      </c>
      <c r="L117">
        <f t="shared" si="8"/>
        <v>10270.26999999999</v>
      </c>
      <c r="M117">
        <v>-20607.05</v>
      </c>
      <c r="N117">
        <v>201.13</v>
      </c>
      <c r="O117">
        <f t="shared" si="9"/>
        <v>20808.18</v>
      </c>
      <c r="Q117">
        <v>56.02</v>
      </c>
      <c r="R117">
        <f t="shared" si="10"/>
        <v>56.02</v>
      </c>
      <c r="S117">
        <v>271810.45</v>
      </c>
      <c r="T117">
        <v>606291.05000000005</v>
      </c>
      <c r="U117">
        <f t="shared" si="11"/>
        <v>334480.60000000003</v>
      </c>
    </row>
    <row r="118" spans="1:21" x14ac:dyDescent="0.3">
      <c r="A118" s="5" t="str">
        <f xml:space="preserve"> _xll.EPMOlapMemberO("[CECO].[PARENTH3].[AMSA1005AD5502]","","AMSA1005AD5502 - Propiedad Minera","","000")</f>
        <v>AMSA1005AD5502 - Propiedad Minera</v>
      </c>
      <c r="B118" s="6" t="str">
        <f xml:space="preserve"> _xll.EPMOlapMemberO("[CLACO].[PARENTH7].[AMSAGGENERALES.2]","","AMSAGGENERALES.2 - Otros Gastos","","000")</f>
        <v>AMSAGGENERALES.2 - Otros Gastos</v>
      </c>
      <c r="C118" t="str">
        <f>_xlfn.CONCAT(_xll.EPMMemberProperty("COSTOS", _xll.EPMMemberID(A118), "PARENTH3"), " - ", _xll.EPMMemberDesc(_xll.EPMMemberProperty("COSTOS", _xll.EPMMemberID(A118), "PARENTH3"), "COSTOS"))</f>
        <v>N1005AD550 - Legal</v>
      </c>
      <c r="F118">
        <f t="shared" si="6"/>
        <v>0</v>
      </c>
      <c r="I118">
        <f t="shared" si="7"/>
        <v>0</v>
      </c>
      <c r="L118">
        <f t="shared" si="8"/>
        <v>0</v>
      </c>
      <c r="N118">
        <v>28.83</v>
      </c>
      <c r="O118">
        <f t="shared" si="9"/>
        <v>28.83</v>
      </c>
      <c r="R118">
        <f t="shared" si="10"/>
        <v>0</v>
      </c>
      <c r="T118">
        <v>109.73</v>
      </c>
      <c r="U118">
        <f t="shared" si="11"/>
        <v>109.73</v>
      </c>
    </row>
    <row r="119" spans="1:21" x14ac:dyDescent="0.3">
      <c r="A119" s="5" t="str">
        <f xml:space="preserve"> _xll.EPMOlapMemberO("[CECO].[PARENTH3].[AMSA1005AD6001]","","AMSA1005AD6001 - Adm Comercialización","","000")</f>
        <v>AMSA1005AD6001 - Adm Comercialización</v>
      </c>
      <c r="B119" s="6" t="str">
        <f xml:space="preserve"> _xll.EPMOlapMemberO("[CLACO].[PARENTH7].[AMSAASESORIAS]","","AMSAASESORIAS - Asesorías y Consulto","","000")</f>
        <v>AMSAASESORIAS - Asesorías y Consulto</v>
      </c>
      <c r="C119" t="str">
        <f>_xlfn.CONCAT(_xll.EPMMemberProperty("COSTOS", _xll.EPMMemberID(A119), "PARENTH3"), " - ", _xll.EPMMemberDesc(_xll.EPMMemberProperty("COSTOS", _xll.EPMMemberID(A119), "PARENTH3"), "COSTOS"))</f>
        <v>N1005AD620 - Fletes Cu</v>
      </c>
      <c r="F119">
        <f t="shared" si="6"/>
        <v>0</v>
      </c>
      <c r="I119">
        <f t="shared" si="7"/>
        <v>0</v>
      </c>
      <c r="L119">
        <f t="shared" si="8"/>
        <v>0</v>
      </c>
      <c r="O119">
        <f t="shared" si="9"/>
        <v>0</v>
      </c>
      <c r="R119">
        <f t="shared" si="10"/>
        <v>0</v>
      </c>
      <c r="T119">
        <v>6978.44</v>
      </c>
      <c r="U119">
        <f t="shared" si="11"/>
        <v>6978.44</v>
      </c>
    </row>
    <row r="120" spans="1:21" x14ac:dyDescent="0.3">
      <c r="A120" s="5" t="str">
        <f xml:space="preserve"> _xll.EPMOlapMemberO("[CECO].[PARENTH3].[AMSA1005AD6001]","","AMSA1005AD6001 - Adm Comercialización","","000")</f>
        <v>AMSA1005AD6001 - Adm Comercialización</v>
      </c>
      <c r="B120" s="6" t="str">
        <f xml:space="preserve"> _xll.EPMOlapMemberO("[CLACO].[PARENTH7].[AMSASERVICIOS]","","AMSASERVICIOS - Servicios","","000")</f>
        <v>AMSASERVICIOS - Servicios</v>
      </c>
      <c r="C120" t="str">
        <f>_xlfn.CONCAT(_xll.EPMMemberProperty("COSTOS", _xll.EPMMemberID(A120), "PARENTH3"), " - ", _xll.EPMMemberDesc(_xll.EPMMemberProperty("COSTOS", _xll.EPMMemberID(A120), "PARENTH3"), "COSTOS"))</f>
        <v>N1005AD620 - Fletes Cu</v>
      </c>
      <c r="D120">
        <v>81103.66</v>
      </c>
      <c r="F120">
        <f t="shared" si="6"/>
        <v>-81103.66</v>
      </c>
      <c r="G120">
        <v>1416.97</v>
      </c>
      <c r="I120">
        <f t="shared" si="7"/>
        <v>-1416.97</v>
      </c>
      <c r="J120">
        <v>104291.84</v>
      </c>
      <c r="L120">
        <f t="shared" si="8"/>
        <v>-104291.84</v>
      </c>
      <c r="M120">
        <v>123713.06</v>
      </c>
      <c r="O120">
        <f t="shared" si="9"/>
        <v>-123713.06</v>
      </c>
      <c r="P120">
        <v>71412.3</v>
      </c>
      <c r="R120">
        <f t="shared" si="10"/>
        <v>-71412.3</v>
      </c>
      <c r="S120">
        <v>465608.32</v>
      </c>
      <c r="U120">
        <f t="shared" si="11"/>
        <v>-465608.32</v>
      </c>
    </row>
    <row r="121" spans="1:21" x14ac:dyDescent="0.3">
      <c r="A121" s="5" t="str">
        <f xml:space="preserve"> _xll.EPMOlapMemberO("[CECO].[PARENTH3].[AMSA1005AD6001]","","AMSA1005AD6001 - Adm Comercialización","","000")</f>
        <v>AMSA1005AD6001 - Adm Comercialización</v>
      </c>
      <c r="B121" s="6" t="str">
        <f xml:space="preserve"> _xll.EPMOlapMemberO("[CLACO].[PARENTH7].[AMSAG_VIAJES]","","AMSAG_VIAJES - Gastos de Viajes","","000")</f>
        <v>AMSAG_VIAJES - Gastos de Viajes</v>
      </c>
      <c r="C121" t="str">
        <f>_xlfn.CONCAT(_xll.EPMMemberProperty("COSTOS", _xll.EPMMemberID(A121), "PARENTH3"), " - ", _xll.EPMMemberDesc(_xll.EPMMemberProperty("COSTOS", _xll.EPMMemberID(A121), "PARENTH3"), "COSTOS"))</f>
        <v>N1005AD620 - Fletes Cu</v>
      </c>
      <c r="D121">
        <v>1374.78</v>
      </c>
      <c r="E121">
        <v>1389.77</v>
      </c>
      <c r="F121">
        <f t="shared" si="6"/>
        <v>14.990000000000009</v>
      </c>
      <c r="G121">
        <v>1859.73</v>
      </c>
      <c r="H121">
        <v>2400.94</v>
      </c>
      <c r="I121">
        <f t="shared" si="7"/>
        <v>541.21</v>
      </c>
      <c r="J121">
        <v>0</v>
      </c>
      <c r="K121">
        <v>1010.46</v>
      </c>
      <c r="L121">
        <f t="shared" si="8"/>
        <v>1010.46</v>
      </c>
      <c r="M121">
        <v>642.42999999999995</v>
      </c>
      <c r="N121">
        <v>1397.68</v>
      </c>
      <c r="O121">
        <f t="shared" si="9"/>
        <v>755.25000000000011</v>
      </c>
      <c r="P121">
        <v>6584.36</v>
      </c>
      <c r="Q121">
        <v>8001.33</v>
      </c>
      <c r="R121">
        <f t="shared" si="10"/>
        <v>1416.9700000000003</v>
      </c>
      <c r="S121">
        <v>3876.94</v>
      </c>
      <c r="T121">
        <v>115623.88</v>
      </c>
      <c r="U121">
        <f t="shared" si="11"/>
        <v>111746.94</v>
      </c>
    </row>
    <row r="122" spans="1:21" x14ac:dyDescent="0.3">
      <c r="A122" s="5" t="str">
        <f xml:space="preserve"> _xll.EPMOlapMemberO("[CECO].[PARENTH3].[AMSA1005AD6001]","","AMSA1005AD6001 - Adm Comercialización","","000")</f>
        <v>AMSA1005AD6001 - Adm Comercialización</v>
      </c>
      <c r="B122" s="6" t="str">
        <f xml:space="preserve"> _xll.EPMOlapMemberO("[CLACO].[PARENTH7].[AMSAGGENERALES.2]","","AMSAGGENERALES.2 - Otros Gastos","","000")</f>
        <v>AMSAGGENERALES.2 - Otros Gastos</v>
      </c>
      <c r="C122" t="str">
        <f>_xlfn.CONCAT(_xll.EPMMemberProperty("COSTOS", _xll.EPMMemberID(A122), "PARENTH3"), " - ", _xll.EPMMemberDesc(_xll.EPMMemberProperty("COSTOS", _xll.EPMMemberID(A122), "PARENTH3"), "COSTOS"))</f>
        <v>N1005AD620 - Fletes Cu</v>
      </c>
      <c r="D122">
        <v>-2411.5</v>
      </c>
      <c r="E122">
        <v>122181.35</v>
      </c>
      <c r="F122">
        <f t="shared" si="6"/>
        <v>124592.85</v>
      </c>
      <c r="G122">
        <v>1520.23</v>
      </c>
      <c r="H122">
        <v>878.02</v>
      </c>
      <c r="I122">
        <f t="shared" si="7"/>
        <v>-642.21</v>
      </c>
      <c r="J122">
        <v>10774.31</v>
      </c>
      <c r="K122">
        <v>4511.5200000000004</v>
      </c>
      <c r="L122">
        <f t="shared" si="8"/>
        <v>-6262.7899999999991</v>
      </c>
      <c r="M122">
        <v>6464.35</v>
      </c>
      <c r="N122">
        <v>82227.47</v>
      </c>
      <c r="O122">
        <f t="shared" si="9"/>
        <v>75763.12</v>
      </c>
      <c r="P122">
        <v>893.89</v>
      </c>
      <c r="Q122">
        <v>4118.03</v>
      </c>
      <c r="R122">
        <f t="shared" si="10"/>
        <v>3224.14</v>
      </c>
      <c r="S122">
        <v>16347.39</v>
      </c>
      <c r="T122">
        <v>380266.55</v>
      </c>
      <c r="U122">
        <f t="shared" si="11"/>
        <v>363919.16</v>
      </c>
    </row>
    <row r="123" spans="1:21" x14ac:dyDescent="0.3">
      <c r="A123" s="5" t="str">
        <f xml:space="preserve"> _xll.EPMOlapMemberO("[CECO].[PARENTH3].[AMSA1005AD6001]","","AMSA1005AD6001 - Adm Comercialización","","000")</f>
        <v>AMSA1005AD6001 - Adm Comercialización</v>
      </c>
      <c r="B123" s="6" t="str">
        <f xml:space="preserve"> _xll.EPMOlapMemberO("[CLACO].[PARENTH7].[AMSACOMERCIALI]","","AMSACOMERCIALI - Comercial","","000")</f>
        <v>AMSACOMERCIALI - Comercial</v>
      </c>
      <c r="C123" t="str">
        <f>_xlfn.CONCAT(_xll.EPMMemberProperty("COSTOS", _xll.EPMMemberID(A123), "PARENTH3"), " - ", _xll.EPMMemberDesc(_xll.EPMMemberProperty("COSTOS", _xll.EPMMemberID(A123), "PARENTH3"), "COSTOS"))</f>
        <v>N1005AD620 - Fletes Cu</v>
      </c>
      <c r="D123">
        <v>1426674.41</v>
      </c>
      <c r="E123">
        <v>1183323.8700000001</v>
      </c>
      <c r="F123">
        <f t="shared" si="6"/>
        <v>-243350.5399999998</v>
      </c>
      <c r="G123">
        <v>938218.83</v>
      </c>
      <c r="H123">
        <v>1133866.6299999999</v>
      </c>
      <c r="I123">
        <f t="shared" si="7"/>
        <v>195647.79999999993</v>
      </c>
      <c r="J123">
        <v>817410.32</v>
      </c>
      <c r="K123">
        <v>1338760.92</v>
      </c>
      <c r="L123">
        <f t="shared" si="8"/>
        <v>521350.6</v>
      </c>
      <c r="M123">
        <v>782419.42</v>
      </c>
      <c r="N123">
        <v>1328812.05</v>
      </c>
      <c r="O123">
        <f t="shared" si="9"/>
        <v>546392.63</v>
      </c>
      <c r="P123">
        <v>1141248.8400000001</v>
      </c>
      <c r="Q123">
        <v>1293427.94</v>
      </c>
      <c r="R123">
        <f t="shared" si="10"/>
        <v>152179.09999999986</v>
      </c>
      <c r="S123">
        <v>4972852.04</v>
      </c>
      <c r="T123">
        <v>14908724.77</v>
      </c>
      <c r="U123">
        <f t="shared" si="11"/>
        <v>9935872.7300000004</v>
      </c>
    </row>
    <row r="124" spans="1:21" x14ac:dyDescent="0.3">
      <c r="A124" s="5" t="str">
        <f xml:space="preserve"> _xll.EPMOlapMemberO("[CECO].[PARENTH3].[AMSA1005AD6001]","","AMSA1005AD6001 - Adm Comercialización","","000")</f>
        <v>AMSA1005AD6001 - Adm Comercialización</v>
      </c>
      <c r="B124" s="6" t="str">
        <f xml:space="preserve"> _xll.EPMOlapMemberO("[CLACO].[PARENTH7].[AMSASERV_CORP]","","AMSASERV_CORP - Servicios Corporativ","","000")</f>
        <v>AMSASERV_CORP - Servicios Corporativ</v>
      </c>
      <c r="C124" t="str">
        <f>_xlfn.CONCAT(_xll.EPMMemberProperty("COSTOS", _xll.EPMMemberID(A124), "PARENTH3"), " - ", _xll.EPMMemberDesc(_xll.EPMMemberProperty("COSTOS", _xll.EPMMemberID(A124), "PARENTH3"), "COSTOS"))</f>
        <v>N1005AD620 - Fletes Cu</v>
      </c>
      <c r="D124">
        <v>97493.54</v>
      </c>
      <c r="E124">
        <v>94716.47</v>
      </c>
      <c r="F124">
        <f t="shared" si="6"/>
        <v>-2777.0699999999924</v>
      </c>
      <c r="G124">
        <v>100492.06</v>
      </c>
      <c r="H124">
        <v>95082.880000000005</v>
      </c>
      <c r="I124">
        <f t="shared" si="7"/>
        <v>-5409.179999999993</v>
      </c>
      <c r="J124">
        <v>100132.48</v>
      </c>
      <c r="K124">
        <v>95449.96</v>
      </c>
      <c r="L124">
        <f t="shared" si="8"/>
        <v>-4682.5199999999895</v>
      </c>
      <c r="M124">
        <v>95616.01</v>
      </c>
      <c r="N124">
        <v>95820.74</v>
      </c>
      <c r="O124">
        <f t="shared" si="9"/>
        <v>204.73000000001048</v>
      </c>
      <c r="P124">
        <v>98155.91</v>
      </c>
      <c r="Q124">
        <v>96192.22</v>
      </c>
      <c r="R124">
        <f t="shared" si="10"/>
        <v>-1963.6900000000023</v>
      </c>
      <c r="S124">
        <v>491890</v>
      </c>
      <c r="T124">
        <v>1161072.6299999999</v>
      </c>
      <c r="U124">
        <f t="shared" si="11"/>
        <v>669182.62999999989</v>
      </c>
    </row>
    <row r="125" spans="1:21" x14ac:dyDescent="0.3">
      <c r="A125" s="6" t="str">
        <f xml:space="preserve"> _xll.EPMOlapMemberO("[CECO].[PARENTH3].[AMSA1005AD0511]","","AMSA1005AD0511 - Proyectos Corporativ","","000")</f>
        <v>AMSA1005AD0511 - Proyectos Corporativ</v>
      </c>
      <c r="B125" s="6" t="str">
        <f xml:space="preserve"> _xll.EPMOlapMemberO("[CLACO].[PARENTH7].[AMSASERV_CORP]","","AMSASERV_CORP - Servicios Corporativ","","000")</f>
        <v>AMSASERV_CORP - Servicios Corporativ</v>
      </c>
      <c r="C125" t="str">
        <f>_xlfn.CONCAT(_xll.EPMMemberProperty("COSTOS", _xll.EPMMemberID(A125), "PARENTH3"), " - ", _xll.EPMMemberDesc(_xll.EPMMemberProperty("COSTOS", _xll.EPMMemberID(A125), "PARENTH3"), "COSTOS"))</f>
        <v>N1005SS700 - Proyecto no operacio</v>
      </c>
      <c r="D125">
        <v>190603.07</v>
      </c>
      <c r="E125">
        <v>188455.03</v>
      </c>
      <c r="F125">
        <f t="shared" si="6"/>
        <v>-2148.0400000000081</v>
      </c>
      <c r="G125">
        <v>198402.99</v>
      </c>
      <c r="H125">
        <v>188980.84</v>
      </c>
      <c r="I125">
        <f t="shared" si="7"/>
        <v>-9422.1499999999942</v>
      </c>
      <c r="J125">
        <v>197467.61</v>
      </c>
      <c r="K125">
        <v>189508.12</v>
      </c>
      <c r="L125">
        <f t="shared" si="8"/>
        <v>-7959.4899999999907</v>
      </c>
      <c r="M125">
        <v>185719.12</v>
      </c>
      <c r="N125">
        <v>190036.87</v>
      </c>
      <c r="O125">
        <f t="shared" si="9"/>
        <v>4317.75</v>
      </c>
      <c r="P125">
        <v>192327.21</v>
      </c>
      <c r="Q125">
        <v>190567.09</v>
      </c>
      <c r="R125">
        <f t="shared" si="10"/>
        <v>-1760.1199999999953</v>
      </c>
      <c r="S125">
        <v>964520</v>
      </c>
      <c r="T125">
        <v>2296488.6800000002</v>
      </c>
      <c r="U125">
        <f t="shared" si="11"/>
        <v>1331968.6800000002</v>
      </c>
    </row>
  </sheetData>
  <pageMargins left="0.7" right="0.7" top="0.75" bottom="0.75" header="0.3" footer="0.3"/>
  <customProperties>
    <customPr name="FPMExcelClientCellBasedFunctionStatus" r:id="rId1"/>
    <customPr name="FPMExcelClientRefreshTime" r:id="rId2"/>
  </customProperties>
  <drawing r:id="rId3"/>
  <legacyDrawing r:id="rId4"/>
  <controls>
    <mc:AlternateContent xmlns:mc="http://schemas.openxmlformats.org/markup-compatibility/2006">
      <mc:Choice Requires="x14">
        <control shapeId="9220" r:id="rId5" name="AnalyzerDynReport000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9220" r:id="rId5" name="AnalyzerDynReport000tb1"/>
      </mc:Fallback>
    </mc:AlternateContent>
    <mc:AlternateContent xmlns:mc="http://schemas.openxmlformats.org/markup-compatibility/2006">
      <mc:Choice Requires="x14">
        <control shapeId="9219" r:id="rId7" name="MultipleReportManagerInfo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9219" r:id="rId7" name="MultipleReportManagerInfotb1"/>
      </mc:Fallback>
    </mc:AlternateContent>
    <mc:AlternateContent xmlns:mc="http://schemas.openxmlformats.org/markup-compatibility/2006">
      <mc:Choice Requires="x14">
        <control shapeId="9218" r:id="rId9" name="ConnectionDescriptors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9218" r:id="rId9" name="ConnectionDescriptorsInfotb1"/>
      </mc:Fallback>
    </mc:AlternateContent>
    <mc:AlternateContent xmlns:mc="http://schemas.openxmlformats.org/markup-compatibility/2006">
      <mc:Choice Requires="x14">
        <control shapeId="9217" r:id="rId11" name="FPMExcelClientSheetOptionstb1">
          <controlPr defaultSize="0" autoLine="0" autoPict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9217" r:id="rId11" name="FPMExcelClientSheetOptionstb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0186-887D-4D9C-927A-F212613327C0}">
  <dimension ref="A1:B128"/>
  <sheetViews>
    <sheetView zoomScale="70" zoomScaleNormal="70" workbookViewId="0">
      <selection activeCell="H22" sqref="H22"/>
    </sheetView>
  </sheetViews>
  <sheetFormatPr baseColWidth="10" defaultRowHeight="13.8" x14ac:dyDescent="0.3"/>
  <cols>
    <col min="1" max="1" width="12" bestFit="1" customWidth="1"/>
    <col min="2" max="2" width="39.5546875" bestFit="1" customWidth="1"/>
  </cols>
  <sheetData>
    <row r="1" spans="1:2" x14ac:dyDescent="0.3">
      <c r="A1" s="3" t="s">
        <v>127</v>
      </c>
      <c r="B1" t="s">
        <v>128</v>
      </c>
    </row>
    <row r="2" spans="1:2" x14ac:dyDescent="0.3">
      <c r="A2" s="3" t="s">
        <v>0</v>
      </c>
      <c r="B2" t="str">
        <f t="shared" ref="B2:B33" si="0">_xlfn.CONCAT("[CECO].[PARENTH3].[AMSA",A2,"]")</f>
        <v>[CECO].[PARENTH3].[AMSA1001AD5501]</v>
      </c>
    </row>
    <row r="3" spans="1:2" x14ac:dyDescent="0.3">
      <c r="A3" s="3" t="s">
        <v>43</v>
      </c>
      <c r="B3" t="str">
        <f t="shared" si="0"/>
        <v>[CECO].[PARENTH3].[AMSA1002AD5500]</v>
      </c>
    </row>
    <row r="4" spans="1:2" x14ac:dyDescent="0.3">
      <c r="A4" t="s">
        <v>1</v>
      </c>
      <c r="B4" t="str">
        <f t="shared" si="0"/>
        <v>[CECO].[PARENTH3].[AMSA1001AD0502]</v>
      </c>
    </row>
    <row r="5" spans="1:2" x14ac:dyDescent="0.3">
      <c r="A5" t="s">
        <v>2</v>
      </c>
      <c r="B5" t="str">
        <f t="shared" si="0"/>
        <v>[CECO].[PARENTH3].[AMSA1001AD0503]</v>
      </c>
    </row>
    <row r="6" spans="1:2" x14ac:dyDescent="0.3">
      <c r="A6" t="s">
        <v>3</v>
      </c>
      <c r="B6" t="str">
        <f t="shared" si="0"/>
        <v>[CECO].[PARENTH3].[AMSA1001AD0504]</v>
      </c>
    </row>
    <row r="7" spans="1:2" x14ac:dyDescent="0.3">
      <c r="A7" t="s">
        <v>4</v>
      </c>
      <c r="B7" t="str">
        <f t="shared" si="0"/>
        <v>[CECO].[PARENTH3].[AMSA1001AD0505]</v>
      </c>
    </row>
    <row r="8" spans="1:2" x14ac:dyDescent="0.3">
      <c r="A8" t="s">
        <v>5</v>
      </c>
      <c r="B8" t="str">
        <f t="shared" si="0"/>
        <v>[CECO].[PARENTH3].[AMSA1001AD0506]</v>
      </c>
    </row>
    <row r="9" spans="1:2" x14ac:dyDescent="0.3">
      <c r="A9" t="s">
        <v>6</v>
      </c>
      <c r="B9" t="str">
        <f t="shared" si="0"/>
        <v>[CECO].[PARENTH3].[AMSA1001AD0507]</v>
      </c>
    </row>
    <row r="10" spans="1:2" x14ac:dyDescent="0.3">
      <c r="A10" t="s">
        <v>7</v>
      </c>
      <c r="B10" t="str">
        <f t="shared" si="0"/>
        <v>[CECO].[PARENTH3].[AMSA1001AD0508]</v>
      </c>
    </row>
    <row r="11" spans="1:2" x14ac:dyDescent="0.3">
      <c r="A11" t="s">
        <v>8</v>
      </c>
      <c r="B11" t="str">
        <f t="shared" si="0"/>
        <v>[CECO].[PARENTH3].[AMSA1001AD0509]</v>
      </c>
    </row>
    <row r="12" spans="1:2" x14ac:dyDescent="0.3">
      <c r="A12" t="s">
        <v>9</v>
      </c>
      <c r="B12" t="str">
        <f t="shared" si="0"/>
        <v>[CECO].[PARENTH3].[AMSA1001AD0510]</v>
      </c>
    </row>
    <row r="13" spans="1:2" x14ac:dyDescent="0.3">
      <c r="A13" t="s">
        <v>10</v>
      </c>
      <c r="B13" t="str">
        <f t="shared" si="0"/>
        <v>[CECO].[PARENTH3].[AMSA1001AD3011]</v>
      </c>
    </row>
    <row r="14" spans="1:2" x14ac:dyDescent="0.3">
      <c r="A14" t="s">
        <v>11</v>
      </c>
      <c r="B14" t="str">
        <f t="shared" si="0"/>
        <v>[CECO].[PARENTH3].[AMSA1001AD3503]</v>
      </c>
    </row>
    <row r="15" spans="1:2" x14ac:dyDescent="0.3">
      <c r="A15" t="s">
        <v>12</v>
      </c>
      <c r="B15" t="str">
        <f t="shared" si="0"/>
        <v>[CECO].[PARENTH3].[AMSA1001AD3504]</v>
      </c>
    </row>
    <row r="16" spans="1:2" x14ac:dyDescent="0.3">
      <c r="A16" t="s">
        <v>13</v>
      </c>
      <c r="B16" t="str">
        <f t="shared" si="0"/>
        <v>[CECO].[PARENTH3].[AMSA1001AD3505]</v>
      </c>
    </row>
    <row r="17" spans="1:2" x14ac:dyDescent="0.3">
      <c r="A17" t="s">
        <v>14</v>
      </c>
      <c r="B17" t="str">
        <f t="shared" si="0"/>
        <v>[CECO].[PARENTH3].[AMSA1001AD3508]</v>
      </c>
    </row>
    <row r="18" spans="1:2" x14ac:dyDescent="0.3">
      <c r="A18" t="s">
        <v>15</v>
      </c>
      <c r="B18" t="str">
        <f t="shared" si="0"/>
        <v>[CECO].[PARENTH3].[AMSA1001AD3515]</v>
      </c>
    </row>
    <row r="19" spans="1:2" x14ac:dyDescent="0.3">
      <c r="A19" t="s">
        <v>16</v>
      </c>
      <c r="B19" t="str">
        <f t="shared" si="0"/>
        <v>[CECO].[PARENTH3].[AMSA1001AD3521]</v>
      </c>
    </row>
    <row r="20" spans="1:2" x14ac:dyDescent="0.3">
      <c r="A20" t="s">
        <v>17</v>
      </c>
      <c r="B20" t="str">
        <f t="shared" si="0"/>
        <v>[CECO].[PARENTH3].[AMSA1001AD3522]</v>
      </c>
    </row>
    <row r="21" spans="1:2" x14ac:dyDescent="0.3">
      <c r="A21" t="s">
        <v>18</v>
      </c>
      <c r="B21" t="str">
        <f t="shared" si="0"/>
        <v>[CECO].[PARENTH3].[AMSA1001AD4020]</v>
      </c>
    </row>
    <row r="22" spans="1:2" x14ac:dyDescent="0.3">
      <c r="A22" t="s">
        <v>19</v>
      </c>
      <c r="B22" t="str">
        <f t="shared" si="0"/>
        <v>[CECO].[PARENTH3].[AMSA1001AD4500]</v>
      </c>
    </row>
    <row r="23" spans="1:2" x14ac:dyDescent="0.3">
      <c r="A23" t="s">
        <v>20</v>
      </c>
      <c r="B23" t="str">
        <f t="shared" si="0"/>
        <v>[CECO].[PARENTH3].[AMSA1001AD4505]</v>
      </c>
    </row>
    <row r="24" spans="1:2" x14ac:dyDescent="0.3">
      <c r="A24" t="s">
        <v>21</v>
      </c>
      <c r="B24" t="str">
        <f t="shared" si="0"/>
        <v>[CECO].[PARENTH3].[AMSA1001AD4506]</v>
      </c>
    </row>
    <row r="25" spans="1:2" x14ac:dyDescent="0.3">
      <c r="A25" t="s">
        <v>22</v>
      </c>
      <c r="B25" t="str">
        <f t="shared" si="0"/>
        <v>[CECO].[PARENTH3].[AMSA1001AD4507]</v>
      </c>
    </row>
    <row r="26" spans="1:2" x14ac:dyDescent="0.3">
      <c r="A26" t="s">
        <v>23</v>
      </c>
      <c r="B26" t="str">
        <f t="shared" si="0"/>
        <v>[CECO].[PARENTH3].[AMSA1001AD4511]</v>
      </c>
    </row>
    <row r="27" spans="1:2" x14ac:dyDescent="0.3">
      <c r="A27" t="s">
        <v>24</v>
      </c>
      <c r="B27" t="str">
        <f t="shared" si="0"/>
        <v>[CECO].[PARENTH3].[AMSA1001AD4513]</v>
      </c>
    </row>
    <row r="28" spans="1:2" x14ac:dyDescent="0.3">
      <c r="A28" t="s">
        <v>25</v>
      </c>
      <c r="B28" t="str">
        <f t="shared" si="0"/>
        <v>[CECO].[PARENTH3].[AMSA1001AD4514]</v>
      </c>
    </row>
    <row r="29" spans="1:2" x14ac:dyDescent="0.3">
      <c r="A29" t="s">
        <v>26</v>
      </c>
      <c r="B29" t="str">
        <f t="shared" si="0"/>
        <v>[CECO].[PARENTH3].[AMSA1001AD4517]</v>
      </c>
    </row>
    <row r="30" spans="1:2" x14ac:dyDescent="0.3">
      <c r="A30" t="s">
        <v>27</v>
      </c>
      <c r="B30" t="str">
        <f t="shared" si="0"/>
        <v>[CECO].[PARENTH3].[AMSA1001AD4518]</v>
      </c>
    </row>
    <row r="31" spans="1:2" x14ac:dyDescent="0.3">
      <c r="A31" t="s">
        <v>28</v>
      </c>
      <c r="B31" t="str">
        <f t="shared" si="0"/>
        <v>[CECO].[PARENTH3].[AMSA1001AD4519]</v>
      </c>
    </row>
    <row r="32" spans="1:2" x14ac:dyDescent="0.3">
      <c r="A32" t="s">
        <v>29</v>
      </c>
      <c r="B32" t="str">
        <f t="shared" si="0"/>
        <v>[CECO].[PARENTH3].[AMSA1001AD4520]</v>
      </c>
    </row>
    <row r="33" spans="1:2" x14ac:dyDescent="0.3">
      <c r="A33" t="s">
        <v>30</v>
      </c>
      <c r="B33" t="str">
        <f t="shared" si="0"/>
        <v>[CECO].[PARENTH3].[AMSA1001AD4521]</v>
      </c>
    </row>
    <row r="34" spans="1:2" x14ac:dyDescent="0.3">
      <c r="A34" t="s">
        <v>31</v>
      </c>
      <c r="B34" t="str">
        <f t="shared" ref="B34:B65" si="1">_xlfn.CONCAT("[CECO].[PARENTH3].[AMSA",A34,"]")</f>
        <v>[CECO].[PARENTH3].[AMSA1001AD4523]</v>
      </c>
    </row>
    <row r="35" spans="1:2" x14ac:dyDescent="0.3">
      <c r="A35" t="s">
        <v>32</v>
      </c>
      <c r="B35" t="str">
        <f t="shared" si="1"/>
        <v>[CECO].[PARENTH3].[AMSA1001AD4524]</v>
      </c>
    </row>
    <row r="36" spans="1:2" x14ac:dyDescent="0.3">
      <c r="A36" t="s">
        <v>33</v>
      </c>
      <c r="B36" t="str">
        <f t="shared" si="1"/>
        <v>[CECO].[PARENTH3].[AMSA1001AD4525]</v>
      </c>
    </row>
    <row r="37" spans="1:2" x14ac:dyDescent="0.3">
      <c r="A37" t="s">
        <v>34</v>
      </c>
      <c r="B37" t="str">
        <f t="shared" si="1"/>
        <v>[CECO].[PARENTH3].[AMSA1001AD4526]</v>
      </c>
    </row>
    <row r="38" spans="1:2" x14ac:dyDescent="0.3">
      <c r="A38" t="s">
        <v>35</v>
      </c>
      <c r="B38" t="str">
        <f t="shared" si="1"/>
        <v>[CECO].[PARENTH3].[AMSA1001AD4530]</v>
      </c>
    </row>
    <row r="39" spans="1:2" x14ac:dyDescent="0.3">
      <c r="A39" t="s">
        <v>36</v>
      </c>
      <c r="B39" t="str">
        <f t="shared" si="1"/>
        <v>[CECO].[PARENTH3].[AMSA1001AD4533]</v>
      </c>
    </row>
    <row r="40" spans="1:2" x14ac:dyDescent="0.3">
      <c r="A40" t="s">
        <v>37</v>
      </c>
      <c r="B40" t="str">
        <f t="shared" si="1"/>
        <v>[CECO].[PARENTH3].[AMSA1001AD4534]</v>
      </c>
    </row>
    <row r="41" spans="1:2" x14ac:dyDescent="0.3">
      <c r="A41" t="s">
        <v>38</v>
      </c>
      <c r="B41" t="str">
        <f t="shared" si="1"/>
        <v>[CECO].[PARENTH3].[AMSA1001AD4541]</v>
      </c>
    </row>
    <row r="42" spans="1:2" x14ac:dyDescent="0.3">
      <c r="A42" t="s">
        <v>39</v>
      </c>
      <c r="B42" t="str">
        <f t="shared" si="1"/>
        <v>[CECO].[PARENTH3].[AMSA1001AD4542]</v>
      </c>
    </row>
    <row r="43" spans="1:2" x14ac:dyDescent="0.3">
      <c r="A43" t="s">
        <v>40</v>
      </c>
      <c r="B43" t="str">
        <f t="shared" si="1"/>
        <v>[CECO].[PARENTH3].[AMSA1001AD5007]</v>
      </c>
    </row>
    <row r="44" spans="1:2" x14ac:dyDescent="0.3">
      <c r="A44" t="s">
        <v>41</v>
      </c>
      <c r="B44" t="str">
        <f t="shared" si="1"/>
        <v>[CECO].[PARENTH3].[AMSA1001AD5500]</v>
      </c>
    </row>
    <row r="45" spans="1:2" x14ac:dyDescent="0.3">
      <c r="A45" t="s">
        <v>42</v>
      </c>
      <c r="B45" t="str">
        <f t="shared" si="1"/>
        <v>[CECO].[PARENTH3].[AMSA1001AD6000]</v>
      </c>
    </row>
    <row r="46" spans="1:2" x14ac:dyDescent="0.3">
      <c r="A46" t="s">
        <v>44</v>
      </c>
      <c r="B46" t="str">
        <f t="shared" si="1"/>
        <v>[CECO].[PARENTH3].[AMSA1002AD0503]</v>
      </c>
    </row>
    <row r="47" spans="1:2" x14ac:dyDescent="0.3">
      <c r="A47" t="s">
        <v>45</v>
      </c>
      <c r="B47" t="str">
        <f t="shared" si="1"/>
        <v>[CECO].[PARENTH3].[AMSA1002AD0504]</v>
      </c>
    </row>
    <row r="48" spans="1:2" x14ac:dyDescent="0.3">
      <c r="A48" t="s">
        <v>46</v>
      </c>
      <c r="B48" t="str">
        <f t="shared" si="1"/>
        <v>[CECO].[PARENTH3].[AMSA1002AD0505]</v>
      </c>
    </row>
    <row r="49" spans="1:2" x14ac:dyDescent="0.3">
      <c r="A49" t="s">
        <v>47</v>
      </c>
      <c r="B49" t="str">
        <f t="shared" si="1"/>
        <v>[CECO].[PARENTH3].[AMSA1002AD0506]</v>
      </c>
    </row>
    <row r="50" spans="1:2" x14ac:dyDescent="0.3">
      <c r="A50" t="s">
        <v>48</v>
      </c>
      <c r="B50" t="str">
        <f t="shared" si="1"/>
        <v>[CECO].[PARENTH3].[AMSA1002AD0507]</v>
      </c>
    </row>
    <row r="51" spans="1:2" x14ac:dyDescent="0.3">
      <c r="A51" t="s">
        <v>49</v>
      </c>
      <c r="B51" t="str">
        <f t="shared" si="1"/>
        <v>[CECO].[PARENTH3].[AMSA1002AD0508]</v>
      </c>
    </row>
    <row r="52" spans="1:2" x14ac:dyDescent="0.3">
      <c r="A52" t="s">
        <v>50</v>
      </c>
      <c r="B52" t="str">
        <f t="shared" si="1"/>
        <v>[CECO].[PARENTH3].[AMSA1002AD0509]</v>
      </c>
    </row>
    <row r="53" spans="1:2" x14ac:dyDescent="0.3">
      <c r="A53" t="s">
        <v>51</v>
      </c>
      <c r="B53" t="str">
        <f t="shared" si="1"/>
        <v>[CECO].[PARENTH3].[AMSA1002AD0510]</v>
      </c>
    </row>
    <row r="54" spans="1:2" x14ac:dyDescent="0.3">
      <c r="A54" t="s">
        <v>52</v>
      </c>
      <c r="B54" t="str">
        <f t="shared" si="1"/>
        <v>[CECO].[PARENTH3].[AMSA1002AD0511]</v>
      </c>
    </row>
    <row r="55" spans="1:2" x14ac:dyDescent="0.3">
      <c r="A55" t="s">
        <v>53</v>
      </c>
      <c r="B55" t="str">
        <f t="shared" si="1"/>
        <v>[CECO].[PARENTH3].[AMSA1002AD3502]</v>
      </c>
    </row>
    <row r="56" spans="1:2" x14ac:dyDescent="0.3">
      <c r="A56" t="s">
        <v>54</v>
      </c>
      <c r="B56" t="str">
        <f t="shared" si="1"/>
        <v>[CECO].[PARENTH3].[AMSA1002AD3503]</v>
      </c>
    </row>
    <row r="57" spans="1:2" x14ac:dyDescent="0.3">
      <c r="A57" t="s">
        <v>55</v>
      </c>
      <c r="B57" t="str">
        <f t="shared" si="1"/>
        <v>[CECO].[PARENTH3].[AMSA1002AD3520]</v>
      </c>
    </row>
    <row r="58" spans="1:2" x14ac:dyDescent="0.3">
      <c r="A58" t="s">
        <v>56</v>
      </c>
      <c r="B58" t="str">
        <f t="shared" si="1"/>
        <v>[CECO].[PARENTH3].[AMSA1002AD3521]</v>
      </c>
    </row>
    <row r="59" spans="1:2" x14ac:dyDescent="0.3">
      <c r="A59" t="s">
        <v>57</v>
      </c>
      <c r="B59" t="str">
        <f t="shared" si="1"/>
        <v>[CECO].[PARENTH3].[AMSA1002AD3522]</v>
      </c>
    </row>
    <row r="60" spans="1:2" x14ac:dyDescent="0.3">
      <c r="A60" t="s">
        <v>58</v>
      </c>
      <c r="B60" t="str">
        <f t="shared" si="1"/>
        <v>[CECO].[PARENTH3].[AMSA1002AD3523]</v>
      </c>
    </row>
    <row r="61" spans="1:2" x14ac:dyDescent="0.3">
      <c r="A61" t="s">
        <v>59</v>
      </c>
      <c r="B61" t="str">
        <f t="shared" si="1"/>
        <v>[CECO].[PARENTH3].[AMSA1002AD3524]</v>
      </c>
    </row>
    <row r="62" spans="1:2" x14ac:dyDescent="0.3">
      <c r="A62" t="s">
        <v>60</v>
      </c>
      <c r="B62" t="str">
        <f t="shared" si="1"/>
        <v>[CECO].[PARENTH3].[AMSA1002AD3526]</v>
      </c>
    </row>
    <row r="63" spans="1:2" x14ac:dyDescent="0.3">
      <c r="A63" t="s">
        <v>61</v>
      </c>
      <c r="B63" t="str">
        <f t="shared" si="1"/>
        <v>[CECO].[PARENTH3].[AMSA1002AD4020]</v>
      </c>
    </row>
    <row r="64" spans="1:2" x14ac:dyDescent="0.3">
      <c r="A64" t="s">
        <v>62</v>
      </c>
      <c r="B64" t="str">
        <f t="shared" si="1"/>
        <v>[CECO].[PARENTH3].[AMSA1002AD4502]</v>
      </c>
    </row>
    <row r="65" spans="1:2" x14ac:dyDescent="0.3">
      <c r="A65" t="s">
        <v>63</v>
      </c>
      <c r="B65" t="str">
        <f t="shared" si="1"/>
        <v>[CECO].[PARENTH3].[AMSA1002AD4503]</v>
      </c>
    </row>
    <row r="66" spans="1:2" x14ac:dyDescent="0.3">
      <c r="A66" t="s">
        <v>64</v>
      </c>
      <c r="B66" t="str">
        <f t="shared" ref="B66:B97" si="2">_xlfn.CONCAT("[CECO].[PARENTH3].[AMSA",A66,"]")</f>
        <v>[CECO].[PARENTH3].[AMSA1002AD4505]</v>
      </c>
    </row>
    <row r="67" spans="1:2" x14ac:dyDescent="0.3">
      <c r="A67" t="s">
        <v>65</v>
      </c>
      <c r="B67" t="str">
        <f t="shared" si="2"/>
        <v>[CECO].[PARENTH3].[AMSA1002AD4506]</v>
      </c>
    </row>
    <row r="68" spans="1:2" x14ac:dyDescent="0.3">
      <c r="A68" t="s">
        <v>66</v>
      </c>
      <c r="B68" t="str">
        <f t="shared" si="2"/>
        <v>[CECO].[PARENTH3].[AMSA1002AD4507]</v>
      </c>
    </row>
    <row r="69" spans="1:2" x14ac:dyDescent="0.3">
      <c r="A69" t="s">
        <v>67</v>
      </c>
      <c r="B69" t="str">
        <f t="shared" si="2"/>
        <v>[CECO].[PARENTH3].[AMSA1002AD4508]</v>
      </c>
    </row>
    <row r="70" spans="1:2" x14ac:dyDescent="0.3">
      <c r="A70" t="s">
        <v>68</v>
      </c>
      <c r="B70" t="str">
        <f t="shared" si="2"/>
        <v>[CECO].[PARENTH3].[AMSA1002AD4509]</v>
      </c>
    </row>
    <row r="71" spans="1:2" x14ac:dyDescent="0.3">
      <c r="A71" t="s">
        <v>69</v>
      </c>
      <c r="B71" t="str">
        <f t="shared" si="2"/>
        <v>[CECO].[PARENTH3].[AMSA1002AD5005]</v>
      </c>
    </row>
    <row r="72" spans="1:2" x14ac:dyDescent="0.3">
      <c r="A72" t="s">
        <v>70</v>
      </c>
      <c r="B72" t="str">
        <f t="shared" si="2"/>
        <v>[CECO].[PARENTH3].[AMSA1002AD6000]</v>
      </c>
    </row>
    <row r="73" spans="1:2" x14ac:dyDescent="0.3">
      <c r="A73" t="s">
        <v>71</v>
      </c>
      <c r="B73" t="str">
        <f t="shared" si="2"/>
        <v>[CECO].[PARENTH3].[AMSA1003AD0503]</v>
      </c>
    </row>
    <row r="74" spans="1:2" x14ac:dyDescent="0.3">
      <c r="A74" t="s">
        <v>72</v>
      </c>
      <c r="B74" t="str">
        <f t="shared" si="2"/>
        <v>[CECO].[PARENTH3].[AMSA1003AD0504]</v>
      </c>
    </row>
    <row r="75" spans="1:2" x14ac:dyDescent="0.3">
      <c r="A75" t="s">
        <v>73</v>
      </c>
      <c r="B75" t="str">
        <f t="shared" si="2"/>
        <v>[CECO].[PARENTH3].[AMSA1003AD0505]</v>
      </c>
    </row>
    <row r="76" spans="1:2" x14ac:dyDescent="0.3">
      <c r="A76" t="s">
        <v>74</v>
      </c>
      <c r="B76" t="str">
        <f t="shared" si="2"/>
        <v>[CECO].[PARENTH3].[AMSA1003AD0506]</v>
      </c>
    </row>
    <row r="77" spans="1:2" x14ac:dyDescent="0.3">
      <c r="A77" t="s">
        <v>75</v>
      </c>
      <c r="B77" t="str">
        <f t="shared" si="2"/>
        <v>[CECO].[PARENTH3].[AMSA1003AD0507]</v>
      </c>
    </row>
    <row r="78" spans="1:2" x14ac:dyDescent="0.3">
      <c r="A78" t="s">
        <v>76</v>
      </c>
      <c r="B78" t="str">
        <f t="shared" si="2"/>
        <v>[CECO].[PARENTH3].[AMSA1003AD0508]</v>
      </c>
    </row>
    <row r="79" spans="1:2" x14ac:dyDescent="0.3">
      <c r="A79" t="s">
        <v>77</v>
      </c>
      <c r="B79" t="str">
        <f t="shared" si="2"/>
        <v>[CECO].[PARENTH3].[AMSA1003AD0509]</v>
      </c>
    </row>
    <row r="80" spans="1:2" x14ac:dyDescent="0.3">
      <c r="A80" t="s">
        <v>78</v>
      </c>
      <c r="B80" t="str">
        <f t="shared" si="2"/>
        <v>[CECO].[PARENTH3].[AMSA1003AD0511]</v>
      </c>
    </row>
    <row r="81" spans="1:2" x14ac:dyDescent="0.3">
      <c r="A81" t="s">
        <v>79</v>
      </c>
      <c r="B81" t="str">
        <f t="shared" si="2"/>
        <v>[CECO].[PARENTH3].[AMSA1003AD3502]</v>
      </c>
    </row>
    <row r="82" spans="1:2" x14ac:dyDescent="0.3">
      <c r="A82" t="s">
        <v>80</v>
      </c>
      <c r="B82" t="str">
        <f t="shared" si="2"/>
        <v>[CECO].[PARENTH3].[AMSA1003AD3503]</v>
      </c>
    </row>
    <row r="83" spans="1:2" x14ac:dyDescent="0.3">
      <c r="A83" t="s">
        <v>81</v>
      </c>
      <c r="B83" t="str">
        <f t="shared" si="2"/>
        <v>[CECO].[PARENTH3].[AMSA1003AD3507]</v>
      </c>
    </row>
    <row r="84" spans="1:2" x14ac:dyDescent="0.3">
      <c r="A84" t="s">
        <v>82</v>
      </c>
      <c r="B84" t="str">
        <f t="shared" si="2"/>
        <v>[CECO].[PARENTH3].[AMSA1003AD3509]</v>
      </c>
    </row>
    <row r="85" spans="1:2" x14ac:dyDescent="0.3">
      <c r="A85" t="s">
        <v>83</v>
      </c>
      <c r="B85" t="str">
        <f t="shared" si="2"/>
        <v>[CECO].[PARENTH3].[AMSA1003AD3510]</v>
      </c>
    </row>
    <row r="86" spans="1:2" x14ac:dyDescent="0.3">
      <c r="A86" t="s">
        <v>84</v>
      </c>
      <c r="B86" t="str">
        <f t="shared" si="2"/>
        <v>[CECO].[PARENTH3].[AMSA1003AD3520]</v>
      </c>
    </row>
    <row r="87" spans="1:2" x14ac:dyDescent="0.3">
      <c r="A87" t="s">
        <v>85</v>
      </c>
      <c r="B87" t="str">
        <f t="shared" si="2"/>
        <v>[CECO].[PARENTH3].[AMSA1003AD3521]</v>
      </c>
    </row>
    <row r="88" spans="1:2" x14ac:dyDescent="0.3">
      <c r="A88" t="s">
        <v>86</v>
      </c>
      <c r="B88" t="str">
        <f t="shared" si="2"/>
        <v>[CECO].[PARENTH3].[AMSA1003AD3522]</v>
      </c>
    </row>
    <row r="89" spans="1:2" x14ac:dyDescent="0.3">
      <c r="A89" t="s">
        <v>87</v>
      </c>
      <c r="B89" t="str">
        <f t="shared" si="2"/>
        <v>[CECO].[PARENTH3].[AMSA1003AD4005]</v>
      </c>
    </row>
    <row r="90" spans="1:2" x14ac:dyDescent="0.3">
      <c r="A90" t="s">
        <v>88</v>
      </c>
      <c r="B90" t="str">
        <f t="shared" si="2"/>
        <v>[CECO].[PARENTH3].[AMSA1003AD4020]</v>
      </c>
    </row>
    <row r="91" spans="1:2" x14ac:dyDescent="0.3">
      <c r="A91" t="s">
        <v>89</v>
      </c>
      <c r="B91" t="str">
        <f t="shared" si="2"/>
        <v>[CECO].[PARENTH3].[AMSA1003AD4505]</v>
      </c>
    </row>
    <row r="92" spans="1:2" x14ac:dyDescent="0.3">
      <c r="A92" t="s">
        <v>90</v>
      </c>
      <c r="B92" t="str">
        <f t="shared" si="2"/>
        <v>[CECO].[PARENTH3].[AMSA1003AD4506]</v>
      </c>
    </row>
    <row r="93" spans="1:2" x14ac:dyDescent="0.3">
      <c r="A93" t="s">
        <v>91</v>
      </c>
      <c r="B93" t="str">
        <f t="shared" si="2"/>
        <v>[CECO].[PARENTH3].[AMSA1003AD4507]</v>
      </c>
    </row>
    <row r="94" spans="1:2" x14ac:dyDescent="0.3">
      <c r="A94" t="s">
        <v>92</v>
      </c>
      <c r="B94" t="str">
        <f t="shared" si="2"/>
        <v>[CECO].[PARENTH3].[AMSA1003AD4509]</v>
      </c>
    </row>
    <row r="95" spans="1:2" x14ac:dyDescent="0.3">
      <c r="A95" t="s">
        <v>93</v>
      </c>
      <c r="B95" t="str">
        <f t="shared" si="2"/>
        <v>[CECO].[PARENTH3].[AMSA1003AD4510]</v>
      </c>
    </row>
    <row r="96" spans="1:2" x14ac:dyDescent="0.3">
      <c r="A96" t="s">
        <v>94</v>
      </c>
      <c r="B96" t="str">
        <f t="shared" si="2"/>
        <v>[CECO].[PARENTH3].[AMSA1003AD4511]</v>
      </c>
    </row>
    <row r="97" spans="1:2" x14ac:dyDescent="0.3">
      <c r="A97" t="s">
        <v>95</v>
      </c>
      <c r="B97" t="str">
        <f t="shared" si="2"/>
        <v>[CECO].[PARENTH3].[AMSA1003AD4512]</v>
      </c>
    </row>
    <row r="98" spans="1:2" x14ac:dyDescent="0.3">
      <c r="A98" t="s">
        <v>96</v>
      </c>
      <c r="B98" t="str">
        <f t="shared" ref="B98:B128" si="3">_xlfn.CONCAT("[CECO].[PARENTH3].[AMSA",A98,"]")</f>
        <v>[CECO].[PARENTH3].[AMSA1003AD5500]</v>
      </c>
    </row>
    <row r="99" spans="1:2" x14ac:dyDescent="0.3">
      <c r="A99" t="s">
        <v>97</v>
      </c>
      <c r="B99" t="str">
        <f t="shared" si="3"/>
        <v>[CECO].[PARENTH3].[AMSA1003AD6000]</v>
      </c>
    </row>
    <row r="100" spans="1:2" x14ac:dyDescent="0.3">
      <c r="A100" t="s">
        <v>98</v>
      </c>
      <c r="B100" t="str">
        <f t="shared" si="3"/>
        <v>[CECO].[PARENTH3].[AMSA1005AD0504]</v>
      </c>
    </row>
    <row r="101" spans="1:2" x14ac:dyDescent="0.3">
      <c r="A101" t="s">
        <v>99</v>
      </c>
      <c r="B101" t="str">
        <f t="shared" si="3"/>
        <v>[CECO].[PARENTH3].[AMSA1005AD0505]</v>
      </c>
    </row>
    <row r="102" spans="1:2" x14ac:dyDescent="0.3">
      <c r="A102" t="s">
        <v>100</v>
      </c>
      <c r="B102" t="str">
        <f t="shared" si="3"/>
        <v>[CECO].[PARENTH3].[AMSA1005AD0506]</v>
      </c>
    </row>
    <row r="103" spans="1:2" x14ac:dyDescent="0.3">
      <c r="A103" t="s">
        <v>101</v>
      </c>
      <c r="B103" t="str">
        <f t="shared" si="3"/>
        <v>[CECO].[PARENTH3].[AMSA1005AD0507]</v>
      </c>
    </row>
    <row r="104" spans="1:2" x14ac:dyDescent="0.3">
      <c r="A104" t="s">
        <v>102</v>
      </c>
      <c r="B104" t="str">
        <f t="shared" si="3"/>
        <v>[CECO].[PARENTH3].[AMSA1005AD0508]</v>
      </c>
    </row>
    <row r="105" spans="1:2" x14ac:dyDescent="0.3">
      <c r="A105" t="s">
        <v>103</v>
      </c>
      <c r="B105" t="str">
        <f t="shared" si="3"/>
        <v>[CECO].[PARENTH3].[AMSA1005AD0509]</v>
      </c>
    </row>
    <row r="106" spans="1:2" x14ac:dyDescent="0.3">
      <c r="A106" t="s">
        <v>104</v>
      </c>
      <c r="B106" t="str">
        <f t="shared" si="3"/>
        <v>[CECO].[PARENTH3].[AMSA1005AD0510]</v>
      </c>
    </row>
    <row r="107" spans="1:2" x14ac:dyDescent="0.3">
      <c r="A107" t="s">
        <v>105</v>
      </c>
      <c r="B107" t="str">
        <f t="shared" si="3"/>
        <v>[CECO].[PARENTH3].[AMSA1005AD0511]</v>
      </c>
    </row>
    <row r="108" spans="1:2" x14ac:dyDescent="0.3">
      <c r="A108" t="s">
        <v>106</v>
      </c>
      <c r="B108" t="str">
        <f t="shared" si="3"/>
        <v>[CECO].[PARENTH3].[AMSA1005AD0512]</v>
      </c>
    </row>
    <row r="109" spans="1:2" x14ac:dyDescent="0.3">
      <c r="A109" t="s">
        <v>107</v>
      </c>
      <c r="B109" t="str">
        <f t="shared" si="3"/>
        <v>[CECO].[PARENTH3].[AMSA1005AD3503]</v>
      </c>
    </row>
    <row r="110" spans="1:2" x14ac:dyDescent="0.3">
      <c r="A110" t="s">
        <v>108</v>
      </c>
      <c r="B110" t="str">
        <f t="shared" si="3"/>
        <v>[CECO].[PARENTH3].[AMSA1005AD3504]</v>
      </c>
    </row>
    <row r="111" spans="1:2" x14ac:dyDescent="0.3">
      <c r="A111" t="s">
        <v>109</v>
      </c>
      <c r="B111" t="str">
        <f t="shared" si="3"/>
        <v>[CECO].[PARENTH3].[AMSA1005AD3507]</v>
      </c>
    </row>
    <row r="112" spans="1:2" x14ac:dyDescent="0.3">
      <c r="A112" t="s">
        <v>110</v>
      </c>
      <c r="B112" t="str">
        <f t="shared" si="3"/>
        <v>[CECO].[PARENTH3].[AMSA1005AD3520]</v>
      </c>
    </row>
    <row r="113" spans="1:2" x14ac:dyDescent="0.3">
      <c r="A113" t="s">
        <v>111</v>
      </c>
      <c r="B113" t="str">
        <f t="shared" si="3"/>
        <v>[CECO].[PARENTH3].[AMSA1005AD3521]</v>
      </c>
    </row>
    <row r="114" spans="1:2" x14ac:dyDescent="0.3">
      <c r="A114" t="s">
        <v>112</v>
      </c>
      <c r="B114" t="str">
        <f t="shared" si="3"/>
        <v>[CECO].[PARENTH3].[AMSA1005AD3522]</v>
      </c>
    </row>
    <row r="115" spans="1:2" x14ac:dyDescent="0.3">
      <c r="A115" t="s">
        <v>113</v>
      </c>
      <c r="B115" t="str">
        <f t="shared" si="3"/>
        <v>[CECO].[PARENTH3].[AMSA1005AD3525]</v>
      </c>
    </row>
    <row r="116" spans="1:2" x14ac:dyDescent="0.3">
      <c r="A116" t="s">
        <v>114</v>
      </c>
      <c r="B116" t="str">
        <f t="shared" si="3"/>
        <v>[CECO].[PARENTH3].[AMSA1005AD3527]</v>
      </c>
    </row>
    <row r="117" spans="1:2" x14ac:dyDescent="0.3">
      <c r="A117" t="s">
        <v>115</v>
      </c>
      <c r="B117" t="str">
        <f t="shared" si="3"/>
        <v>[CECO].[PARENTH3].[AMSA1005AD4020]</v>
      </c>
    </row>
    <row r="118" spans="1:2" x14ac:dyDescent="0.3">
      <c r="A118" t="s">
        <v>116</v>
      </c>
      <c r="B118" t="str">
        <f t="shared" si="3"/>
        <v>[CECO].[PARENTH3].[AMSA1005AD4501]</v>
      </c>
    </row>
    <row r="119" spans="1:2" x14ac:dyDescent="0.3">
      <c r="A119" t="s">
        <v>117</v>
      </c>
      <c r="B119" t="str">
        <f t="shared" si="3"/>
        <v>[CECO].[PARENTH3].[AMSA1005AD4504]</v>
      </c>
    </row>
    <row r="120" spans="1:2" x14ac:dyDescent="0.3">
      <c r="A120" t="s">
        <v>118</v>
      </c>
      <c r="B120" t="str">
        <f t="shared" si="3"/>
        <v>[CECO].[PARENTH3].[AMSA1005AD4506]</v>
      </c>
    </row>
    <row r="121" spans="1:2" x14ac:dyDescent="0.3">
      <c r="A121" t="s">
        <v>119</v>
      </c>
      <c r="B121" t="str">
        <f t="shared" si="3"/>
        <v>[CECO].[PARENTH3].[AMSA1005AD4507]</v>
      </c>
    </row>
    <row r="122" spans="1:2" x14ac:dyDescent="0.3">
      <c r="A122" t="s">
        <v>120</v>
      </c>
      <c r="B122" t="str">
        <f t="shared" si="3"/>
        <v>[CECO].[PARENTH3].[AMSA1005AD4508]</v>
      </c>
    </row>
    <row r="123" spans="1:2" x14ac:dyDescent="0.3">
      <c r="A123" t="s">
        <v>121</v>
      </c>
      <c r="B123" t="str">
        <f t="shared" si="3"/>
        <v>[CECO].[PARENTH3].[AMSA1005AD4509]</v>
      </c>
    </row>
    <row r="124" spans="1:2" x14ac:dyDescent="0.3">
      <c r="A124" t="s">
        <v>122</v>
      </c>
      <c r="B124" t="str">
        <f t="shared" si="3"/>
        <v>[CECO].[PARENTH3].[AMSA1005AD4510]</v>
      </c>
    </row>
    <row r="125" spans="1:2" x14ac:dyDescent="0.3">
      <c r="A125" t="s">
        <v>123</v>
      </c>
      <c r="B125" t="str">
        <f t="shared" si="3"/>
        <v>[CECO].[PARENTH3].[AMSA1005AD5004]</v>
      </c>
    </row>
    <row r="126" spans="1:2" x14ac:dyDescent="0.3">
      <c r="A126" t="s">
        <v>124</v>
      </c>
      <c r="B126" t="str">
        <f t="shared" si="3"/>
        <v>[CECO].[PARENTH3].[AMSA1005AD5501]</v>
      </c>
    </row>
    <row r="127" spans="1:2" x14ac:dyDescent="0.3">
      <c r="A127" t="s">
        <v>125</v>
      </c>
      <c r="B127" t="str">
        <f t="shared" si="3"/>
        <v>[CECO].[PARENTH3].[AMSA1005AD5502]</v>
      </c>
    </row>
    <row r="128" spans="1:2" x14ac:dyDescent="0.3">
      <c r="A128" t="s">
        <v>126</v>
      </c>
      <c r="B128" t="str">
        <f t="shared" si="3"/>
        <v>[CECO].[PARENTH3].[AMSA1005AD6001]</v>
      </c>
    </row>
  </sheetData>
  <sortState xmlns:xlrd2="http://schemas.microsoft.com/office/spreadsheetml/2017/richdata2" ref="A1:A563">
    <sortCondition ref="A1:A5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MLP</vt:lpstr>
      <vt:lpstr>ANT</vt:lpstr>
      <vt:lpstr>CEN</vt:lpstr>
      <vt:lpstr>CMZ</vt:lpstr>
      <vt:lpstr>CECOS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San Martin</dc:creator>
  <cp:lastModifiedBy>Michelle Belen Madrid Araya</cp:lastModifiedBy>
  <dcterms:created xsi:type="dcterms:W3CDTF">2026-03-26T13:20:55Z</dcterms:created>
  <dcterms:modified xsi:type="dcterms:W3CDTF">2026-06-24T22:00:18Z</dcterms:modified>
</cp:coreProperties>
</file>