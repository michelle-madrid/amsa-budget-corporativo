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3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4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"/>
    </mc:Choice>
  </mc:AlternateContent>
  <xr:revisionPtr revIDLastSave="2" documentId="8_{5D5CC1EB-64C7-4E7F-A4F3-C7CFCDC393F2}" xr6:coauthVersionLast="47" xr6:coauthVersionMax="47" xr10:uidLastSave="{1B6C2DA0-C0BC-4330-AA12-A4000A27C139}"/>
  <bookViews>
    <workbookView xWindow="-108" yWindow="-108" windowWidth="23256" windowHeight="12576" activeTab="3" xr2:uid="{92F283C5-5BC6-45C0-ADBF-8C0EE07AFCAD}"/>
  </bookViews>
  <sheets>
    <sheet name="Act Corpo" sheetId="1" r:id="rId1"/>
    <sheet name="Act Corpo Items" sheetId="3" r:id="rId2"/>
    <sheet name="Act Corpo VP+items" sheetId="4" r:id="rId3"/>
    <sheet name="Act Corpo VP+Gerencia+items (2)" sheetId="5" r:id="rId4"/>
  </sheets>
  <definedNames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5" l="1"/>
  <c r="N11" i="5" l="1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10" i="5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0" i="4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11" i="3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10" i="1"/>
  <c r="A3" i="5"/>
  <c r="A10" i="5"/>
  <c r="B17" i="5"/>
  <c r="B23" i="5"/>
  <c r="A31" i="5"/>
  <c r="B38" i="5"/>
  <c r="B45" i="5"/>
  <c r="B52" i="5"/>
  <c r="B60" i="5"/>
  <c r="B66" i="5"/>
  <c r="B73" i="5"/>
  <c r="B80" i="5"/>
  <c r="B87" i="5"/>
  <c r="B95" i="5"/>
  <c r="B102" i="5"/>
  <c r="B109" i="5"/>
  <c r="B116" i="5"/>
  <c r="B123" i="5"/>
  <c r="B131" i="5"/>
  <c r="B138" i="5"/>
  <c r="B145" i="5"/>
  <c r="B152" i="5"/>
  <c r="B160" i="5"/>
  <c r="B167" i="5"/>
  <c r="B174" i="5"/>
  <c r="B181" i="5"/>
  <c r="B188" i="5"/>
  <c r="B195" i="5"/>
  <c r="B202" i="5"/>
  <c r="B209" i="5"/>
  <c r="B217" i="5"/>
  <c r="B224" i="5"/>
  <c r="B231" i="5"/>
  <c r="B239" i="5"/>
  <c r="B246" i="5"/>
  <c r="B253" i="5"/>
  <c r="B261" i="5"/>
  <c r="B268" i="5"/>
  <c r="B283" i="5"/>
  <c r="B289" i="5"/>
  <c r="B297" i="5"/>
  <c r="B304" i="5"/>
  <c r="B311" i="5"/>
  <c r="B318" i="5"/>
  <c r="B325" i="5"/>
  <c r="B339" i="5"/>
  <c r="B354" i="5"/>
  <c r="B361" i="5"/>
  <c r="B375" i="5"/>
  <c r="B389" i="5"/>
  <c r="B404" i="5"/>
  <c r="B417" i="5"/>
  <c r="B431" i="5"/>
  <c r="B445" i="5"/>
  <c r="B459" i="5"/>
  <c r="A474" i="5"/>
  <c r="B488" i="5"/>
  <c r="B502" i="5"/>
  <c r="B516" i="5"/>
  <c r="B531" i="5"/>
  <c r="B545" i="5"/>
  <c r="B566" i="5"/>
  <c r="B580" i="5"/>
  <c r="B617" i="5"/>
  <c r="B638" i="5"/>
  <c r="B652" i="5"/>
  <c r="B309" i="5"/>
  <c r="B402" i="5"/>
  <c r="B436" i="5"/>
  <c r="B486" i="5"/>
  <c r="B514" i="5"/>
  <c r="B529" i="5"/>
  <c r="B10" i="5"/>
  <c r="B18" i="5"/>
  <c r="B24" i="5"/>
  <c r="B31" i="5"/>
  <c r="B39" i="5"/>
  <c r="B46" i="5"/>
  <c r="B53" i="5"/>
  <c r="B61" i="5"/>
  <c r="B67" i="5"/>
  <c r="B74" i="5"/>
  <c r="B81" i="5"/>
  <c r="B88" i="5"/>
  <c r="B96" i="5"/>
  <c r="B103" i="5"/>
  <c r="B110" i="5"/>
  <c r="B117" i="5"/>
  <c r="B124" i="5"/>
  <c r="B132" i="5"/>
  <c r="B139" i="5"/>
  <c r="B146" i="5"/>
  <c r="B153" i="5"/>
  <c r="A161" i="5"/>
  <c r="B168" i="5"/>
  <c r="B175" i="5"/>
  <c r="B182" i="5"/>
  <c r="A189" i="5"/>
  <c r="B196" i="5"/>
  <c r="B203" i="5"/>
  <c r="B210" i="5"/>
  <c r="B218" i="5"/>
  <c r="B225" i="5"/>
  <c r="B232" i="5"/>
  <c r="B240" i="5"/>
  <c r="B247" i="5"/>
  <c r="B254" i="5"/>
  <c r="B262" i="5"/>
  <c r="B269" i="5"/>
  <c r="A277" i="5"/>
  <c r="B284" i="5"/>
  <c r="B290" i="5"/>
  <c r="B298" i="5"/>
  <c r="B305" i="5"/>
  <c r="B312" i="5"/>
  <c r="A319" i="5"/>
  <c r="A326" i="5"/>
  <c r="B333" i="5"/>
  <c r="B340" i="5"/>
  <c r="B348" i="5"/>
  <c r="B355" i="5"/>
  <c r="B362" i="5"/>
  <c r="B369" i="5"/>
  <c r="B376" i="5"/>
  <c r="B383" i="5"/>
  <c r="B390" i="5"/>
  <c r="B397" i="5"/>
  <c r="A405" i="5"/>
  <c r="B411" i="5"/>
  <c r="B418" i="5"/>
  <c r="B425" i="5"/>
  <c r="B432" i="5"/>
  <c r="B439" i="5"/>
  <c r="B446" i="5"/>
  <c r="B453" i="5"/>
  <c r="B460" i="5"/>
  <c r="B467" i="5"/>
  <c r="B474" i="5"/>
  <c r="B482" i="5"/>
  <c r="B489" i="5"/>
  <c r="B496" i="5"/>
  <c r="B503" i="5"/>
  <c r="B510" i="5"/>
  <c r="B517" i="5"/>
  <c r="B525" i="5"/>
  <c r="B532" i="5"/>
  <c r="A539" i="5"/>
  <c r="A546" i="5"/>
  <c r="B553" i="5"/>
  <c r="A560" i="5"/>
  <c r="B567" i="5"/>
  <c r="B574" i="5"/>
  <c r="B581" i="5"/>
  <c r="B589" i="5"/>
  <c r="B596" i="5"/>
  <c r="B603" i="5"/>
  <c r="B611" i="5"/>
  <c r="A618" i="5"/>
  <c r="B625" i="5"/>
  <c r="A632" i="5"/>
  <c r="B639" i="5"/>
  <c r="B646" i="5"/>
  <c r="B653" i="5"/>
  <c r="B597" i="5"/>
  <c r="A626" i="5"/>
  <c r="B632" i="5"/>
  <c r="A51" i="5"/>
  <c r="B129" i="5"/>
  <c r="B193" i="5"/>
  <c r="B288" i="5"/>
  <c r="B323" i="5"/>
  <c r="B345" i="5"/>
  <c r="B366" i="5"/>
  <c r="B457" i="5"/>
  <c r="B11" i="5"/>
  <c r="B19" i="5"/>
  <c r="B25" i="5"/>
  <c r="B32" i="5"/>
  <c r="B40" i="5"/>
  <c r="B47" i="5"/>
  <c r="B54" i="5"/>
  <c r="A62" i="5"/>
  <c r="B68" i="5"/>
  <c r="B75" i="5"/>
  <c r="B82" i="5"/>
  <c r="B89" i="5"/>
  <c r="B97" i="5"/>
  <c r="B104" i="5"/>
  <c r="B111" i="5"/>
  <c r="B118" i="5"/>
  <c r="B125" i="5"/>
  <c r="B133" i="5"/>
  <c r="B140" i="5"/>
  <c r="B147" i="5"/>
  <c r="B154" i="5"/>
  <c r="B161" i="5"/>
  <c r="B169" i="5"/>
  <c r="B176" i="5"/>
  <c r="B183" i="5"/>
  <c r="B189" i="5"/>
  <c r="B197" i="5"/>
  <c r="B204" i="5"/>
  <c r="B211" i="5"/>
  <c r="B219" i="5"/>
  <c r="B226" i="5"/>
  <c r="B233" i="5"/>
  <c r="B241" i="5"/>
  <c r="B248" i="5"/>
  <c r="B255" i="5"/>
  <c r="A263" i="5"/>
  <c r="B270" i="5"/>
  <c r="B277" i="5"/>
  <c r="B285" i="5"/>
  <c r="B291" i="5"/>
  <c r="A299" i="5"/>
  <c r="B306" i="5"/>
  <c r="A313" i="5"/>
  <c r="B319" i="5"/>
  <c r="B326" i="5"/>
  <c r="B334" i="5"/>
  <c r="B341" i="5"/>
  <c r="B349" i="5"/>
  <c r="B356" i="5"/>
  <c r="B363" i="5"/>
  <c r="B370" i="5"/>
  <c r="B377" i="5"/>
  <c r="B384" i="5"/>
  <c r="B391" i="5"/>
  <c r="B398" i="5"/>
  <c r="B405" i="5"/>
  <c r="B412" i="5"/>
  <c r="A419" i="5"/>
  <c r="B426" i="5"/>
  <c r="B433" i="5"/>
  <c r="B440" i="5"/>
  <c r="B447" i="5"/>
  <c r="A454" i="5"/>
  <c r="B461" i="5"/>
  <c r="B468" i="5"/>
  <c r="B475" i="5"/>
  <c r="B483" i="5"/>
  <c r="B490" i="5"/>
  <c r="B497" i="5"/>
  <c r="B504" i="5"/>
  <c r="B511" i="5"/>
  <c r="B518" i="5"/>
  <c r="A526" i="5"/>
  <c r="B533" i="5"/>
  <c r="B539" i="5"/>
  <c r="B546" i="5"/>
  <c r="B554" i="5"/>
  <c r="B560" i="5"/>
  <c r="B568" i="5"/>
  <c r="B575" i="5"/>
  <c r="B582" i="5"/>
  <c r="B590" i="5"/>
  <c r="B604" i="5"/>
  <c r="B612" i="5"/>
  <c r="B618" i="5"/>
  <c r="A640" i="5"/>
  <c r="B647" i="5"/>
  <c r="B654" i="5"/>
  <c r="A569" i="5"/>
  <c r="B598" i="5"/>
  <c r="B605" i="5"/>
  <c r="A613" i="5"/>
  <c r="B619" i="5"/>
  <c r="B633" i="5"/>
  <c r="B640" i="5"/>
  <c r="B655" i="5"/>
  <c r="B386" i="5"/>
  <c r="B427" i="5"/>
  <c r="B442" i="5"/>
  <c r="B477" i="5"/>
  <c r="A499" i="5"/>
  <c r="A513" i="5"/>
  <c r="B527" i="5"/>
  <c r="B535" i="5"/>
  <c r="B548" i="5"/>
  <c r="B569" i="5"/>
  <c r="B584" i="5"/>
  <c r="B599" i="5"/>
  <c r="B613" i="5"/>
  <c r="B36" i="5"/>
  <c r="B71" i="5"/>
  <c r="A86" i="5"/>
  <c r="B100" i="5"/>
  <c r="B122" i="5"/>
  <c r="B172" i="5"/>
  <c r="B187" i="5"/>
  <c r="B208" i="5"/>
  <c r="B237" i="5"/>
  <c r="B259" i="5"/>
  <c r="B302" i="5"/>
  <c r="B330" i="5"/>
  <c r="B373" i="5"/>
  <c r="B388" i="5"/>
  <c r="B422" i="5"/>
  <c r="B464" i="5"/>
  <c r="B479" i="5"/>
  <c r="B12" i="5"/>
  <c r="B20" i="5"/>
  <c r="B26" i="5"/>
  <c r="B33" i="5"/>
  <c r="B41" i="5"/>
  <c r="B48" i="5"/>
  <c r="B55" i="5"/>
  <c r="B62" i="5"/>
  <c r="B69" i="5"/>
  <c r="A76" i="5"/>
  <c r="B83" i="5"/>
  <c r="B90" i="5"/>
  <c r="A98" i="5"/>
  <c r="A105" i="5"/>
  <c r="B112" i="5"/>
  <c r="B119" i="5"/>
  <c r="B126" i="5"/>
  <c r="A134" i="5"/>
  <c r="B141" i="5"/>
  <c r="B148" i="5"/>
  <c r="B155" i="5"/>
  <c r="B162" i="5"/>
  <c r="A170" i="5"/>
  <c r="B177" i="5"/>
  <c r="B184" i="5"/>
  <c r="B190" i="5"/>
  <c r="B198" i="5"/>
  <c r="B205" i="5"/>
  <c r="B212" i="5"/>
  <c r="B220" i="5"/>
  <c r="B227" i="5"/>
  <c r="B234" i="5"/>
  <c r="A242" i="5"/>
  <c r="B249" i="5"/>
  <c r="B256" i="5"/>
  <c r="B263" i="5"/>
  <c r="B271" i="5"/>
  <c r="B278" i="5"/>
  <c r="B286" i="5"/>
  <c r="B292" i="5"/>
  <c r="B299" i="5"/>
  <c r="B307" i="5"/>
  <c r="B313" i="5"/>
  <c r="B320" i="5"/>
  <c r="B327" i="5"/>
  <c r="B335" i="5"/>
  <c r="B342" i="5"/>
  <c r="A350" i="5"/>
  <c r="A357" i="5"/>
  <c r="B364" i="5"/>
  <c r="B371" i="5"/>
  <c r="B378" i="5"/>
  <c r="B385" i="5"/>
  <c r="B392" i="5"/>
  <c r="B399" i="5"/>
  <c r="B406" i="5"/>
  <c r="A413" i="5"/>
  <c r="B419" i="5"/>
  <c r="A427" i="5"/>
  <c r="B434" i="5"/>
  <c r="B441" i="5"/>
  <c r="B448" i="5"/>
  <c r="B454" i="5"/>
  <c r="B462" i="5"/>
  <c r="B469" i="5"/>
  <c r="B476" i="5"/>
  <c r="B484" i="5"/>
  <c r="B491" i="5"/>
  <c r="B498" i="5"/>
  <c r="A505" i="5"/>
  <c r="B512" i="5"/>
  <c r="B519" i="5"/>
  <c r="B526" i="5"/>
  <c r="B534" i="5"/>
  <c r="B540" i="5"/>
  <c r="B547" i="5"/>
  <c r="B555" i="5"/>
  <c r="B561" i="5"/>
  <c r="B576" i="5"/>
  <c r="B583" i="5"/>
  <c r="B591" i="5"/>
  <c r="B626" i="5"/>
  <c r="B648" i="5"/>
  <c r="B407" i="5"/>
  <c r="B627" i="5"/>
  <c r="B641" i="5"/>
  <c r="B22" i="5"/>
  <c r="B78" i="5"/>
  <c r="B93" i="5"/>
  <c r="B107" i="5"/>
  <c r="B13" i="5"/>
  <c r="A21" i="5"/>
  <c r="B27" i="5"/>
  <c r="B34" i="5"/>
  <c r="A42" i="5"/>
  <c r="B49" i="5"/>
  <c r="B56" i="5"/>
  <c r="B63" i="5"/>
  <c r="A70" i="5"/>
  <c r="B76" i="5"/>
  <c r="B84" i="5"/>
  <c r="B91" i="5"/>
  <c r="B98" i="5"/>
  <c r="B105" i="5"/>
  <c r="B113" i="5"/>
  <c r="B120" i="5"/>
  <c r="B127" i="5"/>
  <c r="B134" i="5"/>
  <c r="B142" i="5"/>
  <c r="B149" i="5"/>
  <c r="B156" i="5"/>
  <c r="B163" i="5"/>
  <c r="B170" i="5"/>
  <c r="A178" i="5"/>
  <c r="B185" i="5"/>
  <c r="B191" i="5"/>
  <c r="A199" i="5"/>
  <c r="B206" i="5"/>
  <c r="B213" i="5"/>
  <c r="A221" i="5"/>
  <c r="B228" i="5"/>
  <c r="B235" i="5"/>
  <c r="B242" i="5"/>
  <c r="B250" i="5"/>
  <c r="B257" i="5"/>
  <c r="B264" i="5"/>
  <c r="B272" i="5"/>
  <c r="B279" i="5"/>
  <c r="B287" i="5"/>
  <c r="B293" i="5"/>
  <c r="B300" i="5"/>
  <c r="A308" i="5"/>
  <c r="B314" i="5"/>
  <c r="B321" i="5"/>
  <c r="B328" i="5"/>
  <c r="B336" i="5"/>
  <c r="B343" i="5"/>
  <c r="B350" i="5"/>
  <c r="B357" i="5"/>
  <c r="A365" i="5"/>
  <c r="B372" i="5"/>
  <c r="B379" i="5"/>
  <c r="B393" i="5"/>
  <c r="B400" i="5"/>
  <c r="B413" i="5"/>
  <c r="B420" i="5"/>
  <c r="B435" i="5"/>
  <c r="A449" i="5"/>
  <c r="B455" i="5"/>
  <c r="A463" i="5"/>
  <c r="B470" i="5"/>
  <c r="A485" i="5"/>
  <c r="B492" i="5"/>
  <c r="B505" i="5"/>
  <c r="B520" i="5"/>
  <c r="B541" i="5"/>
  <c r="A556" i="5"/>
  <c r="B562" i="5"/>
  <c r="B577" i="5"/>
  <c r="A592" i="5"/>
  <c r="B606" i="5"/>
  <c r="B620" i="5"/>
  <c r="B634" i="5"/>
  <c r="B649" i="5"/>
  <c r="B29" i="5"/>
  <c r="B43" i="5"/>
  <c r="B64" i="5"/>
  <c r="B114" i="5"/>
  <c r="B136" i="5"/>
  <c r="A151" i="5"/>
  <c r="B179" i="5"/>
  <c r="B200" i="5"/>
  <c r="B215" i="5"/>
  <c r="B222" i="5"/>
  <c r="B244" i="5"/>
  <c r="B266" i="5"/>
  <c r="B295" i="5"/>
  <c r="B352" i="5"/>
  <c r="B415" i="5"/>
  <c r="B443" i="5"/>
  <c r="B500" i="5"/>
  <c r="B14" i="5"/>
  <c r="B21" i="5"/>
  <c r="B28" i="5"/>
  <c r="B35" i="5"/>
  <c r="B42" i="5"/>
  <c r="B50" i="5"/>
  <c r="B57" i="5"/>
  <c r="A64" i="5"/>
  <c r="B70" i="5"/>
  <c r="B77" i="5"/>
  <c r="B85" i="5"/>
  <c r="B92" i="5"/>
  <c r="B99" i="5"/>
  <c r="B106" i="5"/>
  <c r="A114" i="5"/>
  <c r="B121" i="5"/>
  <c r="B128" i="5"/>
  <c r="B135" i="5"/>
  <c r="B143" i="5"/>
  <c r="B150" i="5"/>
  <c r="B157" i="5"/>
  <c r="B164" i="5"/>
  <c r="B171" i="5"/>
  <c r="B178" i="5"/>
  <c r="B186" i="5"/>
  <c r="B192" i="5"/>
  <c r="B199" i="5"/>
  <c r="B207" i="5"/>
  <c r="B214" i="5"/>
  <c r="B221" i="5"/>
  <c r="B229" i="5"/>
  <c r="B236" i="5"/>
  <c r="B243" i="5"/>
  <c r="B251" i="5"/>
  <c r="B258" i="5"/>
  <c r="B265" i="5"/>
  <c r="B273" i="5"/>
  <c r="B280" i="5"/>
  <c r="A288" i="5"/>
  <c r="B294" i="5"/>
  <c r="B301" i="5"/>
  <c r="B308" i="5"/>
  <c r="B315" i="5"/>
  <c r="B322" i="5"/>
  <c r="B329" i="5"/>
  <c r="B337" i="5"/>
  <c r="B344" i="5"/>
  <c r="B351" i="5"/>
  <c r="B358" i="5"/>
  <c r="B365" i="5"/>
  <c r="A373" i="5"/>
  <c r="B380" i="5"/>
  <c r="B387" i="5"/>
  <c r="A394" i="5"/>
  <c r="B401" i="5"/>
  <c r="A408" i="5"/>
  <c r="B414" i="5"/>
  <c r="B421" i="5"/>
  <c r="B428" i="5"/>
  <c r="A436" i="5"/>
  <c r="A443" i="5"/>
  <c r="B449" i="5"/>
  <c r="B456" i="5"/>
  <c r="B463" i="5"/>
  <c r="B471" i="5"/>
  <c r="B478" i="5"/>
  <c r="B485" i="5"/>
  <c r="B493" i="5"/>
  <c r="B499" i="5"/>
  <c r="B506" i="5"/>
  <c r="B513" i="5"/>
  <c r="B521" i="5"/>
  <c r="B528" i="5"/>
  <c r="B536" i="5"/>
  <c r="B542" i="5"/>
  <c r="B549" i="5"/>
  <c r="B556" i="5"/>
  <c r="B563" i="5"/>
  <c r="B570" i="5"/>
  <c r="B578" i="5"/>
  <c r="B585" i="5"/>
  <c r="B592" i="5"/>
  <c r="B600" i="5"/>
  <c r="B607" i="5"/>
  <c r="B614" i="5"/>
  <c r="B621" i="5"/>
  <c r="B628" i="5"/>
  <c r="B635" i="5"/>
  <c r="B642" i="5"/>
  <c r="A650" i="5"/>
  <c r="B15" i="5"/>
  <c r="B58" i="5"/>
  <c r="A144" i="5"/>
  <c r="B158" i="5"/>
  <c r="B165" i="5"/>
  <c r="B230" i="5"/>
  <c r="B252" i="5"/>
  <c r="B274" i="5"/>
  <c r="B316" i="5"/>
  <c r="B338" i="5"/>
  <c r="B359" i="5"/>
  <c r="A381" i="5"/>
  <c r="B408" i="5"/>
  <c r="B472" i="5"/>
  <c r="A494" i="5"/>
  <c r="B522" i="5"/>
  <c r="B16" i="5"/>
  <c r="A23" i="5"/>
  <c r="B30" i="5"/>
  <c r="B37" i="5"/>
  <c r="B44" i="5"/>
  <c r="B51" i="5"/>
  <c r="B59" i="5"/>
  <c r="B65" i="5"/>
  <c r="B72" i="5"/>
  <c r="B79" i="5"/>
  <c r="B86" i="5"/>
  <c r="B94" i="5"/>
  <c r="B101" i="5"/>
  <c r="B108" i="5"/>
  <c r="B115" i="5"/>
  <c r="A123" i="5"/>
  <c r="B130" i="5"/>
  <c r="B137" i="5"/>
  <c r="B144" i="5"/>
  <c r="B151" i="5"/>
  <c r="B159" i="5"/>
  <c r="B166" i="5"/>
  <c r="B173" i="5"/>
  <c r="B180" i="5"/>
  <c r="A188" i="5"/>
  <c r="B194" i="5"/>
  <c r="B201" i="5"/>
  <c r="A209" i="5"/>
  <c r="B216" i="5"/>
  <c r="B223" i="5"/>
  <c r="A231" i="5"/>
  <c r="B238" i="5"/>
  <c r="B245" i="5"/>
  <c r="A253" i="5"/>
  <c r="B260" i="5"/>
  <c r="B267" i="5"/>
  <c r="B275" i="5"/>
  <c r="B282" i="5"/>
  <c r="A289" i="5"/>
  <c r="B296" i="5"/>
  <c r="B303" i="5"/>
  <c r="B310" i="5"/>
  <c r="B317" i="5"/>
  <c r="B324" i="5"/>
  <c r="B331" i="5"/>
  <c r="A339" i="5"/>
  <c r="B346" i="5"/>
  <c r="B353" i="5"/>
  <c r="B360" i="5"/>
  <c r="B367" i="5"/>
  <c r="B374" i="5"/>
  <c r="B381" i="5"/>
  <c r="A389" i="5"/>
  <c r="B395" i="5"/>
  <c r="B403" i="5"/>
  <c r="B409" i="5"/>
  <c r="B416" i="5"/>
  <c r="B423" i="5"/>
  <c r="B430" i="5"/>
  <c r="B437" i="5"/>
  <c r="B444" i="5"/>
  <c r="B451" i="5"/>
  <c r="B458" i="5"/>
  <c r="B465" i="5"/>
  <c r="B473" i="5"/>
  <c r="B480" i="5"/>
  <c r="B487" i="5"/>
  <c r="B494" i="5"/>
  <c r="B501" i="5"/>
  <c r="B508" i="5"/>
  <c r="B515" i="5"/>
  <c r="B523" i="5"/>
  <c r="B530" i="5"/>
  <c r="B537" i="5"/>
  <c r="B544" i="5"/>
  <c r="B551" i="5"/>
  <c r="B558" i="5"/>
  <c r="B565" i="5"/>
  <c r="B572" i="5"/>
  <c r="A580" i="5"/>
  <c r="B587" i="5"/>
  <c r="B594" i="5"/>
  <c r="A602" i="5"/>
  <c r="B609" i="5"/>
  <c r="B616" i="5"/>
  <c r="B623" i="5"/>
  <c r="B630" i="5"/>
  <c r="B637" i="5"/>
  <c r="B644" i="5"/>
  <c r="B651" i="5"/>
  <c r="B276" i="5"/>
  <c r="B332" i="5"/>
  <c r="B347" i="5"/>
  <c r="B368" i="5"/>
  <c r="B382" i="5"/>
  <c r="B396" i="5"/>
  <c r="B410" i="5"/>
  <c r="B424" i="5"/>
  <c r="B438" i="5"/>
  <c r="B452" i="5"/>
  <c r="B466" i="5"/>
  <c r="B481" i="5"/>
  <c r="B495" i="5"/>
  <c r="B509" i="5"/>
  <c r="B524" i="5"/>
  <c r="B538" i="5"/>
  <c r="B552" i="5"/>
  <c r="B559" i="5"/>
  <c r="B573" i="5"/>
  <c r="B588" i="5"/>
  <c r="B595" i="5"/>
  <c r="B602" i="5"/>
  <c r="B610" i="5"/>
  <c r="B624" i="5"/>
  <c r="B631" i="5"/>
  <c r="B645" i="5"/>
  <c r="B281" i="5"/>
  <c r="B394" i="5"/>
  <c r="B429" i="5"/>
  <c r="B450" i="5"/>
  <c r="B507" i="5"/>
  <c r="B543" i="5"/>
  <c r="B564" i="5"/>
  <c r="B622" i="5"/>
  <c r="B571" i="5"/>
  <c r="B629" i="5"/>
  <c r="B586" i="5"/>
  <c r="B615" i="5"/>
  <c r="B579" i="5"/>
  <c r="B636" i="5"/>
  <c r="B643" i="5"/>
  <c r="B593" i="5"/>
  <c r="B650" i="5"/>
  <c r="A537" i="5"/>
  <c r="B601" i="5"/>
  <c r="B550" i="5"/>
  <c r="B608" i="5"/>
  <c r="B557" i="5"/>
  <c r="M9" i="5"/>
  <c r="E9" i="5"/>
  <c r="D9" i="5"/>
  <c r="F9" i="5"/>
  <c r="L9" i="5"/>
  <c r="K9" i="5"/>
  <c r="C9" i="5"/>
  <c r="I8" i="5"/>
  <c r="J9" i="5"/>
  <c r="L8" i="5"/>
  <c r="I9" i="5"/>
  <c r="G9" i="5"/>
  <c r="H9" i="5"/>
  <c r="F8" i="5"/>
  <c r="C8" i="5"/>
  <c r="N9" i="5"/>
  <c r="A36" i="4"/>
  <c r="B43" i="4"/>
  <c r="B50" i="4"/>
  <c r="B57" i="4"/>
  <c r="B65" i="4"/>
  <c r="B72" i="4"/>
  <c r="B79" i="4"/>
  <c r="B87" i="4"/>
  <c r="B94" i="4"/>
  <c r="B102" i="4"/>
  <c r="B109" i="4"/>
  <c r="B117" i="4"/>
  <c r="B124" i="4"/>
  <c r="B132" i="4"/>
  <c r="B139" i="4"/>
  <c r="A147" i="4"/>
  <c r="B153" i="4"/>
  <c r="B161" i="4"/>
  <c r="B133" i="4"/>
  <c r="B42" i="4"/>
  <c r="B93" i="4"/>
  <c r="B101" i="4"/>
  <c r="B152" i="4"/>
  <c r="B36" i="4"/>
  <c r="B44" i="4"/>
  <c r="B51" i="4"/>
  <c r="B58" i="4"/>
  <c r="A66" i="4"/>
  <c r="B73" i="4"/>
  <c r="B80" i="4"/>
  <c r="B88" i="4"/>
  <c r="B95" i="4"/>
  <c r="B103" i="4"/>
  <c r="B110" i="4"/>
  <c r="B118" i="4"/>
  <c r="B125" i="4"/>
  <c r="B140" i="4"/>
  <c r="B147" i="4"/>
  <c r="B154" i="4"/>
  <c r="B162" i="4"/>
  <c r="A137" i="4"/>
  <c r="B158" i="4"/>
  <c r="B71" i="4"/>
  <c r="B37" i="4"/>
  <c r="B45" i="4"/>
  <c r="B52" i="4"/>
  <c r="B59" i="4"/>
  <c r="B66" i="4"/>
  <c r="B74" i="4"/>
  <c r="B81" i="4"/>
  <c r="B89" i="4"/>
  <c r="B96" i="4"/>
  <c r="B104" i="4"/>
  <c r="B111" i="4"/>
  <c r="B119" i="4"/>
  <c r="B126" i="4"/>
  <c r="B134" i="4"/>
  <c r="B141" i="4"/>
  <c r="B148" i="4"/>
  <c r="B155" i="4"/>
  <c r="B163" i="4"/>
  <c r="B99" i="4"/>
  <c r="A6" i="4"/>
  <c r="B64" i="4"/>
  <c r="B138" i="4"/>
  <c r="B38" i="4"/>
  <c r="A46" i="4"/>
  <c r="B53" i="4"/>
  <c r="B60" i="4"/>
  <c r="B67" i="4"/>
  <c r="B75" i="4"/>
  <c r="B82" i="4"/>
  <c r="B90" i="4"/>
  <c r="B97" i="4"/>
  <c r="B105" i="4"/>
  <c r="B112" i="4"/>
  <c r="B120" i="4"/>
  <c r="B127" i="4"/>
  <c r="B135" i="4"/>
  <c r="B142" i="4"/>
  <c r="B149" i="4"/>
  <c r="B156" i="4"/>
  <c r="A164" i="4"/>
  <c r="B77" i="4"/>
  <c r="B49" i="4"/>
  <c r="B116" i="4"/>
  <c r="B39" i="4"/>
  <c r="B46" i="4"/>
  <c r="B54" i="4"/>
  <c r="B61" i="4"/>
  <c r="B68" i="4"/>
  <c r="B76" i="4"/>
  <c r="B83" i="4"/>
  <c r="B91" i="4"/>
  <c r="B98" i="4"/>
  <c r="B106" i="4"/>
  <c r="B113" i="4"/>
  <c r="B121" i="4"/>
  <c r="B128" i="4"/>
  <c r="B136" i="4"/>
  <c r="B143" i="4"/>
  <c r="B150" i="4"/>
  <c r="B157" i="4"/>
  <c r="B164" i="4"/>
  <c r="B84" i="4"/>
  <c r="B114" i="4"/>
  <c r="B78" i="4"/>
  <c r="B131" i="4"/>
  <c r="B40" i="4"/>
  <c r="B47" i="4"/>
  <c r="B55" i="4"/>
  <c r="B62" i="4"/>
  <c r="B69" i="4"/>
  <c r="B92" i="4"/>
  <c r="B107" i="4"/>
  <c r="B122" i="4"/>
  <c r="B129" i="4"/>
  <c r="B144" i="4"/>
  <c r="A151" i="4"/>
  <c r="B56" i="4"/>
  <c r="A124" i="4"/>
  <c r="B160" i="4"/>
  <c r="B41" i="4"/>
  <c r="B48" i="4"/>
  <c r="A56" i="4"/>
  <c r="B63" i="4"/>
  <c r="B70" i="4"/>
  <c r="A78" i="4"/>
  <c r="B85" i="4"/>
  <c r="A93" i="4"/>
  <c r="B100" i="4"/>
  <c r="B108" i="4"/>
  <c r="B115" i="4"/>
  <c r="B123" i="4"/>
  <c r="B130" i="4"/>
  <c r="B137" i="4"/>
  <c r="B145" i="4"/>
  <c r="B151" i="4"/>
  <c r="B159" i="4"/>
  <c r="A3" i="4"/>
  <c r="B86" i="4"/>
  <c r="A109" i="4"/>
  <c r="B146" i="4"/>
  <c r="A10" i="4"/>
  <c r="B16" i="4"/>
  <c r="B23" i="4"/>
  <c r="B28" i="4"/>
  <c r="B169" i="4"/>
  <c r="B181" i="4"/>
  <c r="B10" i="4"/>
  <c r="B17" i="4"/>
  <c r="A24" i="4"/>
  <c r="B29" i="4"/>
  <c r="B35" i="4"/>
  <c r="B170" i="4"/>
  <c r="B175" i="4"/>
  <c r="B184" i="4"/>
  <c r="B14" i="4"/>
  <c r="B11" i="4"/>
  <c r="B18" i="4"/>
  <c r="B24" i="4"/>
  <c r="B30" i="4"/>
  <c r="B165" i="4"/>
  <c r="B171" i="4"/>
  <c r="B176" i="4"/>
  <c r="B185" i="4"/>
  <c r="B168" i="4"/>
  <c r="B189" i="4"/>
  <c r="B19" i="4"/>
  <c r="B25" i="4"/>
  <c r="B31" i="4"/>
  <c r="B172" i="4"/>
  <c r="B177" i="4"/>
  <c r="B186" i="4"/>
  <c r="B166" i="4"/>
  <c r="B187" i="4"/>
  <c r="B34" i="4"/>
  <c r="B173" i="4"/>
  <c r="B12" i="4"/>
  <c r="B20" i="4"/>
  <c r="B32" i="4"/>
  <c r="B188" i="4"/>
  <c r="B21" i="4"/>
  <c r="B26" i="4"/>
  <c r="B33" i="4"/>
  <c r="B13" i="4"/>
  <c r="B15" i="4"/>
  <c r="B22" i="4"/>
  <c r="B27" i="4"/>
  <c r="A174" i="4"/>
  <c r="B179" i="4"/>
  <c r="B182" i="4"/>
  <c r="B190" i="4"/>
  <c r="B193" i="4"/>
  <c r="B174" i="4"/>
  <c r="B183" i="4"/>
  <c r="B191" i="4"/>
  <c r="B167" i="4"/>
  <c r="B180" i="4"/>
  <c r="B178" i="4"/>
  <c r="B192" i="4"/>
  <c r="C8" i="4"/>
  <c r="G9" i="4"/>
  <c r="F8" i="4"/>
  <c r="H9" i="4"/>
  <c r="I8" i="4"/>
  <c r="I9" i="4"/>
  <c r="L8" i="4"/>
  <c r="C9" i="4"/>
  <c r="J9" i="4"/>
  <c r="N9" i="4"/>
  <c r="K9" i="4"/>
  <c r="F9" i="4"/>
  <c r="D9" i="4"/>
  <c r="L9" i="4"/>
  <c r="E9" i="4"/>
  <c r="M9" i="4"/>
  <c r="A7" i="3"/>
  <c r="A6" i="3"/>
  <c r="A3" i="3"/>
  <c r="A15" i="3"/>
  <c r="A18" i="3"/>
  <c r="A26" i="3"/>
  <c r="A29" i="3"/>
  <c r="A11" i="3"/>
  <c r="A28" i="3"/>
  <c r="A25" i="3"/>
  <c r="A16" i="3"/>
  <c r="A19" i="3"/>
  <c r="A27" i="3"/>
  <c r="A30" i="3"/>
  <c r="A20" i="3"/>
  <c r="A31" i="3"/>
  <c r="A12" i="3"/>
  <c r="A21" i="3"/>
  <c r="A24" i="3"/>
  <c r="A17" i="3"/>
  <c r="A13" i="3"/>
  <c r="A22" i="3"/>
  <c r="A14" i="3"/>
  <c r="A23" i="3"/>
  <c r="D10" i="3"/>
  <c r="L10" i="3"/>
  <c r="M10" i="3"/>
  <c r="B9" i="3"/>
  <c r="G10" i="3"/>
  <c r="K10" i="3"/>
  <c r="E10" i="3"/>
  <c r="F10" i="3"/>
  <c r="E9" i="3"/>
  <c r="C10" i="3"/>
  <c r="H9" i="3"/>
  <c r="H10" i="3"/>
  <c r="K9" i="3"/>
  <c r="I10" i="3"/>
  <c r="B10" i="3"/>
  <c r="J10" i="3"/>
  <c r="A3" i="1"/>
  <c r="A6" i="1"/>
  <c r="A5" i="1"/>
  <c r="D9" i="1"/>
  <c r="E9" i="1"/>
  <c r="G9" i="1"/>
  <c r="I9" i="1"/>
  <c r="E8" i="1"/>
  <c r="F9" i="1"/>
  <c r="H9" i="1"/>
  <c r="J9" i="1"/>
  <c r="H8" i="1"/>
  <c r="M9" i="1"/>
  <c r="B8" i="1" l="1"/>
  <c r="K9" i="1"/>
  <c r="B9" i="1"/>
  <c r="K8" i="1"/>
  <c r="C9" i="1"/>
  <c r="A12" i="1"/>
  <c r="A20" i="1"/>
  <c r="A15" i="1"/>
  <c r="A18" i="1"/>
  <c r="A19" i="1"/>
  <c r="A13" i="1"/>
  <c r="A21" i="1"/>
  <c r="L9" i="1"/>
  <c r="A23" i="1"/>
  <c r="A11" i="1"/>
  <c r="A14" i="1"/>
  <c r="A22" i="1"/>
  <c r="A16" i="1"/>
  <c r="A24" i="1"/>
  <c r="A25" i="1"/>
  <c r="A10" i="1"/>
  <c r="A1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4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6" name="ConnectionDescriptorsInfotb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7" name="MultipleReportManagerInfotb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8" name="AnalyzerDynReport000tb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3073" name="FPMExcelClientSheetOptionstb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3074" name="ConnectionDescriptorsInfotb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3075" name="MultipleReportManagerInfotb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3076" name="AnalyzerDynReport000tb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4097" name="FPMExcelClientSheetOptionstb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4098" name="ConnectionDescriptorsInfotb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4099" name="MultipleReportManagerInfotb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4100" name="AnalyzerDynReport000tb1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5121" name="FPMExcelClientSheetOptionstb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5122" name="ConnectionDescriptorsInfotb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5123" name="MultipleReportManagerInfotb1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5124" name="AnalyzerDynReport000tb1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6.emf"/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Relationship Id="rId6" Type="http://schemas.openxmlformats.org/officeDocument/2006/relationships/control" Target="../activeX/activeX6.xml"/><Relationship Id="rId11" Type="http://schemas.openxmlformats.org/officeDocument/2006/relationships/image" Target="../media/image8.emf"/><Relationship Id="rId5" Type="http://schemas.openxmlformats.org/officeDocument/2006/relationships/image" Target="../media/image5.emf"/><Relationship Id="rId10" Type="http://schemas.openxmlformats.org/officeDocument/2006/relationships/control" Target="../activeX/activeX8.xml"/><Relationship Id="rId4" Type="http://schemas.openxmlformats.org/officeDocument/2006/relationships/control" Target="../activeX/activeX5.xml"/><Relationship Id="rId9" Type="http://schemas.openxmlformats.org/officeDocument/2006/relationships/image" Target="../media/image7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0.emf"/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3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4.emf"/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4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457F-2EDD-4D5E-95AF-DC43ACFB3C0D}">
  <sheetPr codeName="Hoja1"/>
  <dimension ref="A3:M25"/>
  <sheetViews>
    <sheetView showGridLines="0" zoomScale="70" zoomScaleNormal="70" workbookViewId="0">
      <selection activeCell="N28" sqref="N28"/>
    </sheetView>
  </sheetViews>
  <sheetFormatPr baseColWidth="10" defaultRowHeight="13.8" x14ac:dyDescent="0.3"/>
  <cols>
    <col min="1" max="1" width="32.88671875" bestFit="1" customWidth="1"/>
    <col min="2" max="3" width="11.44140625" bestFit="1" customWidth="1"/>
    <col min="4" max="4" width="10.109375" bestFit="1" customWidth="1"/>
    <col min="5" max="6" width="11.44140625" bestFit="1" customWidth="1"/>
    <col min="7" max="7" width="10.109375" bestFit="1" customWidth="1"/>
    <col min="8" max="9" width="11.44140625" bestFit="1" customWidth="1"/>
    <col min="10" max="10" width="10.109375" bestFit="1" customWidth="1"/>
    <col min="11" max="12" width="11.44140625" bestFit="1" customWidth="1"/>
    <col min="13" max="13" width="10.109375" bestFit="1" customWidth="1"/>
  </cols>
  <sheetData>
    <row r="3" spans="1:13" x14ac:dyDescent="0.3">
      <c r="A3" t="str">
        <f xml:space="preserve"> _xll.EPMOlapMemberO("[CEBE].[PARENTH1].[B1000CP000]","","B1000CP000 - Amsa Corporativo","","000")</f>
        <v>B1000CP000 - Amsa Corporativo</v>
      </c>
    </row>
    <row r="5" spans="1:13" x14ac:dyDescent="0.3">
      <c r="A5" t="str">
        <f xml:space="preserve"> _xll.EPMOlapMemberO("[CLACO].[PARENTH1].[AMSAGP_CO2]","","AMSAGP_CO2 - Clases De Costo Por","","000")</f>
        <v>AMSAGP_CO2 - Clases De Costo Por</v>
      </c>
    </row>
    <row r="6" spans="1:13" x14ac:dyDescent="0.3">
      <c r="A6" t="str">
        <f xml:space="preserve"> _xll.EPMOlapMemberO("[ENTITY].[PARENTH1].[1000]","","1000 - Antofagasta Minerals S.A.","","000")</f>
        <v>1000 - Antofagasta Minerals S.A.</v>
      </c>
    </row>
    <row r="8" spans="1:13" s="3" customFormat="1" x14ac:dyDescent="0.3">
      <c r="B8" s="3" t="str">
        <f xml:space="preserve"> _xll.EPMOlapMemberO("[TIME].[PARENTH1].[2022.TOTAL]","","2022.TOTAL","","000")</f>
        <v>2022.TOTAL</v>
      </c>
      <c r="E8" s="3" t="str">
        <f xml:space="preserve"> _xll.EPMOlapMemberO("[TIME].[PARENTH1].[2023.TOTAL]","","2023.TOTAL","","000")</f>
        <v>2023.TOTAL</v>
      </c>
      <c r="H8" s="3" t="str">
        <f xml:space="preserve"> _xll.EPMOlapMemberO("[TIME].[PARENTH1].[2024.TOTAL]","","2024.TOTAL","","000")</f>
        <v>2024.TOTAL</v>
      </c>
      <c r="K8" s="3" t="str">
        <f xml:space="preserve"> _xll.EPMOlapMemberO("[TIME].[PARENTH1].[2025.TOTAL]","","2025.TOTAL","","000")</f>
        <v>2025.TOTAL</v>
      </c>
    </row>
    <row r="9" spans="1:13" s="3" customFormat="1" x14ac:dyDescent="0.3">
      <c r="B9" s="3" t="str">
        <f xml:space="preserve"> _xll.EPMOlapMemberO("[CATEGORY].[].[REAL]","","Real - Real","","000")</f>
        <v>Real - Real</v>
      </c>
      <c r="C9" s="3" t="str">
        <f xml:space="preserve"> _xll.EPMOlapMemberO("[CATEGORY].[].[PLAN]","","Plan - Plan","","000")</f>
        <v>Plan - Plan</v>
      </c>
      <c r="D9" s="3" t="str">
        <f xml:space="preserve"> _xll.FPMXLClient.TechnicalCategory.EPMLocalMember("VAR","000","000")</f>
        <v>VAR</v>
      </c>
      <c r="E9" s="3" t="str">
        <f xml:space="preserve"> _xll.EPMOlapMemberO("[CATEGORY].[].[REAL]","","Real - Real","","000")</f>
        <v>Real - Real</v>
      </c>
      <c r="F9" s="3" t="str">
        <f xml:space="preserve"> _xll.EPMOlapMemberO("[CATEGORY].[].[PLAN]","","Plan - Plan","","000")</f>
        <v>Plan - Plan</v>
      </c>
      <c r="G9" s="3" t="str">
        <f xml:space="preserve"> _xll.FPMXLClient.TechnicalCategory.EPMLocalMember("VAR","000","000")</f>
        <v>VAR</v>
      </c>
      <c r="H9" s="3" t="str">
        <f xml:space="preserve"> _xll.EPMOlapMemberO("[CATEGORY].[].[REAL]","","Real - Real","","000")</f>
        <v>Real - Real</v>
      </c>
      <c r="I9" s="3" t="str">
        <f xml:space="preserve"> _xll.EPMOlapMemberO("[CATEGORY].[].[PLAN]","","Plan - Plan","","000")</f>
        <v>Plan - Plan</v>
      </c>
      <c r="J9" s="3" t="str">
        <f xml:space="preserve"> _xll.FPMXLClient.TechnicalCategory.EPMLocalMember("VAR","000","000")</f>
        <v>VAR</v>
      </c>
      <c r="K9" s="3" t="str">
        <f xml:space="preserve"> _xll.EPMOlapMemberO("[CATEGORY].[].[REAL]","","Real - Real","","000")</f>
        <v>Real - Real</v>
      </c>
      <c r="L9" s="3" t="str">
        <f xml:space="preserve"> _xll.EPMOlapMemberO("[CATEGORY].[].[PLAN]","","Plan - Plan","","000")</f>
        <v>Plan - Plan</v>
      </c>
      <c r="M9" s="3" t="str">
        <f xml:space="preserve"> _xll.FPMXLClient.TechnicalCategory.EPMLocalMember("VAR","000","000")</f>
        <v>VAR</v>
      </c>
    </row>
    <row r="10" spans="1:13" x14ac:dyDescent="0.3">
      <c r="A10" s="1" t="str">
        <f xml:space="preserve"> _xll.EPMOlapMemberO("[CECO].[PARENTH3].[N1000AC050]","","N1000AC050 - VP Desarrollo","","000")</f>
        <v>N1000AC050 - VP Desarrollo</v>
      </c>
      <c r="B10" s="6">
        <v>5092225.03</v>
      </c>
      <c r="C10" s="6">
        <v>5459369.3399999999</v>
      </c>
      <c r="D10" s="6">
        <f>+C10-B10</f>
        <v>367144.30999999959</v>
      </c>
      <c r="E10" s="6">
        <v>6257591.04</v>
      </c>
      <c r="F10" s="6">
        <v>6050810.2599999998</v>
      </c>
      <c r="G10" s="6">
        <f>+F10-E10</f>
        <v>-206780.78000000026</v>
      </c>
      <c r="H10" s="6">
        <v>6495941.1299999999</v>
      </c>
      <c r="I10" s="6">
        <v>6401448.2599999998</v>
      </c>
      <c r="J10" s="6">
        <f>+I10-H10</f>
        <v>-94492.870000000112</v>
      </c>
      <c r="K10" s="6">
        <v>8113930.8499999996</v>
      </c>
      <c r="L10" s="6">
        <v>7813475.3499999996</v>
      </c>
      <c r="M10" s="6">
        <f>+L10-K10</f>
        <v>-300455.5</v>
      </c>
    </row>
    <row r="11" spans="1:13" x14ac:dyDescent="0.3">
      <c r="A11" s="1" t="str">
        <f xml:space="preserve"> _xll.EPMOlapMemberO("[CECO].[PARENTH3].[N1000AC051]","","N1000AC051 - VP Planificación y S","","000")</f>
        <v>N1000AC051 - VP Planificación y S</v>
      </c>
      <c r="B11" s="6">
        <v>8617857.7699999996</v>
      </c>
      <c r="C11" s="6">
        <v>7284828.3700000001</v>
      </c>
      <c r="D11" s="6">
        <f t="shared" ref="D11:D25" si="0">+C11-B11</f>
        <v>-1333029.3999999994</v>
      </c>
      <c r="E11" s="6">
        <v>10647615.52</v>
      </c>
      <c r="F11" s="6">
        <v>8035042.4400000004</v>
      </c>
      <c r="G11" s="6">
        <f t="shared" ref="G11:G25" si="1">+F11-E11</f>
        <v>-2612573.0799999991</v>
      </c>
      <c r="H11" s="6">
        <v>12863791.050000001</v>
      </c>
      <c r="I11" s="6">
        <v>12526302.380000001</v>
      </c>
      <c r="J11" s="6">
        <f t="shared" ref="J11:J25" si="2">+I11-H11</f>
        <v>-337488.66999999993</v>
      </c>
      <c r="K11" s="6">
        <v>16525397.060000001</v>
      </c>
      <c r="L11" s="6">
        <v>14024840.970000001</v>
      </c>
      <c r="M11" s="6">
        <f t="shared" ref="M11:M25" si="3">+L11-K11</f>
        <v>-2500556.09</v>
      </c>
    </row>
    <row r="12" spans="1:13" x14ac:dyDescent="0.3">
      <c r="A12" s="1" t="str">
        <f xml:space="preserve"> _xll.EPMOlapMemberO("[CECO].[PARENTH3].[N1000AC054]","","N1000AC054 - VP Proyectos","","000")</f>
        <v>N1000AC054 - VP Proyectos</v>
      </c>
      <c r="B12" s="6">
        <v>4446144.37</v>
      </c>
      <c r="C12" s="6">
        <v>4810515.08</v>
      </c>
      <c r="D12" s="6">
        <f t="shared" si="0"/>
        <v>364370.70999999996</v>
      </c>
      <c r="E12" s="6">
        <v>4747866.71</v>
      </c>
      <c r="F12" s="6">
        <v>4672765.41</v>
      </c>
      <c r="G12" s="6">
        <f t="shared" si="1"/>
        <v>-75101.299999999814</v>
      </c>
      <c r="H12" s="6">
        <v>6252359.4800000004</v>
      </c>
      <c r="I12" s="6">
        <v>5136614.8899999997</v>
      </c>
      <c r="J12" s="6">
        <f t="shared" si="2"/>
        <v>-1115744.5900000008</v>
      </c>
      <c r="K12" s="6">
        <v>7698730.5499999998</v>
      </c>
      <c r="L12" s="6">
        <v>7580814.4900000002</v>
      </c>
      <c r="M12" s="6">
        <f t="shared" si="3"/>
        <v>-117916.05999999959</v>
      </c>
    </row>
    <row r="13" spans="1:13" x14ac:dyDescent="0.3">
      <c r="A13" s="1" t="str">
        <f xml:space="preserve"> _xll.EPMOlapMemberO("[CECO].[PARENTH3].[N1000AC055]","","N1000AC055 - Presidencia Ejecutiv","","000")</f>
        <v>N1000AC055 - Presidencia Ejecutiv</v>
      </c>
      <c r="B13" s="6">
        <v>5442959.0300000003</v>
      </c>
      <c r="C13" s="6">
        <v>4088285</v>
      </c>
      <c r="D13" s="6">
        <f t="shared" si="0"/>
        <v>-1354674.0300000003</v>
      </c>
      <c r="E13" s="6">
        <v>6607259.9500000002</v>
      </c>
      <c r="F13" s="6">
        <v>4503242.13</v>
      </c>
      <c r="G13" s="6">
        <f t="shared" si="1"/>
        <v>-2104017.8200000003</v>
      </c>
      <c r="H13" s="6">
        <v>6865589.8799999999</v>
      </c>
      <c r="I13" s="6">
        <v>6137086.9500000002</v>
      </c>
      <c r="J13" s="6">
        <f t="shared" si="2"/>
        <v>-728502.9299999997</v>
      </c>
      <c r="K13" s="6">
        <v>11714958.1</v>
      </c>
      <c r="L13" s="6">
        <v>6532405.2599999998</v>
      </c>
      <c r="M13" s="6">
        <f t="shared" si="3"/>
        <v>-5182552.84</v>
      </c>
    </row>
    <row r="14" spans="1:13" x14ac:dyDescent="0.3">
      <c r="A14" s="1" t="str">
        <f xml:space="preserve"> _xll.EPMOlapMemberO("[CECO].[PARENTH3].[N1000AC300]","","N1000AC300 - Gerencia de Auditorí","","000")</f>
        <v>N1000AC300 - Gerencia de Auditorí</v>
      </c>
      <c r="B14" s="6">
        <v>1961296.89</v>
      </c>
      <c r="C14" s="6">
        <v>1973040.24</v>
      </c>
      <c r="D14" s="6">
        <f t="shared" si="0"/>
        <v>11743.350000000093</v>
      </c>
      <c r="E14" s="6">
        <v>2111517.33</v>
      </c>
      <c r="F14" s="6">
        <v>2051365.29</v>
      </c>
      <c r="G14" s="6">
        <f t="shared" si="1"/>
        <v>-60152.040000000037</v>
      </c>
      <c r="H14" s="6">
        <v>2109474.75</v>
      </c>
      <c r="I14" s="6">
        <v>2525802.02</v>
      </c>
      <c r="J14" s="6">
        <f t="shared" si="2"/>
        <v>416327.27</v>
      </c>
      <c r="K14" s="6">
        <v>2482073.52</v>
      </c>
      <c r="L14" s="6">
        <v>2535285.2999999998</v>
      </c>
      <c r="M14" s="6">
        <f t="shared" si="3"/>
        <v>53211.779999999795</v>
      </c>
    </row>
    <row r="15" spans="1:13" x14ac:dyDescent="0.3">
      <c r="A15" s="1" t="str">
        <f xml:space="preserve"> _xll.EPMOlapMemberO("[CECO].[PARENTH3].[N1000AC301]","","N1000AC301 - Directorio","","000")</f>
        <v>N1000AC301 - Directorio</v>
      </c>
      <c r="B15" s="6">
        <v>3524366.77</v>
      </c>
      <c r="C15" s="6">
        <v>3592184.68</v>
      </c>
      <c r="D15" s="6">
        <f t="shared" si="0"/>
        <v>67817.910000000149</v>
      </c>
      <c r="E15" s="6">
        <v>4190580.63</v>
      </c>
      <c r="F15" s="6">
        <v>4012465.76</v>
      </c>
      <c r="G15" s="6">
        <f t="shared" si="1"/>
        <v>-178114.87000000011</v>
      </c>
      <c r="H15" s="6">
        <v>4175365.04</v>
      </c>
      <c r="I15" s="6">
        <v>4434660.54</v>
      </c>
      <c r="J15" s="6">
        <f t="shared" si="2"/>
        <v>259295.5</v>
      </c>
      <c r="K15" s="6">
        <v>3942473.01</v>
      </c>
      <c r="L15" s="6">
        <v>4284904.88</v>
      </c>
      <c r="M15" s="6">
        <f t="shared" si="3"/>
        <v>342431.87000000011</v>
      </c>
    </row>
    <row r="16" spans="1:13" x14ac:dyDescent="0.3">
      <c r="A16" s="1" t="str">
        <f xml:space="preserve"> _xll.EPMOlapMemberO("[CECO].[PARENTH3].[N1000AC350]","","N1000AC350 - VP Finanzas","","000")</f>
        <v>N1000AC350 - VP Finanzas</v>
      </c>
      <c r="B16" s="6">
        <v>16807927.989999998</v>
      </c>
      <c r="C16" s="6">
        <v>16911971.129999999</v>
      </c>
      <c r="D16" s="6">
        <f t="shared" si="0"/>
        <v>104043.1400000006</v>
      </c>
      <c r="E16" s="6">
        <v>20588441.289999999</v>
      </c>
      <c r="F16" s="6">
        <v>19038240.699999999</v>
      </c>
      <c r="G16" s="6">
        <f t="shared" si="1"/>
        <v>-1550200.5899999999</v>
      </c>
      <c r="H16" s="6">
        <v>20985390.469999999</v>
      </c>
      <c r="I16" s="6">
        <v>21712997.48</v>
      </c>
      <c r="J16" s="6">
        <f t="shared" si="2"/>
        <v>727607.01000000164</v>
      </c>
      <c r="K16" s="6">
        <v>21017745.91</v>
      </c>
      <c r="L16" s="6">
        <v>22918780.370000001</v>
      </c>
      <c r="M16" s="6">
        <f t="shared" si="3"/>
        <v>1901034.4600000009</v>
      </c>
    </row>
    <row r="17" spans="1:13" x14ac:dyDescent="0.3">
      <c r="A17" s="1" t="str">
        <f xml:space="preserve"> _xll.EPMOlapMemberO("[CECO].[PARENTH3].[N1000AC400]","","N1000AC400 - VP Recursos Humanos","","000")</f>
        <v>N1000AC400 - VP Recursos Humanos</v>
      </c>
      <c r="B17" s="6">
        <v>10292203.99</v>
      </c>
      <c r="C17" s="6">
        <v>11499212.800000001</v>
      </c>
      <c r="D17" s="6">
        <f t="shared" si="0"/>
        <v>1207008.8100000005</v>
      </c>
      <c r="E17" s="6">
        <v>11215880.890000001</v>
      </c>
      <c r="F17" s="6">
        <v>11354369.869999999</v>
      </c>
      <c r="G17" s="6">
        <f t="shared" si="1"/>
        <v>138488.97999999858</v>
      </c>
      <c r="H17" s="6">
        <v>10247571</v>
      </c>
      <c r="I17" s="6">
        <v>11670527.75</v>
      </c>
      <c r="J17" s="6">
        <f t="shared" si="2"/>
        <v>1422956.75</v>
      </c>
      <c r="K17" s="6">
        <v>11424809.689999999</v>
      </c>
      <c r="L17" s="6">
        <v>11413107.369999999</v>
      </c>
      <c r="M17" s="6">
        <f t="shared" si="3"/>
        <v>-11702.320000000298</v>
      </c>
    </row>
    <row r="18" spans="1:13" x14ac:dyDescent="0.3">
      <c r="A18" s="1" t="str">
        <f xml:space="preserve"> _xll.EPMOlapMemberO("[CECO].[PARENTH3].[N1000AC450]","","N1000AC450 - VP asuntos corporati","","000")</f>
        <v>N1000AC450 - VP asuntos corporati</v>
      </c>
      <c r="B18" s="6">
        <v>9933419.9000000004</v>
      </c>
      <c r="C18" s="6">
        <v>10208217.91</v>
      </c>
      <c r="D18" s="6">
        <f t="shared" si="0"/>
        <v>274798.00999999978</v>
      </c>
      <c r="E18" s="6">
        <v>15825296.300000001</v>
      </c>
      <c r="F18" s="6">
        <v>14017522.1</v>
      </c>
      <c r="G18" s="6">
        <f t="shared" si="1"/>
        <v>-1807774.2000000011</v>
      </c>
      <c r="H18" s="6">
        <v>10372231.800000001</v>
      </c>
      <c r="I18" s="6">
        <v>11784262.1</v>
      </c>
      <c r="J18" s="6">
        <f t="shared" si="2"/>
        <v>1412030.2999999989</v>
      </c>
      <c r="K18" s="6">
        <v>10407067.5</v>
      </c>
      <c r="L18" s="6">
        <v>9943353.3900000006</v>
      </c>
      <c r="M18" s="6">
        <f t="shared" si="3"/>
        <v>-463714.1099999994</v>
      </c>
    </row>
    <row r="19" spans="1:13" x14ac:dyDescent="0.3">
      <c r="A19" s="1" t="str">
        <f xml:space="preserve"> _xll.EPMOlapMemberO("[CECO].[PARENTH3].[N1000AC550]","","N1000AC550 - VP Legal","","000")</f>
        <v>N1000AC550 - VP Legal</v>
      </c>
      <c r="B19" s="6">
        <v>9465992.7400000002</v>
      </c>
      <c r="C19" s="6">
        <v>10008710.16</v>
      </c>
      <c r="D19" s="6">
        <f t="shared" si="0"/>
        <v>542717.41999999993</v>
      </c>
      <c r="E19" s="6">
        <v>10887889.68</v>
      </c>
      <c r="F19" s="6">
        <v>10870314.279999999</v>
      </c>
      <c r="G19" s="6">
        <f t="shared" si="1"/>
        <v>-17575.400000000373</v>
      </c>
      <c r="H19" s="6">
        <v>11056352.91</v>
      </c>
      <c r="I19" s="6">
        <v>13465861.18</v>
      </c>
      <c r="J19" s="6">
        <f t="shared" si="2"/>
        <v>2409508.2699999996</v>
      </c>
      <c r="K19" s="6">
        <v>19603460.140000001</v>
      </c>
      <c r="L19" s="6">
        <v>20946778.039999999</v>
      </c>
      <c r="M19" s="6">
        <f t="shared" si="3"/>
        <v>1343317.8999999985</v>
      </c>
    </row>
    <row r="20" spans="1:13" x14ac:dyDescent="0.3">
      <c r="A20" s="1" t="str">
        <f xml:space="preserve"> _xll.EPMOlapMemberO("[CECO].[PARENTH3].[N1000AC600]","","N1000AC600 - Comercialización","","000")</f>
        <v>N1000AC600 - Comercialización</v>
      </c>
      <c r="B20" s="6">
        <v>3763442.29</v>
      </c>
      <c r="C20" s="6">
        <v>4263891.8499999996</v>
      </c>
      <c r="D20" s="6">
        <f t="shared" si="0"/>
        <v>500449.55999999959</v>
      </c>
      <c r="E20" s="6">
        <v>4317909.84</v>
      </c>
      <c r="F20" s="6">
        <v>4394819.88</v>
      </c>
      <c r="G20" s="6">
        <f t="shared" si="1"/>
        <v>76910.040000000037</v>
      </c>
      <c r="H20" s="6">
        <v>4337398.8099999996</v>
      </c>
      <c r="I20" s="6">
        <v>4547610.2300000004</v>
      </c>
      <c r="J20" s="6">
        <f t="shared" si="2"/>
        <v>210211.42000000086</v>
      </c>
      <c r="K20" s="6">
        <v>4736844.26</v>
      </c>
      <c r="L20" s="6">
        <v>4870454.0199999996</v>
      </c>
      <c r="M20" s="6">
        <f t="shared" si="3"/>
        <v>133609.75999999978</v>
      </c>
    </row>
    <row r="21" spans="1:13" x14ac:dyDescent="0.3">
      <c r="A21" s="1" t="str">
        <f xml:space="preserve"> _xll.EPMOlapMemberO("[CECO].[PARENTH3].[N1000AC056]","","N1000AC056 - Gerencia de S&amp;SO","","000")</f>
        <v>N1000AC056 - Gerencia de S&amp;SO</v>
      </c>
      <c r="B21" s="6"/>
      <c r="C21" s="6"/>
      <c r="D21" s="6">
        <f t="shared" si="0"/>
        <v>0</v>
      </c>
      <c r="E21" s="6"/>
      <c r="F21" s="6"/>
      <c r="G21" s="6">
        <f t="shared" si="1"/>
        <v>0</v>
      </c>
      <c r="H21" s="6"/>
      <c r="I21" s="6"/>
      <c r="J21" s="6">
        <f t="shared" si="2"/>
        <v>0</v>
      </c>
      <c r="K21" s="6"/>
      <c r="L21" s="6"/>
      <c r="M21" s="6">
        <f t="shared" si="3"/>
        <v>0</v>
      </c>
    </row>
    <row r="22" spans="1:13" x14ac:dyDescent="0.3">
      <c r="A22" s="1" t="str">
        <f xml:space="preserve"> _xll.EPMOlapMemberO("[CECO].[PARENTH3].[N1000AC650]","","N1000AC650 - Relaciones Instituci","","000")</f>
        <v>N1000AC650 - Relaciones Instituci</v>
      </c>
      <c r="B22" s="6">
        <v>24719.69</v>
      </c>
      <c r="C22" s="6">
        <v>20152.48</v>
      </c>
      <c r="D22" s="6">
        <f t="shared" si="0"/>
        <v>-4567.2099999999991</v>
      </c>
      <c r="E22" s="6">
        <v>30238.75</v>
      </c>
      <c r="F22" s="6">
        <v>20704.14</v>
      </c>
      <c r="G22" s="6">
        <f t="shared" si="1"/>
        <v>-9534.61</v>
      </c>
      <c r="H22" s="6">
        <v>24460.29</v>
      </c>
      <c r="I22" s="6">
        <v>37817.14</v>
      </c>
      <c r="J22" s="6">
        <f t="shared" si="2"/>
        <v>13356.849999999999</v>
      </c>
      <c r="K22" s="6">
        <v>29069.64</v>
      </c>
      <c r="L22" s="6"/>
      <c r="M22" s="6">
        <f t="shared" si="3"/>
        <v>-29069.64</v>
      </c>
    </row>
    <row r="23" spans="1:13" x14ac:dyDescent="0.3">
      <c r="A23" s="1" t="str">
        <f xml:space="preserve"> _xll.EPMOlapMemberO("[CECO].[PARENTH3].[N1000AC700]","","N1000AC700 - VP Estrategia e Inno","","000")</f>
        <v>N1000AC700 - VP Estrategia e Inno</v>
      </c>
      <c r="B23" s="6">
        <v>22392876.530000001</v>
      </c>
      <c r="C23" s="6">
        <v>21652328.989999998</v>
      </c>
      <c r="D23" s="6">
        <f t="shared" si="0"/>
        <v>-740547.54000000283</v>
      </c>
      <c r="E23" s="6">
        <v>23570527.039999999</v>
      </c>
      <c r="F23" s="6">
        <v>22903480.120000001</v>
      </c>
      <c r="G23" s="6">
        <f t="shared" si="1"/>
        <v>-667046.91999999806</v>
      </c>
      <c r="H23" s="6">
        <v>22017320.52</v>
      </c>
      <c r="I23" s="6">
        <v>24226163.27</v>
      </c>
      <c r="J23" s="6">
        <f t="shared" si="2"/>
        <v>2208842.75</v>
      </c>
      <c r="K23" s="6">
        <v>25431328.760000002</v>
      </c>
      <c r="L23" s="6">
        <v>24985551.280000001</v>
      </c>
      <c r="M23" s="6">
        <f t="shared" si="3"/>
        <v>-445777.48000000045</v>
      </c>
    </row>
    <row r="24" spans="1:13" x14ac:dyDescent="0.3">
      <c r="A24" s="1" t="str">
        <f xml:space="preserve"> _xll.EPMOlapMemberO("[CECO].[PARENTH3].[N1000AC720]","","N1000AC720 - VP Sustentabilidad","","000")</f>
        <v>N1000AC720 - VP Sustentabilidad</v>
      </c>
      <c r="B24" s="6">
        <v>3362309.68</v>
      </c>
      <c r="C24" s="6">
        <v>4039320.87</v>
      </c>
      <c r="D24" s="6">
        <f t="shared" si="0"/>
        <v>677011.19</v>
      </c>
      <c r="E24" s="6">
        <v>3885713.05</v>
      </c>
      <c r="F24" s="6">
        <v>4550297.49</v>
      </c>
      <c r="G24" s="6">
        <f t="shared" si="1"/>
        <v>664584.44000000041</v>
      </c>
      <c r="H24" s="6">
        <v>3354843.4</v>
      </c>
      <c r="I24" s="6">
        <v>4066354.21</v>
      </c>
      <c r="J24" s="6">
        <f t="shared" si="2"/>
        <v>711510.81</v>
      </c>
      <c r="K24" s="6">
        <v>5205909.29</v>
      </c>
      <c r="L24" s="6">
        <v>4801789.5999999996</v>
      </c>
      <c r="M24" s="6">
        <f t="shared" si="3"/>
        <v>-404119.69000000041</v>
      </c>
    </row>
    <row r="25" spans="1:13" s="3" customFormat="1" x14ac:dyDescent="0.3">
      <c r="A25" s="3" t="str">
        <f xml:space="preserve"> _xll.EPMOlapMemberO("[CECO].[PARENTH3].[N1000AC100]","","N1000AC100 - AMSA Actividades Cor","","000")</f>
        <v>N1000AC100 - AMSA Actividades Cor</v>
      </c>
      <c r="B25" s="7">
        <v>105127742.67</v>
      </c>
      <c r="C25" s="7">
        <v>105812028.90000001</v>
      </c>
      <c r="D25" s="7">
        <f t="shared" si="0"/>
        <v>684286.23000000417</v>
      </c>
      <c r="E25" s="7">
        <v>124884328.02</v>
      </c>
      <c r="F25" s="7">
        <v>116475439.87</v>
      </c>
      <c r="G25" s="7">
        <f t="shared" si="1"/>
        <v>-8408888.1499999911</v>
      </c>
      <c r="H25" s="7">
        <v>121158090.53</v>
      </c>
      <c r="I25" s="7">
        <v>128673508.40000001</v>
      </c>
      <c r="J25" s="7">
        <f t="shared" si="2"/>
        <v>7515417.8700000048</v>
      </c>
      <c r="K25" s="7">
        <v>148333798.28</v>
      </c>
      <c r="L25" s="7">
        <v>142651540.31999999</v>
      </c>
      <c r="M25" s="7">
        <f t="shared" si="3"/>
        <v>-5682257.9600000083</v>
      </c>
    </row>
  </sheetData>
  <pageMargins left="0.7" right="0.7" top="0.75" bottom="0.75" header="0.3" footer="0.3"/>
  <customProperties>
    <customPr name="EpmWorksheetKeyString_GUID" r:id="rId1"/>
  </customProperties>
  <drawing r:id="rId2"/>
  <legacyDrawing r:id="rId3"/>
  <controls>
    <mc:AlternateContent xmlns:mc="http://schemas.openxmlformats.org/markup-compatibility/2006">
      <mc:Choice Requires="x14">
        <control shapeId="1025" r:id="rId4" name="FPMExcelClientSheetOptionstb1">
          <controlPr defaultSize="0" autoLin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5" r:id="rId4" name="FPMExcelClientSheetOptionstb1"/>
      </mc:Fallback>
    </mc:AlternateContent>
    <mc:AlternateContent xmlns:mc="http://schemas.openxmlformats.org/markup-compatibility/2006">
      <mc:Choice Requires="x14">
        <control shapeId="1026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6" r:id="rId6" name="ConnectionDescriptorsInfotb1"/>
      </mc:Fallback>
    </mc:AlternateContent>
    <mc:AlternateContent xmlns:mc="http://schemas.openxmlformats.org/markup-compatibility/2006">
      <mc:Choice Requires="x14">
        <control shapeId="1027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7" r:id="rId8" name="MultipleReportManagerInfotb1"/>
      </mc:Fallback>
    </mc:AlternateContent>
    <mc:AlternateContent xmlns:mc="http://schemas.openxmlformats.org/markup-compatibility/2006">
      <mc:Choice Requires="x14">
        <control shapeId="1028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8" r:id="rId10" name="AnalyzerDynReport000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1716-726B-427F-8C4B-AD19A3260305}">
  <sheetPr codeName="Hoja2"/>
  <dimension ref="A3:N57"/>
  <sheetViews>
    <sheetView showGridLines="0" zoomScale="70" zoomScaleNormal="70" workbookViewId="0">
      <selection activeCell="R32" sqref="R32"/>
    </sheetView>
  </sheetViews>
  <sheetFormatPr baseColWidth="10" defaultRowHeight="13.8" x14ac:dyDescent="0.3"/>
  <cols>
    <col min="1" max="1" width="30.77734375" bestFit="1" customWidth="1"/>
    <col min="2" max="3" width="11.44140625" bestFit="1" customWidth="1"/>
    <col min="4" max="4" width="10.109375" bestFit="1" customWidth="1"/>
    <col min="5" max="6" width="11.44140625" bestFit="1" customWidth="1"/>
    <col min="7" max="7" width="10.109375" bestFit="1" customWidth="1"/>
    <col min="8" max="9" width="11.44140625" bestFit="1" customWidth="1"/>
    <col min="10" max="10" width="9.44140625" bestFit="1" customWidth="1"/>
    <col min="11" max="11" width="11.44140625" bestFit="1" customWidth="1"/>
    <col min="12" max="12" width="12.109375" bestFit="1" customWidth="1"/>
    <col min="13" max="13" width="10.109375" bestFit="1" customWidth="1"/>
    <col min="14" max="14" width="4.21875" bestFit="1" customWidth="1"/>
  </cols>
  <sheetData>
    <row r="3" spans="1:13" x14ac:dyDescent="0.3">
      <c r="A3" t="str">
        <f xml:space="preserve"> _xll.EPMOlapMemberO("[CEBE].[PARENTH1].[B1000CP000]","","B1000CP000 - Amsa Corporativo","","000")</f>
        <v>B1000CP000 - Amsa Corporativo</v>
      </c>
    </row>
    <row r="5" spans="1:13" x14ac:dyDescent="0.3"/>
    <row r="6" spans="1:13" x14ac:dyDescent="0.3">
      <c r="A6" t="str">
        <f xml:space="preserve"> _xll.EPMOlapMemberO("[ENTITY].[PARENTH1].[1000]","","1000 - Antofagasta Minerals S.A.","","000")</f>
        <v>1000 - Antofagasta Minerals S.A.</v>
      </c>
    </row>
    <row r="7" spans="1:13" x14ac:dyDescent="0.3">
      <c r="A7" t="str">
        <f xml:space="preserve"> _xll.EPMOlapMemberO("[CECO].[PARENTH3].[N1000AC100]","","N1000AC100 - AMSA Actividades Cor","","000")</f>
        <v>N1000AC100 - AMSA Actividades Cor</v>
      </c>
    </row>
    <row r="8" spans="1:13" s="3" customFormat="1" x14ac:dyDescent="0.3"/>
    <row r="9" spans="1:13" s="3" customFormat="1" x14ac:dyDescent="0.3">
      <c r="B9" s="3" t="str">
        <f xml:space="preserve"> _xll.EPMOlapMemberO("[TIME].[PARENTH1].[2022.TOTAL]","","2022.TOTAL","","000")</f>
        <v>2022.TOTAL</v>
      </c>
      <c r="E9" s="3" t="str">
        <f xml:space="preserve"> _xll.EPMOlapMemberO("[TIME].[PARENTH1].[2023.TOTAL]","","2023.TOTAL","","000")</f>
        <v>2023.TOTAL</v>
      </c>
      <c r="H9" s="3" t="str">
        <f xml:space="preserve"> _xll.EPMOlapMemberO("[TIME].[PARENTH1].[2024.TOTAL]","","2024.TOTAL","","000")</f>
        <v>2024.TOTAL</v>
      </c>
      <c r="K9" s="3" t="str">
        <f xml:space="preserve"> _xll.EPMOlapMemberO("[TIME].[PARENTH1].[2025.TOTAL]","","2025.TOTAL","","000")</f>
        <v>2025.TOTAL</v>
      </c>
    </row>
    <row r="10" spans="1:13" s="3" customFormat="1" x14ac:dyDescent="0.3">
      <c r="A10" s="5"/>
      <c r="B10" s="3" t="str">
        <f xml:space="preserve"> _xll.EPMOlapMemberO("[CATEGORY].[].[REAL]","","Real - Real","","000")</f>
        <v>Real - Real</v>
      </c>
      <c r="C10" s="3" t="str">
        <f xml:space="preserve"> _xll.EPMOlapMemberO("[CATEGORY].[].[PLAN]","","Plan - Plan","","000")</f>
        <v>Plan - Plan</v>
      </c>
      <c r="D10" s="3" t="str">
        <f xml:space="preserve"> _xll.FPMXLClient.TechnicalCategory.EPMLocalMember("VAR","000","000")</f>
        <v>VAR</v>
      </c>
      <c r="E10" s="3" t="str">
        <f xml:space="preserve"> _xll.EPMOlapMemberO("[CATEGORY].[].[REAL]","","Real - Real","","000")</f>
        <v>Real - Real</v>
      </c>
      <c r="F10" s="3" t="str">
        <f xml:space="preserve"> _xll.EPMOlapMemberO("[CATEGORY].[].[PLAN]","","Plan - Plan","","000")</f>
        <v>Plan - Plan</v>
      </c>
      <c r="G10" s="3" t="str">
        <f xml:space="preserve"> _xll.FPMXLClient.TechnicalCategory.EPMLocalMember("VAR","000","000")</f>
        <v>VAR</v>
      </c>
      <c r="H10" s="3" t="str">
        <f xml:space="preserve"> _xll.EPMOlapMemberO("[CATEGORY].[].[REAL]","","Real - Real","","000")</f>
        <v>Real - Real</v>
      </c>
      <c r="I10" s="3" t="str">
        <f xml:space="preserve"> _xll.EPMOlapMemberO("[CATEGORY].[].[PLAN]","","Plan - Plan","","000")</f>
        <v>Plan - Plan</v>
      </c>
      <c r="J10" s="3" t="str">
        <f xml:space="preserve"> _xll.FPMXLClient.TechnicalCategory.EPMLocalMember("VAR","000","000")</f>
        <v>VAR</v>
      </c>
      <c r="K10" s="3" t="str">
        <f xml:space="preserve"> _xll.EPMOlapMemberO("[CATEGORY].[].[REAL]","","Real - Real","","000")</f>
        <v>Real - Real</v>
      </c>
      <c r="L10" s="3" t="str">
        <f xml:space="preserve"> _xll.EPMOlapMemberO("[CATEGORY].[].[PLAN]","","Plan - Plan","","000")</f>
        <v>Plan - Plan</v>
      </c>
      <c r="M10" s="3" t="str">
        <f xml:space="preserve"> _xll.FPMXLClient.TechnicalCategory.EPMLocalMember("VAR","000","000")</f>
        <v>VAR</v>
      </c>
    </row>
    <row r="11" spans="1:13" x14ac:dyDescent="0.3">
      <c r="A11" s="1" t="str">
        <f xml:space="preserve"> _xll.EPMOlapMemberO("[CLACO].[PARENTH1].[AMSAREMUNERACI.EE]","","Remuneraciones emple","","000")</f>
        <v>Remuneraciones emple</v>
      </c>
      <c r="B11" s="6">
        <v>145080.57999999999</v>
      </c>
      <c r="C11" s="6">
        <v>162004.85999999999</v>
      </c>
      <c r="D11" s="6">
        <f>+C11-B11</f>
        <v>16924.28</v>
      </c>
      <c r="E11" s="6">
        <v>164760.03</v>
      </c>
      <c r="F11" s="6">
        <v>162979.81</v>
      </c>
      <c r="G11" s="6">
        <f>+F11-E11</f>
        <v>-1780.2200000000012</v>
      </c>
      <c r="H11" s="6">
        <v>162022.9</v>
      </c>
      <c r="I11" s="6">
        <v>186782.02</v>
      </c>
      <c r="J11" s="6">
        <f>+I11-H11</f>
        <v>24759.119999999995</v>
      </c>
      <c r="K11" s="6">
        <v>182076.49</v>
      </c>
      <c r="L11" s="6">
        <v>182026.68</v>
      </c>
      <c r="M11" s="6">
        <f>+L11-K11</f>
        <v>-49.809999999997672</v>
      </c>
    </row>
    <row r="12" spans="1:13" x14ac:dyDescent="0.3">
      <c r="A12" s="1" t="str">
        <f xml:space="preserve"> _xll.EPMOlapMemberO("[CLACO].[PARENTH1].[AMSAREMUNERACI.SS]","","Remuneraciones Super","","000")</f>
        <v>Remuneraciones Super</v>
      </c>
      <c r="B12" s="6">
        <v>72265922.760000005</v>
      </c>
      <c r="C12" s="6">
        <v>70388949.969999999</v>
      </c>
      <c r="D12" s="6">
        <f t="shared" ref="D12:D31" si="0">+C12-B12</f>
        <v>-1876972.7900000066</v>
      </c>
      <c r="E12" s="6">
        <v>85050702.700000003</v>
      </c>
      <c r="F12" s="6">
        <v>76509756.299999997</v>
      </c>
      <c r="G12" s="6">
        <f t="shared" ref="G12:G31" si="1">+F12-E12</f>
        <v>-8540946.400000006</v>
      </c>
      <c r="H12" s="6">
        <v>86311961.700000003</v>
      </c>
      <c r="I12" s="6">
        <v>88349854.219999999</v>
      </c>
      <c r="J12" s="6">
        <f t="shared" ref="J12:J31" si="2">+I12-H12</f>
        <v>2037892.5199999958</v>
      </c>
      <c r="K12" s="6">
        <v>103017080.79000001</v>
      </c>
      <c r="L12" s="6">
        <v>94294909.069999993</v>
      </c>
      <c r="M12" s="6">
        <f t="shared" ref="M12:M31" si="3">+L12-K12</f>
        <v>-8722171.7200000137</v>
      </c>
    </row>
    <row r="13" spans="1:13" x14ac:dyDescent="0.3">
      <c r="A13" s="1" t="str">
        <f xml:space="preserve"> _xll.EPMOlapMemberO("[CLACO].[PARENTH1].[AMSAA_DESGASTE]","","Aceros de desgaste","","000")</f>
        <v>Aceros de desgaste</v>
      </c>
      <c r="B13" s="6"/>
      <c r="C13" s="6"/>
      <c r="D13" s="6">
        <f t="shared" si="0"/>
        <v>0</v>
      </c>
      <c r="E13" s="6">
        <v>0</v>
      </c>
      <c r="F13" s="6"/>
      <c r="G13" s="6">
        <f t="shared" si="1"/>
        <v>0</v>
      </c>
      <c r="H13" s="6"/>
      <c r="I13" s="6"/>
      <c r="J13" s="6">
        <f t="shared" si="2"/>
        <v>0</v>
      </c>
      <c r="K13" s="6"/>
      <c r="L13" s="6"/>
      <c r="M13" s="6">
        <f t="shared" si="3"/>
        <v>0</v>
      </c>
    </row>
    <row r="14" spans="1:13" x14ac:dyDescent="0.3">
      <c r="A14" s="1" t="str">
        <f xml:space="preserve"> _xll.EPMOlapMemberO("[CLACO].[PARENTH1].[AMSAMAT_Y_REP.2]","","Materiales y repuest","","000")</f>
        <v>Materiales y repuest</v>
      </c>
      <c r="B14" s="6">
        <v>-279350.71000000002</v>
      </c>
      <c r="C14" s="6">
        <v>32724.42</v>
      </c>
      <c r="D14" s="6">
        <f t="shared" si="0"/>
        <v>312075.13</v>
      </c>
      <c r="E14" s="6">
        <v>3972.13</v>
      </c>
      <c r="F14" s="6">
        <v>26009.919999999998</v>
      </c>
      <c r="G14" s="6">
        <f t="shared" si="1"/>
        <v>22037.789999999997</v>
      </c>
      <c r="H14" s="6">
        <v>12627.56</v>
      </c>
      <c r="I14" s="6">
        <v>18257.939999999999</v>
      </c>
      <c r="J14" s="6">
        <f t="shared" si="2"/>
        <v>5630.3799999999992</v>
      </c>
      <c r="K14" s="6">
        <v>18312.07</v>
      </c>
      <c r="L14" s="6">
        <v>16153.33</v>
      </c>
      <c r="M14" s="6">
        <f t="shared" si="3"/>
        <v>-2158.7399999999998</v>
      </c>
    </row>
    <row r="15" spans="1:13" x14ac:dyDescent="0.3">
      <c r="A15" s="1" t="str">
        <f xml:space="preserve"> _xll.EPMOlapMemberO("[CLACO].[PARENTH1].[AMSACOMBUSTIBL]","","Combustibles  / Lubr","","000")</f>
        <v>Combustibles  / Lubr</v>
      </c>
      <c r="B15" s="6"/>
      <c r="C15" s="6"/>
      <c r="D15" s="6">
        <f t="shared" si="0"/>
        <v>0</v>
      </c>
      <c r="E15" s="6">
        <v>41.82</v>
      </c>
      <c r="F15" s="6"/>
      <c r="G15" s="6">
        <f t="shared" si="1"/>
        <v>-41.82</v>
      </c>
      <c r="H15" s="6"/>
      <c r="I15" s="6"/>
      <c r="J15" s="6">
        <f t="shared" si="2"/>
        <v>0</v>
      </c>
      <c r="K15" s="6"/>
      <c r="L15" s="6"/>
      <c r="M15" s="6">
        <f t="shared" si="3"/>
        <v>0</v>
      </c>
    </row>
    <row r="16" spans="1:13" x14ac:dyDescent="0.3">
      <c r="A16" s="1" t="str">
        <f xml:space="preserve"> _xll.EPMOlapMemberO("[CLACO].[PARENTH1].[AMSAENERGIA]","","Energía","","000")</f>
        <v>Energía</v>
      </c>
      <c r="B16" s="6">
        <v>185421.71</v>
      </c>
      <c r="C16" s="6">
        <v>214210.6</v>
      </c>
      <c r="D16" s="6">
        <f t="shared" si="0"/>
        <v>28788.890000000014</v>
      </c>
      <c r="E16" s="6">
        <v>172460.65</v>
      </c>
      <c r="F16" s="6">
        <v>217582.44</v>
      </c>
      <c r="G16" s="6">
        <f t="shared" si="1"/>
        <v>45121.790000000008</v>
      </c>
      <c r="H16" s="6">
        <v>220436.43</v>
      </c>
      <c r="I16" s="6">
        <v>141176.51999999999</v>
      </c>
      <c r="J16" s="6">
        <f t="shared" si="2"/>
        <v>-79259.91</v>
      </c>
      <c r="K16" s="6">
        <v>216963.4</v>
      </c>
      <c r="L16" s="6">
        <v>243491.47</v>
      </c>
      <c r="M16" s="6">
        <f t="shared" si="3"/>
        <v>26528.070000000007</v>
      </c>
    </row>
    <row r="17" spans="1:13" x14ac:dyDescent="0.3">
      <c r="A17" s="1" t="str">
        <f xml:space="preserve"> _xll.EPMOlapMemberO("[CLACO].[PARENTH1].[AMSAADM_PERSON]","","Administración Perso","","000")</f>
        <v>Administración Perso</v>
      </c>
      <c r="B17" s="6">
        <v>1291048.56</v>
      </c>
      <c r="C17" s="6">
        <v>1313673.5900000001</v>
      </c>
      <c r="D17" s="6">
        <f t="shared" si="0"/>
        <v>22625.030000000028</v>
      </c>
      <c r="E17" s="6">
        <v>1354019.45</v>
      </c>
      <c r="F17" s="6">
        <v>1084684.5</v>
      </c>
      <c r="G17" s="6">
        <f t="shared" si="1"/>
        <v>-269334.94999999995</v>
      </c>
      <c r="H17" s="6">
        <v>1114377.8</v>
      </c>
      <c r="I17" s="6">
        <v>1126957.07</v>
      </c>
      <c r="J17" s="6">
        <f t="shared" si="2"/>
        <v>12579.270000000019</v>
      </c>
      <c r="K17" s="6">
        <v>1267245.1599999999</v>
      </c>
      <c r="L17" s="6">
        <v>1262158.98</v>
      </c>
      <c r="M17" s="6">
        <f t="shared" si="3"/>
        <v>-5086.1799999999348</v>
      </c>
    </row>
    <row r="18" spans="1:13" x14ac:dyDescent="0.3">
      <c r="A18" s="1" t="str">
        <f xml:space="preserve"> _xll.EPMOlapMemberO("[CLACO].[PARENTH1].[AMSAENTRENAMI]","","Entrenamiento","","000")</f>
        <v>Entrenamiento</v>
      </c>
      <c r="B18" s="6">
        <v>910652.07</v>
      </c>
      <c r="C18" s="6">
        <v>1098323.58</v>
      </c>
      <c r="D18" s="6">
        <f t="shared" si="0"/>
        <v>187671.51000000013</v>
      </c>
      <c r="E18" s="6">
        <v>752220.89</v>
      </c>
      <c r="F18" s="6">
        <v>1053724.69</v>
      </c>
      <c r="G18" s="6">
        <f t="shared" si="1"/>
        <v>301503.79999999993</v>
      </c>
      <c r="H18" s="6">
        <v>611619.62</v>
      </c>
      <c r="I18" s="6">
        <v>768347.35</v>
      </c>
      <c r="J18" s="6">
        <f t="shared" si="2"/>
        <v>156727.72999999998</v>
      </c>
      <c r="K18" s="6">
        <v>711969.31</v>
      </c>
      <c r="L18" s="6">
        <v>565947.46</v>
      </c>
      <c r="M18" s="6">
        <f t="shared" si="3"/>
        <v>-146021.85000000009</v>
      </c>
    </row>
    <row r="19" spans="1:13" x14ac:dyDescent="0.3">
      <c r="A19" s="1" t="str">
        <f xml:space="preserve"> _xll.EPMOlapMemberO("[CLACO].[PARENTH1].[AMSAASESORIAS]","","Asesorías y Consulto","","000")</f>
        <v>Asesorías y Consulto</v>
      </c>
      <c r="B19" s="6">
        <v>8263803.1600000001</v>
      </c>
      <c r="C19" s="6">
        <v>9379477.5899999999</v>
      </c>
      <c r="D19" s="6">
        <f t="shared" si="0"/>
        <v>1115674.4299999997</v>
      </c>
      <c r="E19" s="6">
        <v>8480724.8599999994</v>
      </c>
      <c r="F19" s="6">
        <v>8673462.2400000002</v>
      </c>
      <c r="G19" s="6">
        <f t="shared" si="1"/>
        <v>192737.38000000082</v>
      </c>
      <c r="H19" s="6">
        <v>7201628.4299999997</v>
      </c>
      <c r="I19" s="6">
        <v>7442981.29</v>
      </c>
      <c r="J19" s="6">
        <f t="shared" si="2"/>
        <v>241352.86000000034</v>
      </c>
      <c r="K19" s="6">
        <v>6221075.9000000004</v>
      </c>
      <c r="L19" s="6">
        <v>6703688.46</v>
      </c>
      <c r="M19" s="6">
        <f t="shared" si="3"/>
        <v>482612.55999999959</v>
      </c>
    </row>
    <row r="20" spans="1:13" x14ac:dyDescent="0.3">
      <c r="A20" s="1" t="str">
        <f xml:space="preserve"> _xll.EPMOlapMemberO("[CLACO].[PARENTH1].[AMSAARRIENDOS]","","Arriendos","","000")</f>
        <v>Arriendos</v>
      </c>
      <c r="B20" s="6">
        <v>145147.37</v>
      </c>
      <c r="C20" s="6">
        <v>126361.2</v>
      </c>
      <c r="D20" s="6">
        <f t="shared" si="0"/>
        <v>-18786.169999999998</v>
      </c>
      <c r="E20" s="6">
        <v>141769.48000000001</v>
      </c>
      <c r="F20" s="6">
        <v>129693.82</v>
      </c>
      <c r="G20" s="6">
        <f t="shared" si="1"/>
        <v>-12075.660000000003</v>
      </c>
      <c r="H20" s="6">
        <v>206835.37</v>
      </c>
      <c r="I20" s="6">
        <v>163266.53</v>
      </c>
      <c r="J20" s="6">
        <f t="shared" si="2"/>
        <v>-43568.84</v>
      </c>
      <c r="K20" s="6">
        <v>321445.08</v>
      </c>
      <c r="L20" s="6">
        <v>349011.34</v>
      </c>
      <c r="M20" s="6">
        <f t="shared" si="3"/>
        <v>27566.260000000009</v>
      </c>
    </row>
    <row r="21" spans="1:13" x14ac:dyDescent="0.3">
      <c r="A21" s="1" t="str">
        <f xml:space="preserve"> _xll.EPMOlapMemberO("[CLACO].[PARENTH1].[AMSASERVICIOS]","","Servicios","","000")</f>
        <v>Servicios</v>
      </c>
      <c r="B21" s="6">
        <v>1475787.64</v>
      </c>
      <c r="C21" s="6">
        <v>1670409.07</v>
      </c>
      <c r="D21" s="6">
        <f t="shared" si="0"/>
        <v>194621.43000000017</v>
      </c>
      <c r="E21" s="6">
        <v>2030992.64</v>
      </c>
      <c r="F21" s="6">
        <v>1764066.41</v>
      </c>
      <c r="G21" s="6">
        <f t="shared" si="1"/>
        <v>-266926.23</v>
      </c>
      <c r="H21" s="6">
        <v>2986088.26</v>
      </c>
      <c r="I21" s="6">
        <v>3672379.09</v>
      </c>
      <c r="J21" s="6">
        <f t="shared" si="2"/>
        <v>686290.83000000007</v>
      </c>
      <c r="K21" s="6">
        <v>5237252.74</v>
      </c>
      <c r="L21" s="6">
        <v>5325173.8899999997</v>
      </c>
      <c r="M21" s="6">
        <f t="shared" si="3"/>
        <v>87921.149999999441</v>
      </c>
    </row>
    <row r="22" spans="1:13" x14ac:dyDescent="0.3">
      <c r="A22" s="1" t="str">
        <f xml:space="preserve"> _xll.EPMOlapMemberO("[CLACO].[PARENTH1].[AMSASERMANTO.REPA]","","Servicios Mantenimie","","000")</f>
        <v>Servicios Mantenimie</v>
      </c>
      <c r="B22" s="6">
        <v>631293.26</v>
      </c>
      <c r="C22" s="6">
        <v>720603.79</v>
      </c>
      <c r="D22" s="6">
        <f t="shared" si="0"/>
        <v>89310.530000000028</v>
      </c>
      <c r="E22" s="6">
        <v>569909.81999999995</v>
      </c>
      <c r="F22" s="6">
        <v>715154.88</v>
      </c>
      <c r="G22" s="6">
        <f t="shared" si="1"/>
        <v>145245.06000000006</v>
      </c>
      <c r="H22" s="6">
        <v>661536.17000000004</v>
      </c>
      <c r="I22" s="6">
        <v>783400.02</v>
      </c>
      <c r="J22" s="6">
        <f t="shared" si="2"/>
        <v>121863.84999999998</v>
      </c>
      <c r="K22" s="6">
        <v>978572.62</v>
      </c>
      <c r="L22" s="6">
        <v>751670.89</v>
      </c>
      <c r="M22" s="6">
        <f t="shared" si="3"/>
        <v>-226901.72999999998</v>
      </c>
    </row>
    <row r="23" spans="1:13" x14ac:dyDescent="0.3">
      <c r="A23" s="1" t="str">
        <f xml:space="preserve"> _xll.EPMOlapMemberO("[CLACO].[PARENTH1].[AMSAINFORMATIC]","","Informática y Comuni","","000")</f>
        <v>Informática y Comuni</v>
      </c>
      <c r="B23" s="6">
        <v>11354788.119999999</v>
      </c>
      <c r="C23" s="6">
        <v>11108508.59</v>
      </c>
      <c r="D23" s="6">
        <f t="shared" si="0"/>
        <v>-246279.52999999933</v>
      </c>
      <c r="E23" s="6">
        <v>11347148.16</v>
      </c>
      <c r="F23" s="6">
        <v>11363536.119999999</v>
      </c>
      <c r="G23" s="6">
        <f t="shared" si="1"/>
        <v>16387.959999999031</v>
      </c>
      <c r="H23" s="6">
        <v>11051806.77</v>
      </c>
      <c r="I23" s="6">
        <v>11601650.34</v>
      </c>
      <c r="J23" s="6">
        <f t="shared" si="2"/>
        <v>549843.5700000003</v>
      </c>
      <c r="K23" s="6">
        <v>11177670.279999999</v>
      </c>
      <c r="L23" s="6">
        <v>10989050.140000001</v>
      </c>
      <c r="M23" s="6">
        <f t="shared" si="3"/>
        <v>-188620.13999999873</v>
      </c>
    </row>
    <row r="24" spans="1:13" x14ac:dyDescent="0.3">
      <c r="A24" s="1" t="str">
        <f xml:space="preserve"> _xll.EPMOlapMemberO("[CLACO].[PARENTH1].[AMSAG_VIAJES]","","Gastos de Viajes","","000")</f>
        <v>Gastos de Viajes</v>
      </c>
      <c r="B24" s="6">
        <v>1816982.65</v>
      </c>
      <c r="C24" s="6">
        <v>1628473.46</v>
      </c>
      <c r="D24" s="6">
        <f t="shared" si="0"/>
        <v>-188509.18999999994</v>
      </c>
      <c r="E24" s="6">
        <v>2645295.7000000002</v>
      </c>
      <c r="F24" s="6">
        <v>2343023.14</v>
      </c>
      <c r="G24" s="6">
        <f t="shared" si="1"/>
        <v>-302272.56000000006</v>
      </c>
      <c r="H24" s="6">
        <v>2537031.15</v>
      </c>
      <c r="I24" s="6">
        <v>2762100.39</v>
      </c>
      <c r="J24" s="6">
        <f t="shared" si="2"/>
        <v>225069.24000000022</v>
      </c>
      <c r="K24" s="6">
        <v>2817963.3</v>
      </c>
      <c r="L24" s="6">
        <v>3398921.47</v>
      </c>
      <c r="M24" s="6">
        <f t="shared" si="3"/>
        <v>580958.17000000039</v>
      </c>
    </row>
    <row r="25" spans="1:13" s="3" customFormat="1" x14ac:dyDescent="0.3">
      <c r="A25" s="1" t="str">
        <f xml:space="preserve"> _xll.EPMOlapMemberO("[CLACO].[PARENTH1].[AMSASEGUROS]","","Seguros","","000")</f>
        <v>Seguros</v>
      </c>
      <c r="B25" s="6">
        <v>197220.13</v>
      </c>
      <c r="C25" s="6">
        <v>239510.34</v>
      </c>
      <c r="D25" s="6">
        <f t="shared" si="0"/>
        <v>42290.209999999992</v>
      </c>
      <c r="E25" s="6">
        <v>220391.13</v>
      </c>
      <c r="F25" s="6">
        <v>252905.72</v>
      </c>
      <c r="G25" s="6">
        <f t="shared" si="1"/>
        <v>32514.589999999997</v>
      </c>
      <c r="H25" s="6">
        <v>242469.89</v>
      </c>
      <c r="I25" s="6">
        <v>292390.58</v>
      </c>
      <c r="J25" s="6">
        <f t="shared" si="2"/>
        <v>49920.69</v>
      </c>
      <c r="K25" s="6">
        <v>211321.66</v>
      </c>
      <c r="L25" s="6">
        <v>329584.03999999998</v>
      </c>
      <c r="M25" s="6">
        <f t="shared" si="3"/>
        <v>118262.37999999998</v>
      </c>
    </row>
    <row r="26" spans="1:13" x14ac:dyDescent="0.3">
      <c r="A26" s="1" t="str">
        <f xml:space="preserve"> _xll.EPMOlapMemberO("[CLACO].[PARENTH1].[AMSAIMP_PATEN]","","Impuestos / Patentes","","000")</f>
        <v>Impuestos / Patentes</v>
      </c>
      <c r="B26" s="6">
        <v>5000338.4800000004</v>
      </c>
      <c r="C26" s="6">
        <v>5377586.4400000004</v>
      </c>
      <c r="D26" s="6">
        <f t="shared" si="0"/>
        <v>377247.95999999996</v>
      </c>
      <c r="E26" s="6">
        <v>5822751.0099999998</v>
      </c>
      <c r="F26" s="6">
        <v>6256639.4500000002</v>
      </c>
      <c r="G26" s="6">
        <f t="shared" si="1"/>
        <v>433888.44000000041</v>
      </c>
      <c r="H26" s="6">
        <v>5978626.7999999998</v>
      </c>
      <c r="I26" s="6">
        <v>8314315.6100000003</v>
      </c>
      <c r="J26" s="6">
        <f t="shared" si="2"/>
        <v>2335688.8100000005</v>
      </c>
      <c r="K26" s="6">
        <v>13647380.26</v>
      </c>
      <c r="L26" s="6">
        <v>15786306.470000001</v>
      </c>
      <c r="M26" s="6">
        <f t="shared" si="3"/>
        <v>2138926.2100000009</v>
      </c>
    </row>
    <row r="27" spans="1:13" x14ac:dyDescent="0.3">
      <c r="A27" s="1" t="str">
        <f xml:space="preserve"> _xll.EPMOlapMemberO("[CLACO].[PARENTH1].[AMSAGGENERALES.2]","","Otros Gastos","","000")</f>
        <v>Otros Gastos</v>
      </c>
      <c r="B27" s="6">
        <v>1692821.8</v>
      </c>
      <c r="C27" s="6">
        <v>2322372.91</v>
      </c>
      <c r="D27" s="6">
        <f t="shared" si="0"/>
        <v>629551.1100000001</v>
      </c>
      <c r="E27" s="6">
        <v>6098441.71</v>
      </c>
      <c r="F27" s="6">
        <v>5895971.29</v>
      </c>
      <c r="G27" s="6">
        <f t="shared" si="1"/>
        <v>-202470.41999999993</v>
      </c>
      <c r="H27" s="6">
        <v>1830992.21</v>
      </c>
      <c r="I27" s="6">
        <v>3019711.71</v>
      </c>
      <c r="J27" s="6">
        <f t="shared" si="2"/>
        <v>1188719.5</v>
      </c>
      <c r="K27" s="6">
        <v>2304353.08</v>
      </c>
      <c r="L27" s="6">
        <v>2423867.5499999998</v>
      </c>
      <c r="M27" s="6">
        <f t="shared" si="3"/>
        <v>119514.46999999974</v>
      </c>
    </row>
    <row r="28" spans="1:13" x14ac:dyDescent="0.3">
      <c r="A28" s="1" t="str">
        <f xml:space="preserve"> _xll.EPMOlapMemberO("[CLACO].[PARENTH1].[AMSACOMERCIALI]","","Comercial","","000")</f>
        <v>Comercial</v>
      </c>
      <c r="B28" s="6"/>
      <c r="C28" s="6"/>
      <c r="D28" s="6">
        <f t="shared" si="0"/>
        <v>0</v>
      </c>
      <c r="E28" s="6"/>
      <c r="F28" s="6"/>
      <c r="G28" s="6">
        <f t="shared" si="1"/>
        <v>0</v>
      </c>
      <c r="H28" s="6"/>
      <c r="I28" s="6"/>
      <c r="J28" s="6">
        <f t="shared" si="2"/>
        <v>0</v>
      </c>
      <c r="K28" s="6">
        <v>78.89</v>
      </c>
      <c r="L28" s="6"/>
      <c r="M28" s="6">
        <f t="shared" si="3"/>
        <v>-78.89</v>
      </c>
    </row>
    <row r="29" spans="1:13" x14ac:dyDescent="0.3">
      <c r="A29" s="1" t="str">
        <f xml:space="preserve"> _xll.EPMOlapMemberO("[CLACO].[PARENTH1].[AMSAIFRS16]","","Arriendo por derecho","","000")</f>
        <v>Arriendo por derecho</v>
      </c>
      <c r="B29" s="6"/>
      <c r="C29" s="6"/>
      <c r="D29" s="6">
        <f t="shared" si="0"/>
        <v>0</v>
      </c>
      <c r="E29" s="6"/>
      <c r="F29" s="6"/>
      <c r="G29" s="6">
        <f t="shared" si="1"/>
        <v>0</v>
      </c>
      <c r="H29" s="6"/>
      <c r="I29" s="6"/>
      <c r="J29" s="6">
        <f t="shared" si="2"/>
        <v>0</v>
      </c>
      <c r="K29" s="6">
        <v>-23885.53</v>
      </c>
      <c r="L29" s="6"/>
      <c r="M29" s="6">
        <f t="shared" si="3"/>
        <v>23885.53</v>
      </c>
    </row>
    <row r="30" spans="1:13" x14ac:dyDescent="0.3">
      <c r="A30" s="1" t="str">
        <f xml:space="preserve"> _xll.EPMOlapMemberO("[CLACO].[PARENTH1].[AMSASERV_CORP]","","Servicios Corporativ","","000")</f>
        <v>Servicios Corporativ</v>
      </c>
      <c r="B30" s="6">
        <v>30785.09</v>
      </c>
      <c r="C30" s="6">
        <v>28838.49</v>
      </c>
      <c r="D30" s="6">
        <f t="shared" si="0"/>
        <v>-1946.5999999999985</v>
      </c>
      <c r="E30" s="6">
        <v>28725.84</v>
      </c>
      <c r="F30" s="6">
        <v>26249.14</v>
      </c>
      <c r="G30" s="6">
        <f t="shared" si="1"/>
        <v>-2476.7000000000007</v>
      </c>
      <c r="H30" s="6">
        <v>28029.47</v>
      </c>
      <c r="I30" s="6">
        <v>29937.72</v>
      </c>
      <c r="J30" s="6">
        <f t="shared" si="2"/>
        <v>1908.25</v>
      </c>
      <c r="K30" s="6">
        <v>26922.78</v>
      </c>
      <c r="L30" s="6">
        <v>29579.08</v>
      </c>
      <c r="M30" s="6">
        <f t="shared" si="3"/>
        <v>2656.3000000000029</v>
      </c>
    </row>
    <row r="31" spans="1:13" s="3" customFormat="1" x14ac:dyDescent="0.3">
      <c r="A31" s="3" t="str">
        <f xml:space="preserve"> _xll.EPMOlapMemberO("[CLACO].[PARENTH1].[AMSAGP_CO2]","","Clases De Costo Por","","000")</f>
        <v>Clases De Costo Por</v>
      </c>
      <c r="B31" s="7">
        <v>105127742.67</v>
      </c>
      <c r="C31" s="7">
        <v>105812028.90000001</v>
      </c>
      <c r="D31" s="7">
        <f t="shared" si="0"/>
        <v>684286.23000000417</v>
      </c>
      <c r="E31" s="7">
        <v>124884328.02</v>
      </c>
      <c r="F31" s="7">
        <v>116475439.87</v>
      </c>
      <c r="G31" s="7">
        <f t="shared" si="1"/>
        <v>-8408888.1499999911</v>
      </c>
      <c r="H31" s="7">
        <v>121158090.53</v>
      </c>
      <c r="I31" s="7">
        <v>128673508.40000001</v>
      </c>
      <c r="J31" s="7">
        <f t="shared" si="2"/>
        <v>7515417.8700000048</v>
      </c>
      <c r="K31" s="7">
        <v>148333798.28</v>
      </c>
      <c r="L31" s="7">
        <v>142651540.31999999</v>
      </c>
      <c r="M31" s="7">
        <f t="shared" si="3"/>
        <v>-5682257.9600000083</v>
      </c>
    </row>
    <row r="32" spans="1:13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3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3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3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3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3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3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3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3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3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3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3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3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3"/>
    </row>
    <row r="57" spans="14:14" x14ac:dyDescent="0.3">
      <c r="N57" s="3"/>
    </row>
  </sheetData>
  <pageMargins left="0.7" right="0.7" top="0.75" bottom="0.75" header="0.3" footer="0.3"/>
  <customProperties>
    <customPr name="EpmWorksheetKeyString_GUID" r:id="rId1"/>
  </customProperties>
  <drawing r:id="rId2"/>
  <legacyDrawing r:id="rId3"/>
  <controls>
    <mc:AlternateContent xmlns:mc="http://schemas.openxmlformats.org/markup-compatibility/2006">
      <mc:Choice Requires="x14">
        <control shapeId="3073" r:id="rId4" name="FPMExcelClientSheetOptionstb1">
          <controlPr defaultSize="0" autoLin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3073" r:id="rId4" name="FPMExcelClientSheetOptionstb1"/>
      </mc:Fallback>
    </mc:AlternateContent>
    <mc:AlternateContent xmlns:mc="http://schemas.openxmlformats.org/markup-compatibility/2006">
      <mc:Choice Requires="x14">
        <control shapeId="3074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3074" r:id="rId6" name="ConnectionDescriptorsInfotb1"/>
      </mc:Fallback>
    </mc:AlternateContent>
    <mc:AlternateContent xmlns:mc="http://schemas.openxmlformats.org/markup-compatibility/2006">
      <mc:Choice Requires="x14">
        <control shapeId="3075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3075" r:id="rId8" name="MultipleReportManagerInfotb1"/>
      </mc:Fallback>
    </mc:AlternateContent>
    <mc:AlternateContent xmlns:mc="http://schemas.openxmlformats.org/markup-compatibility/2006">
      <mc:Choice Requires="x14">
        <control shapeId="3076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3076" r:id="rId10" name="AnalyzerDynReport000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FC9-E709-44B7-8228-9673BF104027}">
  <sheetPr codeName="Hoja3"/>
  <dimension ref="A3:N522"/>
  <sheetViews>
    <sheetView showGridLines="0" zoomScale="70" zoomScaleNormal="70" workbookViewId="0">
      <selection activeCell="A10" sqref="A10"/>
    </sheetView>
  </sheetViews>
  <sheetFormatPr baseColWidth="10" defaultRowHeight="13.8" x14ac:dyDescent="0.3"/>
  <cols>
    <col min="1" max="1" width="27.44140625" bestFit="1" customWidth="1"/>
    <col min="2" max="2" width="20.109375" bestFit="1" customWidth="1"/>
    <col min="3" max="4" width="12" bestFit="1" customWidth="1"/>
    <col min="5" max="5" width="11.44140625" bestFit="1" customWidth="1"/>
    <col min="6" max="7" width="12" bestFit="1" customWidth="1"/>
    <col min="8" max="8" width="11.44140625" bestFit="1" customWidth="1"/>
    <col min="9" max="10" width="12" bestFit="1" customWidth="1"/>
    <col min="11" max="11" width="7" bestFit="1" customWidth="1"/>
    <col min="12" max="13" width="12" bestFit="1" customWidth="1"/>
    <col min="14" max="14" width="8" bestFit="1" customWidth="1"/>
  </cols>
  <sheetData>
    <row r="3" spans="1:14" x14ac:dyDescent="0.3">
      <c r="A3" t="str">
        <f xml:space="preserve"> _xll.EPMOlapMemberO("[CEBE].[PARENTH1].[B1000CP000]","","B1000CP000 - Amsa Corporativo","","000")</f>
        <v>B1000CP000 - Amsa Corporativo</v>
      </c>
    </row>
    <row r="5" spans="1:14" x14ac:dyDescent="0.3"/>
    <row r="6" spans="1:14" x14ac:dyDescent="0.3">
      <c r="A6" t="str">
        <f xml:space="preserve"> _xll.EPMOlapMemberO("[ENTITY].[PARENTH1].[1000]","","1000 - Antofagasta Minerals S.A.","","000")</f>
        <v>1000 - Antofagasta Minerals S.A.</v>
      </c>
    </row>
    <row r="8" spans="1:14" s="3" customFormat="1" x14ac:dyDescent="0.3">
      <c r="C8" s="3" t="str">
        <f xml:space="preserve"> _xll.EPMOlapMemberO("[TIME].[PARENTH1].[2022.TOTAL]","","2022.TOTAL","","000")</f>
        <v>2022.TOTAL</v>
      </c>
      <c r="F8" s="3" t="str">
        <f xml:space="preserve"> _xll.EPMOlapMemberO("[TIME].[PARENTH1].[2023.TOTAL]","","2023.TOTAL","","000")</f>
        <v>2023.TOTAL</v>
      </c>
      <c r="I8" s="3" t="str">
        <f xml:space="preserve"> _xll.EPMOlapMemberO("[TIME].[PARENTH1].[2024.TOTAL]","","2024.TOTAL","","000")</f>
        <v>2024.TOTAL</v>
      </c>
      <c r="L8" s="3" t="str">
        <f xml:space="preserve"> _xll.EPMOlapMemberO("[TIME].[PARENTH1].[2025.TOTAL]","","2025.TOTAL","","000")</f>
        <v>2025.TOTAL</v>
      </c>
    </row>
    <row r="9" spans="1:14" s="3" customFormat="1" x14ac:dyDescent="0.3">
      <c r="C9" s="3" t="str">
        <f xml:space="preserve"> _xll.EPMOlapMemberO("[CATEGORY].[].[REAL]","","Real - Real","","000")</f>
        <v>Real - Real</v>
      </c>
      <c r="D9" s="3" t="str">
        <f xml:space="preserve"> _xll.EPMOlapMemberO("[CATEGORY].[].[PLAN]","","Plan - Plan","","000")</f>
        <v>Plan - Plan</v>
      </c>
      <c r="E9" s="3" t="str">
        <f xml:space="preserve"> _xll.FPMXLClient.TechnicalCategory.EPMLocalMember("VAR","000","000")</f>
        <v>VAR</v>
      </c>
      <c r="F9" s="3" t="str">
        <f xml:space="preserve"> _xll.EPMOlapMemberO("[CATEGORY].[].[REAL]","","Real - Real","","000")</f>
        <v>Real - Real</v>
      </c>
      <c r="G9" s="3" t="str">
        <f xml:space="preserve"> _xll.EPMOlapMemberO("[CATEGORY].[].[PLAN]","","Plan - Plan","","000")</f>
        <v>Plan - Plan</v>
      </c>
      <c r="H9" s="3" t="str">
        <f xml:space="preserve"> _xll.FPMXLClient.TechnicalCategory.EPMLocalMember("VAR","000","000")</f>
        <v>VAR</v>
      </c>
      <c r="I9" s="3" t="str">
        <f xml:space="preserve"> _xll.EPMOlapMemberO("[CATEGORY].[].[REAL]","","Real - Real","","000")</f>
        <v>Real - Real</v>
      </c>
      <c r="J9" s="3" t="str">
        <f xml:space="preserve"> _xll.EPMOlapMemberO("[CATEGORY].[].[PLAN]","","Plan - Plan","","000")</f>
        <v>Plan - Plan</v>
      </c>
      <c r="K9" s="3" t="str">
        <f xml:space="preserve"> _xll.FPMXLClient.TechnicalCategory.EPMLocalMember("VAR","000","000")</f>
        <v>VAR</v>
      </c>
      <c r="L9" s="3" t="str">
        <f xml:space="preserve"> _xll.EPMOlapMemberO("[CATEGORY].[].[REAL]","","Real - Real","","000")</f>
        <v>Real - Real</v>
      </c>
      <c r="M9" s="3" t="str">
        <f xml:space="preserve"> _xll.EPMOlapMemberO("[CATEGORY].[].[PLAN]","","Plan - Plan","","000")</f>
        <v>Plan - Plan</v>
      </c>
      <c r="N9" s="3" t="str">
        <f xml:space="preserve"> _xll.FPMXLClient.TechnicalCategory.EPMLocalMember("VAR","000","000")</f>
        <v>VAR</v>
      </c>
    </row>
    <row r="10" spans="1:14" x14ac:dyDescent="0.3">
      <c r="A10" s="1" t="str">
        <f xml:space="preserve"> _xll.EPMOlapMemberO("[CECO].[PARENTH3].[N1000AC050]","","VP Desarrollo","","000")</f>
        <v>VP Desarrollo</v>
      </c>
      <c r="B10" t="str">
        <f xml:space="preserve"> _xll.EPMOlapMemberO("[CLACO].[PARENTH1].[AMSAREMUNERACI.EE]","","Remuneraciones emple","","000")</f>
        <v>Remuneraciones emple</v>
      </c>
      <c r="C10" s="6"/>
      <c r="D10" s="6"/>
      <c r="E10" s="6">
        <f>+D10-C10</f>
        <v>0</v>
      </c>
      <c r="F10" s="6"/>
      <c r="G10" s="6"/>
      <c r="H10" s="6">
        <f>+G10-F10</f>
        <v>0</v>
      </c>
      <c r="I10" s="6">
        <v>-305.88</v>
      </c>
      <c r="J10" s="6"/>
      <c r="K10" s="6">
        <f>+J10-I10</f>
        <v>305.88</v>
      </c>
      <c r="L10" s="6">
        <v>-1731.37</v>
      </c>
      <c r="M10" s="6"/>
      <c r="N10" s="6">
        <f>+M10-L10</f>
        <v>1731.37</v>
      </c>
    </row>
    <row r="11" spans="1:14" x14ac:dyDescent="0.3">
      <c r="A11" s="1"/>
      <c r="B11" t="str">
        <f xml:space="preserve"> _xll.EPMOlapMemberO("[CLACO].[PARENTH1].[AMSAREMUNERACI.SS]","","Remuneraciones Super","","000")</f>
        <v>Remuneraciones Super</v>
      </c>
      <c r="C11" s="6">
        <v>3794615.98</v>
      </c>
      <c r="D11" s="6">
        <v>3802096.04</v>
      </c>
      <c r="E11" s="6">
        <f t="shared" ref="E11:E74" si="0">+D11-C11</f>
        <v>7480.0600000000559</v>
      </c>
      <c r="F11" s="6">
        <v>4548461.0599999996</v>
      </c>
      <c r="G11" s="6">
        <v>4143344.96</v>
      </c>
      <c r="H11" s="6">
        <f t="shared" ref="H11:H74" si="1">+G11-F11</f>
        <v>-405116.09999999963</v>
      </c>
      <c r="I11" s="6">
        <v>4648456.6500000004</v>
      </c>
      <c r="J11" s="6">
        <v>4406478.83</v>
      </c>
      <c r="K11" s="6">
        <f t="shared" ref="K11:K74" si="2">+J11-I11</f>
        <v>-241977.8200000003</v>
      </c>
      <c r="L11" s="6">
        <v>6114875.7300000004</v>
      </c>
      <c r="M11" s="6">
        <v>5534062.8300000001</v>
      </c>
      <c r="N11">
        <f t="shared" ref="N11:N74" si="3">+M11-L11</f>
        <v>-580812.90000000037</v>
      </c>
    </row>
    <row r="12" spans="1:14" x14ac:dyDescent="0.3">
      <c r="A12" s="1"/>
      <c r="B12" t="str">
        <f xml:space="preserve"> _xll.EPMOlapMemberO("[CLACO].[PARENTH1].[AMSAMAT_Y_REP.2]","","Materiales y repuest","","000")</f>
        <v>Materiales y repuest</v>
      </c>
      <c r="C12" s="6">
        <v>-81.06</v>
      </c>
      <c r="D12" s="6">
        <v>18381.52</v>
      </c>
      <c r="E12" s="6">
        <f t="shared" si="0"/>
        <v>18462.580000000002</v>
      </c>
      <c r="F12" s="6">
        <v>0</v>
      </c>
      <c r="G12" s="6">
        <v>18308.8</v>
      </c>
      <c r="H12" s="6">
        <f t="shared" si="1"/>
        <v>18308.8</v>
      </c>
      <c r="I12" s="6">
        <v>5557.98</v>
      </c>
      <c r="J12" s="6">
        <v>11105</v>
      </c>
      <c r="K12" s="6">
        <f t="shared" si="2"/>
        <v>5547.02</v>
      </c>
      <c r="L12" s="6">
        <v>11289.27</v>
      </c>
      <c r="M12" s="6">
        <v>16153.33</v>
      </c>
      <c r="N12">
        <f t="shared" si="3"/>
        <v>4864.0599999999995</v>
      </c>
    </row>
    <row r="13" spans="1:14" x14ac:dyDescent="0.3">
      <c r="A13" s="1"/>
      <c r="B13" t="str">
        <f xml:space="preserve"> _xll.EPMOlapMemberO("[CLACO].[PARENTH1].[AMSACOMBUSTIBL]","","Combustibles  / Lubr","","000")</f>
        <v>Combustibles  / Lubr</v>
      </c>
      <c r="C13" s="6"/>
      <c r="D13" s="6"/>
      <c r="E13" s="6">
        <f t="shared" si="0"/>
        <v>0</v>
      </c>
      <c r="F13" s="6">
        <v>41.82</v>
      </c>
      <c r="G13" s="6"/>
      <c r="H13" s="6">
        <f t="shared" si="1"/>
        <v>-41.82</v>
      </c>
      <c r="I13" s="6"/>
      <c r="J13" s="6"/>
      <c r="K13" s="6">
        <f t="shared" si="2"/>
        <v>0</v>
      </c>
      <c r="L13" s="6"/>
      <c r="M13" s="6"/>
      <c r="N13">
        <f t="shared" si="3"/>
        <v>0</v>
      </c>
    </row>
    <row r="14" spans="1:14" x14ac:dyDescent="0.3">
      <c r="A14" s="1"/>
      <c r="B14" t="str">
        <f xml:space="preserve"> _xll.EPMOlapMemberO("[CLACO].[PARENTH1].[AMSAADM_PERSON]","","Administración Perso","","000")</f>
        <v>Administración Perso</v>
      </c>
      <c r="C14" s="6">
        <v>-204.52</v>
      </c>
      <c r="D14" s="6"/>
      <c r="E14" s="6">
        <f t="shared" si="0"/>
        <v>204.52</v>
      </c>
      <c r="F14" s="6">
        <v>188.48</v>
      </c>
      <c r="G14" s="6"/>
      <c r="H14" s="6">
        <f t="shared" si="1"/>
        <v>-188.48</v>
      </c>
      <c r="I14" s="6">
        <v>142.82</v>
      </c>
      <c r="J14" s="6"/>
      <c r="K14" s="6">
        <f t="shared" si="2"/>
        <v>-142.82</v>
      </c>
      <c r="L14" s="6">
        <v>-705.93</v>
      </c>
      <c r="M14" s="6"/>
      <c r="N14">
        <f t="shared" si="3"/>
        <v>705.93</v>
      </c>
    </row>
    <row r="15" spans="1:14" x14ac:dyDescent="0.3">
      <c r="A15" s="1"/>
      <c r="B15" t="str">
        <f xml:space="preserve"> _xll.EPMOlapMemberO("[CLACO].[PARENTH1].[AMSAENTRENAMI]","","Entrenamiento","","000")</f>
        <v>Entrenamiento</v>
      </c>
      <c r="C15" s="6">
        <v>12511.41</v>
      </c>
      <c r="D15" s="6">
        <v>32143.599999999999</v>
      </c>
      <c r="E15" s="6">
        <f t="shared" si="0"/>
        <v>19632.189999999999</v>
      </c>
      <c r="F15" s="6">
        <v>8827.66</v>
      </c>
      <c r="G15" s="6">
        <v>35823.9</v>
      </c>
      <c r="H15" s="6">
        <f t="shared" si="1"/>
        <v>26996.240000000002</v>
      </c>
      <c r="I15" s="6">
        <v>8763.0300000000007</v>
      </c>
      <c r="J15" s="6">
        <v>43823.97</v>
      </c>
      <c r="K15" s="6">
        <f t="shared" si="2"/>
        <v>35060.94</v>
      </c>
      <c r="L15" s="6">
        <v>19421.62</v>
      </c>
      <c r="M15" s="6">
        <v>61448.37</v>
      </c>
      <c r="N15">
        <f t="shared" si="3"/>
        <v>42026.75</v>
      </c>
    </row>
    <row r="16" spans="1:14" x14ac:dyDescent="0.3">
      <c r="A16" s="1"/>
      <c r="B16" t="str">
        <f xml:space="preserve"> _xll.EPMOlapMemberO("[CLACO].[PARENTH1].[AMSAASESORIAS]","","Asesorías y Consulto","","000")</f>
        <v>Asesorías y Consulto</v>
      </c>
      <c r="C16" s="6">
        <v>349406.96</v>
      </c>
      <c r="D16" s="6">
        <v>471153.16</v>
      </c>
      <c r="E16" s="6">
        <f t="shared" si="0"/>
        <v>121746.19999999995</v>
      </c>
      <c r="F16" s="6">
        <v>506332.14</v>
      </c>
      <c r="G16" s="6">
        <v>409538.44</v>
      </c>
      <c r="H16" s="6">
        <f t="shared" si="1"/>
        <v>-96793.700000000012</v>
      </c>
      <c r="I16" s="6">
        <v>370360.65</v>
      </c>
      <c r="J16" s="6">
        <v>454862.2</v>
      </c>
      <c r="K16" s="6">
        <f t="shared" si="2"/>
        <v>84501.549999999988</v>
      </c>
      <c r="L16" s="6">
        <v>328894.09999999998</v>
      </c>
      <c r="M16" s="6">
        <v>405279.21</v>
      </c>
      <c r="N16">
        <f t="shared" si="3"/>
        <v>76385.110000000044</v>
      </c>
    </row>
    <row r="17" spans="1:14" x14ac:dyDescent="0.3">
      <c r="A17" s="1"/>
      <c r="B17" t="str">
        <f xml:space="preserve"> _xll.EPMOlapMemberO("[CLACO].[PARENTH1].[AMSAARRIENDOS]","","Arriendos","","000")</f>
        <v>Arriendos</v>
      </c>
      <c r="C17">
        <v>7778.97</v>
      </c>
      <c r="D17">
        <v>12728.65</v>
      </c>
      <c r="E17">
        <f t="shared" si="0"/>
        <v>4949.6799999999994</v>
      </c>
      <c r="F17">
        <v>4955.7299999999996</v>
      </c>
      <c r="G17">
        <v>13207.39</v>
      </c>
      <c r="H17">
        <f t="shared" si="1"/>
        <v>8251.66</v>
      </c>
      <c r="I17">
        <v>5595.8</v>
      </c>
      <c r="J17">
        <v>14901.74</v>
      </c>
      <c r="K17">
        <f t="shared" si="2"/>
        <v>9305.9399999999987</v>
      </c>
      <c r="L17">
        <v>5921.13</v>
      </c>
      <c r="M17">
        <v>14643.15</v>
      </c>
      <c r="N17">
        <f t="shared" si="3"/>
        <v>8722.02</v>
      </c>
    </row>
    <row r="18" spans="1:14" x14ac:dyDescent="0.3">
      <c r="A18" s="1"/>
      <c r="B18" t="str">
        <f xml:space="preserve"> _xll.EPMOlapMemberO("[CLACO].[PARENTH1].[AMSASERVICIOS]","","Servicios","","000")</f>
        <v>Servicios</v>
      </c>
      <c r="C18">
        <v>138792.22</v>
      </c>
      <c r="D18">
        <v>190838.65</v>
      </c>
      <c r="E18">
        <f t="shared" si="0"/>
        <v>52046.429999999993</v>
      </c>
      <c r="F18">
        <v>248155.51</v>
      </c>
      <c r="G18">
        <v>207370.16</v>
      </c>
      <c r="H18">
        <f t="shared" si="1"/>
        <v>-40785.350000000006</v>
      </c>
      <c r="I18">
        <v>222919.01</v>
      </c>
      <c r="J18">
        <v>273385.05</v>
      </c>
      <c r="K18">
        <f t="shared" si="2"/>
        <v>50466.039999999979</v>
      </c>
      <c r="L18">
        <v>296537.43</v>
      </c>
      <c r="M18">
        <v>231345.74</v>
      </c>
      <c r="N18">
        <f t="shared" si="3"/>
        <v>-65191.69</v>
      </c>
    </row>
    <row r="19" spans="1:14" x14ac:dyDescent="0.3">
      <c r="A19" s="1"/>
      <c r="B19" t="str">
        <f xml:space="preserve"> _xll.EPMOlapMemberO("[CLACO].[PARENTH1].[AMSASERMANTO.REPA]","","Servicios Mantenimie","","000")</f>
        <v>Servicios Mantenimie</v>
      </c>
      <c r="E19">
        <f t="shared" si="0"/>
        <v>0</v>
      </c>
      <c r="F19">
        <v>1119.06</v>
      </c>
      <c r="H19">
        <f t="shared" si="1"/>
        <v>-1119.06</v>
      </c>
      <c r="K19">
        <f t="shared" si="2"/>
        <v>0</v>
      </c>
      <c r="L19">
        <v>5.29</v>
      </c>
      <c r="N19">
        <f t="shared" si="3"/>
        <v>-5.29</v>
      </c>
    </row>
    <row r="20" spans="1:14" x14ac:dyDescent="0.3">
      <c r="A20" s="1"/>
      <c r="B20" t="str">
        <f xml:space="preserve"> _xll.EPMOlapMemberO("[CLACO].[PARENTH1].[AMSAINFORMATIC]","","Informática y Comuni","","000")</f>
        <v>Informática y Comuni</v>
      </c>
      <c r="C20">
        <v>555013.55000000005</v>
      </c>
      <c r="D20">
        <v>605177.43999999994</v>
      </c>
      <c r="E20">
        <f t="shared" si="0"/>
        <v>50163.889999999898</v>
      </c>
      <c r="F20">
        <v>590576.99</v>
      </c>
      <c r="G20">
        <v>599000.63</v>
      </c>
      <c r="H20">
        <f t="shared" si="1"/>
        <v>8423.640000000014</v>
      </c>
      <c r="I20">
        <v>491982.69</v>
      </c>
      <c r="J20">
        <v>604537.9</v>
      </c>
      <c r="K20">
        <f t="shared" si="2"/>
        <v>112555.21000000002</v>
      </c>
      <c r="L20">
        <v>651959.14</v>
      </c>
      <c r="M20">
        <v>678887.75</v>
      </c>
      <c r="N20">
        <f t="shared" si="3"/>
        <v>26928.609999999986</v>
      </c>
    </row>
    <row r="21" spans="1:14" x14ac:dyDescent="0.3">
      <c r="A21" s="1"/>
      <c r="B21" t="str">
        <f xml:space="preserve"> _xll.EPMOlapMemberO("[CLACO].[PARENTH1].[AMSAG_VIAJES]","","Gastos de Viajes","","000")</f>
        <v>Gastos de Viajes</v>
      </c>
      <c r="C21">
        <v>211293.94</v>
      </c>
      <c r="D21">
        <v>292959.42</v>
      </c>
      <c r="E21">
        <f t="shared" si="0"/>
        <v>81665.479999999981</v>
      </c>
      <c r="F21">
        <v>305401.05</v>
      </c>
      <c r="G21">
        <v>592465.17000000004</v>
      </c>
      <c r="H21">
        <f t="shared" si="1"/>
        <v>287064.12000000005</v>
      </c>
      <c r="I21">
        <v>691565.29</v>
      </c>
      <c r="J21">
        <v>558649.03</v>
      </c>
      <c r="K21">
        <f t="shared" si="2"/>
        <v>-132916.26</v>
      </c>
      <c r="L21">
        <v>597844</v>
      </c>
      <c r="M21">
        <v>764892.88</v>
      </c>
      <c r="N21">
        <f t="shared" si="3"/>
        <v>167048.88</v>
      </c>
    </row>
    <row r="22" spans="1:14" x14ac:dyDescent="0.3">
      <c r="A22" s="1"/>
      <c r="B22" t="str">
        <f xml:space="preserve"> _xll.EPMOlapMemberO("[CLACO].[PARENTH1].[AMSAIMP_PATEN]","","Impuestos / Patentes","","000")</f>
        <v>Impuestos / Patentes</v>
      </c>
      <c r="E22">
        <f t="shared" si="0"/>
        <v>0</v>
      </c>
      <c r="H22">
        <f t="shared" si="1"/>
        <v>0</v>
      </c>
      <c r="I22">
        <v>52.27</v>
      </c>
      <c r="K22">
        <f t="shared" si="2"/>
        <v>-52.27</v>
      </c>
      <c r="L22">
        <v>49.94</v>
      </c>
      <c r="N22">
        <f t="shared" si="3"/>
        <v>-49.94</v>
      </c>
    </row>
    <row r="23" spans="1:14" x14ac:dyDescent="0.3">
      <c r="A23" s="1"/>
      <c r="B23" t="str">
        <f xml:space="preserve"> _xll.EPMOlapMemberO("[CLACO].[PARENTH1].[AMSAGGENERALES.2]","","Otros Gastos","","000")</f>
        <v>Otros Gastos</v>
      </c>
      <c r="C23">
        <v>23097.58</v>
      </c>
      <c r="D23">
        <v>33890.86</v>
      </c>
      <c r="E23">
        <f t="shared" si="0"/>
        <v>10793.279999999999</v>
      </c>
      <c r="F23">
        <v>43531.54</v>
      </c>
      <c r="G23">
        <v>31750.81</v>
      </c>
      <c r="H23">
        <f t="shared" si="1"/>
        <v>-11780.73</v>
      </c>
      <c r="I23">
        <v>50850.82</v>
      </c>
      <c r="J23">
        <v>33704.54</v>
      </c>
      <c r="K23">
        <f t="shared" si="2"/>
        <v>-17146.28</v>
      </c>
      <c r="L23">
        <v>89570.5</v>
      </c>
      <c r="M23">
        <v>106762.09</v>
      </c>
      <c r="N23">
        <f t="shared" si="3"/>
        <v>17191.589999999997</v>
      </c>
    </row>
    <row r="24" spans="1:14" x14ac:dyDescent="0.3">
      <c r="A24" s="1" t="str">
        <f xml:space="preserve"> _xll.EPMOlapMemberO("[CECO].[PARENTH3].[N1000AC051]","","VP Planificación y S","","000")</f>
        <v>VP Planificación y S</v>
      </c>
      <c r="B24" t="str">
        <f xml:space="preserve"> _xll.EPMOlapMemberO("[CLACO].[PARENTH1].[AMSAREMUNERACI.EE]","","Remuneraciones emple","","000")</f>
        <v>Remuneraciones emple</v>
      </c>
      <c r="E24">
        <f t="shared" si="0"/>
        <v>0</v>
      </c>
      <c r="H24">
        <f t="shared" si="1"/>
        <v>0</v>
      </c>
      <c r="I24">
        <v>-887.85</v>
      </c>
      <c r="K24">
        <f t="shared" si="2"/>
        <v>887.85</v>
      </c>
      <c r="L24">
        <v>-3133.5</v>
      </c>
      <c r="N24">
        <f t="shared" si="3"/>
        <v>3133.5</v>
      </c>
    </row>
    <row r="25" spans="1:14" x14ac:dyDescent="0.3">
      <c r="A25" s="1"/>
      <c r="B25" t="str">
        <f xml:space="preserve"> _xll.EPMOlapMemberO("[CLACO].[PARENTH1].[AMSAREMUNERACI.SS]","","Remuneraciones Super","","000")</f>
        <v>Remuneraciones Super</v>
      </c>
      <c r="C25">
        <v>6705202.0599999996</v>
      </c>
      <c r="D25">
        <v>5170930.59</v>
      </c>
      <c r="E25">
        <f t="shared" si="0"/>
        <v>-1534271.4699999997</v>
      </c>
      <c r="F25">
        <v>7931580.7300000004</v>
      </c>
      <c r="G25">
        <v>5866724.9500000002</v>
      </c>
      <c r="H25">
        <f t="shared" si="1"/>
        <v>-2064855.7800000003</v>
      </c>
      <c r="I25">
        <v>9823921.9700000007</v>
      </c>
      <c r="J25">
        <v>9568968.7100000009</v>
      </c>
      <c r="K25">
        <f t="shared" si="2"/>
        <v>-254953.25999999978</v>
      </c>
      <c r="L25">
        <v>13407864.58</v>
      </c>
      <c r="M25">
        <v>11232935.16</v>
      </c>
      <c r="N25">
        <f t="shared" si="3"/>
        <v>-2174929.42</v>
      </c>
    </row>
    <row r="26" spans="1:14" x14ac:dyDescent="0.3">
      <c r="A26" s="1"/>
      <c r="B26" t="str">
        <f xml:space="preserve"> _xll.EPMOlapMemberO("[CLACO].[PARENTH1].[AMSAMAT_Y_REP.2]","","Materiales y repuest","","000")</f>
        <v>Materiales y repuest</v>
      </c>
      <c r="E26">
        <f t="shared" si="0"/>
        <v>0</v>
      </c>
      <c r="F26">
        <v>0</v>
      </c>
      <c r="H26">
        <f t="shared" si="1"/>
        <v>0</v>
      </c>
      <c r="K26">
        <f t="shared" si="2"/>
        <v>0</v>
      </c>
      <c r="N26">
        <f t="shared" si="3"/>
        <v>0</v>
      </c>
    </row>
    <row r="27" spans="1:14" x14ac:dyDescent="0.3">
      <c r="A27" s="1"/>
      <c r="B27" t="str">
        <f xml:space="preserve"> _xll.EPMOlapMemberO("[CLACO].[PARENTH1].[AMSAADM_PERSON]","","Administración Perso","","000")</f>
        <v>Administración Perso</v>
      </c>
      <c r="C27">
        <v>91018.43</v>
      </c>
      <c r="E27">
        <f t="shared" si="0"/>
        <v>-91018.43</v>
      </c>
      <c r="F27">
        <v>234061.68</v>
      </c>
      <c r="H27">
        <f t="shared" si="1"/>
        <v>-234061.68</v>
      </c>
      <c r="I27">
        <v>39787.5</v>
      </c>
      <c r="K27">
        <f t="shared" si="2"/>
        <v>-39787.5</v>
      </c>
      <c r="L27">
        <v>32749.42</v>
      </c>
      <c r="N27">
        <f t="shared" si="3"/>
        <v>-32749.42</v>
      </c>
    </row>
    <row r="28" spans="1:14" x14ac:dyDescent="0.3">
      <c r="A28" s="1"/>
      <c r="B28" t="str">
        <f xml:space="preserve"> _xll.EPMOlapMemberO("[CLACO].[PARENTH1].[AMSAENTRENAMI]","","Entrenamiento","","000")</f>
        <v>Entrenamiento</v>
      </c>
      <c r="C28">
        <v>168752.87</v>
      </c>
      <c r="D28">
        <v>98341.86</v>
      </c>
      <c r="E28">
        <f t="shared" si="0"/>
        <v>-70411.009999999995</v>
      </c>
      <c r="F28">
        <v>63340.37</v>
      </c>
      <c r="G28">
        <v>113799.91</v>
      </c>
      <c r="H28">
        <f t="shared" si="1"/>
        <v>50459.54</v>
      </c>
      <c r="I28">
        <v>167522.16</v>
      </c>
      <c r="J28">
        <v>115678.62</v>
      </c>
      <c r="K28">
        <f t="shared" si="2"/>
        <v>-51843.540000000008</v>
      </c>
      <c r="L28">
        <v>140234.66</v>
      </c>
      <c r="M28">
        <v>27578.42</v>
      </c>
      <c r="N28">
        <f t="shared" si="3"/>
        <v>-112656.24</v>
      </c>
    </row>
    <row r="29" spans="1:14" x14ac:dyDescent="0.3">
      <c r="A29" s="1"/>
      <c r="B29" t="str">
        <f xml:space="preserve"> _xll.EPMOlapMemberO("[CLACO].[PARENTH1].[AMSAASESORIAS]","","Asesorías y Consulto","","000")</f>
        <v>Asesorías y Consulto</v>
      </c>
      <c r="C29">
        <v>1238788.6299999999</v>
      </c>
      <c r="D29">
        <v>1502488.73</v>
      </c>
      <c r="E29">
        <f t="shared" si="0"/>
        <v>263700.10000000009</v>
      </c>
      <c r="F29">
        <v>1639573</v>
      </c>
      <c r="G29">
        <v>1377936.01</v>
      </c>
      <c r="H29">
        <f t="shared" si="1"/>
        <v>-261636.99</v>
      </c>
      <c r="I29">
        <v>793425</v>
      </c>
      <c r="J29">
        <v>1015000</v>
      </c>
      <c r="K29">
        <f t="shared" si="2"/>
        <v>221575</v>
      </c>
      <c r="L29">
        <v>394135.59</v>
      </c>
      <c r="M29">
        <v>340006.16</v>
      </c>
      <c r="N29">
        <f t="shared" si="3"/>
        <v>-54129.430000000051</v>
      </c>
    </row>
    <row r="30" spans="1:14" x14ac:dyDescent="0.3">
      <c r="A30" s="1"/>
      <c r="B30" t="str">
        <f xml:space="preserve"> _xll.EPMOlapMemberO("[CLACO].[PARENTH1].[AMSAARRIENDOS]","","Arriendos","","000")</f>
        <v>Arriendos</v>
      </c>
      <c r="D30">
        <v>523.41</v>
      </c>
      <c r="E30">
        <f t="shared" si="0"/>
        <v>523.41</v>
      </c>
      <c r="H30">
        <f t="shared" si="1"/>
        <v>0</v>
      </c>
      <c r="K30">
        <f t="shared" si="2"/>
        <v>0</v>
      </c>
      <c r="L30">
        <v>980.04</v>
      </c>
      <c r="N30">
        <f t="shared" si="3"/>
        <v>-980.04</v>
      </c>
    </row>
    <row r="31" spans="1:14" x14ac:dyDescent="0.3">
      <c r="A31" s="1"/>
      <c r="B31" t="str">
        <f xml:space="preserve"> _xll.EPMOlapMemberO("[CLACO].[PARENTH1].[AMSASERVICIOS]","","Servicios","","000")</f>
        <v>Servicios</v>
      </c>
      <c r="C31">
        <v>34608.9</v>
      </c>
      <c r="D31">
        <v>41179.31</v>
      </c>
      <c r="E31">
        <f t="shared" si="0"/>
        <v>6570.4099999999962</v>
      </c>
      <c r="F31">
        <v>223092.12</v>
      </c>
      <c r="G31">
        <v>213013.43</v>
      </c>
      <c r="H31">
        <f t="shared" si="1"/>
        <v>-10078.690000000002</v>
      </c>
      <c r="I31">
        <v>1144040.02</v>
      </c>
      <c r="J31">
        <v>1148848.03</v>
      </c>
      <c r="K31">
        <f t="shared" si="2"/>
        <v>4808.0100000000093</v>
      </c>
      <c r="L31">
        <v>1502742.56</v>
      </c>
      <c r="M31">
        <v>1522511.82</v>
      </c>
      <c r="N31">
        <f t="shared" si="3"/>
        <v>19769.260000000009</v>
      </c>
    </row>
    <row r="32" spans="1:14" x14ac:dyDescent="0.3">
      <c r="A32" s="1"/>
      <c r="B32" t="str">
        <f xml:space="preserve"> _xll.EPMOlapMemberO("[CLACO].[PARENTH1].[AMSASERMANTO.REPA]","","Servicios Mantenimie","","000")</f>
        <v>Servicios Mantenimie</v>
      </c>
      <c r="C32">
        <v>55.64</v>
      </c>
      <c r="E32">
        <f t="shared" si="0"/>
        <v>-55.64</v>
      </c>
      <c r="F32">
        <v>3636.94</v>
      </c>
      <c r="H32">
        <f t="shared" si="1"/>
        <v>-3636.94</v>
      </c>
      <c r="I32">
        <v>950.47</v>
      </c>
      <c r="K32">
        <f t="shared" si="2"/>
        <v>-950.47</v>
      </c>
      <c r="L32">
        <v>49998.63</v>
      </c>
      <c r="N32">
        <f t="shared" si="3"/>
        <v>-49998.63</v>
      </c>
    </row>
    <row r="33" spans="1:14" x14ac:dyDescent="0.3">
      <c r="A33" s="1"/>
      <c r="B33" t="str">
        <f xml:space="preserve"> _xll.EPMOlapMemberO("[CLACO].[PARENTH1].[AMSAINFORMATIC]","","Informática y Comuni","","000")</f>
        <v>Informática y Comuni</v>
      </c>
      <c r="C33">
        <v>223645.13</v>
      </c>
      <c r="D33">
        <v>214194.82</v>
      </c>
      <c r="E33">
        <f t="shared" si="0"/>
        <v>-9450.3099999999977</v>
      </c>
      <c r="F33">
        <v>337292.71</v>
      </c>
      <c r="G33">
        <v>188076.25</v>
      </c>
      <c r="H33">
        <f t="shared" si="1"/>
        <v>-149216.46000000002</v>
      </c>
      <c r="I33">
        <v>666395.92000000004</v>
      </c>
      <c r="J33">
        <v>282810.96999999997</v>
      </c>
      <c r="K33">
        <f t="shared" si="2"/>
        <v>-383584.95000000007</v>
      </c>
      <c r="L33">
        <v>579988.64</v>
      </c>
      <c r="M33">
        <v>363986.25</v>
      </c>
      <c r="N33">
        <f t="shared" si="3"/>
        <v>-216002.39</v>
      </c>
    </row>
    <row r="34" spans="1:14" x14ac:dyDescent="0.3">
      <c r="A34" s="1"/>
      <c r="B34" t="str">
        <f xml:space="preserve"> _xll.EPMOlapMemberO("[CLACO].[PARENTH1].[AMSAG_VIAJES]","","Gastos de Viajes","","000")</f>
        <v>Gastos de Viajes</v>
      </c>
      <c r="C34">
        <v>147673.37</v>
      </c>
      <c r="D34">
        <v>241989.52</v>
      </c>
      <c r="E34">
        <f t="shared" si="0"/>
        <v>94316.15</v>
      </c>
      <c r="F34">
        <v>196898.63</v>
      </c>
      <c r="G34">
        <v>257650.06</v>
      </c>
      <c r="H34">
        <f t="shared" si="1"/>
        <v>60751.429999999993</v>
      </c>
      <c r="I34">
        <v>209454.96</v>
      </c>
      <c r="J34">
        <v>362544.07</v>
      </c>
      <c r="K34">
        <f t="shared" si="2"/>
        <v>153089.11000000002</v>
      </c>
      <c r="L34">
        <v>295028.57</v>
      </c>
      <c r="M34">
        <v>325889.09999999998</v>
      </c>
      <c r="N34">
        <f t="shared" si="3"/>
        <v>30860.52999999997</v>
      </c>
    </row>
    <row r="35" spans="1:14" x14ac:dyDescent="0.3">
      <c r="A35" s="1"/>
      <c r="B35" t="str">
        <f xml:space="preserve"> _xll.EPMOlapMemberO("[CLACO].[PARENTH1].[AMSAGGENERALES.2]","","Otros Gastos","","000")</f>
        <v>Otros Gastos</v>
      </c>
      <c r="C35">
        <v>8112.74</v>
      </c>
      <c r="D35">
        <v>15180.13</v>
      </c>
      <c r="E35">
        <f t="shared" si="0"/>
        <v>7067.3899999999994</v>
      </c>
      <c r="F35">
        <v>18139.34</v>
      </c>
      <c r="G35">
        <v>17841.830000000002</v>
      </c>
      <c r="H35">
        <f t="shared" si="1"/>
        <v>-297.5099999999984</v>
      </c>
      <c r="I35">
        <v>19180.900000000001</v>
      </c>
      <c r="J35">
        <v>32451.98</v>
      </c>
      <c r="K35">
        <f t="shared" si="2"/>
        <v>13271.079999999998</v>
      </c>
      <c r="L35">
        <v>124807.87</v>
      </c>
      <c r="M35">
        <v>211934.06</v>
      </c>
      <c r="N35">
        <f t="shared" si="3"/>
        <v>87126.19</v>
      </c>
    </row>
    <row r="36" spans="1:14" x14ac:dyDescent="0.3">
      <c r="A36" s="1" t="str">
        <f xml:space="preserve"> _xll.EPMOlapMemberO("[CECO].[PARENTH3].[N1000AC054]","","VP Proyectos","","000")</f>
        <v>VP Proyectos</v>
      </c>
      <c r="B36" t="str">
        <f xml:space="preserve"> _xll.EPMOlapMemberO("[CLACO].[PARENTH1].[AMSAREMUNERACI.SS]","","Remuneraciones Super","","000")</f>
        <v>Remuneraciones Super</v>
      </c>
      <c r="C36">
        <v>4160501.7</v>
      </c>
      <c r="D36">
        <v>4373701.87</v>
      </c>
      <c r="E36">
        <f t="shared" si="0"/>
        <v>213200.16999999993</v>
      </c>
      <c r="F36">
        <v>4497690.3600000003</v>
      </c>
      <c r="G36">
        <v>4331395.5</v>
      </c>
      <c r="H36">
        <f t="shared" si="1"/>
        <v>-166294.86000000034</v>
      </c>
      <c r="I36">
        <v>5999549.5899999999</v>
      </c>
      <c r="J36">
        <v>4774224.4000000004</v>
      </c>
      <c r="K36">
        <f t="shared" si="2"/>
        <v>-1225325.1899999995</v>
      </c>
      <c r="L36">
        <v>7453841.1200000001</v>
      </c>
      <c r="M36">
        <v>7240198.5700000003</v>
      </c>
      <c r="N36">
        <f t="shared" si="3"/>
        <v>-213642.54999999981</v>
      </c>
    </row>
    <row r="37" spans="1:14" x14ac:dyDescent="0.3">
      <c r="A37" s="1"/>
      <c r="B37" t="str">
        <f xml:space="preserve"> _xll.EPMOlapMemberO("[CLACO].[PARENTH1].[AMSAMAT_Y_REP.2]","","Materiales y repuest","","000")</f>
        <v>Materiales y repuest</v>
      </c>
      <c r="E37">
        <f t="shared" si="0"/>
        <v>0</v>
      </c>
      <c r="F37">
        <v>0</v>
      </c>
      <c r="H37">
        <f t="shared" si="1"/>
        <v>0</v>
      </c>
      <c r="K37">
        <f t="shared" si="2"/>
        <v>0</v>
      </c>
      <c r="L37">
        <v>3709.55</v>
      </c>
      <c r="N37">
        <f t="shared" si="3"/>
        <v>-3709.55</v>
      </c>
    </row>
    <row r="38" spans="1:14" x14ac:dyDescent="0.3">
      <c r="A38" s="1"/>
      <c r="B38" t="str">
        <f xml:space="preserve"> _xll.EPMOlapMemberO("[CLACO].[PARENTH1].[AMSAADM_PERSON]","","Administración Perso","","000")</f>
        <v>Administración Perso</v>
      </c>
      <c r="C38">
        <v>18627.759999999998</v>
      </c>
      <c r="D38">
        <v>13491.9</v>
      </c>
      <c r="E38">
        <f t="shared" si="0"/>
        <v>-5135.8599999999988</v>
      </c>
      <c r="G38">
        <v>20231.39</v>
      </c>
      <c r="H38">
        <f t="shared" si="1"/>
        <v>20231.39</v>
      </c>
      <c r="K38">
        <f t="shared" si="2"/>
        <v>0</v>
      </c>
      <c r="N38">
        <f t="shared" si="3"/>
        <v>0</v>
      </c>
    </row>
    <row r="39" spans="1:14" x14ac:dyDescent="0.3">
      <c r="A39" s="1"/>
      <c r="B39" t="str">
        <f xml:space="preserve"> _xll.EPMOlapMemberO("[CLACO].[PARENTH1].[AMSAENTRENAMI]","","Entrenamiento","","000")</f>
        <v>Entrenamiento</v>
      </c>
      <c r="C39">
        <v>7691.65</v>
      </c>
      <c r="D39">
        <v>12334.88</v>
      </c>
      <c r="E39">
        <f t="shared" si="0"/>
        <v>4643.2299999999996</v>
      </c>
      <c r="F39">
        <v>1759</v>
      </c>
      <c r="H39">
        <f t="shared" si="1"/>
        <v>-1759</v>
      </c>
      <c r="I39">
        <v>3243.73</v>
      </c>
      <c r="K39">
        <f t="shared" si="2"/>
        <v>-3243.73</v>
      </c>
      <c r="L39">
        <v>16245.42</v>
      </c>
      <c r="N39">
        <f t="shared" si="3"/>
        <v>-16245.42</v>
      </c>
    </row>
    <row r="40" spans="1:14" x14ac:dyDescent="0.3">
      <c r="A40" s="1"/>
      <c r="B40" t="str">
        <f xml:space="preserve"> _xll.EPMOlapMemberO("[CLACO].[PARENTH1].[AMSAASESORIAS]","","Asesorías y Consulto","","000")</f>
        <v>Asesorías y Consulto</v>
      </c>
      <c r="C40">
        <v>130428.21</v>
      </c>
      <c r="D40">
        <v>153532.23000000001</v>
      </c>
      <c r="E40">
        <f t="shared" si="0"/>
        <v>23104.020000000004</v>
      </c>
      <c r="F40">
        <v>65385.45</v>
      </c>
      <c r="G40">
        <v>131145.71</v>
      </c>
      <c r="H40">
        <f t="shared" si="1"/>
        <v>65760.259999999995</v>
      </c>
      <c r="I40">
        <v>73653.440000000002</v>
      </c>
      <c r="J40">
        <v>129600</v>
      </c>
      <c r="K40">
        <f t="shared" si="2"/>
        <v>55946.559999999998</v>
      </c>
      <c r="L40">
        <v>49338.46</v>
      </c>
      <c r="M40">
        <v>100000</v>
      </c>
      <c r="N40">
        <f t="shared" si="3"/>
        <v>50661.54</v>
      </c>
    </row>
    <row r="41" spans="1:14" x14ac:dyDescent="0.3">
      <c r="A41" s="1"/>
      <c r="B41" t="str">
        <f xml:space="preserve"> _xll.EPMOlapMemberO("[CLACO].[PARENTH1].[AMSASERVICIOS]","","Servicios","","000")</f>
        <v>Servicios</v>
      </c>
      <c r="C41">
        <v>30866.54</v>
      </c>
      <c r="D41">
        <v>60813.68</v>
      </c>
      <c r="E41">
        <f t="shared" si="0"/>
        <v>29947.14</v>
      </c>
      <c r="F41">
        <v>51275.33</v>
      </c>
      <c r="G41">
        <v>47351.08</v>
      </c>
      <c r="H41">
        <f t="shared" si="1"/>
        <v>-3924.25</v>
      </c>
      <c r="I41">
        <v>48262.03</v>
      </c>
      <c r="J41">
        <v>61022.74</v>
      </c>
      <c r="K41">
        <f t="shared" si="2"/>
        <v>12760.71</v>
      </c>
      <c r="L41">
        <v>52677.04</v>
      </c>
      <c r="M41">
        <v>70044.509999999995</v>
      </c>
      <c r="N41">
        <f t="shared" si="3"/>
        <v>17367.469999999994</v>
      </c>
    </row>
    <row r="42" spans="1:14" x14ac:dyDescent="0.3">
      <c r="A42" s="1"/>
      <c r="B42" t="str">
        <f xml:space="preserve"> _xll.EPMOlapMemberO("[CLACO].[PARENTH1].[AMSASERMANTO.REPA]","","Servicios Mantenimie","","000")</f>
        <v>Servicios Mantenimie</v>
      </c>
      <c r="C42">
        <v>46.58</v>
      </c>
      <c r="E42">
        <f t="shared" si="0"/>
        <v>-46.58</v>
      </c>
      <c r="H42">
        <f t="shared" si="1"/>
        <v>0</v>
      </c>
      <c r="K42">
        <f t="shared" si="2"/>
        <v>0</v>
      </c>
      <c r="N42">
        <f t="shared" si="3"/>
        <v>0</v>
      </c>
    </row>
    <row r="43" spans="1:14" x14ac:dyDescent="0.3">
      <c r="A43" s="1"/>
      <c r="B43" t="str">
        <f xml:space="preserve"> _xll.EPMOlapMemberO("[CLACO].[PARENTH1].[AMSAINFORMATIC]","","Informática y Comuni","","000")</f>
        <v>Informática y Comuni</v>
      </c>
      <c r="C43">
        <v>50060.98</v>
      </c>
      <c r="D43">
        <v>152468.67000000001</v>
      </c>
      <c r="E43">
        <f t="shared" si="0"/>
        <v>102407.69</v>
      </c>
      <c r="F43">
        <v>79881.63</v>
      </c>
      <c r="G43">
        <v>99393.76</v>
      </c>
      <c r="H43">
        <f t="shared" si="1"/>
        <v>19512.12999999999</v>
      </c>
      <c r="I43">
        <v>79078.94</v>
      </c>
      <c r="J43">
        <v>106474.73</v>
      </c>
      <c r="K43">
        <f t="shared" si="2"/>
        <v>27395.789999999994</v>
      </c>
      <c r="L43">
        <v>63555.3</v>
      </c>
      <c r="M43">
        <v>97757.35</v>
      </c>
      <c r="N43">
        <f t="shared" si="3"/>
        <v>34202.050000000003</v>
      </c>
    </row>
    <row r="44" spans="1:14" x14ac:dyDescent="0.3">
      <c r="A44" s="1"/>
      <c r="B44" t="str">
        <f xml:space="preserve"> _xll.EPMOlapMemberO("[CLACO].[PARENTH1].[AMSAG_VIAJES]","","Gastos de Viajes","","000")</f>
        <v>Gastos de Viajes</v>
      </c>
      <c r="C44">
        <v>47364.52</v>
      </c>
      <c r="D44">
        <v>40972.93</v>
      </c>
      <c r="E44">
        <f t="shared" si="0"/>
        <v>-6391.5899999999965</v>
      </c>
      <c r="F44">
        <v>48472.27</v>
      </c>
      <c r="G44">
        <v>40963.699999999997</v>
      </c>
      <c r="H44">
        <f t="shared" si="1"/>
        <v>-7508.57</v>
      </c>
      <c r="I44">
        <v>43737.3</v>
      </c>
      <c r="J44">
        <v>62884.84</v>
      </c>
      <c r="K44">
        <f t="shared" si="2"/>
        <v>19147.539999999994</v>
      </c>
      <c r="L44">
        <v>49733.71</v>
      </c>
      <c r="M44">
        <v>66814</v>
      </c>
      <c r="N44">
        <f t="shared" si="3"/>
        <v>17080.29</v>
      </c>
    </row>
    <row r="45" spans="1:14" x14ac:dyDescent="0.3">
      <c r="A45" s="1"/>
      <c r="B45" t="str">
        <f xml:space="preserve"> _xll.EPMOlapMemberO("[CLACO].[PARENTH1].[AMSAGGENERALES.2]","","Otros Gastos","","000")</f>
        <v>Otros Gastos</v>
      </c>
      <c r="C45">
        <v>556.42999999999995</v>
      </c>
      <c r="D45">
        <v>3198.92</v>
      </c>
      <c r="E45">
        <f t="shared" si="0"/>
        <v>2642.4900000000002</v>
      </c>
      <c r="F45">
        <v>3402.67</v>
      </c>
      <c r="G45">
        <v>2284.27</v>
      </c>
      <c r="H45">
        <f t="shared" si="1"/>
        <v>-1118.4000000000001</v>
      </c>
      <c r="I45">
        <v>4834.45</v>
      </c>
      <c r="J45">
        <v>2408.1799999999998</v>
      </c>
      <c r="K45">
        <f t="shared" si="2"/>
        <v>-2426.27</v>
      </c>
      <c r="L45">
        <v>9629.9500000000007</v>
      </c>
      <c r="M45">
        <v>6000.06</v>
      </c>
      <c r="N45">
        <f t="shared" si="3"/>
        <v>-3629.8900000000003</v>
      </c>
    </row>
    <row r="46" spans="1:14" x14ac:dyDescent="0.3">
      <c r="A46" s="1" t="str">
        <f xml:space="preserve"> _xll.EPMOlapMemberO("[CECO].[PARENTH3].[N1000AC055]","","Presidencia Ejecutiv","","000")</f>
        <v>Presidencia Ejecutiv</v>
      </c>
      <c r="B46" t="str">
        <f xml:space="preserve"> _xll.EPMOlapMemberO("[CLACO].[PARENTH1].[AMSAREMUNERACI.SS]","","Remuneraciones Super","","000")</f>
        <v>Remuneraciones Super</v>
      </c>
      <c r="C46">
        <v>4928054.29</v>
      </c>
      <c r="D46">
        <v>3637442.12</v>
      </c>
      <c r="E46">
        <f t="shared" si="0"/>
        <v>-1290612.17</v>
      </c>
      <c r="F46">
        <v>6080950.4500000002</v>
      </c>
      <c r="G46">
        <v>4028243.83</v>
      </c>
      <c r="H46">
        <f t="shared" si="1"/>
        <v>-2052706.62</v>
      </c>
      <c r="I46">
        <v>6447346.04</v>
      </c>
      <c r="J46">
        <v>5553392.0099999998</v>
      </c>
      <c r="K46">
        <f t="shared" si="2"/>
        <v>-893954.03000000026</v>
      </c>
      <c r="L46">
        <v>11043945.85</v>
      </c>
      <c r="M46">
        <v>5890412.54</v>
      </c>
      <c r="N46">
        <f t="shared" si="3"/>
        <v>-5153533.3099999996</v>
      </c>
    </row>
    <row r="47" spans="1:14" x14ac:dyDescent="0.3">
      <c r="A47" s="1"/>
      <c r="B47" t="str">
        <f xml:space="preserve"> _xll.EPMOlapMemberO("[CLACO].[PARENTH1].[AMSAMAT_Y_REP.2]","","Materiales y repuest","","000")</f>
        <v>Materiales y repuest</v>
      </c>
      <c r="C47">
        <v>198.92</v>
      </c>
      <c r="E47">
        <f t="shared" si="0"/>
        <v>-198.92</v>
      </c>
      <c r="F47">
        <v>151.26</v>
      </c>
      <c r="H47">
        <f t="shared" si="1"/>
        <v>-151.26</v>
      </c>
      <c r="I47">
        <v>480.49</v>
      </c>
      <c r="K47">
        <f t="shared" si="2"/>
        <v>-480.49</v>
      </c>
      <c r="L47">
        <v>125.38</v>
      </c>
      <c r="N47">
        <f t="shared" si="3"/>
        <v>-125.38</v>
      </c>
    </row>
    <row r="48" spans="1:14" x14ac:dyDescent="0.3">
      <c r="A48" s="1"/>
      <c r="B48" t="str">
        <f xml:space="preserve"> _xll.EPMOlapMemberO("[CLACO].[PARENTH1].[AMSAADM_PERSON]","","Administración Perso","","000")</f>
        <v>Administración Perso</v>
      </c>
      <c r="C48">
        <v>0</v>
      </c>
      <c r="E48">
        <f t="shared" si="0"/>
        <v>0</v>
      </c>
      <c r="F48">
        <v>3834.19</v>
      </c>
      <c r="H48">
        <f t="shared" si="1"/>
        <v>-3834.19</v>
      </c>
      <c r="K48">
        <f t="shared" si="2"/>
        <v>0</v>
      </c>
      <c r="L48">
        <v>4595.63</v>
      </c>
      <c r="N48">
        <f t="shared" si="3"/>
        <v>-4595.63</v>
      </c>
    </row>
    <row r="49" spans="1:14" x14ac:dyDescent="0.3">
      <c r="A49" s="1"/>
      <c r="B49" t="str">
        <f xml:space="preserve"> _xll.EPMOlapMemberO("[CLACO].[PARENTH1].[AMSAENTRENAMI]","","Entrenamiento","","000")</f>
        <v>Entrenamiento</v>
      </c>
      <c r="C49">
        <v>17417.64</v>
      </c>
      <c r="D49">
        <v>46308.76</v>
      </c>
      <c r="E49">
        <f t="shared" si="0"/>
        <v>28891.120000000003</v>
      </c>
      <c r="F49">
        <v>13089.79</v>
      </c>
      <c r="G49">
        <v>16095.13</v>
      </c>
      <c r="H49">
        <f t="shared" si="1"/>
        <v>3005.3399999999983</v>
      </c>
      <c r="I49">
        <v>28865.94</v>
      </c>
      <c r="J49">
        <v>14029.42</v>
      </c>
      <c r="K49">
        <f t="shared" si="2"/>
        <v>-14836.519999999999</v>
      </c>
      <c r="L49">
        <v>6689.99</v>
      </c>
      <c r="M49">
        <v>22722.240000000002</v>
      </c>
      <c r="N49">
        <f t="shared" si="3"/>
        <v>16032.250000000002</v>
      </c>
    </row>
    <row r="50" spans="1:14" x14ac:dyDescent="0.3">
      <c r="A50" s="1"/>
      <c r="B50" t="str">
        <f xml:space="preserve"> _xll.EPMOlapMemberO("[CLACO].[PARENTH1].[AMSAASESORIAS]","","Asesorías y Consulto","","000")</f>
        <v>Asesorías y Consulto</v>
      </c>
      <c r="C50">
        <v>40633.480000000003</v>
      </c>
      <c r="D50">
        <v>101437.84</v>
      </c>
      <c r="E50">
        <f t="shared" si="0"/>
        <v>60804.359999999993</v>
      </c>
      <c r="F50">
        <v>29603.35</v>
      </c>
      <c r="G50">
        <v>78866.02</v>
      </c>
      <c r="H50">
        <f t="shared" si="1"/>
        <v>49262.670000000006</v>
      </c>
      <c r="I50">
        <v>39369.339999999997</v>
      </c>
      <c r="J50">
        <v>87133.45</v>
      </c>
      <c r="K50">
        <f t="shared" si="2"/>
        <v>47764.11</v>
      </c>
      <c r="L50">
        <v>6112.18</v>
      </c>
      <c r="M50">
        <v>62460.2</v>
      </c>
      <c r="N50">
        <f t="shared" si="3"/>
        <v>56348.02</v>
      </c>
    </row>
    <row r="51" spans="1:14" x14ac:dyDescent="0.3">
      <c r="A51" s="1"/>
      <c r="B51" t="str">
        <f xml:space="preserve"> _xll.EPMOlapMemberO("[CLACO].[PARENTH1].[AMSASERVICIOS]","","Servicios","","000")</f>
        <v>Servicios</v>
      </c>
      <c r="E51">
        <f t="shared" si="0"/>
        <v>0</v>
      </c>
      <c r="F51">
        <v>54.55</v>
      </c>
      <c r="H51">
        <f t="shared" si="1"/>
        <v>-54.55</v>
      </c>
      <c r="K51">
        <f t="shared" si="2"/>
        <v>0</v>
      </c>
      <c r="L51">
        <v>100204.11</v>
      </c>
      <c r="M51">
        <v>97196</v>
      </c>
      <c r="N51">
        <f t="shared" si="3"/>
        <v>-3008.1100000000006</v>
      </c>
    </row>
    <row r="52" spans="1:14" x14ac:dyDescent="0.3">
      <c r="A52" s="1"/>
      <c r="B52" t="str">
        <f xml:space="preserve"> _xll.EPMOlapMemberO("[CLACO].[PARENTH1].[AMSASERMANTO.REPA]","","Servicios Mantenimie","","000")</f>
        <v>Servicios Mantenimie</v>
      </c>
      <c r="C52">
        <v>81.22</v>
      </c>
      <c r="E52">
        <f t="shared" si="0"/>
        <v>-81.22</v>
      </c>
      <c r="H52">
        <f t="shared" si="1"/>
        <v>0</v>
      </c>
      <c r="K52">
        <f t="shared" si="2"/>
        <v>0</v>
      </c>
      <c r="N52">
        <f t="shared" si="3"/>
        <v>0</v>
      </c>
    </row>
    <row r="53" spans="1:14" x14ac:dyDescent="0.3">
      <c r="A53" s="1"/>
      <c r="B53" t="str">
        <f xml:space="preserve"> _xll.EPMOlapMemberO("[CLACO].[PARENTH1].[AMSAINFORMATIC]","","Informática y Comuni","","000")</f>
        <v>Informática y Comuni</v>
      </c>
      <c r="C53">
        <v>4721.1000000000004</v>
      </c>
      <c r="D53">
        <v>8579.83</v>
      </c>
      <c r="E53">
        <f t="shared" si="0"/>
        <v>3858.7299999999996</v>
      </c>
      <c r="F53">
        <v>5192.28</v>
      </c>
      <c r="G53">
        <v>7443.8</v>
      </c>
      <c r="H53">
        <f t="shared" si="1"/>
        <v>2251.5200000000004</v>
      </c>
      <c r="I53">
        <v>3277.44</v>
      </c>
      <c r="J53">
        <v>6118.18</v>
      </c>
      <c r="K53">
        <f t="shared" si="2"/>
        <v>2840.7400000000002</v>
      </c>
      <c r="L53">
        <v>2268.69</v>
      </c>
      <c r="M53">
        <v>3726.88</v>
      </c>
      <c r="N53">
        <f t="shared" si="3"/>
        <v>1458.19</v>
      </c>
    </row>
    <row r="54" spans="1:14" x14ac:dyDescent="0.3">
      <c r="A54" s="1"/>
      <c r="B54" t="str">
        <f xml:space="preserve"> _xll.EPMOlapMemberO("[CLACO].[PARENTH1].[AMSAG_VIAJES]","","Gastos de Viajes","","000")</f>
        <v>Gastos de Viajes</v>
      </c>
      <c r="C54">
        <v>257560.06</v>
      </c>
      <c r="D54">
        <v>98960.9</v>
      </c>
      <c r="E54">
        <f t="shared" si="0"/>
        <v>-158599.16</v>
      </c>
      <c r="F54">
        <v>366411.48</v>
      </c>
      <c r="G54">
        <v>237516.35</v>
      </c>
      <c r="H54">
        <f t="shared" si="1"/>
        <v>-128895.12999999998</v>
      </c>
      <c r="I54">
        <v>232198.16</v>
      </c>
      <c r="J54">
        <v>331555.28999999998</v>
      </c>
      <c r="K54">
        <f t="shared" si="2"/>
        <v>99357.129999999976</v>
      </c>
      <c r="L54">
        <v>393249.63</v>
      </c>
      <c r="M54">
        <v>310112.61</v>
      </c>
      <c r="N54">
        <f t="shared" si="3"/>
        <v>-83137.020000000019</v>
      </c>
    </row>
    <row r="55" spans="1:14" x14ac:dyDescent="0.3">
      <c r="A55" s="1"/>
      <c r="B55" t="str">
        <f xml:space="preserve"> _xll.EPMOlapMemberO("[CLACO].[PARENTH1].[AMSAGGENERALES.2]","","Otros Gastos","","000")</f>
        <v>Otros Gastos</v>
      </c>
      <c r="C55">
        <v>194292.32</v>
      </c>
      <c r="D55">
        <v>195555.55</v>
      </c>
      <c r="E55">
        <f t="shared" si="0"/>
        <v>1263.2299999999814</v>
      </c>
      <c r="F55">
        <v>107972.6</v>
      </c>
      <c r="G55">
        <v>135077</v>
      </c>
      <c r="H55">
        <f t="shared" si="1"/>
        <v>27104.399999999994</v>
      </c>
      <c r="I55">
        <v>114052.47</v>
      </c>
      <c r="J55">
        <v>144858.6</v>
      </c>
      <c r="K55">
        <f t="shared" si="2"/>
        <v>30806.130000000005</v>
      </c>
      <c r="L55">
        <v>157766.64000000001</v>
      </c>
      <c r="M55">
        <v>145774.79</v>
      </c>
      <c r="N55">
        <f t="shared" si="3"/>
        <v>-11991.850000000006</v>
      </c>
    </row>
    <row r="56" spans="1:14" x14ac:dyDescent="0.3">
      <c r="A56" s="1" t="str">
        <f xml:space="preserve"> _xll.EPMOlapMemberO("[CECO].[PARENTH3].[N1000AC300]","","Gerencia de Auditorí","","000")</f>
        <v>Gerencia de Auditorí</v>
      </c>
      <c r="B56" t="str">
        <f xml:space="preserve"> _xll.EPMOlapMemberO("[CLACO].[PARENTH1].[AMSAREMUNERACI.SS]","","Remuneraciones Super","","000")</f>
        <v>Remuneraciones Super</v>
      </c>
      <c r="C56">
        <v>1710911.13</v>
      </c>
      <c r="D56">
        <v>1669726.21</v>
      </c>
      <c r="E56">
        <f t="shared" si="0"/>
        <v>-41184.919999999925</v>
      </c>
      <c r="F56">
        <v>1977899.16</v>
      </c>
      <c r="G56">
        <v>1774980.69</v>
      </c>
      <c r="H56">
        <f t="shared" si="1"/>
        <v>-202918.46999999997</v>
      </c>
      <c r="I56">
        <v>1942733.23</v>
      </c>
      <c r="J56">
        <v>2250491.88</v>
      </c>
      <c r="K56">
        <f t="shared" si="2"/>
        <v>307758.64999999991</v>
      </c>
      <c r="L56">
        <v>2226702.65</v>
      </c>
      <c r="M56">
        <v>2244345.5699999998</v>
      </c>
      <c r="N56">
        <f t="shared" si="3"/>
        <v>17642.919999999925</v>
      </c>
    </row>
    <row r="57" spans="1:14" x14ac:dyDescent="0.3">
      <c r="A57" s="1"/>
      <c r="B57" t="str">
        <f xml:space="preserve"> _xll.EPMOlapMemberO("[CLACO].[PARENTH1].[AMSAMAT_Y_REP.2]","","Materiales y repuest","","000")</f>
        <v>Materiales y repuest</v>
      </c>
      <c r="E57">
        <f t="shared" si="0"/>
        <v>0</v>
      </c>
      <c r="F57">
        <v>0</v>
      </c>
      <c r="H57">
        <f t="shared" si="1"/>
        <v>0</v>
      </c>
      <c r="K57">
        <f t="shared" si="2"/>
        <v>0</v>
      </c>
      <c r="N57">
        <f t="shared" si="3"/>
        <v>0</v>
      </c>
    </row>
    <row r="58" spans="1:14" x14ac:dyDescent="0.3">
      <c r="A58" s="1"/>
      <c r="B58" t="str">
        <f xml:space="preserve"> _xll.EPMOlapMemberO("[CLACO].[PARENTH1].[AMSAADM_PERSON]","","Administración Perso","","000")</f>
        <v>Administración Perso</v>
      </c>
      <c r="C58">
        <v>1350.43</v>
      </c>
      <c r="D58">
        <v>2082.73</v>
      </c>
      <c r="E58">
        <f t="shared" si="0"/>
        <v>732.3</v>
      </c>
      <c r="F58">
        <v>1904.68</v>
      </c>
      <c r="G58">
        <v>2120</v>
      </c>
      <c r="H58">
        <f t="shared" si="1"/>
        <v>215.31999999999994</v>
      </c>
      <c r="I58">
        <v>-2000</v>
      </c>
      <c r="J58">
        <v>2060</v>
      </c>
      <c r="K58">
        <f t="shared" si="2"/>
        <v>4060</v>
      </c>
      <c r="L58">
        <v>112.8</v>
      </c>
      <c r="M58">
        <v>2046</v>
      </c>
      <c r="N58">
        <f t="shared" si="3"/>
        <v>1933.2</v>
      </c>
    </row>
    <row r="59" spans="1:14" x14ac:dyDescent="0.3">
      <c r="A59" s="1"/>
      <c r="B59" t="str">
        <f xml:space="preserve"> _xll.EPMOlapMemberO("[CLACO].[PARENTH1].[AMSAENTRENAMI]","","Entrenamiento","","000")</f>
        <v>Entrenamiento</v>
      </c>
      <c r="C59">
        <v>2288.64</v>
      </c>
      <c r="D59">
        <v>8264.1299999999992</v>
      </c>
      <c r="E59">
        <f t="shared" si="0"/>
        <v>5975.49</v>
      </c>
      <c r="F59">
        <v>5868.53</v>
      </c>
      <c r="G59">
        <v>8357.76</v>
      </c>
      <c r="H59">
        <f t="shared" si="1"/>
        <v>2489.2300000000005</v>
      </c>
      <c r="I59">
        <v>1396.96</v>
      </c>
      <c r="J59">
        <v>6135</v>
      </c>
      <c r="K59">
        <f t="shared" si="2"/>
        <v>4738.04</v>
      </c>
      <c r="L59">
        <v>2622.56</v>
      </c>
      <c r="N59">
        <f t="shared" si="3"/>
        <v>-2622.56</v>
      </c>
    </row>
    <row r="60" spans="1:14" x14ac:dyDescent="0.3">
      <c r="A60" s="1"/>
      <c r="B60" t="str">
        <f xml:space="preserve"> _xll.EPMOlapMemberO("[CLACO].[PARENTH1].[AMSAASESORIAS]","","Asesorías y Consulto","","000")</f>
        <v>Asesorías y Consulto</v>
      </c>
      <c r="C60">
        <v>127230.53</v>
      </c>
      <c r="D60">
        <v>213125.12</v>
      </c>
      <c r="E60">
        <f t="shared" si="0"/>
        <v>85894.59</v>
      </c>
      <c r="F60">
        <v>104542.15</v>
      </c>
      <c r="G60">
        <v>160864.70000000001</v>
      </c>
      <c r="H60">
        <f t="shared" si="1"/>
        <v>56322.550000000017</v>
      </c>
      <c r="I60">
        <v>82533.070000000007</v>
      </c>
      <c r="J60">
        <v>144134.98000000001</v>
      </c>
      <c r="K60">
        <f t="shared" si="2"/>
        <v>61601.91</v>
      </c>
      <c r="L60">
        <v>180453.85</v>
      </c>
      <c r="M60">
        <v>191909.5</v>
      </c>
      <c r="N60">
        <f t="shared" si="3"/>
        <v>11455.649999999994</v>
      </c>
    </row>
    <row r="61" spans="1:14" x14ac:dyDescent="0.3">
      <c r="A61" s="1"/>
      <c r="B61" t="str">
        <f xml:space="preserve"> _xll.EPMOlapMemberO("[CLACO].[PARENTH1].[AMSASERVICIOS]","","Servicios","","000")</f>
        <v>Servicios</v>
      </c>
      <c r="C61">
        <v>28437.4</v>
      </c>
      <c r="E61">
        <f t="shared" si="0"/>
        <v>-28437.4</v>
      </c>
      <c r="F61">
        <v>7893.3</v>
      </c>
      <c r="G61">
        <v>1529.42</v>
      </c>
      <c r="H61">
        <f t="shared" si="1"/>
        <v>-6363.88</v>
      </c>
      <c r="I61">
        <v>17618.25</v>
      </c>
      <c r="J61">
        <v>2126.25</v>
      </c>
      <c r="K61">
        <f t="shared" si="2"/>
        <v>-15492</v>
      </c>
      <c r="L61">
        <v>4260.7700000000004</v>
      </c>
      <c r="M61">
        <v>4053.67</v>
      </c>
      <c r="N61">
        <f t="shared" si="3"/>
        <v>-207.10000000000036</v>
      </c>
    </row>
    <row r="62" spans="1:14" x14ac:dyDescent="0.3">
      <c r="A62" s="1"/>
      <c r="B62" t="str">
        <f xml:space="preserve"> _xll.EPMOlapMemberO("[CLACO].[PARENTH1].[AMSASERMANTO.REPA]","","Servicios Mantenimie","","000")</f>
        <v>Servicios Mantenimie</v>
      </c>
      <c r="E62">
        <f t="shared" si="0"/>
        <v>0</v>
      </c>
      <c r="H62">
        <f t="shared" si="1"/>
        <v>0</v>
      </c>
      <c r="K62">
        <f t="shared" si="2"/>
        <v>0</v>
      </c>
      <c r="L62">
        <v>1053.9100000000001</v>
      </c>
      <c r="N62">
        <f t="shared" si="3"/>
        <v>-1053.9100000000001</v>
      </c>
    </row>
    <row r="63" spans="1:14" x14ac:dyDescent="0.3">
      <c r="A63" s="1"/>
      <c r="B63" t="str">
        <f xml:space="preserve"> _xll.EPMOlapMemberO("[CLACO].[PARENTH1].[AMSAINFORMATIC]","","Informática y Comuni","","000")</f>
        <v>Informática y Comuni</v>
      </c>
      <c r="C63">
        <v>57865.8</v>
      </c>
      <c r="D63">
        <v>22383.43</v>
      </c>
      <c r="E63">
        <f t="shared" si="0"/>
        <v>-35482.370000000003</v>
      </c>
      <c r="F63">
        <v>-2040.34</v>
      </c>
      <c r="G63">
        <v>41966.37</v>
      </c>
      <c r="H63">
        <f t="shared" si="1"/>
        <v>44006.71</v>
      </c>
      <c r="I63">
        <v>50129.02</v>
      </c>
      <c r="J63">
        <v>50489.65</v>
      </c>
      <c r="K63">
        <f t="shared" si="2"/>
        <v>360.63000000000466</v>
      </c>
      <c r="L63">
        <v>44531.48</v>
      </c>
      <c r="M63">
        <v>50303.34</v>
      </c>
      <c r="N63">
        <f t="shared" si="3"/>
        <v>5771.8599999999933</v>
      </c>
    </row>
    <row r="64" spans="1:14" x14ac:dyDescent="0.3">
      <c r="A64" s="1"/>
      <c r="B64" t="str">
        <f xml:space="preserve"> _xll.EPMOlapMemberO("[CLACO].[PARENTH1].[AMSAG_VIAJES]","","Gastos de Viajes","","000")</f>
        <v>Gastos de Viajes</v>
      </c>
      <c r="C64">
        <v>31676.880000000001</v>
      </c>
      <c r="D64">
        <v>56224.65</v>
      </c>
      <c r="E64">
        <f t="shared" si="0"/>
        <v>24547.77</v>
      </c>
      <c r="F64">
        <v>14149.93</v>
      </c>
      <c r="G64">
        <v>60307.67</v>
      </c>
      <c r="H64">
        <f t="shared" si="1"/>
        <v>46157.74</v>
      </c>
      <c r="I64">
        <v>15436.28</v>
      </c>
      <c r="J64">
        <v>69144.759999999995</v>
      </c>
      <c r="K64">
        <f t="shared" si="2"/>
        <v>53708.479999999996</v>
      </c>
      <c r="L64">
        <v>20892.189999999999</v>
      </c>
      <c r="M64">
        <v>41412.26</v>
      </c>
      <c r="N64">
        <f t="shared" si="3"/>
        <v>20520.070000000003</v>
      </c>
    </row>
    <row r="65" spans="1:14" x14ac:dyDescent="0.3">
      <c r="A65" s="1"/>
      <c r="B65" t="str">
        <f xml:space="preserve"> _xll.EPMOlapMemberO("[CLACO].[PARENTH1].[AMSAGGENERALES.2]","","Otros Gastos","","000")</f>
        <v>Otros Gastos</v>
      </c>
      <c r="C65">
        <v>1536.08</v>
      </c>
      <c r="D65">
        <v>1233.97</v>
      </c>
      <c r="E65">
        <f t="shared" si="0"/>
        <v>-302.1099999999999</v>
      </c>
      <c r="F65">
        <v>1299.92</v>
      </c>
      <c r="G65">
        <v>1238.68</v>
      </c>
      <c r="H65">
        <f t="shared" si="1"/>
        <v>-61.240000000000009</v>
      </c>
      <c r="I65">
        <v>1627.94</v>
      </c>
      <c r="J65">
        <v>1219.5</v>
      </c>
      <c r="K65">
        <f t="shared" si="2"/>
        <v>-408.44000000000005</v>
      </c>
      <c r="L65">
        <v>1443.31</v>
      </c>
      <c r="M65">
        <v>1214.96</v>
      </c>
      <c r="N65">
        <f t="shared" si="3"/>
        <v>-228.34999999999991</v>
      </c>
    </row>
    <row r="66" spans="1:14" x14ac:dyDescent="0.3">
      <c r="A66" s="1" t="str">
        <f xml:space="preserve"> _xll.EPMOlapMemberO("[CECO].[PARENTH3].[N1000AC301]","","Directorio","","000")</f>
        <v>Directorio</v>
      </c>
      <c r="B66" t="str">
        <f xml:space="preserve"> _xll.EPMOlapMemberO("[CLACO].[PARENTH1].[AMSAREMUNERACI.EE]","","Remuneraciones emple","","000")</f>
        <v>Remuneraciones emple</v>
      </c>
      <c r="C66">
        <v>30915.39</v>
      </c>
      <c r="D66">
        <v>38933.839999999997</v>
      </c>
      <c r="E66">
        <f t="shared" si="0"/>
        <v>8018.4499999999971</v>
      </c>
      <c r="F66">
        <v>46468.07</v>
      </c>
      <c r="G66">
        <v>36570.83</v>
      </c>
      <c r="H66">
        <f t="shared" si="1"/>
        <v>-9897.239999999998</v>
      </c>
      <c r="I66">
        <v>46289.52</v>
      </c>
      <c r="J66">
        <v>46242.45</v>
      </c>
      <c r="K66">
        <f t="shared" si="2"/>
        <v>-47.069999999999709</v>
      </c>
      <c r="L66">
        <v>52424.42</v>
      </c>
      <c r="M66">
        <v>46327.23</v>
      </c>
      <c r="N66">
        <f t="shared" si="3"/>
        <v>-6097.1899999999951</v>
      </c>
    </row>
    <row r="67" spans="1:14" x14ac:dyDescent="0.3">
      <c r="A67" s="1"/>
      <c r="B67" t="str">
        <f xml:space="preserve"> _xll.EPMOlapMemberO("[CLACO].[PARENTH1].[AMSAREMUNERACI.SS]","","Remuneraciones Super","","000")</f>
        <v>Remuneraciones Super</v>
      </c>
      <c r="C67">
        <v>226609.57</v>
      </c>
      <c r="D67">
        <v>213262.34</v>
      </c>
      <c r="E67">
        <f t="shared" si="0"/>
        <v>-13347.23000000001</v>
      </c>
      <c r="F67">
        <v>262467.18</v>
      </c>
      <c r="G67">
        <v>229578.22</v>
      </c>
      <c r="H67">
        <f t="shared" si="1"/>
        <v>-32888.959999999992</v>
      </c>
      <c r="I67">
        <v>269133.09000000003</v>
      </c>
      <c r="J67">
        <v>256624.84</v>
      </c>
      <c r="K67">
        <f t="shared" si="2"/>
        <v>-12508.250000000029</v>
      </c>
      <c r="L67">
        <v>288420.34000000003</v>
      </c>
      <c r="M67">
        <v>281135.8</v>
      </c>
      <c r="N67">
        <f t="shared" si="3"/>
        <v>-7284.5400000000373</v>
      </c>
    </row>
    <row r="68" spans="1:14" x14ac:dyDescent="0.3">
      <c r="A68" s="1"/>
      <c r="B68" t="str">
        <f xml:space="preserve"> _xll.EPMOlapMemberO("[CLACO].[PARENTH1].[AMSAMAT_Y_REP.2]","","Materiales y repuest","","000")</f>
        <v>Materiales y repuest</v>
      </c>
      <c r="E68">
        <f t="shared" si="0"/>
        <v>0</v>
      </c>
      <c r="F68">
        <v>0</v>
      </c>
      <c r="H68">
        <f t="shared" si="1"/>
        <v>0</v>
      </c>
      <c r="K68">
        <f t="shared" si="2"/>
        <v>0</v>
      </c>
      <c r="N68">
        <f t="shared" si="3"/>
        <v>0</v>
      </c>
    </row>
    <row r="69" spans="1:14" x14ac:dyDescent="0.3">
      <c r="A69" s="1"/>
      <c r="B69" t="str">
        <f xml:space="preserve"> _xll.EPMOlapMemberO("[CLACO].[PARENTH1].[AMSAADM_PERSON]","","Administración Perso","","000")</f>
        <v>Administración Perso</v>
      </c>
      <c r="E69">
        <f t="shared" si="0"/>
        <v>0</v>
      </c>
      <c r="F69">
        <v>1317.98</v>
      </c>
      <c r="H69">
        <f t="shared" si="1"/>
        <v>-1317.98</v>
      </c>
      <c r="I69">
        <v>57979.57</v>
      </c>
      <c r="K69">
        <f t="shared" si="2"/>
        <v>-57979.57</v>
      </c>
      <c r="N69">
        <f t="shared" si="3"/>
        <v>0</v>
      </c>
    </row>
    <row r="70" spans="1:14" x14ac:dyDescent="0.3">
      <c r="A70" s="1"/>
      <c r="B70" t="str">
        <f xml:space="preserve"> _xll.EPMOlapMemberO("[CLACO].[PARENTH1].[AMSAASESORIAS]","","Asesorías y Consulto","","000")</f>
        <v>Asesorías y Consulto</v>
      </c>
      <c r="C70">
        <v>2409507.61</v>
      </c>
      <c r="D70">
        <v>2360990.96</v>
      </c>
      <c r="E70">
        <f t="shared" si="0"/>
        <v>-48516.649999999907</v>
      </c>
      <c r="F70">
        <v>2667281.58</v>
      </c>
      <c r="G70">
        <v>2571394.38</v>
      </c>
      <c r="H70">
        <f t="shared" si="1"/>
        <v>-95887.200000000186</v>
      </c>
      <c r="I70">
        <v>2976019.03</v>
      </c>
      <c r="J70">
        <v>2749101.92</v>
      </c>
      <c r="K70">
        <f t="shared" si="2"/>
        <v>-226917.10999999987</v>
      </c>
      <c r="L70">
        <v>2648001.67</v>
      </c>
      <c r="M70">
        <v>2815823.29</v>
      </c>
      <c r="N70">
        <f t="shared" si="3"/>
        <v>167821.62000000011</v>
      </c>
    </row>
    <row r="71" spans="1:14" x14ac:dyDescent="0.3">
      <c r="A71" s="1"/>
      <c r="B71" t="str">
        <f xml:space="preserve"> _xll.EPMOlapMemberO("[CLACO].[PARENTH1].[AMSAARRIENDOS]","","Arriendos","","000")</f>
        <v>Arriendos</v>
      </c>
      <c r="E71">
        <f t="shared" si="0"/>
        <v>0</v>
      </c>
      <c r="H71">
        <f t="shared" si="1"/>
        <v>0</v>
      </c>
      <c r="I71">
        <v>66555.759999999995</v>
      </c>
      <c r="K71">
        <f t="shared" si="2"/>
        <v>-66555.759999999995</v>
      </c>
      <c r="L71">
        <v>54383.199999999997</v>
      </c>
      <c r="N71">
        <f t="shared" si="3"/>
        <v>-54383.199999999997</v>
      </c>
    </row>
    <row r="72" spans="1:14" x14ac:dyDescent="0.3">
      <c r="A72" s="1"/>
      <c r="B72" t="str">
        <f xml:space="preserve"> _xll.EPMOlapMemberO("[CLACO].[PARENTH1].[AMSASERVICIOS]","","Servicios","","000")</f>
        <v>Servicios</v>
      </c>
      <c r="C72">
        <v>385833.29</v>
      </c>
      <c r="D72">
        <v>322017.57</v>
      </c>
      <c r="E72">
        <f t="shared" si="0"/>
        <v>-63815.719999999972</v>
      </c>
      <c r="F72">
        <v>324726.51</v>
      </c>
      <c r="G72">
        <v>477422.55</v>
      </c>
      <c r="H72">
        <f t="shared" si="1"/>
        <v>152696.03999999998</v>
      </c>
      <c r="I72">
        <v>276963.15999999997</v>
      </c>
      <c r="J72">
        <v>485261.52</v>
      </c>
      <c r="K72">
        <f t="shared" si="2"/>
        <v>208298.36000000004</v>
      </c>
      <c r="L72">
        <v>316573.62</v>
      </c>
      <c r="M72">
        <v>323530.76</v>
      </c>
      <c r="N72">
        <f t="shared" si="3"/>
        <v>6957.140000000014</v>
      </c>
    </row>
    <row r="73" spans="1:14" x14ac:dyDescent="0.3">
      <c r="A73" s="1"/>
      <c r="B73" t="str">
        <f xml:space="preserve"> _xll.EPMOlapMemberO("[CLACO].[PARENTH1].[AMSASERMANTO.REPA]","","Servicios Mantenimie","","000")</f>
        <v>Servicios Mantenimie</v>
      </c>
      <c r="C73">
        <v>300.08</v>
      </c>
      <c r="E73">
        <f t="shared" si="0"/>
        <v>-300.08</v>
      </c>
      <c r="F73">
        <v>23492.43</v>
      </c>
      <c r="H73">
        <f t="shared" si="1"/>
        <v>-23492.43</v>
      </c>
      <c r="I73">
        <v>60178.1</v>
      </c>
      <c r="K73">
        <f t="shared" si="2"/>
        <v>-60178.1</v>
      </c>
      <c r="L73">
        <v>34973.78</v>
      </c>
      <c r="N73">
        <f t="shared" si="3"/>
        <v>-34973.78</v>
      </c>
    </row>
    <row r="74" spans="1:14" x14ac:dyDescent="0.3">
      <c r="A74" s="1"/>
      <c r="B74" t="str">
        <f xml:space="preserve"> _xll.EPMOlapMemberO("[CLACO].[PARENTH1].[AMSAINFORMATIC]","","Informática y Comuni","","000")</f>
        <v>Informática y Comuni</v>
      </c>
      <c r="C74">
        <v>7987.82</v>
      </c>
      <c r="D74">
        <v>30896.39</v>
      </c>
      <c r="E74">
        <f t="shared" si="0"/>
        <v>22908.57</v>
      </c>
      <c r="F74">
        <v>29250.82</v>
      </c>
      <c r="G74">
        <v>30117.3</v>
      </c>
      <c r="H74">
        <f t="shared" si="1"/>
        <v>866.47999999999956</v>
      </c>
      <c r="I74">
        <v>29033.09</v>
      </c>
      <c r="J74">
        <v>31499.03</v>
      </c>
      <c r="K74">
        <f t="shared" si="2"/>
        <v>2465.9399999999987</v>
      </c>
      <c r="L74">
        <v>32633.87</v>
      </c>
      <c r="M74">
        <v>30798.38</v>
      </c>
      <c r="N74">
        <f t="shared" si="3"/>
        <v>-1835.489999999998</v>
      </c>
    </row>
    <row r="75" spans="1:14" x14ac:dyDescent="0.3">
      <c r="A75" s="1"/>
      <c r="B75" t="str">
        <f xml:space="preserve"> _xll.EPMOlapMemberO("[CLACO].[PARENTH1].[AMSAG_VIAJES]","","Gastos de Viajes","","000")</f>
        <v>Gastos de Viajes</v>
      </c>
      <c r="C75">
        <v>378605.42</v>
      </c>
      <c r="D75">
        <v>193828.2</v>
      </c>
      <c r="E75">
        <f t="shared" ref="E75:E138" si="4">+D75-C75</f>
        <v>-184777.21999999997</v>
      </c>
      <c r="F75">
        <v>776618.14</v>
      </c>
      <c r="G75">
        <v>250328.6</v>
      </c>
      <c r="H75">
        <f t="shared" ref="H75:H138" si="5">+G75-F75</f>
        <v>-526289.54</v>
      </c>
      <c r="I75">
        <v>332989.73</v>
      </c>
      <c r="J75">
        <v>378521.68</v>
      </c>
      <c r="K75">
        <f t="shared" ref="K75:K138" si="6">+J75-I75</f>
        <v>45531.950000000012</v>
      </c>
      <c r="L75">
        <v>473950.43</v>
      </c>
      <c r="M75">
        <v>725102.48</v>
      </c>
      <c r="N75">
        <f t="shared" ref="N75:N138" si="7">+M75-L75</f>
        <v>251152.05</v>
      </c>
    </row>
    <row r="76" spans="1:14" x14ac:dyDescent="0.3">
      <c r="A76" s="1"/>
      <c r="B76" t="str">
        <f xml:space="preserve"> _xll.EPMOlapMemberO("[CLACO].[PARENTH1].[AMSAIMP_PATEN]","","Impuestos / Patentes","","000")</f>
        <v>Impuestos / Patentes</v>
      </c>
      <c r="E76">
        <f t="shared" si="4"/>
        <v>0</v>
      </c>
      <c r="H76">
        <f t="shared" si="5"/>
        <v>0</v>
      </c>
      <c r="I76">
        <v>154.69</v>
      </c>
      <c r="K76">
        <f t="shared" si="6"/>
        <v>-154.69</v>
      </c>
      <c r="N76">
        <f t="shared" si="7"/>
        <v>0</v>
      </c>
    </row>
    <row r="77" spans="1:14" x14ac:dyDescent="0.3">
      <c r="A77" s="1"/>
      <c r="B77" t="str">
        <f xml:space="preserve"> _xll.EPMOlapMemberO("[CLACO].[PARENTH1].[AMSAGGENERALES.2]","","Otros Gastos","","000")</f>
        <v>Otros Gastos</v>
      </c>
      <c r="C77">
        <v>84607.59</v>
      </c>
      <c r="D77">
        <v>432255.38</v>
      </c>
      <c r="E77">
        <f t="shared" si="4"/>
        <v>347647.79000000004</v>
      </c>
      <c r="F77">
        <v>58957.919999999998</v>
      </c>
      <c r="G77">
        <v>417053.88</v>
      </c>
      <c r="H77">
        <f t="shared" si="5"/>
        <v>358095.96</v>
      </c>
      <c r="I77">
        <v>60069.3</v>
      </c>
      <c r="J77">
        <v>487409.1</v>
      </c>
      <c r="K77">
        <f t="shared" si="6"/>
        <v>427339.8</v>
      </c>
      <c r="L77">
        <v>41111.68</v>
      </c>
      <c r="M77">
        <v>62186.94</v>
      </c>
      <c r="N77">
        <f t="shared" si="7"/>
        <v>21075.260000000002</v>
      </c>
    </row>
    <row r="78" spans="1:14" x14ac:dyDescent="0.3">
      <c r="A78" s="1" t="str">
        <f xml:space="preserve"> _xll.EPMOlapMemberO("[CECO].[PARENTH3].[N1000AC350]","","VP Finanzas","","000")</f>
        <v>VP Finanzas</v>
      </c>
      <c r="B78" t="str">
        <f xml:space="preserve"> _xll.EPMOlapMemberO("[CLACO].[PARENTH1].[AMSAREMUNERACI.EE]","","Remuneraciones emple","","000")</f>
        <v>Remuneraciones emple</v>
      </c>
      <c r="C78">
        <v>113840.08</v>
      </c>
      <c r="D78">
        <v>123071.02</v>
      </c>
      <c r="E78">
        <f t="shared" si="4"/>
        <v>9230.9400000000023</v>
      </c>
      <c r="F78">
        <v>118291.96</v>
      </c>
      <c r="G78">
        <v>126408.98</v>
      </c>
      <c r="H78">
        <f t="shared" si="5"/>
        <v>8117.0199999999895</v>
      </c>
      <c r="I78">
        <v>116970.64</v>
      </c>
      <c r="J78">
        <v>140539.57</v>
      </c>
      <c r="K78">
        <f t="shared" si="6"/>
        <v>23568.930000000008</v>
      </c>
      <c r="L78">
        <v>132025.85</v>
      </c>
      <c r="M78">
        <v>135699.45000000001</v>
      </c>
      <c r="N78">
        <f t="shared" si="7"/>
        <v>3673.6000000000058</v>
      </c>
    </row>
    <row r="79" spans="1:14" x14ac:dyDescent="0.3">
      <c r="A79" s="1"/>
      <c r="B79" t="str">
        <f xml:space="preserve"> _xll.EPMOlapMemberO("[CLACO].[PARENTH1].[AMSAREMUNERACI.SS]","","Remuneraciones Super","","000")</f>
        <v>Remuneraciones Super</v>
      </c>
      <c r="C79">
        <v>14544624.93</v>
      </c>
      <c r="D79">
        <v>14645176</v>
      </c>
      <c r="E79">
        <f t="shared" si="4"/>
        <v>100551.0700000003</v>
      </c>
      <c r="F79">
        <v>17761494.82</v>
      </c>
      <c r="G79">
        <v>16469632.92</v>
      </c>
      <c r="H79">
        <f t="shared" si="5"/>
        <v>-1291861.9000000004</v>
      </c>
      <c r="I79">
        <v>17971631.140000001</v>
      </c>
      <c r="J79">
        <v>18570598.57</v>
      </c>
      <c r="K79">
        <f t="shared" si="6"/>
        <v>598967.4299999997</v>
      </c>
      <c r="L79">
        <v>18191423.050000001</v>
      </c>
      <c r="M79">
        <v>19561410.890000001</v>
      </c>
      <c r="N79">
        <f t="shared" si="7"/>
        <v>1369987.8399999999</v>
      </c>
    </row>
    <row r="80" spans="1:14" x14ac:dyDescent="0.3">
      <c r="A80" s="1"/>
      <c r="B80" t="str">
        <f xml:space="preserve"> _xll.EPMOlapMemberO("[CLACO].[PARENTH1].[AMSAMAT_Y_REP.2]","","Materiales y repuest","","000")</f>
        <v>Materiales y repuest</v>
      </c>
      <c r="E80">
        <f t="shared" si="4"/>
        <v>0</v>
      </c>
      <c r="F80">
        <v>0</v>
      </c>
      <c r="H80">
        <f t="shared" si="5"/>
        <v>0</v>
      </c>
      <c r="I80">
        <v>192.18</v>
      </c>
      <c r="K80">
        <f t="shared" si="6"/>
        <v>-192.18</v>
      </c>
      <c r="L80">
        <v>822.11</v>
      </c>
      <c r="N80">
        <f t="shared" si="7"/>
        <v>-822.11</v>
      </c>
    </row>
    <row r="81" spans="1:14" x14ac:dyDescent="0.3">
      <c r="A81" s="1"/>
      <c r="B81" t="str">
        <f xml:space="preserve"> _xll.EPMOlapMemberO("[CLACO].[PARENTH1].[AMSAADM_PERSON]","","Administración Perso","","000")</f>
        <v>Administración Perso</v>
      </c>
      <c r="C81">
        <v>11688.76</v>
      </c>
      <c r="E81">
        <f t="shared" si="4"/>
        <v>-11688.76</v>
      </c>
      <c r="F81">
        <v>31704.39</v>
      </c>
      <c r="H81">
        <f t="shared" si="5"/>
        <v>-31704.39</v>
      </c>
      <c r="I81">
        <v>1729.8</v>
      </c>
      <c r="K81">
        <f t="shared" si="6"/>
        <v>-1729.8</v>
      </c>
      <c r="L81">
        <v>2850.21</v>
      </c>
      <c r="N81">
        <f t="shared" si="7"/>
        <v>-2850.21</v>
      </c>
    </row>
    <row r="82" spans="1:14" x14ac:dyDescent="0.3">
      <c r="A82" s="1"/>
      <c r="B82" t="str">
        <f xml:space="preserve"> _xll.EPMOlapMemberO("[CLACO].[PARENTH1].[AMSAENTRENAMI]","","Entrenamiento","","000")</f>
        <v>Entrenamiento</v>
      </c>
      <c r="C82">
        <v>103469.77</v>
      </c>
      <c r="D82">
        <v>156042.34</v>
      </c>
      <c r="E82">
        <f t="shared" si="4"/>
        <v>52572.569999999992</v>
      </c>
      <c r="F82">
        <v>73368.639999999999</v>
      </c>
      <c r="G82">
        <v>123380.82</v>
      </c>
      <c r="H82">
        <f t="shared" si="5"/>
        <v>50012.180000000008</v>
      </c>
      <c r="I82">
        <v>49921.73</v>
      </c>
      <c r="J82">
        <v>73610.31</v>
      </c>
      <c r="K82">
        <f t="shared" si="6"/>
        <v>23688.579999999994</v>
      </c>
      <c r="L82">
        <v>63620.17</v>
      </c>
      <c r="M82">
        <v>84093.18</v>
      </c>
      <c r="N82">
        <f t="shared" si="7"/>
        <v>20473.009999999995</v>
      </c>
    </row>
    <row r="83" spans="1:14" x14ac:dyDescent="0.3">
      <c r="A83" s="1"/>
      <c r="B83" t="str">
        <f xml:space="preserve"> _xll.EPMOlapMemberO("[CLACO].[PARENTH1].[AMSAASESORIAS]","","Asesorías y Consulto","","000")</f>
        <v>Asesorías y Consulto</v>
      </c>
      <c r="C83">
        <v>298009.13</v>
      </c>
      <c r="D83">
        <v>358088.71</v>
      </c>
      <c r="E83">
        <f t="shared" si="4"/>
        <v>60079.580000000016</v>
      </c>
      <c r="F83">
        <v>464362.94</v>
      </c>
      <c r="G83">
        <v>387764.57</v>
      </c>
      <c r="H83">
        <f t="shared" si="5"/>
        <v>-76598.37</v>
      </c>
      <c r="I83">
        <v>663317.15</v>
      </c>
      <c r="J83">
        <v>384432.96</v>
      </c>
      <c r="K83">
        <f t="shared" si="6"/>
        <v>-278884.19</v>
      </c>
      <c r="L83">
        <v>416779.54</v>
      </c>
      <c r="M83">
        <v>389258.7</v>
      </c>
      <c r="N83">
        <f t="shared" si="7"/>
        <v>-27520.839999999967</v>
      </c>
    </row>
    <row r="84" spans="1:14" x14ac:dyDescent="0.3">
      <c r="A84" s="1"/>
      <c r="B84" t="str">
        <f xml:space="preserve"> _xll.EPMOlapMemberO("[CLACO].[PARENTH1].[AMSAARRIENDOS]","","Arriendos","","000")</f>
        <v>Arriendos</v>
      </c>
      <c r="C84">
        <v>0</v>
      </c>
      <c r="E84">
        <f t="shared" si="4"/>
        <v>0</v>
      </c>
      <c r="H84">
        <f t="shared" si="5"/>
        <v>0</v>
      </c>
      <c r="I84">
        <v>1491.94</v>
      </c>
      <c r="K84">
        <f t="shared" si="6"/>
        <v>-1491.94</v>
      </c>
      <c r="N84">
        <f t="shared" si="7"/>
        <v>0</v>
      </c>
    </row>
    <row r="85" spans="1:14" x14ac:dyDescent="0.3">
      <c r="A85" s="1"/>
      <c r="B85" t="str">
        <f xml:space="preserve"> _xll.EPMOlapMemberO("[CLACO].[PARENTH1].[AMSASERVICIOS]","","Servicios","","000")</f>
        <v>Servicios</v>
      </c>
      <c r="C85">
        <v>202524.95</v>
      </c>
      <c r="D85">
        <v>159919.39000000001</v>
      </c>
      <c r="E85">
        <f t="shared" si="4"/>
        <v>-42605.56</v>
      </c>
      <c r="F85">
        <v>240371.83</v>
      </c>
      <c r="G85">
        <v>198383.92</v>
      </c>
      <c r="H85">
        <f t="shared" si="5"/>
        <v>-41987.909999999974</v>
      </c>
      <c r="I85">
        <v>379857.02</v>
      </c>
      <c r="J85">
        <v>717518.42</v>
      </c>
      <c r="K85">
        <f t="shared" si="6"/>
        <v>337661.4</v>
      </c>
      <c r="L85">
        <v>312591.40999999997</v>
      </c>
      <c r="M85">
        <v>654285.14</v>
      </c>
      <c r="N85">
        <f t="shared" si="7"/>
        <v>341693.73000000004</v>
      </c>
    </row>
    <row r="86" spans="1:14" x14ac:dyDescent="0.3">
      <c r="A86" s="1"/>
      <c r="B86" t="str">
        <f xml:space="preserve"> _xll.EPMOlapMemberO("[CLACO].[PARENTH1].[AMSASERMANTO.REPA]","","Servicios Mantenimie","","000")</f>
        <v>Servicios Mantenimie</v>
      </c>
      <c r="E86">
        <f t="shared" si="4"/>
        <v>0</v>
      </c>
      <c r="F86">
        <v>5089.1099999999997</v>
      </c>
      <c r="H86">
        <f t="shared" si="5"/>
        <v>-5089.1099999999997</v>
      </c>
      <c r="K86">
        <f t="shared" si="6"/>
        <v>0</v>
      </c>
      <c r="L86">
        <v>9911.77</v>
      </c>
      <c r="N86">
        <f t="shared" si="7"/>
        <v>-9911.77</v>
      </c>
    </row>
    <row r="87" spans="1:14" x14ac:dyDescent="0.3">
      <c r="A87" s="1"/>
      <c r="B87" t="str">
        <f xml:space="preserve"> _xll.EPMOlapMemberO("[CLACO].[PARENTH1].[AMSAINFORMATIC]","","Informática y Comuni","","000")</f>
        <v>Informática y Comuni</v>
      </c>
      <c r="C87">
        <v>178306.56</v>
      </c>
      <c r="D87">
        <v>236859.57</v>
      </c>
      <c r="E87">
        <f t="shared" si="4"/>
        <v>58553.010000000009</v>
      </c>
      <c r="F87">
        <v>290549.01</v>
      </c>
      <c r="G87">
        <v>343119.56</v>
      </c>
      <c r="H87">
        <f t="shared" si="5"/>
        <v>52570.549999999988</v>
      </c>
      <c r="I87">
        <v>437566.1</v>
      </c>
      <c r="J87">
        <v>321603.83</v>
      </c>
      <c r="K87">
        <f t="shared" si="6"/>
        <v>-115962.26999999996</v>
      </c>
      <c r="L87">
        <v>477220.78</v>
      </c>
      <c r="M87">
        <v>415904.57</v>
      </c>
      <c r="N87">
        <f t="shared" si="7"/>
        <v>-61316.210000000021</v>
      </c>
    </row>
    <row r="88" spans="1:14" x14ac:dyDescent="0.3">
      <c r="A88" s="1"/>
      <c r="B88" t="str">
        <f xml:space="preserve"> _xll.EPMOlapMemberO("[CLACO].[PARENTH1].[AMSAG_VIAJES]","","Gastos de Viajes","","000")</f>
        <v>Gastos de Viajes</v>
      </c>
      <c r="C88">
        <v>231657.61</v>
      </c>
      <c r="D88">
        <v>197985.11</v>
      </c>
      <c r="E88">
        <f t="shared" si="4"/>
        <v>-33672.5</v>
      </c>
      <c r="F88">
        <v>201398.63</v>
      </c>
      <c r="G88">
        <v>232610.75</v>
      </c>
      <c r="H88">
        <f t="shared" si="5"/>
        <v>31212.119999999995</v>
      </c>
      <c r="I88">
        <v>220204.44</v>
      </c>
      <c r="J88">
        <v>223874.09</v>
      </c>
      <c r="K88">
        <f t="shared" si="6"/>
        <v>3669.6499999999942</v>
      </c>
      <c r="L88">
        <v>155787.41</v>
      </c>
      <c r="M88">
        <v>279050.3</v>
      </c>
      <c r="N88">
        <f t="shared" si="7"/>
        <v>123262.88999999998</v>
      </c>
    </row>
    <row r="89" spans="1:14" x14ac:dyDescent="0.3">
      <c r="A89" s="1"/>
      <c r="B89" t="str">
        <f xml:space="preserve"> _xll.EPMOlapMemberO("[CLACO].[PARENTH1].[AMSASEGUROS]","","Seguros","","000")</f>
        <v>Seguros</v>
      </c>
      <c r="C89">
        <v>147737.60000000001</v>
      </c>
      <c r="D89">
        <v>149391.95000000001</v>
      </c>
      <c r="E89">
        <f t="shared" si="4"/>
        <v>1654.3500000000058</v>
      </c>
      <c r="F89">
        <v>167857.34</v>
      </c>
      <c r="G89">
        <v>165470.56</v>
      </c>
      <c r="H89">
        <f t="shared" si="5"/>
        <v>-2386.7799999999988</v>
      </c>
      <c r="I89">
        <v>203523.96</v>
      </c>
      <c r="J89">
        <v>194218.14</v>
      </c>
      <c r="K89">
        <f t="shared" si="6"/>
        <v>-9305.8199999999779</v>
      </c>
      <c r="L89">
        <v>171430.02</v>
      </c>
      <c r="M89">
        <v>221745.64</v>
      </c>
      <c r="N89">
        <f t="shared" si="7"/>
        <v>50315.620000000024</v>
      </c>
    </row>
    <row r="90" spans="1:14" x14ac:dyDescent="0.3">
      <c r="A90" s="1"/>
      <c r="B90" t="str">
        <f xml:space="preserve"> _xll.EPMOlapMemberO("[CLACO].[PARENTH1].[AMSAIMP_PATEN]","","Impuestos / Patentes","","000")</f>
        <v>Impuestos / Patentes</v>
      </c>
      <c r="C90">
        <v>860793.86</v>
      </c>
      <c r="D90">
        <v>780746.89</v>
      </c>
      <c r="E90">
        <f t="shared" si="4"/>
        <v>-80046.969999999972</v>
      </c>
      <c r="F90">
        <v>1083221.79</v>
      </c>
      <c r="G90">
        <v>885939.38</v>
      </c>
      <c r="H90">
        <f t="shared" si="5"/>
        <v>-197282.41000000003</v>
      </c>
      <c r="I90">
        <v>837997.26</v>
      </c>
      <c r="J90">
        <v>960897.02</v>
      </c>
      <c r="K90">
        <f t="shared" si="6"/>
        <v>122899.76000000001</v>
      </c>
      <c r="L90">
        <v>929230.95</v>
      </c>
      <c r="M90">
        <v>1014722.46</v>
      </c>
      <c r="N90">
        <f t="shared" si="7"/>
        <v>85491.510000000009</v>
      </c>
    </row>
    <row r="91" spans="1:14" x14ac:dyDescent="0.3">
      <c r="A91" s="1"/>
      <c r="B91" t="str">
        <f xml:space="preserve"> _xll.EPMOlapMemberO("[CLACO].[PARENTH1].[AMSAGGENERALES.2]","","Otros Gastos","","000")</f>
        <v>Otros Gastos</v>
      </c>
      <c r="C91">
        <v>88753.65</v>
      </c>
      <c r="D91">
        <v>75851.66</v>
      </c>
      <c r="E91">
        <f t="shared" si="4"/>
        <v>-12901.989999999991</v>
      </c>
      <c r="F91">
        <v>122004.99</v>
      </c>
      <c r="G91">
        <v>79280.100000000006</v>
      </c>
      <c r="H91">
        <f t="shared" si="5"/>
        <v>-42724.89</v>
      </c>
      <c r="I91">
        <v>72957.64</v>
      </c>
      <c r="J91">
        <v>95766.85</v>
      </c>
      <c r="K91">
        <f t="shared" si="6"/>
        <v>22809.210000000006</v>
      </c>
      <c r="L91">
        <v>127277.23</v>
      </c>
      <c r="M91">
        <v>133030.96</v>
      </c>
      <c r="N91">
        <f t="shared" si="7"/>
        <v>5753.7299999999959</v>
      </c>
    </row>
    <row r="92" spans="1:14" x14ac:dyDescent="0.3">
      <c r="A92" s="1"/>
      <c r="B92" t="str">
        <f xml:space="preserve"> _xll.EPMOlapMemberO("[CLACO].[PARENTH1].[AMSASERV_CORP]","","Servicios Corporativ","","000")</f>
        <v>Servicios Corporativ</v>
      </c>
      <c r="C92">
        <v>26521.09</v>
      </c>
      <c r="D92">
        <v>28838.49</v>
      </c>
      <c r="E92">
        <f t="shared" si="4"/>
        <v>2317.4000000000015</v>
      </c>
      <c r="F92">
        <v>28725.84</v>
      </c>
      <c r="G92">
        <v>26249.14</v>
      </c>
      <c r="H92">
        <f t="shared" si="5"/>
        <v>-2476.7000000000007</v>
      </c>
      <c r="I92">
        <v>28029.47</v>
      </c>
      <c r="J92">
        <v>29937.72</v>
      </c>
      <c r="K92">
        <f t="shared" si="6"/>
        <v>1908.25</v>
      </c>
      <c r="L92">
        <v>26775.41</v>
      </c>
      <c r="M92">
        <v>29579.08</v>
      </c>
      <c r="N92">
        <f t="shared" si="7"/>
        <v>2803.6700000000019</v>
      </c>
    </row>
    <row r="93" spans="1:14" x14ac:dyDescent="0.3">
      <c r="A93" s="1" t="str">
        <f xml:space="preserve"> _xll.EPMOlapMemberO("[CECO].[PARENTH3].[N1000AC400]","","VP Recursos Humanos","","000")</f>
        <v>VP Recursos Humanos</v>
      </c>
      <c r="B93" t="str">
        <f xml:space="preserve"> _xll.EPMOlapMemberO("[CLACO].[PARENTH1].[AMSAREMUNERACI.SS]","","Remuneraciones Super","","000")</f>
        <v>Remuneraciones Super</v>
      </c>
      <c r="C93">
        <v>5785874.1900000004</v>
      </c>
      <c r="D93">
        <v>6151404.7199999997</v>
      </c>
      <c r="E93">
        <f t="shared" si="4"/>
        <v>365530.52999999933</v>
      </c>
      <c r="F93">
        <v>6328448.8899999997</v>
      </c>
      <c r="G93">
        <v>6030302.96</v>
      </c>
      <c r="H93">
        <f t="shared" si="5"/>
        <v>-298145.9299999997</v>
      </c>
      <c r="I93">
        <v>6170784.75</v>
      </c>
      <c r="J93">
        <v>6769773.1600000001</v>
      </c>
      <c r="K93">
        <f t="shared" si="6"/>
        <v>598988.41000000015</v>
      </c>
      <c r="L93">
        <v>6806711.4000000004</v>
      </c>
      <c r="M93">
        <v>6822292.9400000004</v>
      </c>
      <c r="N93">
        <f t="shared" si="7"/>
        <v>15581.540000000037</v>
      </c>
    </row>
    <row r="94" spans="1:14" x14ac:dyDescent="0.3">
      <c r="A94" s="1"/>
      <c r="B94" t="str">
        <f xml:space="preserve"> _xll.EPMOlapMemberO("[CLACO].[PARENTH1].[AMSAMAT_Y_REP.2]","","Materiales y repuest","","000")</f>
        <v>Materiales y repuest</v>
      </c>
      <c r="C94">
        <v>6829.99</v>
      </c>
      <c r="D94">
        <v>8892.91</v>
      </c>
      <c r="E94">
        <f t="shared" si="4"/>
        <v>2062.92</v>
      </c>
      <c r="F94">
        <v>3820.87</v>
      </c>
      <c r="G94">
        <v>7701.12</v>
      </c>
      <c r="H94">
        <f t="shared" si="5"/>
        <v>3880.25</v>
      </c>
      <c r="I94">
        <v>6396.91</v>
      </c>
      <c r="J94">
        <v>7152.94</v>
      </c>
      <c r="K94">
        <f t="shared" si="6"/>
        <v>756.02999999999975</v>
      </c>
      <c r="L94">
        <v>69.260000000000005</v>
      </c>
      <c r="N94">
        <f t="shared" si="7"/>
        <v>-69.260000000000005</v>
      </c>
    </row>
    <row r="95" spans="1:14" x14ac:dyDescent="0.3">
      <c r="A95" s="1"/>
      <c r="B95" t="str">
        <f xml:space="preserve"> _xll.EPMOlapMemberO("[CLACO].[PARENTH1].[AMSAENERGIA]","","Energía","","000")</f>
        <v>Energía</v>
      </c>
      <c r="C95">
        <v>185421.71</v>
      </c>
      <c r="D95">
        <v>214210.6</v>
      </c>
      <c r="E95">
        <f t="shared" si="4"/>
        <v>28788.890000000014</v>
      </c>
      <c r="F95">
        <v>172460.65</v>
      </c>
      <c r="G95">
        <v>217582.44</v>
      </c>
      <c r="H95">
        <f t="shared" si="5"/>
        <v>45121.790000000008</v>
      </c>
      <c r="I95">
        <v>220436.43</v>
      </c>
      <c r="J95">
        <v>141176.51999999999</v>
      </c>
      <c r="K95">
        <f t="shared" si="6"/>
        <v>-79259.91</v>
      </c>
      <c r="L95">
        <v>216963.4</v>
      </c>
      <c r="M95">
        <v>243491.47</v>
      </c>
      <c r="N95">
        <f t="shared" si="7"/>
        <v>26528.070000000007</v>
      </c>
    </row>
    <row r="96" spans="1:14" x14ac:dyDescent="0.3">
      <c r="A96" s="1"/>
      <c r="B96" t="str">
        <f xml:space="preserve"> _xll.EPMOlapMemberO("[CLACO].[PARENTH1].[AMSAADM_PERSON]","","Administración Perso","","000")</f>
        <v>Administración Perso</v>
      </c>
      <c r="C96">
        <v>950286.46</v>
      </c>
      <c r="D96">
        <v>782385.71</v>
      </c>
      <c r="E96">
        <f t="shared" si="4"/>
        <v>-167900.75</v>
      </c>
      <c r="F96">
        <v>1192106.8700000001</v>
      </c>
      <c r="G96">
        <v>1024333.11</v>
      </c>
      <c r="H96">
        <f t="shared" si="5"/>
        <v>-167773.76000000013</v>
      </c>
      <c r="I96">
        <v>982919.84</v>
      </c>
      <c r="J96">
        <v>1121953.67</v>
      </c>
      <c r="K96">
        <f t="shared" si="6"/>
        <v>139033.82999999996</v>
      </c>
      <c r="L96">
        <v>1151585.33</v>
      </c>
      <c r="M96">
        <v>1156954.6100000001</v>
      </c>
      <c r="N96">
        <f t="shared" si="7"/>
        <v>5369.2800000000279</v>
      </c>
    </row>
    <row r="97" spans="1:14" x14ac:dyDescent="0.3">
      <c r="A97" s="1"/>
      <c r="B97" t="str">
        <f xml:space="preserve"> _xll.EPMOlapMemberO("[CLACO].[PARENTH1].[AMSAENTRENAMI]","","Entrenamiento","","000")</f>
        <v>Entrenamiento</v>
      </c>
      <c r="C97">
        <v>580980.67000000004</v>
      </c>
      <c r="D97">
        <v>705768.58</v>
      </c>
      <c r="E97">
        <f t="shared" si="4"/>
        <v>124787.90999999992</v>
      </c>
      <c r="F97">
        <v>536233.14</v>
      </c>
      <c r="G97">
        <v>669412.13</v>
      </c>
      <c r="H97">
        <f t="shared" si="5"/>
        <v>133178.99</v>
      </c>
      <c r="I97">
        <v>239678.73</v>
      </c>
      <c r="J97">
        <v>474751.83</v>
      </c>
      <c r="K97">
        <f t="shared" si="6"/>
        <v>235073.1</v>
      </c>
      <c r="L97">
        <v>369226.73</v>
      </c>
      <c r="M97">
        <v>335729.79</v>
      </c>
      <c r="N97">
        <f t="shared" si="7"/>
        <v>-33496.94</v>
      </c>
    </row>
    <row r="98" spans="1:14" x14ac:dyDescent="0.3">
      <c r="A98" s="1"/>
      <c r="B98" t="str">
        <f xml:space="preserve"> _xll.EPMOlapMemberO("[CLACO].[PARENTH1].[AMSAASESORIAS]","","Asesorías y Consulto","","000")</f>
        <v>Asesorías y Consulto</v>
      </c>
      <c r="C98">
        <v>593858</v>
      </c>
      <c r="D98">
        <v>1088625.1000000001</v>
      </c>
      <c r="E98">
        <f t="shared" si="4"/>
        <v>494767.10000000009</v>
      </c>
      <c r="F98">
        <v>678277.07</v>
      </c>
      <c r="G98">
        <v>1038946.46</v>
      </c>
      <c r="H98">
        <f t="shared" si="5"/>
        <v>360669.39</v>
      </c>
      <c r="I98">
        <v>388188.4</v>
      </c>
      <c r="J98">
        <v>485297.91999999998</v>
      </c>
      <c r="K98">
        <f t="shared" si="6"/>
        <v>97109.51999999996</v>
      </c>
      <c r="L98">
        <v>354547.19</v>
      </c>
      <c r="M98">
        <v>340753.55</v>
      </c>
      <c r="N98">
        <f t="shared" si="7"/>
        <v>-13793.640000000014</v>
      </c>
    </row>
    <row r="99" spans="1:14" x14ac:dyDescent="0.3">
      <c r="A99" s="1"/>
      <c r="B99" t="str">
        <f xml:space="preserve"> _xll.EPMOlapMemberO("[CLACO].[PARENTH1].[AMSAARRIENDOS]","","Arriendos","","000")</f>
        <v>Arriendos</v>
      </c>
      <c r="C99">
        <v>133708</v>
      </c>
      <c r="D99">
        <v>112739.25</v>
      </c>
      <c r="E99">
        <f t="shared" si="4"/>
        <v>-20968.75</v>
      </c>
      <c r="F99">
        <v>136813.75</v>
      </c>
      <c r="G99">
        <v>116331.82</v>
      </c>
      <c r="H99">
        <f t="shared" si="5"/>
        <v>-20481.929999999993</v>
      </c>
      <c r="I99">
        <v>133191.87</v>
      </c>
      <c r="J99">
        <v>148364.79</v>
      </c>
      <c r="K99">
        <f t="shared" si="6"/>
        <v>15172.920000000013</v>
      </c>
      <c r="L99">
        <v>259994.94</v>
      </c>
      <c r="M99">
        <v>334368.19</v>
      </c>
      <c r="N99">
        <f t="shared" si="7"/>
        <v>74373.25</v>
      </c>
    </row>
    <row r="100" spans="1:14" x14ac:dyDescent="0.3">
      <c r="A100" s="1"/>
      <c r="B100" t="str">
        <f xml:space="preserve"> _xll.EPMOlapMemberO("[CLACO].[PARENTH1].[AMSASERVICIOS]","","Servicios","","000")</f>
        <v>Servicios</v>
      </c>
      <c r="C100">
        <v>377811.79</v>
      </c>
      <c r="D100">
        <v>422363.5</v>
      </c>
      <c r="E100">
        <f t="shared" si="4"/>
        <v>44551.710000000021</v>
      </c>
      <c r="F100">
        <v>231940.52</v>
      </c>
      <c r="G100">
        <v>163608.09</v>
      </c>
      <c r="H100">
        <f t="shared" si="5"/>
        <v>-68332.429999999993</v>
      </c>
      <c r="I100">
        <v>189085.02</v>
      </c>
      <c r="J100">
        <v>156220.32999999999</v>
      </c>
      <c r="K100">
        <f t="shared" si="6"/>
        <v>-32864.69</v>
      </c>
      <c r="L100">
        <v>145083.45000000001</v>
      </c>
      <c r="M100">
        <v>62127.83</v>
      </c>
      <c r="N100">
        <f t="shared" si="7"/>
        <v>-82955.62000000001</v>
      </c>
    </row>
    <row r="101" spans="1:14" x14ac:dyDescent="0.3">
      <c r="A101" s="1"/>
      <c r="B101" t="str">
        <f xml:space="preserve"> _xll.EPMOlapMemberO("[CLACO].[PARENTH1].[AMSASERMANTO.REPA]","","Servicios Mantenimie","","000")</f>
        <v>Servicios Mantenimie</v>
      </c>
      <c r="C101">
        <v>534120.13</v>
      </c>
      <c r="D101">
        <v>597110.97</v>
      </c>
      <c r="E101">
        <f t="shared" si="4"/>
        <v>62990.839999999967</v>
      </c>
      <c r="F101">
        <v>421473.62</v>
      </c>
      <c r="G101">
        <v>603676.12</v>
      </c>
      <c r="H101">
        <f t="shared" si="5"/>
        <v>182202.5</v>
      </c>
      <c r="I101">
        <v>515622.46</v>
      </c>
      <c r="J101">
        <v>641888.28</v>
      </c>
      <c r="K101">
        <f t="shared" si="6"/>
        <v>126265.82</v>
      </c>
      <c r="L101">
        <v>704119.38</v>
      </c>
      <c r="M101">
        <v>610740.57999999996</v>
      </c>
      <c r="N101">
        <f t="shared" si="7"/>
        <v>-93378.800000000047</v>
      </c>
    </row>
    <row r="102" spans="1:14" x14ac:dyDescent="0.3">
      <c r="A102" s="1"/>
      <c r="B102" t="str">
        <f xml:space="preserve"> _xll.EPMOlapMemberO("[CLACO].[PARENTH1].[AMSAINFORMATIC]","","Informática y Comuni","","000")</f>
        <v>Informática y Comuni</v>
      </c>
      <c r="C102">
        <v>458871.57</v>
      </c>
      <c r="D102">
        <v>396906.47</v>
      </c>
      <c r="E102">
        <f t="shared" si="4"/>
        <v>-61965.100000000035</v>
      </c>
      <c r="F102">
        <v>367050.69</v>
      </c>
      <c r="G102">
        <v>517208.18</v>
      </c>
      <c r="H102">
        <f t="shared" si="5"/>
        <v>150157.49</v>
      </c>
      <c r="I102">
        <v>384956.51</v>
      </c>
      <c r="J102">
        <v>502873.51</v>
      </c>
      <c r="K102">
        <f t="shared" si="6"/>
        <v>117917</v>
      </c>
      <c r="L102">
        <v>437375.4</v>
      </c>
      <c r="M102">
        <v>303992.19</v>
      </c>
      <c r="N102">
        <f t="shared" si="7"/>
        <v>-133383.21000000002</v>
      </c>
    </row>
    <row r="103" spans="1:14" x14ac:dyDescent="0.3">
      <c r="A103" s="1"/>
      <c r="B103" t="str">
        <f xml:space="preserve"> _xll.EPMOlapMemberO("[CLACO].[PARENTH1].[AMSAG_VIAJES]","","Gastos de Viajes","","000")</f>
        <v>Gastos de Viajes</v>
      </c>
      <c r="C103">
        <v>44988.3</v>
      </c>
      <c r="D103">
        <v>92998.91</v>
      </c>
      <c r="E103">
        <f t="shared" si="4"/>
        <v>48010.61</v>
      </c>
      <c r="F103">
        <v>95234.77</v>
      </c>
      <c r="G103">
        <v>69472.72</v>
      </c>
      <c r="H103">
        <f t="shared" si="5"/>
        <v>-25762.050000000003</v>
      </c>
      <c r="I103">
        <v>72501.14</v>
      </c>
      <c r="J103">
        <v>88973.88</v>
      </c>
      <c r="K103">
        <f t="shared" si="6"/>
        <v>16472.740000000005</v>
      </c>
      <c r="L103">
        <v>96495.63</v>
      </c>
      <c r="M103">
        <v>85387.41</v>
      </c>
      <c r="N103">
        <f t="shared" si="7"/>
        <v>-11108.220000000001</v>
      </c>
    </row>
    <row r="104" spans="1:14" x14ac:dyDescent="0.3">
      <c r="A104" s="1"/>
      <c r="B104" t="str">
        <f xml:space="preserve"> _xll.EPMOlapMemberO("[CLACO].[PARENTH1].[AMSASEGUROS]","","Seguros","","000")</f>
        <v>Seguros</v>
      </c>
      <c r="C104">
        <v>49482.53</v>
      </c>
      <c r="D104">
        <v>90118.39</v>
      </c>
      <c r="E104">
        <f t="shared" si="4"/>
        <v>40635.86</v>
      </c>
      <c r="F104">
        <v>52533.79</v>
      </c>
      <c r="G104">
        <v>87435.16</v>
      </c>
      <c r="H104">
        <f t="shared" si="5"/>
        <v>34901.370000000003</v>
      </c>
      <c r="I104">
        <v>38945.93</v>
      </c>
      <c r="J104">
        <v>98172.44</v>
      </c>
      <c r="K104">
        <f t="shared" si="6"/>
        <v>59226.51</v>
      </c>
      <c r="L104">
        <v>39891.64</v>
      </c>
      <c r="M104">
        <v>107838.39999999999</v>
      </c>
      <c r="N104">
        <f t="shared" si="7"/>
        <v>67946.759999999995</v>
      </c>
    </row>
    <row r="105" spans="1:14" x14ac:dyDescent="0.3">
      <c r="A105" s="1"/>
      <c r="B105" t="str">
        <f xml:space="preserve"> _xll.EPMOlapMemberO("[CLACO].[PARENTH1].[AMSAIMP_PATEN]","","Impuestos / Patentes","","000")</f>
        <v>Impuestos / Patentes</v>
      </c>
      <c r="C105">
        <v>44.05</v>
      </c>
      <c r="E105">
        <f t="shared" si="4"/>
        <v>-44.05</v>
      </c>
      <c r="F105">
        <v>-532.35</v>
      </c>
      <c r="H105">
        <f t="shared" si="5"/>
        <v>532.35</v>
      </c>
      <c r="I105">
        <v>12.45</v>
      </c>
      <c r="K105">
        <f t="shared" si="6"/>
        <v>-12.45</v>
      </c>
      <c r="L105">
        <v>38.18</v>
      </c>
      <c r="N105">
        <f t="shared" si="7"/>
        <v>-38.18</v>
      </c>
    </row>
    <row r="106" spans="1:14" x14ac:dyDescent="0.3">
      <c r="A106" s="1"/>
      <c r="B106" t="str">
        <f xml:space="preserve"> _xll.EPMOlapMemberO("[CLACO].[PARENTH1].[AMSAGGENERALES.2]","","Otros Gastos","","000")</f>
        <v>Otros Gastos</v>
      </c>
      <c r="C106">
        <v>589926.6</v>
      </c>
      <c r="D106">
        <v>835687.69</v>
      </c>
      <c r="E106">
        <f t="shared" si="4"/>
        <v>245761.08999999997</v>
      </c>
      <c r="F106">
        <v>1000018.61</v>
      </c>
      <c r="G106">
        <v>808359.56</v>
      </c>
      <c r="H106">
        <f t="shared" si="5"/>
        <v>-191659.04999999993</v>
      </c>
      <c r="I106">
        <v>904850.56</v>
      </c>
      <c r="J106">
        <v>1033928.48</v>
      </c>
      <c r="K106">
        <f t="shared" si="6"/>
        <v>129077.91999999993</v>
      </c>
      <c r="L106">
        <v>842481.5</v>
      </c>
      <c r="M106">
        <v>1009430.41</v>
      </c>
      <c r="N106">
        <f t="shared" si="7"/>
        <v>166948.91000000003</v>
      </c>
    </row>
    <row r="107" spans="1:14" x14ac:dyDescent="0.3">
      <c r="A107" s="1"/>
      <c r="B107" t="str">
        <f xml:space="preserve"> _xll.EPMOlapMemberO("[CLACO].[PARENTH1].[AMSACOMERCIALI]","","Comercial","","000")</f>
        <v>Comercial</v>
      </c>
      <c r="E107">
        <f t="shared" si="4"/>
        <v>0</v>
      </c>
      <c r="H107">
        <f t="shared" si="5"/>
        <v>0</v>
      </c>
      <c r="K107">
        <f t="shared" si="6"/>
        <v>0</v>
      </c>
      <c r="L107">
        <v>78.89</v>
      </c>
      <c r="N107">
        <f t="shared" si="7"/>
        <v>-78.89</v>
      </c>
    </row>
    <row r="108" spans="1:14" x14ac:dyDescent="0.3">
      <c r="A108" s="1"/>
      <c r="B108" t="str">
        <f xml:space="preserve"> _xll.EPMOlapMemberO("[CLACO].[PARENTH1].[AMSASERV_CORP]","","Servicios Corporativ","","000")</f>
        <v>Servicios Corporativ</v>
      </c>
      <c r="E108">
        <f t="shared" si="4"/>
        <v>0</v>
      </c>
      <c r="H108">
        <f t="shared" si="5"/>
        <v>0</v>
      </c>
      <c r="K108">
        <f t="shared" si="6"/>
        <v>0</v>
      </c>
      <c r="L108">
        <v>147.37</v>
      </c>
      <c r="N108">
        <f t="shared" si="7"/>
        <v>-147.37</v>
      </c>
    </row>
    <row r="109" spans="1:14" x14ac:dyDescent="0.3">
      <c r="A109" s="1" t="str">
        <f xml:space="preserve"> _xll.EPMOlapMemberO("[CECO].[PARENTH3].[N1000AC450]","","VP asuntos corporati","","000")</f>
        <v>VP asuntos corporati</v>
      </c>
      <c r="B109" t="str">
        <f xml:space="preserve"> _xll.EPMOlapMemberO("[CLACO].[PARENTH1].[AMSAREMUNERACI.EE]","","Remuneraciones emple","","000")</f>
        <v>Remuneraciones emple</v>
      </c>
      <c r="E109">
        <f t="shared" si="4"/>
        <v>0</v>
      </c>
      <c r="H109">
        <f t="shared" si="5"/>
        <v>0</v>
      </c>
      <c r="I109">
        <v>-43.53</v>
      </c>
      <c r="K109">
        <f t="shared" si="6"/>
        <v>43.53</v>
      </c>
      <c r="L109">
        <v>2491.09</v>
      </c>
      <c r="N109">
        <f t="shared" si="7"/>
        <v>-2491.09</v>
      </c>
    </row>
    <row r="110" spans="1:14" x14ac:dyDescent="0.3">
      <c r="A110" s="1"/>
      <c r="B110" t="str">
        <f xml:space="preserve"> _xll.EPMOlapMemberO("[CLACO].[PARENTH1].[AMSAREMUNERACI.SS]","","Remuneraciones Super","","000")</f>
        <v>Remuneraciones Super</v>
      </c>
      <c r="C110">
        <v>8746666.3300000001</v>
      </c>
      <c r="D110">
        <v>9099117.7400000002</v>
      </c>
      <c r="E110">
        <f t="shared" si="4"/>
        <v>352451.41000000015</v>
      </c>
      <c r="F110">
        <v>10724710.67</v>
      </c>
      <c r="G110">
        <v>9170126.0500000007</v>
      </c>
      <c r="H110">
        <f t="shared" si="5"/>
        <v>-1554584.6199999992</v>
      </c>
      <c r="I110">
        <v>9298494.9199999999</v>
      </c>
      <c r="J110">
        <v>10711990.48</v>
      </c>
      <c r="K110">
        <f t="shared" si="6"/>
        <v>1413495.5600000005</v>
      </c>
      <c r="L110">
        <v>9357252.5099999998</v>
      </c>
      <c r="M110">
        <v>8866352.4299999997</v>
      </c>
      <c r="N110">
        <f t="shared" si="7"/>
        <v>-490900.08000000007</v>
      </c>
    </row>
    <row r="111" spans="1:14" x14ac:dyDescent="0.3">
      <c r="A111" s="1"/>
      <c r="B111" t="str">
        <f xml:space="preserve"> _xll.EPMOlapMemberO("[CLACO].[PARENTH1].[AMSAMAT_Y_REP.2]","","Materiales y repuest","","000")</f>
        <v>Materiales y repuest</v>
      </c>
      <c r="E111">
        <f t="shared" si="4"/>
        <v>0</v>
      </c>
      <c r="F111">
        <v>0</v>
      </c>
      <c r="H111">
        <f t="shared" si="5"/>
        <v>0</v>
      </c>
      <c r="I111">
        <v>0</v>
      </c>
      <c r="K111">
        <f t="shared" si="6"/>
        <v>0</v>
      </c>
      <c r="N111">
        <f t="shared" si="7"/>
        <v>0</v>
      </c>
    </row>
    <row r="112" spans="1:14" x14ac:dyDescent="0.3">
      <c r="A112" s="1"/>
      <c r="B112" t="str">
        <f xml:space="preserve"> _xll.EPMOlapMemberO("[CLACO].[PARENTH1].[AMSAADM_PERSON]","","Administración Perso","","000")</f>
        <v>Administración Perso</v>
      </c>
      <c r="E112">
        <f t="shared" si="4"/>
        <v>0</v>
      </c>
      <c r="H112">
        <f t="shared" si="5"/>
        <v>0</v>
      </c>
      <c r="I112">
        <v>0</v>
      </c>
      <c r="K112">
        <f t="shared" si="6"/>
        <v>0</v>
      </c>
      <c r="L112">
        <v>0</v>
      </c>
      <c r="N112">
        <f t="shared" si="7"/>
        <v>0</v>
      </c>
    </row>
    <row r="113" spans="1:14" x14ac:dyDescent="0.3">
      <c r="A113" s="1"/>
      <c r="B113" t="str">
        <f xml:space="preserve"> _xll.EPMOlapMemberO("[CLACO].[PARENTH1].[AMSAENTRENAMI]","","Entrenamiento","","000")</f>
        <v>Entrenamiento</v>
      </c>
      <c r="C113">
        <v>5548.41</v>
      </c>
      <c r="D113">
        <v>3858.98</v>
      </c>
      <c r="E113">
        <f t="shared" si="4"/>
        <v>-1689.4299999999998</v>
      </c>
      <c r="F113">
        <v>1880.73</v>
      </c>
      <c r="G113">
        <v>4841.6000000000004</v>
      </c>
      <c r="H113">
        <f t="shared" si="5"/>
        <v>2960.8700000000003</v>
      </c>
      <c r="I113">
        <v>27753.71</v>
      </c>
      <c r="J113">
        <v>13015.75</v>
      </c>
      <c r="K113">
        <f t="shared" si="6"/>
        <v>-14737.96</v>
      </c>
      <c r="L113">
        <v>9254.7199999999993</v>
      </c>
      <c r="M113">
        <v>12939.53</v>
      </c>
      <c r="N113">
        <f t="shared" si="7"/>
        <v>3684.8100000000013</v>
      </c>
    </row>
    <row r="114" spans="1:14" x14ac:dyDescent="0.3">
      <c r="A114" s="1"/>
      <c r="B114" t="str">
        <f xml:space="preserve"> _xll.EPMOlapMemberO("[CLACO].[PARENTH1].[AMSAASESORIAS]","","Asesorías y Consulto","","000")</f>
        <v>Asesorías y Consulto</v>
      </c>
      <c r="C114">
        <v>517725.12</v>
      </c>
      <c r="D114">
        <v>506949.38</v>
      </c>
      <c r="E114">
        <f t="shared" si="4"/>
        <v>-10775.739999999991</v>
      </c>
      <c r="F114">
        <v>466492.96</v>
      </c>
      <c r="G114">
        <v>468901.22</v>
      </c>
      <c r="H114">
        <f t="shared" si="5"/>
        <v>2408.2599999999511</v>
      </c>
      <c r="I114">
        <v>502391.2</v>
      </c>
      <c r="J114">
        <v>454321.22</v>
      </c>
      <c r="K114">
        <f t="shared" si="6"/>
        <v>-48069.98000000004</v>
      </c>
      <c r="L114">
        <v>359746.99</v>
      </c>
      <c r="M114">
        <v>310426.51</v>
      </c>
      <c r="N114">
        <f t="shared" si="7"/>
        <v>-49320.479999999981</v>
      </c>
    </row>
    <row r="115" spans="1:14" x14ac:dyDescent="0.3">
      <c r="A115" s="1"/>
      <c r="B115" t="str">
        <f xml:space="preserve"> _xll.EPMOlapMemberO("[CLACO].[PARENTH1].[AMSASERVICIOS]","","Servicios","","000")</f>
        <v>Servicios</v>
      </c>
      <c r="C115">
        <v>453.79</v>
      </c>
      <c r="D115">
        <v>381.41</v>
      </c>
      <c r="E115">
        <f t="shared" si="4"/>
        <v>-72.38</v>
      </c>
      <c r="F115">
        <v>32010.23</v>
      </c>
      <c r="G115">
        <v>447.06</v>
      </c>
      <c r="H115">
        <f t="shared" si="5"/>
        <v>-31563.17</v>
      </c>
      <c r="I115">
        <v>1846.8</v>
      </c>
      <c r="J115">
        <v>1740.44</v>
      </c>
      <c r="K115">
        <f t="shared" si="6"/>
        <v>-106.3599999999999</v>
      </c>
      <c r="L115">
        <v>24165.97</v>
      </c>
      <c r="M115">
        <v>445.78</v>
      </c>
      <c r="N115">
        <f t="shared" si="7"/>
        <v>-23720.190000000002</v>
      </c>
    </row>
    <row r="116" spans="1:14" x14ac:dyDescent="0.3">
      <c r="A116" s="1"/>
      <c r="B116" t="str">
        <f xml:space="preserve"> _xll.EPMOlapMemberO("[CLACO].[PARENTH1].[AMSASERMANTO.REPA]","","Servicios Mantenimie","","000")</f>
        <v>Servicios Mantenimie</v>
      </c>
      <c r="E116">
        <f t="shared" si="4"/>
        <v>0</v>
      </c>
      <c r="F116">
        <v>279.76</v>
      </c>
      <c r="H116">
        <f t="shared" si="5"/>
        <v>-279.76</v>
      </c>
      <c r="K116">
        <f t="shared" si="6"/>
        <v>0</v>
      </c>
      <c r="L116">
        <v>0</v>
      </c>
      <c r="N116">
        <f t="shared" si="7"/>
        <v>0</v>
      </c>
    </row>
    <row r="117" spans="1:14" x14ac:dyDescent="0.3">
      <c r="A117" s="1"/>
      <c r="B117" t="str">
        <f xml:space="preserve"> _xll.EPMOlapMemberO("[CLACO].[PARENTH1].[AMSAINFORMATIC]","","Informática y Comuni","","000")</f>
        <v>Informática y Comuni</v>
      </c>
      <c r="C117">
        <v>5603.16</v>
      </c>
      <c r="D117">
        <v>9941.61</v>
      </c>
      <c r="E117">
        <f t="shared" si="4"/>
        <v>4338.4500000000007</v>
      </c>
      <c r="F117">
        <v>13586.19</v>
      </c>
      <c r="G117">
        <v>76626.179999999993</v>
      </c>
      <c r="H117">
        <f t="shared" si="5"/>
        <v>63039.989999999991</v>
      </c>
      <c r="I117">
        <v>16853.150000000001</v>
      </c>
      <c r="J117">
        <v>37344.75</v>
      </c>
      <c r="K117">
        <f t="shared" si="6"/>
        <v>20491.599999999999</v>
      </c>
      <c r="L117">
        <v>134519.04000000001</v>
      </c>
      <c r="M117">
        <v>171756.85</v>
      </c>
      <c r="N117">
        <f t="shared" si="7"/>
        <v>37237.81</v>
      </c>
    </row>
    <row r="118" spans="1:14" x14ac:dyDescent="0.3">
      <c r="A118" s="1"/>
      <c r="B118" t="str">
        <f xml:space="preserve"> _xll.EPMOlapMemberO("[CLACO].[PARENTH1].[AMSAG_VIAJES]","","Gastos de Viajes","","000")</f>
        <v>Gastos de Viajes</v>
      </c>
      <c r="C118">
        <v>167234.18</v>
      </c>
      <c r="D118">
        <v>105694.45</v>
      </c>
      <c r="E118">
        <f t="shared" si="4"/>
        <v>-61539.729999999996</v>
      </c>
      <c r="F118">
        <v>173669.3</v>
      </c>
      <c r="G118">
        <v>176979.31</v>
      </c>
      <c r="H118">
        <f t="shared" si="5"/>
        <v>3310.0100000000093</v>
      </c>
      <c r="I118">
        <v>180160.35</v>
      </c>
      <c r="J118">
        <v>149240.46</v>
      </c>
      <c r="K118">
        <f t="shared" si="6"/>
        <v>-30919.890000000014</v>
      </c>
      <c r="L118">
        <v>112911.27</v>
      </c>
      <c r="M118">
        <v>142553.4</v>
      </c>
      <c r="N118">
        <f t="shared" si="7"/>
        <v>29642.12999999999</v>
      </c>
    </row>
    <row r="119" spans="1:14" x14ac:dyDescent="0.3">
      <c r="A119" s="1"/>
      <c r="B119" t="str">
        <f xml:space="preserve"> _xll.EPMOlapMemberO("[CLACO].[PARENTH1].[AMSASEGUROS]","","Seguros","","000")</f>
        <v>Seguros</v>
      </c>
      <c r="E119">
        <f t="shared" si="4"/>
        <v>0</v>
      </c>
      <c r="F119">
        <v>0</v>
      </c>
      <c r="H119">
        <f t="shared" si="5"/>
        <v>0</v>
      </c>
      <c r="K119">
        <f t="shared" si="6"/>
        <v>0</v>
      </c>
      <c r="N119">
        <f t="shared" si="7"/>
        <v>0</v>
      </c>
    </row>
    <row r="120" spans="1:14" x14ac:dyDescent="0.3">
      <c r="A120" s="1"/>
      <c r="B120" t="str">
        <f xml:space="preserve"> _xll.EPMOlapMemberO("[CLACO].[PARENTH1].[AMSAIMP_PATEN]","","Impuestos / Patentes","","000")</f>
        <v>Impuestos / Patentes</v>
      </c>
      <c r="C120">
        <v>23125.5</v>
      </c>
      <c r="D120">
        <v>69350.320000000007</v>
      </c>
      <c r="E120">
        <f t="shared" si="4"/>
        <v>46224.820000000007</v>
      </c>
      <c r="F120">
        <v>14572.1</v>
      </c>
      <c r="G120">
        <v>61567.41</v>
      </c>
      <c r="H120">
        <f t="shared" si="5"/>
        <v>46995.310000000005</v>
      </c>
      <c r="I120">
        <v>35699.67</v>
      </c>
      <c r="J120">
        <v>54877.5</v>
      </c>
      <c r="K120">
        <f t="shared" si="6"/>
        <v>19177.830000000002</v>
      </c>
      <c r="L120">
        <v>65267.87</v>
      </c>
      <c r="M120">
        <v>40494.28</v>
      </c>
      <c r="N120">
        <f t="shared" si="7"/>
        <v>-24773.590000000004</v>
      </c>
    </row>
    <row r="121" spans="1:14" x14ac:dyDescent="0.3">
      <c r="A121" s="1"/>
      <c r="B121" t="str">
        <f xml:space="preserve"> _xll.EPMOlapMemberO("[CLACO].[PARENTH1].[AMSAGGENERALES.2]","","Otros Gastos","","000")</f>
        <v>Otros Gastos</v>
      </c>
      <c r="C121">
        <v>462799.41</v>
      </c>
      <c r="D121">
        <v>412924.02</v>
      </c>
      <c r="E121">
        <f t="shared" si="4"/>
        <v>-49875.389999999956</v>
      </c>
      <c r="F121">
        <v>4398094.3600000003</v>
      </c>
      <c r="G121">
        <v>4058033.27</v>
      </c>
      <c r="H121">
        <f t="shared" si="5"/>
        <v>-340061.09000000032</v>
      </c>
      <c r="I121">
        <v>309075.53000000003</v>
      </c>
      <c r="J121">
        <v>361731.5</v>
      </c>
      <c r="K121">
        <f t="shared" si="6"/>
        <v>52655.969999999972</v>
      </c>
      <c r="L121">
        <v>365343.57</v>
      </c>
      <c r="M121">
        <v>398384.61</v>
      </c>
      <c r="N121">
        <f t="shared" si="7"/>
        <v>33041.039999999979</v>
      </c>
    </row>
    <row r="122" spans="1:14" x14ac:dyDescent="0.3">
      <c r="A122" s="1"/>
      <c r="B122" t="str">
        <f xml:space="preserve"> _xll.EPMOlapMemberO("[CLACO].[PARENTH1].[AMSAIFRS16]","","Arriendo por derecho","","000")</f>
        <v>Arriendo por derecho</v>
      </c>
      <c r="E122">
        <f t="shared" si="4"/>
        <v>0</v>
      </c>
      <c r="H122">
        <f t="shared" si="5"/>
        <v>0</v>
      </c>
      <c r="K122">
        <f t="shared" si="6"/>
        <v>0</v>
      </c>
      <c r="L122">
        <v>-23885.53</v>
      </c>
      <c r="N122">
        <f t="shared" si="7"/>
        <v>23885.53</v>
      </c>
    </row>
    <row r="123" spans="1:14" x14ac:dyDescent="0.3">
      <c r="A123" s="1"/>
      <c r="B123" t="str">
        <f xml:space="preserve"> _xll.EPMOlapMemberO("[CLACO].[PARENTH1].[AMSASERV_CORP]","","Servicios Corporativ","","000")</f>
        <v>Servicios Corporativ</v>
      </c>
      <c r="C123">
        <v>4264</v>
      </c>
      <c r="E123">
        <f t="shared" si="4"/>
        <v>-4264</v>
      </c>
      <c r="H123">
        <f t="shared" si="5"/>
        <v>0</v>
      </c>
      <c r="K123">
        <f t="shared" si="6"/>
        <v>0</v>
      </c>
      <c r="N123">
        <f t="shared" si="7"/>
        <v>0</v>
      </c>
    </row>
    <row r="124" spans="1:14" x14ac:dyDescent="0.3">
      <c r="A124" s="1" t="str">
        <f xml:space="preserve"> _xll.EPMOlapMemberO("[CECO].[PARENTH3].[N1000AC550]","","VP Legal","","000")</f>
        <v>VP Legal</v>
      </c>
      <c r="B124" t="str">
        <f xml:space="preserve"> _xll.EPMOlapMemberO("[CLACO].[PARENTH1].[AMSAREMUNERACI.SS]","","Remuneraciones Super","","000")</f>
        <v>Remuneraciones Super</v>
      </c>
      <c r="C124">
        <v>4486028.03</v>
      </c>
      <c r="D124">
        <v>4360159.26</v>
      </c>
      <c r="E124">
        <f t="shared" si="4"/>
        <v>-125868.77000000048</v>
      </c>
      <c r="F124">
        <v>5152420.78</v>
      </c>
      <c r="G124">
        <v>4732752.34</v>
      </c>
      <c r="H124">
        <f t="shared" si="5"/>
        <v>-419668.44000000041</v>
      </c>
      <c r="I124">
        <v>4977982.25</v>
      </c>
      <c r="J124">
        <v>5029118.57</v>
      </c>
      <c r="K124">
        <f t="shared" si="6"/>
        <v>51136.320000000298</v>
      </c>
      <c r="L124">
        <v>6138496.54</v>
      </c>
      <c r="M124">
        <v>5049791.05</v>
      </c>
      <c r="N124">
        <f t="shared" si="7"/>
        <v>-1088705.4900000002</v>
      </c>
    </row>
    <row r="125" spans="1:14" x14ac:dyDescent="0.3">
      <c r="A125" s="1"/>
      <c r="B125" t="str">
        <f xml:space="preserve"> _xll.EPMOlapMemberO("[CLACO].[PARENTH1].[AMSAA_DESGASTE]","","Aceros de desgaste","","000")</f>
        <v>Aceros de desgaste</v>
      </c>
      <c r="E125">
        <f t="shared" si="4"/>
        <v>0</v>
      </c>
      <c r="F125">
        <v>0</v>
      </c>
      <c r="H125">
        <f t="shared" si="5"/>
        <v>0</v>
      </c>
      <c r="K125">
        <f t="shared" si="6"/>
        <v>0</v>
      </c>
      <c r="N125">
        <f t="shared" si="7"/>
        <v>0</v>
      </c>
    </row>
    <row r="126" spans="1:14" x14ac:dyDescent="0.3">
      <c r="A126" s="1"/>
      <c r="B126" t="str">
        <f xml:space="preserve"> _xll.EPMOlapMemberO("[CLACO].[PARENTH1].[AMSAMAT_Y_REP.2]","","Materiales y repuest","","000")</f>
        <v>Materiales y repuest</v>
      </c>
      <c r="E126">
        <f t="shared" si="4"/>
        <v>0</v>
      </c>
      <c r="F126">
        <v>0</v>
      </c>
      <c r="H126">
        <f t="shared" si="5"/>
        <v>0</v>
      </c>
      <c r="K126">
        <f t="shared" si="6"/>
        <v>0</v>
      </c>
      <c r="N126">
        <f t="shared" si="7"/>
        <v>0</v>
      </c>
    </row>
    <row r="127" spans="1:14" x14ac:dyDescent="0.3">
      <c r="A127" s="1"/>
      <c r="B127" t="str">
        <f xml:space="preserve"> _xll.EPMOlapMemberO("[CLACO].[PARENTH1].[AMSAADM_PERSON]","","Administración Perso","","000")</f>
        <v>Administración Perso</v>
      </c>
      <c r="C127">
        <v>-411.03</v>
      </c>
      <c r="E127">
        <f t="shared" si="4"/>
        <v>411.03</v>
      </c>
      <c r="F127">
        <v>2040.97</v>
      </c>
      <c r="H127">
        <f t="shared" si="5"/>
        <v>-2040.97</v>
      </c>
      <c r="I127">
        <v>74.52</v>
      </c>
      <c r="K127">
        <f t="shared" si="6"/>
        <v>-74.52</v>
      </c>
      <c r="L127">
        <v>4380.3599999999997</v>
      </c>
      <c r="N127">
        <f t="shared" si="7"/>
        <v>-4380.3599999999997</v>
      </c>
    </row>
    <row r="128" spans="1:14" x14ac:dyDescent="0.3">
      <c r="A128" s="1"/>
      <c r="B128" t="str">
        <f xml:space="preserve"> _xll.EPMOlapMemberO("[CLACO].[PARENTH1].[AMSAENTRENAMI]","","Entrenamiento","","000")</f>
        <v>Entrenamiento</v>
      </c>
      <c r="C128">
        <v>6910.02</v>
      </c>
      <c r="D128">
        <v>3792.34</v>
      </c>
      <c r="E128">
        <f t="shared" si="4"/>
        <v>-3117.6800000000003</v>
      </c>
      <c r="F128">
        <v>11143.78</v>
      </c>
      <c r="G128">
        <v>3315.34</v>
      </c>
      <c r="H128">
        <f t="shared" si="5"/>
        <v>-7828.4400000000005</v>
      </c>
      <c r="I128">
        <v>16403.009999999998</v>
      </c>
      <c r="J128">
        <v>3541.18</v>
      </c>
      <c r="K128">
        <f t="shared" si="6"/>
        <v>-12861.829999999998</v>
      </c>
      <c r="L128">
        <v>12190.97</v>
      </c>
      <c r="M128">
        <v>3343.33</v>
      </c>
      <c r="N128">
        <f t="shared" si="7"/>
        <v>-8847.64</v>
      </c>
    </row>
    <row r="129" spans="1:14" x14ac:dyDescent="0.3">
      <c r="A129" s="1"/>
      <c r="B129" t="str">
        <f xml:space="preserve"> _xll.EPMOlapMemberO("[CLACO].[PARENTH1].[AMSAASESORIAS]","","Asesorías y Consulto","","000")</f>
        <v>Asesorías y Consulto</v>
      </c>
      <c r="C129">
        <v>280443.74</v>
      </c>
      <c r="D129">
        <v>298363.58</v>
      </c>
      <c r="E129">
        <f t="shared" si="4"/>
        <v>17919.840000000026</v>
      </c>
      <c r="F129">
        <v>348917.72</v>
      </c>
      <c r="G129">
        <v>297439.65999999997</v>
      </c>
      <c r="H129">
        <f t="shared" si="5"/>
        <v>-51478.06</v>
      </c>
      <c r="I129">
        <v>402746.48</v>
      </c>
      <c r="J129">
        <v>422489.28</v>
      </c>
      <c r="K129">
        <f t="shared" si="6"/>
        <v>19742.800000000047</v>
      </c>
      <c r="L129">
        <v>303373.38</v>
      </c>
      <c r="M129">
        <v>423114.08</v>
      </c>
      <c r="N129">
        <f t="shared" si="7"/>
        <v>119740.70000000001</v>
      </c>
    </row>
    <row r="130" spans="1:14" x14ac:dyDescent="0.3">
      <c r="A130" s="1"/>
      <c r="B130" t="str">
        <f xml:space="preserve"> _xll.EPMOlapMemberO("[CLACO].[PARENTH1].[AMSAARRIENDOS]","","Arriendos","","000")</f>
        <v>Arriendos</v>
      </c>
      <c r="D130">
        <v>174.4</v>
      </c>
      <c r="E130">
        <f t="shared" si="4"/>
        <v>174.4</v>
      </c>
      <c r="G130">
        <v>154.61000000000001</v>
      </c>
      <c r="H130">
        <f t="shared" si="5"/>
        <v>154.61000000000001</v>
      </c>
      <c r="K130">
        <f t="shared" si="6"/>
        <v>0</v>
      </c>
      <c r="N130">
        <f t="shared" si="7"/>
        <v>0</v>
      </c>
    </row>
    <row r="131" spans="1:14" x14ac:dyDescent="0.3">
      <c r="A131" s="1"/>
      <c r="B131" t="str">
        <f xml:space="preserve"> _xll.EPMOlapMemberO("[CLACO].[PARENTH1].[AMSASERVICIOS]","","Servicios","","000")</f>
        <v>Servicios</v>
      </c>
      <c r="C131">
        <v>158377.29999999999</v>
      </c>
      <c r="D131">
        <v>314963.40000000002</v>
      </c>
      <c r="E131">
        <f t="shared" si="4"/>
        <v>156586.10000000003</v>
      </c>
      <c r="F131">
        <v>131378.04</v>
      </c>
      <c r="G131">
        <v>123178.87</v>
      </c>
      <c r="H131">
        <f t="shared" si="5"/>
        <v>-8199.1700000000128</v>
      </c>
      <c r="I131">
        <v>111659.94</v>
      </c>
      <c r="J131">
        <v>172398.61</v>
      </c>
      <c r="K131">
        <f t="shared" si="6"/>
        <v>60738.669999999984</v>
      </c>
      <c r="L131">
        <v>73793.52</v>
      </c>
      <c r="M131">
        <v>177494.46</v>
      </c>
      <c r="N131">
        <f t="shared" si="7"/>
        <v>103700.93999999999</v>
      </c>
    </row>
    <row r="132" spans="1:14" x14ac:dyDescent="0.3">
      <c r="A132" s="1"/>
      <c r="B132" t="str">
        <f xml:space="preserve"> _xll.EPMOlapMemberO("[CLACO].[PARENTH1].[AMSASERMANTO.REPA]","","Servicios Mantenimie","","000")</f>
        <v>Servicios Mantenimie</v>
      </c>
      <c r="C132">
        <v>-21.5</v>
      </c>
      <c r="D132">
        <v>306.70999999999998</v>
      </c>
      <c r="E132">
        <f t="shared" si="4"/>
        <v>328.21</v>
      </c>
      <c r="F132">
        <v>46.58</v>
      </c>
      <c r="H132">
        <f t="shared" si="5"/>
        <v>-46.58</v>
      </c>
      <c r="K132">
        <f t="shared" si="6"/>
        <v>0</v>
      </c>
      <c r="N132">
        <f t="shared" si="7"/>
        <v>0</v>
      </c>
    </row>
    <row r="133" spans="1:14" x14ac:dyDescent="0.3">
      <c r="A133" s="1"/>
      <c r="B133" t="str">
        <f xml:space="preserve"> _xll.EPMOlapMemberO("[CLACO].[PARENTH1].[AMSAINFORMATIC]","","Informática y Comuni","","000")</f>
        <v>Informática y Comuni</v>
      </c>
      <c r="C133">
        <v>333913.89</v>
      </c>
      <c r="D133">
        <v>358932.83</v>
      </c>
      <c r="E133">
        <f t="shared" si="4"/>
        <v>25018.940000000002</v>
      </c>
      <c r="F133">
        <v>334139.88</v>
      </c>
      <c r="G133">
        <v>373505.44</v>
      </c>
      <c r="H133">
        <f t="shared" si="5"/>
        <v>39365.56</v>
      </c>
      <c r="I133">
        <v>348363.61</v>
      </c>
      <c r="J133">
        <v>458918.94</v>
      </c>
      <c r="K133">
        <f t="shared" si="6"/>
        <v>110555.33000000002</v>
      </c>
      <c r="L133">
        <v>363438.93</v>
      </c>
      <c r="M133">
        <v>454355.17</v>
      </c>
      <c r="N133">
        <f t="shared" si="7"/>
        <v>90916.239999999991</v>
      </c>
    </row>
    <row r="134" spans="1:14" x14ac:dyDescent="0.3">
      <c r="A134" s="1"/>
      <c r="B134" t="str">
        <f xml:space="preserve"> _xll.EPMOlapMemberO("[CLACO].[PARENTH1].[AMSAG_VIAJES]","","Gastos de Viajes","","000")</f>
        <v>Gastos de Viajes</v>
      </c>
      <c r="C134">
        <v>21299.83</v>
      </c>
      <c r="D134">
        <v>38529.07</v>
      </c>
      <c r="E134">
        <f t="shared" si="4"/>
        <v>17229.239999999998</v>
      </c>
      <c r="F134">
        <v>45882.35</v>
      </c>
      <c r="G134">
        <v>67734.789999999994</v>
      </c>
      <c r="H134">
        <f t="shared" si="5"/>
        <v>21852.439999999995</v>
      </c>
      <c r="I134">
        <v>25455</v>
      </c>
      <c r="J134">
        <v>67474.41</v>
      </c>
      <c r="K134">
        <f t="shared" si="6"/>
        <v>42019.41</v>
      </c>
      <c r="L134">
        <v>19706.53</v>
      </c>
      <c r="M134">
        <v>71852.72</v>
      </c>
      <c r="N134">
        <f t="shared" si="7"/>
        <v>52146.19</v>
      </c>
    </row>
    <row r="135" spans="1:14" x14ac:dyDescent="0.3">
      <c r="A135" s="1"/>
      <c r="B135" t="str">
        <f xml:space="preserve"> _xll.EPMOlapMemberO("[CLACO].[PARENTH1].[AMSAIMP_PATEN]","","Impuestos / Patentes","","000")</f>
        <v>Impuestos / Patentes</v>
      </c>
      <c r="C135">
        <v>4116362.01</v>
      </c>
      <c r="D135">
        <v>4527489.2300000004</v>
      </c>
      <c r="E135">
        <f t="shared" si="4"/>
        <v>411127.22000000067</v>
      </c>
      <c r="F135">
        <v>4712693.5999999996</v>
      </c>
      <c r="G135">
        <v>5206853.0999999996</v>
      </c>
      <c r="H135">
        <f t="shared" si="5"/>
        <v>494159.5</v>
      </c>
      <c r="I135">
        <v>5087596.59</v>
      </c>
      <c r="J135">
        <v>7176591.0899999999</v>
      </c>
      <c r="K135">
        <f t="shared" si="6"/>
        <v>2088994.5</v>
      </c>
      <c r="L135">
        <v>12652910.85</v>
      </c>
      <c r="M135">
        <v>14670100.73</v>
      </c>
      <c r="N135">
        <f t="shared" si="7"/>
        <v>2017189.8800000008</v>
      </c>
    </row>
    <row r="136" spans="1:14" x14ac:dyDescent="0.3">
      <c r="A136" s="1"/>
      <c r="B136" t="str">
        <f xml:space="preserve"> _xll.EPMOlapMemberO("[CLACO].[PARENTH1].[AMSAGGENERALES.2]","","Otros Gastos","","000")</f>
        <v>Otros Gastos</v>
      </c>
      <c r="C136">
        <v>63090.45</v>
      </c>
      <c r="D136">
        <v>105999.34</v>
      </c>
      <c r="E136">
        <f t="shared" si="4"/>
        <v>42908.89</v>
      </c>
      <c r="F136">
        <v>149225.98000000001</v>
      </c>
      <c r="G136">
        <v>65380.13</v>
      </c>
      <c r="H136">
        <f t="shared" si="5"/>
        <v>-83845.850000000006</v>
      </c>
      <c r="I136">
        <v>86071.51</v>
      </c>
      <c r="J136">
        <v>135329.1</v>
      </c>
      <c r="K136">
        <f t="shared" si="6"/>
        <v>49257.590000000011</v>
      </c>
      <c r="L136">
        <v>35169.06</v>
      </c>
      <c r="M136">
        <v>96726.5</v>
      </c>
      <c r="N136">
        <f t="shared" si="7"/>
        <v>61557.440000000002</v>
      </c>
    </row>
    <row r="137" spans="1:14" x14ac:dyDescent="0.3">
      <c r="A137" s="1" t="str">
        <f xml:space="preserve"> _xll.EPMOlapMemberO("[CECO].[PARENTH3].[N1000AC600]","","Comercialización","","000")</f>
        <v>Comercialización</v>
      </c>
      <c r="B137" t="str">
        <f xml:space="preserve"> _xll.EPMOlapMemberO("[CLACO].[PARENTH1].[AMSAREMUNERACI.SS]","","Remuneraciones Super","","000")</f>
        <v>Remuneraciones Super</v>
      </c>
      <c r="C137">
        <v>3640488.12</v>
      </c>
      <c r="D137">
        <v>3439482.08</v>
      </c>
      <c r="E137">
        <f t="shared" si="4"/>
        <v>-201006.04000000004</v>
      </c>
      <c r="F137">
        <v>4116310.86</v>
      </c>
      <c r="G137">
        <v>4089978.41</v>
      </c>
      <c r="H137">
        <f t="shared" si="5"/>
        <v>-26332.449999999721</v>
      </c>
      <c r="I137">
        <v>4082114.57</v>
      </c>
      <c r="J137">
        <v>4085147.06</v>
      </c>
      <c r="K137">
        <f t="shared" si="6"/>
        <v>3032.4900000002235</v>
      </c>
      <c r="L137">
        <v>4026109.3</v>
      </c>
      <c r="M137">
        <v>4297811.3</v>
      </c>
      <c r="N137">
        <f t="shared" si="7"/>
        <v>271702</v>
      </c>
    </row>
    <row r="138" spans="1:14" x14ac:dyDescent="0.3">
      <c r="A138" s="1"/>
      <c r="B138" t="str">
        <f xml:space="preserve"> _xll.EPMOlapMemberO("[CLACO].[PARENTH1].[AMSAMAT_Y_REP.2]","","Materiales y repuest","","000")</f>
        <v>Materiales y repuest</v>
      </c>
      <c r="E138">
        <f t="shared" si="4"/>
        <v>0</v>
      </c>
      <c r="F138">
        <v>0</v>
      </c>
      <c r="H138">
        <f t="shared" si="5"/>
        <v>0</v>
      </c>
      <c r="K138">
        <f t="shared" si="6"/>
        <v>0</v>
      </c>
      <c r="N138">
        <f t="shared" si="7"/>
        <v>0</v>
      </c>
    </row>
    <row r="139" spans="1:14" x14ac:dyDescent="0.3">
      <c r="A139" s="1"/>
      <c r="B139" t="str">
        <f xml:space="preserve"> _xll.EPMOlapMemberO("[CLACO].[PARENTH1].[AMSAADM_PERSON]","","Administración Perso","","000")</f>
        <v>Administración Perso</v>
      </c>
      <c r="D139">
        <v>28891.15</v>
      </c>
      <c r="E139">
        <f t="shared" ref="E139:E193" si="8">+D139-C139</f>
        <v>28891.15</v>
      </c>
      <c r="F139">
        <v>303.2</v>
      </c>
      <c r="G139">
        <v>38000</v>
      </c>
      <c r="H139">
        <f t="shared" ref="H139:H193" si="9">+G139-F139</f>
        <v>37696.800000000003</v>
      </c>
      <c r="I139">
        <v>30747.7</v>
      </c>
      <c r="J139">
        <v>2943.4</v>
      </c>
      <c r="K139">
        <f t="shared" ref="K139:K193" si="10">+J139-I139</f>
        <v>-27804.3</v>
      </c>
      <c r="L139">
        <v>56288.47</v>
      </c>
      <c r="M139">
        <v>103158.37</v>
      </c>
      <c r="N139">
        <f t="shared" ref="N139:N193" si="11">+M139-L139</f>
        <v>46869.899999999994</v>
      </c>
    </row>
    <row r="140" spans="1:14" x14ac:dyDescent="0.3">
      <c r="A140" s="1"/>
      <c r="B140" t="str">
        <f xml:space="preserve"> _xll.EPMOlapMemberO("[CLACO].[PARENTH1].[AMSAENTRENAMI]","","Entrenamiento","","000")</f>
        <v>Entrenamiento</v>
      </c>
      <c r="D140">
        <v>7650.35</v>
      </c>
      <c r="E140">
        <f t="shared" si="8"/>
        <v>7650.35</v>
      </c>
      <c r="F140">
        <v>93.32</v>
      </c>
      <c r="G140">
        <v>7440</v>
      </c>
      <c r="H140">
        <f t="shared" si="9"/>
        <v>7346.68</v>
      </c>
      <c r="I140">
        <v>4140.99</v>
      </c>
      <c r="J140">
        <v>7325.98</v>
      </c>
      <c r="K140">
        <f t="shared" si="10"/>
        <v>3184.99</v>
      </c>
      <c r="M140">
        <v>7485.1</v>
      </c>
      <c r="N140">
        <f t="shared" si="11"/>
        <v>7485.1</v>
      </c>
    </row>
    <row r="141" spans="1:14" x14ac:dyDescent="0.3">
      <c r="A141" s="1"/>
      <c r="B141" t="str">
        <f xml:space="preserve"> _xll.EPMOlapMemberO("[CLACO].[PARENTH1].[AMSAASESORIAS]","","Asesorías y Consulto","","000")</f>
        <v>Asesorías y Consulto</v>
      </c>
      <c r="E141">
        <f t="shared" si="8"/>
        <v>0</v>
      </c>
      <c r="H141">
        <f t="shared" si="9"/>
        <v>0</v>
      </c>
      <c r="K141">
        <f t="shared" si="10"/>
        <v>0</v>
      </c>
      <c r="L141">
        <v>386.23</v>
      </c>
      <c r="N141">
        <f t="shared" si="11"/>
        <v>-386.23</v>
      </c>
    </row>
    <row r="142" spans="1:14" x14ac:dyDescent="0.3">
      <c r="A142" s="1"/>
      <c r="B142" t="str">
        <f xml:space="preserve"> _xll.EPMOlapMemberO("[CLACO].[PARENTH1].[AMSASERVICIOS]","","Servicios","","000")</f>
        <v>Servicios</v>
      </c>
      <c r="C142">
        <v>-29.25</v>
      </c>
      <c r="D142">
        <v>5634.97</v>
      </c>
      <c r="E142">
        <f t="shared" si="8"/>
        <v>5664.22</v>
      </c>
      <c r="F142">
        <v>146.77000000000001</v>
      </c>
      <c r="G142">
        <v>5500</v>
      </c>
      <c r="H142">
        <f t="shared" si="9"/>
        <v>5353.23</v>
      </c>
      <c r="I142">
        <v>1431.22</v>
      </c>
      <c r="J142">
        <v>2482.3200000000002</v>
      </c>
      <c r="K142">
        <f t="shared" si="10"/>
        <v>1051.1000000000001</v>
      </c>
      <c r="L142">
        <v>94.8</v>
      </c>
      <c r="M142">
        <v>8067.08</v>
      </c>
      <c r="N142">
        <f t="shared" si="11"/>
        <v>7972.28</v>
      </c>
    </row>
    <row r="143" spans="1:14" x14ac:dyDescent="0.3">
      <c r="A143" s="1"/>
      <c r="B143" t="str">
        <f xml:space="preserve"> _xll.EPMOlapMemberO("[CLACO].[PARENTH1].[AMSAINFORMATIC]","","Informática y Comuni","","000")</f>
        <v>Informática y Comuni</v>
      </c>
      <c r="C143">
        <v>73862.48</v>
      </c>
      <c r="D143">
        <v>704436.65</v>
      </c>
      <c r="E143">
        <f t="shared" si="8"/>
        <v>630574.17000000004</v>
      </c>
      <c r="F143">
        <v>167954.5</v>
      </c>
      <c r="G143">
        <v>188077.47</v>
      </c>
      <c r="H143">
        <f t="shared" si="9"/>
        <v>20122.97</v>
      </c>
      <c r="I143">
        <v>187811.47</v>
      </c>
      <c r="J143">
        <v>422865.35</v>
      </c>
      <c r="K143">
        <f t="shared" si="10"/>
        <v>235053.87999999998</v>
      </c>
      <c r="L143">
        <v>434591.45</v>
      </c>
      <c r="M143">
        <v>427172.68</v>
      </c>
      <c r="N143">
        <f t="shared" si="11"/>
        <v>-7418.7700000000186</v>
      </c>
    </row>
    <row r="144" spans="1:14" x14ac:dyDescent="0.3">
      <c r="A144" s="1"/>
      <c r="B144" t="str">
        <f xml:space="preserve"> _xll.EPMOlapMemberO("[CLACO].[PARENTH1].[AMSAG_VIAJES]","","Gastos de Viajes","","000")</f>
        <v>Gastos de Viajes</v>
      </c>
      <c r="C144">
        <v>14911.97</v>
      </c>
      <c r="D144">
        <v>1028.28</v>
      </c>
      <c r="E144">
        <f t="shared" si="8"/>
        <v>-13883.689999999999</v>
      </c>
      <c r="F144">
        <v>8764.2099999999991</v>
      </c>
      <c r="G144">
        <v>1000</v>
      </c>
      <c r="H144">
        <f t="shared" si="9"/>
        <v>-7764.2099999999991</v>
      </c>
      <c r="I144">
        <v>12180.07</v>
      </c>
      <c r="J144">
        <v>984.67</v>
      </c>
      <c r="K144">
        <f t="shared" si="10"/>
        <v>-11195.4</v>
      </c>
      <c r="L144">
        <v>2696.91</v>
      </c>
      <c r="M144">
        <v>981.02</v>
      </c>
      <c r="N144">
        <f t="shared" si="11"/>
        <v>-1715.8899999999999</v>
      </c>
    </row>
    <row r="145" spans="1:14" x14ac:dyDescent="0.3">
      <c r="A145" s="1"/>
      <c r="B145" t="str">
        <f xml:space="preserve"> _xll.EPMOlapMemberO("[CLACO].[PARENTH1].[AMSAIMP_PATEN]","","Impuestos / Patentes","","000")</f>
        <v>Impuestos / Patentes</v>
      </c>
      <c r="C145">
        <v>13.06</v>
      </c>
      <c r="E145">
        <f t="shared" si="8"/>
        <v>-13.06</v>
      </c>
      <c r="H145">
        <f t="shared" si="9"/>
        <v>0</v>
      </c>
      <c r="I145">
        <v>118.66</v>
      </c>
      <c r="K145">
        <f t="shared" si="10"/>
        <v>-118.66</v>
      </c>
      <c r="N145">
        <f t="shared" si="11"/>
        <v>0</v>
      </c>
    </row>
    <row r="146" spans="1:14" x14ac:dyDescent="0.3">
      <c r="A146" s="1"/>
      <c r="B146" t="str">
        <f xml:space="preserve"> _xll.EPMOlapMemberO("[CLACO].[PARENTH1].[AMSAGGENERALES.2]","","Otros Gastos","","000")</f>
        <v>Otros Gastos</v>
      </c>
      <c r="C146">
        <v>34195.910000000003</v>
      </c>
      <c r="D146">
        <v>76768.37</v>
      </c>
      <c r="E146">
        <f t="shared" si="8"/>
        <v>42572.459999999992</v>
      </c>
      <c r="F146">
        <v>24336.98</v>
      </c>
      <c r="G146">
        <v>64824</v>
      </c>
      <c r="H146">
        <f t="shared" si="9"/>
        <v>40487.020000000004</v>
      </c>
      <c r="I146">
        <v>18854.13</v>
      </c>
      <c r="J146">
        <v>25861.45</v>
      </c>
      <c r="K146">
        <f t="shared" si="10"/>
        <v>7007.32</v>
      </c>
      <c r="L146">
        <v>216677.1</v>
      </c>
      <c r="M146">
        <v>25778.47</v>
      </c>
      <c r="N146">
        <f t="shared" si="11"/>
        <v>-190898.63</v>
      </c>
    </row>
    <row r="147" spans="1:14" x14ac:dyDescent="0.3">
      <c r="A147" s="1" t="str">
        <f xml:space="preserve"> _xll.EPMOlapMemberO("[CECO].[PARENTH3].[N1000AC650]","","Relaciones Instituci","","000")</f>
        <v>Relaciones Instituci</v>
      </c>
      <c r="B147" t="str">
        <f xml:space="preserve"> _xll.EPMOlapMemberO("[CLACO].[PARENTH1].[AMSAREMUNERACI.SS]","","Remuneraciones Super","","000")</f>
        <v>Remuneraciones Super</v>
      </c>
      <c r="C147">
        <v>24425.08</v>
      </c>
      <c r="D147">
        <v>20152.48</v>
      </c>
      <c r="E147">
        <f t="shared" si="8"/>
        <v>-4272.6000000000022</v>
      </c>
      <c r="F147">
        <v>29997.9</v>
      </c>
      <c r="G147">
        <v>20704.14</v>
      </c>
      <c r="H147">
        <f t="shared" si="9"/>
        <v>-9293.760000000002</v>
      </c>
      <c r="I147">
        <v>24410.94</v>
      </c>
      <c r="J147">
        <v>37817.14</v>
      </c>
      <c r="K147">
        <f t="shared" si="10"/>
        <v>13406.2</v>
      </c>
      <c r="L147">
        <v>28689.65</v>
      </c>
      <c r="N147">
        <f t="shared" si="11"/>
        <v>-28689.65</v>
      </c>
    </row>
    <row r="148" spans="1:14" x14ac:dyDescent="0.3">
      <c r="A148" s="1"/>
      <c r="B148" t="str">
        <f xml:space="preserve"> _xll.EPMOlapMemberO("[CLACO].[PARENTH1].[AMSAINFORMATIC]","","Informática y Comuni","","000")</f>
        <v>Informática y Comuni</v>
      </c>
      <c r="C148">
        <v>292.81</v>
      </c>
      <c r="E148">
        <f t="shared" si="8"/>
        <v>-292.81</v>
      </c>
      <c r="F148">
        <v>185.13</v>
      </c>
      <c r="H148">
        <f t="shared" si="9"/>
        <v>-185.13</v>
      </c>
      <c r="K148">
        <f t="shared" si="10"/>
        <v>0</v>
      </c>
      <c r="L148">
        <v>216.5</v>
      </c>
      <c r="N148">
        <f t="shared" si="11"/>
        <v>-216.5</v>
      </c>
    </row>
    <row r="149" spans="1:14" x14ac:dyDescent="0.3">
      <c r="A149" s="1"/>
      <c r="B149" t="str">
        <f xml:space="preserve"> _xll.EPMOlapMemberO("[CLACO].[PARENTH1].[AMSAG_VIAJES]","","Gastos de Viajes","","000")</f>
        <v>Gastos de Viajes</v>
      </c>
      <c r="E149">
        <f t="shared" si="8"/>
        <v>0</v>
      </c>
      <c r="F149">
        <v>37.369999999999997</v>
      </c>
      <c r="H149">
        <f t="shared" si="9"/>
        <v>-37.369999999999997</v>
      </c>
      <c r="K149">
        <f t="shared" si="10"/>
        <v>0</v>
      </c>
      <c r="N149">
        <f t="shared" si="11"/>
        <v>0</v>
      </c>
    </row>
    <row r="150" spans="1:14" x14ac:dyDescent="0.3">
      <c r="A150" s="1"/>
      <c r="B150" t="str">
        <f xml:space="preserve"> _xll.EPMOlapMemberO("[CLACO].[PARENTH1].[AMSAGGENERALES.2]","","Otros Gastos","","000")</f>
        <v>Otros Gastos</v>
      </c>
      <c r="C150">
        <v>1.8</v>
      </c>
      <c r="E150">
        <f t="shared" si="8"/>
        <v>-1.8</v>
      </c>
      <c r="F150">
        <v>18.350000000000001</v>
      </c>
      <c r="H150">
        <f t="shared" si="9"/>
        <v>-18.350000000000001</v>
      </c>
      <c r="I150">
        <v>49.35</v>
      </c>
      <c r="K150">
        <f t="shared" si="10"/>
        <v>-49.35</v>
      </c>
      <c r="L150">
        <v>163.49</v>
      </c>
      <c r="N150">
        <f t="shared" si="11"/>
        <v>-163.49</v>
      </c>
    </row>
    <row r="151" spans="1:14" x14ac:dyDescent="0.3">
      <c r="A151" s="1" t="str">
        <f xml:space="preserve"> _xll.EPMOlapMemberO("[CECO].[PARENTH3].[N1000AC700]","","VP Estrategia e Inno","","000")</f>
        <v>VP Estrategia e Inno</v>
      </c>
      <c r="B151" t="str">
        <f xml:space="preserve"> _xll.EPMOlapMemberO("[CLACO].[PARENTH1].[AMSAREMUNERACI.EE]","","Remuneraciones emple","","000")</f>
        <v>Remuneraciones emple</v>
      </c>
      <c r="C151">
        <v>325.11</v>
      </c>
      <c r="E151">
        <f t="shared" si="8"/>
        <v>-325.11</v>
      </c>
      <c r="H151">
        <f t="shared" si="9"/>
        <v>0</v>
      </c>
      <c r="K151">
        <f t="shared" si="10"/>
        <v>0</v>
      </c>
      <c r="N151">
        <f t="shared" si="11"/>
        <v>0</v>
      </c>
    </row>
    <row r="152" spans="1:14" x14ac:dyDescent="0.3">
      <c r="A152" s="1"/>
      <c r="B152" t="str">
        <f xml:space="preserve"> _xll.EPMOlapMemberO("[CLACO].[PARENTH1].[AMSAREMUNERACI.SS]","","Remuneraciones Super","","000")</f>
        <v>Remuneraciones Super</v>
      </c>
      <c r="C152">
        <v>11152273.65</v>
      </c>
      <c r="D152">
        <v>11331248.51</v>
      </c>
      <c r="E152">
        <f t="shared" si="8"/>
        <v>178974.8599999994</v>
      </c>
      <c r="F152">
        <v>13145226.359999999</v>
      </c>
      <c r="G152">
        <v>12491844</v>
      </c>
      <c r="H152">
        <f t="shared" si="9"/>
        <v>-653382.3599999994</v>
      </c>
      <c r="I152">
        <v>12449625.9</v>
      </c>
      <c r="J152">
        <v>13642492.65</v>
      </c>
      <c r="K152">
        <f t="shared" si="10"/>
        <v>1192866.75</v>
      </c>
      <c r="L152">
        <v>14172164.91</v>
      </c>
      <c r="M152">
        <v>13956682.970000001</v>
      </c>
      <c r="N152">
        <f t="shared" si="11"/>
        <v>-215481.93999999948</v>
      </c>
    </row>
    <row r="153" spans="1:14" x14ac:dyDescent="0.3">
      <c r="A153" s="1"/>
      <c r="B153" t="str">
        <f xml:space="preserve"> _xll.EPMOlapMemberO("[CLACO].[PARENTH1].[AMSAMAT_Y_REP.2]","","Materiales y repuest","","000")</f>
        <v>Materiales y repuest</v>
      </c>
      <c r="C153">
        <v>-286298.56</v>
      </c>
      <c r="D153">
        <v>5449.99</v>
      </c>
      <c r="E153">
        <f t="shared" si="8"/>
        <v>291748.55</v>
      </c>
      <c r="F153">
        <v>0</v>
      </c>
      <c r="H153">
        <f t="shared" si="9"/>
        <v>0</v>
      </c>
      <c r="K153">
        <f t="shared" si="10"/>
        <v>0</v>
      </c>
      <c r="L153">
        <v>457.12</v>
      </c>
      <c r="N153">
        <f t="shared" si="11"/>
        <v>-457.12</v>
      </c>
    </row>
    <row r="154" spans="1:14" x14ac:dyDescent="0.3">
      <c r="A154" s="1"/>
      <c r="B154" t="str">
        <f xml:space="preserve"> _xll.EPMOlapMemberO("[CLACO].[PARENTH1].[AMSAADM_PERSON]","","Administración Perso","","000")</f>
        <v>Administración Perso</v>
      </c>
      <c r="C154">
        <v>51941.65</v>
      </c>
      <c r="E154">
        <f t="shared" si="8"/>
        <v>-51941.65</v>
      </c>
      <c r="F154">
        <v>640.01</v>
      </c>
      <c r="H154">
        <f t="shared" si="9"/>
        <v>-640.01</v>
      </c>
      <c r="I154">
        <v>2996.05</v>
      </c>
      <c r="K154">
        <f t="shared" si="10"/>
        <v>-2996.05</v>
      </c>
      <c r="L154">
        <v>15658.3</v>
      </c>
      <c r="N154">
        <f t="shared" si="11"/>
        <v>-15658.3</v>
      </c>
    </row>
    <row r="155" spans="1:14" x14ac:dyDescent="0.3">
      <c r="A155" s="1"/>
      <c r="B155" t="str">
        <f xml:space="preserve"> _xll.EPMOlapMemberO("[CLACO].[PARENTH1].[AMSAENTRENAMI]","","Entrenamiento","","000")</f>
        <v>Entrenamiento</v>
      </c>
      <c r="C155">
        <v>2623.76</v>
      </c>
      <c r="D155">
        <v>12270.52</v>
      </c>
      <c r="E155">
        <f t="shared" si="8"/>
        <v>9646.76</v>
      </c>
      <c r="F155">
        <v>17787.919999999998</v>
      </c>
      <c r="G155">
        <v>64748.160000000003</v>
      </c>
      <c r="H155">
        <f t="shared" si="9"/>
        <v>46960.240000000005</v>
      </c>
      <c r="I155">
        <v>43604.49</v>
      </c>
      <c r="J155">
        <v>14635.29</v>
      </c>
      <c r="K155">
        <f t="shared" si="10"/>
        <v>-28969.199999999997</v>
      </c>
      <c r="L155">
        <v>30006.29</v>
      </c>
      <c r="M155">
        <v>4537.78</v>
      </c>
      <c r="N155">
        <f t="shared" si="11"/>
        <v>-25468.510000000002</v>
      </c>
    </row>
    <row r="156" spans="1:14" x14ac:dyDescent="0.3">
      <c r="A156" s="1"/>
      <c r="B156" t="str">
        <f xml:space="preserve"> _xll.EPMOlapMemberO("[CLACO].[PARENTH1].[AMSAASESORIAS]","","Asesorías y Consulto","","000")</f>
        <v>Asesorías y Consulto</v>
      </c>
      <c r="C156">
        <v>1647814.49</v>
      </c>
      <c r="D156">
        <v>1544654.48</v>
      </c>
      <c r="E156">
        <f t="shared" si="8"/>
        <v>-103160.01000000001</v>
      </c>
      <c r="F156">
        <v>463402.06</v>
      </c>
      <c r="G156">
        <v>744933.15</v>
      </c>
      <c r="H156">
        <f t="shared" si="9"/>
        <v>281531.09000000003</v>
      </c>
      <c r="I156">
        <v>157562.15</v>
      </c>
      <c r="J156">
        <v>191600</v>
      </c>
      <c r="K156">
        <f t="shared" si="10"/>
        <v>34037.850000000006</v>
      </c>
      <c r="L156">
        <v>372419.5</v>
      </c>
      <c r="M156">
        <v>397014.67</v>
      </c>
      <c r="N156">
        <f t="shared" si="11"/>
        <v>24595.169999999984</v>
      </c>
    </row>
    <row r="157" spans="1:14" x14ac:dyDescent="0.3">
      <c r="A157" s="1"/>
      <c r="B157" t="str">
        <f xml:space="preserve"> _xll.EPMOlapMemberO("[CLACO].[PARENTH1].[AMSAARRIENDOS]","","Arriendos","","000")</f>
        <v>Arriendos</v>
      </c>
      <c r="C157">
        <v>3660.4</v>
      </c>
      <c r="D157">
        <v>195.49</v>
      </c>
      <c r="E157">
        <f t="shared" si="8"/>
        <v>-3464.91</v>
      </c>
      <c r="F157">
        <v>0</v>
      </c>
      <c r="H157">
        <f t="shared" si="9"/>
        <v>0</v>
      </c>
      <c r="I157">
        <v>0</v>
      </c>
      <c r="K157">
        <f t="shared" si="10"/>
        <v>0</v>
      </c>
      <c r="L157">
        <v>165.77</v>
      </c>
      <c r="N157">
        <f t="shared" si="11"/>
        <v>-165.77</v>
      </c>
    </row>
    <row r="158" spans="1:14" x14ac:dyDescent="0.3">
      <c r="A158" s="1"/>
      <c r="B158" t="str">
        <f xml:space="preserve"> _xll.EPMOlapMemberO("[CLACO].[PARENTH1].[AMSASERVICIOS]","","Servicios","","000")</f>
        <v>Servicios</v>
      </c>
      <c r="C158">
        <v>102593.41</v>
      </c>
      <c r="D158">
        <v>106063.67</v>
      </c>
      <c r="E158">
        <f t="shared" si="8"/>
        <v>3470.2599999999948</v>
      </c>
      <c r="F158">
        <v>557159.65</v>
      </c>
      <c r="G158">
        <v>269085.44</v>
      </c>
      <c r="H158">
        <f t="shared" si="9"/>
        <v>-288074.21000000002</v>
      </c>
      <c r="I158">
        <v>511472.86</v>
      </c>
      <c r="J158">
        <v>568767.43000000005</v>
      </c>
      <c r="K158">
        <f t="shared" si="10"/>
        <v>57294.570000000065</v>
      </c>
      <c r="L158">
        <v>2340937.54</v>
      </c>
      <c r="M158">
        <v>2115519.9700000002</v>
      </c>
      <c r="N158">
        <f t="shared" si="11"/>
        <v>-225417.56999999983</v>
      </c>
    </row>
    <row r="159" spans="1:14" x14ac:dyDescent="0.3">
      <c r="A159" s="1"/>
      <c r="B159" t="str">
        <f xml:space="preserve"> _xll.EPMOlapMemberO("[CLACO].[PARENTH1].[AMSASERMANTO.REPA]","","Servicios Mantenimie","","000")</f>
        <v>Servicios Mantenimie</v>
      </c>
      <c r="C159">
        <v>96711.11</v>
      </c>
      <c r="D159">
        <v>123186.11</v>
      </c>
      <c r="E159">
        <f t="shared" si="8"/>
        <v>26475</v>
      </c>
      <c r="F159">
        <v>114772.32</v>
      </c>
      <c r="G159">
        <v>111478.76</v>
      </c>
      <c r="H159">
        <f t="shared" si="9"/>
        <v>-3293.5600000000122</v>
      </c>
      <c r="I159">
        <v>84785.14</v>
      </c>
      <c r="J159">
        <v>141511.74</v>
      </c>
      <c r="K159">
        <f t="shared" si="10"/>
        <v>56726.599999999991</v>
      </c>
      <c r="L159">
        <v>178509.86</v>
      </c>
      <c r="M159">
        <v>140930.31</v>
      </c>
      <c r="N159">
        <f t="shared" si="11"/>
        <v>-37579.549999999988</v>
      </c>
    </row>
    <row r="160" spans="1:14" x14ac:dyDescent="0.3">
      <c r="A160" s="1"/>
      <c r="B160" t="str">
        <f xml:space="preserve"> _xll.EPMOlapMemberO("[CLACO].[PARENTH1].[AMSAINFORMATIC]","","Informática y Comuni","","000")</f>
        <v>Informática y Comuni</v>
      </c>
      <c r="C160">
        <v>9396476.5700000003</v>
      </c>
      <c r="D160">
        <v>8337002.3200000003</v>
      </c>
      <c r="E160">
        <f t="shared" si="8"/>
        <v>-1059474.25</v>
      </c>
      <c r="F160">
        <v>8913090.4399999995</v>
      </c>
      <c r="G160">
        <v>8848585.1500000004</v>
      </c>
      <c r="H160">
        <f t="shared" si="9"/>
        <v>-64505.289999999106</v>
      </c>
      <c r="I160">
        <v>8257938.2699999996</v>
      </c>
      <c r="J160">
        <v>8674001.2899999991</v>
      </c>
      <c r="K160">
        <f t="shared" si="10"/>
        <v>416063.01999999955</v>
      </c>
      <c r="L160">
        <v>7711734.5700000003</v>
      </c>
      <c r="M160">
        <v>7870103.0300000003</v>
      </c>
      <c r="N160">
        <f t="shared" si="11"/>
        <v>158368.45999999996</v>
      </c>
    </row>
    <row r="161" spans="1:14" x14ac:dyDescent="0.3">
      <c r="A161" s="1"/>
      <c r="B161" t="str">
        <f xml:space="preserve"> _xll.EPMOlapMemberO("[CLACO].[PARENTH1].[AMSAG_VIAJES]","","Gastos de Viajes","","000")</f>
        <v>Gastos de Viajes</v>
      </c>
      <c r="C161">
        <v>132143.92000000001</v>
      </c>
      <c r="D161">
        <v>113848.24</v>
      </c>
      <c r="E161">
        <f t="shared" si="8"/>
        <v>-18295.680000000008</v>
      </c>
      <c r="F161">
        <v>209432.18</v>
      </c>
      <c r="G161">
        <v>116070.39999999999</v>
      </c>
      <c r="H161">
        <f t="shared" si="9"/>
        <v>-93361.78</v>
      </c>
      <c r="I161">
        <v>324238.67</v>
      </c>
      <c r="J161">
        <v>221083.3</v>
      </c>
      <c r="K161">
        <f t="shared" si="10"/>
        <v>-103155.37</v>
      </c>
      <c r="L161">
        <v>336156.75</v>
      </c>
      <c r="M161">
        <v>235236.42</v>
      </c>
      <c r="N161">
        <f t="shared" si="11"/>
        <v>-100920.32999999999</v>
      </c>
    </row>
    <row r="162" spans="1:14" x14ac:dyDescent="0.3">
      <c r="A162" s="1"/>
      <c r="B162" t="str">
        <f xml:space="preserve"> _xll.EPMOlapMemberO("[CLACO].[PARENTH1].[AMSAIMP_PATEN]","","Impuestos / Patentes","","000")</f>
        <v>Impuestos / Patentes</v>
      </c>
      <c r="E162">
        <f t="shared" si="8"/>
        <v>0</v>
      </c>
      <c r="F162">
        <v>12795.87</v>
      </c>
      <c r="G162">
        <v>102279.56</v>
      </c>
      <c r="H162">
        <f t="shared" si="9"/>
        <v>89483.69</v>
      </c>
      <c r="I162">
        <v>16995.21</v>
      </c>
      <c r="J162">
        <v>121950</v>
      </c>
      <c r="K162">
        <f t="shared" si="10"/>
        <v>104954.79000000001</v>
      </c>
      <c r="L162">
        <v>-117.53</v>
      </c>
      <c r="M162">
        <v>60989</v>
      </c>
      <c r="N162">
        <f t="shared" si="11"/>
        <v>61106.53</v>
      </c>
    </row>
    <row r="163" spans="1:14" x14ac:dyDescent="0.3">
      <c r="A163" s="1"/>
      <c r="B163" t="str">
        <f xml:space="preserve"> _xll.EPMOlapMemberO("[CLACO].[PARENTH1].[AMSAGGENERALES.2]","","Otros Gastos","","000")</f>
        <v>Otros Gastos</v>
      </c>
      <c r="C163">
        <v>92611.02</v>
      </c>
      <c r="D163">
        <v>78409.66</v>
      </c>
      <c r="E163">
        <f t="shared" si="8"/>
        <v>-14201.36</v>
      </c>
      <c r="F163">
        <v>136220.23000000001</v>
      </c>
      <c r="G163">
        <v>154455.5</v>
      </c>
      <c r="H163">
        <f t="shared" si="9"/>
        <v>18235.26999999999</v>
      </c>
      <c r="I163">
        <v>168101.78</v>
      </c>
      <c r="J163">
        <v>650121.56999999995</v>
      </c>
      <c r="K163">
        <f t="shared" si="10"/>
        <v>482019.78999999992</v>
      </c>
      <c r="L163">
        <v>273235.68</v>
      </c>
      <c r="M163">
        <v>204537.13</v>
      </c>
      <c r="N163">
        <f t="shared" si="11"/>
        <v>-68698.549999999988</v>
      </c>
    </row>
    <row r="164" spans="1:14" x14ac:dyDescent="0.3">
      <c r="A164" s="1" t="str">
        <f xml:space="preserve"> _xll.EPMOlapMemberO("[CECO].[PARENTH3].[N1000AC720]","","VP Sustentabilidad","","000")</f>
        <v>VP Sustentabilidad</v>
      </c>
      <c r="B164" t="str">
        <f xml:space="preserve"> _xll.EPMOlapMemberO("[CLACO].[PARENTH1].[AMSAREMUNERACI.SS]","","Remuneraciones Super","","000")</f>
        <v>Remuneraciones Super</v>
      </c>
      <c r="C164">
        <v>2359647.7000000002</v>
      </c>
      <c r="D164">
        <v>2475050.0099999998</v>
      </c>
      <c r="E164">
        <f t="shared" si="8"/>
        <v>115402.30999999959</v>
      </c>
      <c r="F164">
        <v>2493043.48</v>
      </c>
      <c r="G164">
        <v>3130147.33</v>
      </c>
      <c r="H164">
        <f t="shared" si="9"/>
        <v>637103.85000000009</v>
      </c>
      <c r="I164">
        <v>2205776.66</v>
      </c>
      <c r="J164">
        <v>2692735.92</v>
      </c>
      <c r="K164">
        <f t="shared" si="10"/>
        <v>486959.25999999978</v>
      </c>
      <c r="L164">
        <v>3760583.16</v>
      </c>
      <c r="M164">
        <v>3317477.02</v>
      </c>
      <c r="N164">
        <f t="shared" si="11"/>
        <v>-443106.14000000013</v>
      </c>
    </row>
    <row r="165" spans="1:14" x14ac:dyDescent="0.3">
      <c r="A165" s="1"/>
      <c r="B165" t="str">
        <f xml:space="preserve"> _xll.EPMOlapMemberO("[CLACO].[PARENTH1].[AMSAMAT_Y_REP.2]","","Materiales y repuest","","000")</f>
        <v>Materiales y repuest</v>
      </c>
      <c r="E165">
        <f t="shared" si="8"/>
        <v>0</v>
      </c>
      <c r="F165">
        <v>0</v>
      </c>
      <c r="H165">
        <f t="shared" si="9"/>
        <v>0</v>
      </c>
      <c r="K165">
        <f t="shared" si="10"/>
        <v>0</v>
      </c>
      <c r="L165">
        <v>1839.38</v>
      </c>
      <c r="N165">
        <f t="shared" si="11"/>
        <v>-1839.38</v>
      </c>
    </row>
    <row r="166" spans="1:14" x14ac:dyDescent="0.3">
      <c r="A166" s="1"/>
      <c r="B166" t="str">
        <f xml:space="preserve"> _xll.EPMOlapMemberO("[CLACO].[PARENTH1].[AMSAADM_PERSON]","","Administración Perso","","000")</f>
        <v>Administración Perso</v>
      </c>
      <c r="C166">
        <v>166750.62</v>
      </c>
      <c r="D166">
        <v>486822.1</v>
      </c>
      <c r="E166">
        <f t="shared" si="8"/>
        <v>320071.48</v>
      </c>
      <c r="F166">
        <v>-114083</v>
      </c>
      <c r="H166">
        <f t="shared" si="9"/>
        <v>114083</v>
      </c>
      <c r="I166">
        <v>0</v>
      </c>
      <c r="K166">
        <f t="shared" si="10"/>
        <v>0</v>
      </c>
      <c r="L166">
        <v>-269.43</v>
      </c>
      <c r="N166">
        <f t="shared" si="11"/>
        <v>269.43</v>
      </c>
    </row>
    <row r="167" spans="1:14" x14ac:dyDescent="0.3">
      <c r="A167" s="1"/>
      <c r="B167" t="str">
        <f xml:space="preserve"> _xll.EPMOlapMemberO("[CLACO].[PARENTH1].[AMSAENTRENAMI]","","Entrenamiento","","000")</f>
        <v>Entrenamiento</v>
      </c>
      <c r="C167">
        <v>2457.23</v>
      </c>
      <c r="D167">
        <v>11547.24</v>
      </c>
      <c r="E167">
        <f t="shared" si="8"/>
        <v>9090.01</v>
      </c>
      <c r="F167">
        <v>18828.009999999998</v>
      </c>
      <c r="G167">
        <v>6509.94</v>
      </c>
      <c r="H167">
        <f t="shared" si="9"/>
        <v>-12318.07</v>
      </c>
      <c r="I167">
        <v>20325.14</v>
      </c>
      <c r="J167">
        <v>1800</v>
      </c>
      <c r="K167">
        <f t="shared" si="10"/>
        <v>-18525.14</v>
      </c>
      <c r="L167">
        <v>42456.18</v>
      </c>
      <c r="M167">
        <v>6069.72</v>
      </c>
      <c r="N167">
        <f t="shared" si="11"/>
        <v>-36386.46</v>
      </c>
    </row>
    <row r="168" spans="1:14" x14ac:dyDescent="0.3">
      <c r="A168" s="1"/>
      <c r="B168" t="str">
        <f xml:space="preserve"> _xll.EPMOlapMemberO("[CLACO].[PARENTH1].[AMSAASESORIAS]","","Asesorías y Consulto","","000")</f>
        <v>Asesorías y Consulto</v>
      </c>
      <c r="C168">
        <v>629957.26</v>
      </c>
      <c r="D168">
        <v>780068.3</v>
      </c>
      <c r="E168">
        <f t="shared" si="8"/>
        <v>150111.04000000004</v>
      </c>
      <c r="F168">
        <v>1046554.44</v>
      </c>
      <c r="G168">
        <v>1005731.92</v>
      </c>
      <c r="H168">
        <f t="shared" si="9"/>
        <v>-40822.519999999902</v>
      </c>
      <c r="I168">
        <v>752062.52</v>
      </c>
      <c r="J168">
        <v>925007.35999999999</v>
      </c>
      <c r="K168">
        <f t="shared" si="10"/>
        <v>172944.83999999997</v>
      </c>
      <c r="L168">
        <v>806887.22</v>
      </c>
      <c r="M168">
        <v>927642.59</v>
      </c>
      <c r="N168">
        <f t="shared" si="11"/>
        <v>120755.37</v>
      </c>
    </row>
    <row r="169" spans="1:14" x14ac:dyDescent="0.3">
      <c r="A169" s="1"/>
      <c r="B169" t="str">
        <f xml:space="preserve"> _xll.EPMOlapMemberO("[CLACO].[PARENTH1].[AMSASERVICIOS]","","Servicios","","000")</f>
        <v>Servicios</v>
      </c>
      <c r="C169">
        <v>15517.3</v>
      </c>
      <c r="D169">
        <v>46233.52</v>
      </c>
      <c r="E169">
        <f t="shared" si="8"/>
        <v>30716.219999999998</v>
      </c>
      <c r="F169">
        <v>-17211.72</v>
      </c>
      <c r="G169">
        <v>57176.39</v>
      </c>
      <c r="H169">
        <f t="shared" si="9"/>
        <v>74388.11</v>
      </c>
      <c r="I169">
        <v>80932.929999999993</v>
      </c>
      <c r="J169">
        <v>82607.95</v>
      </c>
      <c r="K169">
        <f t="shared" si="10"/>
        <v>1675.0200000000041</v>
      </c>
      <c r="L169">
        <v>67590.52</v>
      </c>
      <c r="M169">
        <v>58551.13</v>
      </c>
      <c r="N169">
        <f t="shared" si="11"/>
        <v>-9039.3900000000067</v>
      </c>
    </row>
    <row r="170" spans="1:14" x14ac:dyDescent="0.3">
      <c r="A170" s="1"/>
      <c r="B170" t="str">
        <f xml:space="preserve"> _xll.EPMOlapMemberO("[CLACO].[PARENTH1].[AMSASERMANTO.REPA]","","Servicios Mantenimie","","000")</f>
        <v>Servicios Mantenimie</v>
      </c>
      <c r="E170">
        <f t="shared" si="8"/>
        <v>0</v>
      </c>
      <c r="H170">
        <f t="shared" si="9"/>
        <v>0</v>
      </c>
      <c r="K170">
        <f t="shared" si="10"/>
        <v>0</v>
      </c>
      <c r="L170">
        <v>0</v>
      </c>
      <c r="N170">
        <f t="shared" si="11"/>
        <v>0</v>
      </c>
    </row>
    <row r="171" spans="1:14" x14ac:dyDescent="0.3">
      <c r="A171" s="1"/>
      <c r="B171" t="str">
        <f xml:space="preserve"> _xll.EPMOlapMemberO("[CLACO].[PARENTH1].[AMSAINFORMATIC]","","Informática y Comuni","","000")</f>
        <v>Informática y Comuni</v>
      </c>
      <c r="C171">
        <v>8166.7</v>
      </c>
      <c r="D171">
        <v>30728.560000000001</v>
      </c>
      <c r="E171">
        <f t="shared" si="8"/>
        <v>22561.86</v>
      </c>
      <c r="F171">
        <v>220438.23</v>
      </c>
      <c r="G171">
        <v>50416.03</v>
      </c>
      <c r="H171">
        <f t="shared" si="9"/>
        <v>-170022.2</v>
      </c>
      <c r="I171">
        <v>98420.56</v>
      </c>
      <c r="J171">
        <v>102112.21</v>
      </c>
      <c r="K171">
        <f t="shared" si="10"/>
        <v>3691.6500000000087</v>
      </c>
      <c r="L171">
        <v>243636.49</v>
      </c>
      <c r="M171">
        <v>120305.7</v>
      </c>
      <c r="N171">
        <f t="shared" si="11"/>
        <v>-123330.79</v>
      </c>
    </row>
    <row r="172" spans="1:14" x14ac:dyDescent="0.3">
      <c r="A172" s="1"/>
      <c r="B172" t="str">
        <f xml:space="preserve"> _xll.EPMOlapMemberO("[CLACO].[PARENTH1].[AMSAG_VIAJES]","","Gastos de Viajes","","000")</f>
        <v>Gastos de Viajes</v>
      </c>
      <c r="C172">
        <v>130572.65</v>
      </c>
      <c r="D172">
        <v>153453.78</v>
      </c>
      <c r="E172">
        <f t="shared" si="8"/>
        <v>22881.130000000005</v>
      </c>
      <c r="F172">
        <v>202925.39</v>
      </c>
      <c r="G172">
        <v>239923.62</v>
      </c>
      <c r="H172">
        <f t="shared" si="9"/>
        <v>36998.229999999981</v>
      </c>
      <c r="I172">
        <v>176909.76</v>
      </c>
      <c r="J172">
        <v>247169.91</v>
      </c>
      <c r="K172">
        <f t="shared" si="10"/>
        <v>70260.149999999994</v>
      </c>
      <c r="L172">
        <v>263510.27</v>
      </c>
      <c r="M172">
        <v>349636.87</v>
      </c>
      <c r="N172">
        <f t="shared" si="11"/>
        <v>86126.599999999977</v>
      </c>
    </row>
    <row r="173" spans="1:14" x14ac:dyDescent="0.3">
      <c r="A173" s="1"/>
      <c r="B173" t="str">
        <f xml:space="preserve"> _xll.EPMOlapMemberO("[CLACO].[PARENTH1].[AMSAGGENERALES.2]","","Otros Gastos","","000")</f>
        <v>Otros Gastos</v>
      </c>
      <c r="C173">
        <v>49240.22</v>
      </c>
      <c r="D173">
        <v>55417.36</v>
      </c>
      <c r="E173">
        <f t="shared" si="8"/>
        <v>6177.1399999999994</v>
      </c>
      <c r="F173">
        <v>35218.22</v>
      </c>
      <c r="G173">
        <v>60392.26</v>
      </c>
      <c r="H173">
        <f t="shared" si="9"/>
        <v>25174.04</v>
      </c>
      <c r="I173">
        <v>20415.830000000002</v>
      </c>
      <c r="J173">
        <v>14920.86</v>
      </c>
      <c r="K173">
        <f t="shared" si="10"/>
        <v>-5494.9700000000012</v>
      </c>
      <c r="L173">
        <v>19675.5</v>
      </c>
      <c r="M173">
        <v>22106.57</v>
      </c>
      <c r="N173">
        <f t="shared" si="11"/>
        <v>2431.0699999999997</v>
      </c>
    </row>
    <row r="174" spans="1:14" x14ac:dyDescent="0.3">
      <c r="A174" t="str">
        <f xml:space="preserve"> _xll.EPMOlapMemberO("[CECO].[PARENTH3].[N1000AC100]","","AMSA Actividades Cor","","000")</f>
        <v>AMSA Actividades Cor</v>
      </c>
      <c r="B174" t="str">
        <f xml:space="preserve"> _xll.EPMOlapMemberO("[CLACO].[PARENTH1].[AMSAREMUNERACI.EE]","","Remuneraciones emple","","000")</f>
        <v>Remuneraciones emple</v>
      </c>
      <c r="C174">
        <v>145080.57999999999</v>
      </c>
      <c r="D174">
        <v>162004.85999999999</v>
      </c>
      <c r="E174">
        <f t="shared" si="8"/>
        <v>16924.28</v>
      </c>
      <c r="F174">
        <v>164760.03</v>
      </c>
      <c r="G174">
        <v>162979.81</v>
      </c>
      <c r="H174">
        <f t="shared" si="9"/>
        <v>-1780.2200000000012</v>
      </c>
      <c r="I174">
        <v>162022.9</v>
      </c>
      <c r="J174">
        <v>186782.02</v>
      </c>
      <c r="K174">
        <f t="shared" si="10"/>
        <v>24759.119999999995</v>
      </c>
      <c r="L174">
        <v>182076.49</v>
      </c>
      <c r="M174">
        <v>182026.68</v>
      </c>
      <c r="N174">
        <f t="shared" si="11"/>
        <v>-49.809999999997672</v>
      </c>
    </row>
    <row r="175" spans="1:14" x14ac:dyDescent="0.3">
      <c r="B175" t="str">
        <f xml:space="preserve"> _xll.EPMOlapMemberO("[CLACO].[PARENTH1].[AMSAREMUNERACI.SS]","","Remuneraciones Super","","000")</f>
        <v>Remuneraciones Super</v>
      </c>
      <c r="C175">
        <v>72265922.760000005</v>
      </c>
      <c r="D175">
        <v>70388949.969999999</v>
      </c>
      <c r="E175">
        <f t="shared" si="8"/>
        <v>-1876972.7900000066</v>
      </c>
      <c r="F175">
        <v>85050702.700000003</v>
      </c>
      <c r="G175">
        <v>76509756.299999997</v>
      </c>
      <c r="H175">
        <f t="shared" si="9"/>
        <v>-8540946.400000006</v>
      </c>
      <c r="I175">
        <v>86311961.700000003</v>
      </c>
      <c r="J175">
        <v>88349854.219999999</v>
      </c>
      <c r="K175">
        <f t="shared" si="10"/>
        <v>2037892.5199999958</v>
      </c>
      <c r="L175">
        <v>103017080.79000001</v>
      </c>
      <c r="M175">
        <v>94294909.069999993</v>
      </c>
      <c r="N175">
        <f t="shared" si="11"/>
        <v>-8722171.7200000137</v>
      </c>
    </row>
    <row r="176" spans="1:14" x14ac:dyDescent="0.3">
      <c r="B176" t="str">
        <f xml:space="preserve"> _xll.EPMOlapMemberO("[CLACO].[PARENTH1].[AMSAA_DESGASTE]","","Aceros de desgaste","","000")</f>
        <v>Aceros de desgaste</v>
      </c>
      <c r="E176">
        <f t="shared" si="8"/>
        <v>0</v>
      </c>
      <c r="F176">
        <v>0</v>
      </c>
      <c r="H176">
        <f t="shared" si="9"/>
        <v>0</v>
      </c>
      <c r="K176">
        <f t="shared" si="10"/>
        <v>0</v>
      </c>
      <c r="N176">
        <f t="shared" si="11"/>
        <v>0</v>
      </c>
    </row>
    <row r="177" spans="2:14" x14ac:dyDescent="0.3">
      <c r="B177" t="str">
        <f xml:space="preserve"> _xll.EPMOlapMemberO("[CLACO].[PARENTH1].[AMSAMAT_Y_REP.2]","","Materiales y repuest","","000")</f>
        <v>Materiales y repuest</v>
      </c>
      <c r="C177">
        <v>-279350.71000000002</v>
      </c>
      <c r="D177">
        <v>32724.42</v>
      </c>
      <c r="E177">
        <f t="shared" si="8"/>
        <v>312075.13</v>
      </c>
      <c r="F177">
        <v>3972.13</v>
      </c>
      <c r="G177">
        <v>26009.919999999998</v>
      </c>
      <c r="H177">
        <f t="shared" si="9"/>
        <v>22037.789999999997</v>
      </c>
      <c r="I177">
        <v>12627.56</v>
      </c>
      <c r="J177">
        <v>18257.939999999999</v>
      </c>
      <c r="K177">
        <f t="shared" si="10"/>
        <v>5630.3799999999992</v>
      </c>
      <c r="L177">
        <v>18312.07</v>
      </c>
      <c r="M177">
        <v>16153.33</v>
      </c>
      <c r="N177">
        <f t="shared" si="11"/>
        <v>-2158.7399999999998</v>
      </c>
    </row>
    <row r="178" spans="2:14" x14ac:dyDescent="0.3">
      <c r="B178" t="str">
        <f xml:space="preserve"> _xll.EPMOlapMemberO("[CLACO].[PARENTH1].[AMSACOMBUSTIBL]","","Combustibles  / Lubr","","000")</f>
        <v>Combustibles  / Lubr</v>
      </c>
      <c r="E178">
        <f t="shared" si="8"/>
        <v>0</v>
      </c>
      <c r="F178">
        <v>41.82</v>
      </c>
      <c r="H178">
        <f t="shared" si="9"/>
        <v>-41.82</v>
      </c>
      <c r="K178">
        <f t="shared" si="10"/>
        <v>0</v>
      </c>
      <c r="N178">
        <f t="shared" si="11"/>
        <v>0</v>
      </c>
    </row>
    <row r="179" spans="2:14" x14ac:dyDescent="0.3">
      <c r="B179" t="str">
        <f xml:space="preserve"> _xll.EPMOlapMemberO("[CLACO].[PARENTH1].[AMSAENERGIA]","","Energía","","000")</f>
        <v>Energía</v>
      </c>
      <c r="C179">
        <v>185421.71</v>
      </c>
      <c r="D179">
        <v>214210.6</v>
      </c>
      <c r="E179">
        <f t="shared" si="8"/>
        <v>28788.890000000014</v>
      </c>
      <c r="F179">
        <v>172460.65</v>
      </c>
      <c r="G179">
        <v>217582.44</v>
      </c>
      <c r="H179">
        <f t="shared" si="9"/>
        <v>45121.790000000008</v>
      </c>
      <c r="I179">
        <v>220436.43</v>
      </c>
      <c r="J179">
        <v>141176.51999999999</v>
      </c>
      <c r="K179">
        <f t="shared" si="10"/>
        <v>-79259.91</v>
      </c>
      <c r="L179">
        <v>216963.4</v>
      </c>
      <c r="M179">
        <v>243491.47</v>
      </c>
      <c r="N179">
        <f t="shared" si="11"/>
        <v>26528.070000000007</v>
      </c>
    </row>
    <row r="180" spans="2:14" x14ac:dyDescent="0.3">
      <c r="B180" t="str">
        <f xml:space="preserve"> _xll.EPMOlapMemberO("[CLACO].[PARENTH1].[AMSAADM_PERSON]","","Administración Perso","","000")</f>
        <v>Administración Perso</v>
      </c>
      <c r="C180">
        <v>1291048.56</v>
      </c>
      <c r="D180">
        <v>1313673.5900000001</v>
      </c>
      <c r="E180">
        <f t="shared" si="8"/>
        <v>22625.030000000028</v>
      </c>
      <c r="F180">
        <v>1354019.45</v>
      </c>
      <c r="G180">
        <v>1084684.5</v>
      </c>
      <c r="H180">
        <f t="shared" si="9"/>
        <v>-269334.94999999995</v>
      </c>
      <c r="I180">
        <v>1114377.8</v>
      </c>
      <c r="J180">
        <v>1126957.07</v>
      </c>
      <c r="K180">
        <f t="shared" si="10"/>
        <v>12579.270000000019</v>
      </c>
      <c r="L180">
        <v>1267245.1599999999</v>
      </c>
      <c r="M180">
        <v>1262158.98</v>
      </c>
      <c r="N180">
        <f t="shared" si="11"/>
        <v>-5086.1799999999348</v>
      </c>
    </row>
    <row r="181" spans="2:14" x14ac:dyDescent="0.3">
      <c r="B181" t="str">
        <f xml:space="preserve"> _xll.EPMOlapMemberO("[CLACO].[PARENTH1].[AMSAENTRENAMI]","","Entrenamiento","","000")</f>
        <v>Entrenamiento</v>
      </c>
      <c r="C181">
        <v>910652.07</v>
      </c>
      <c r="D181">
        <v>1098323.58</v>
      </c>
      <c r="E181">
        <f t="shared" si="8"/>
        <v>187671.51000000013</v>
      </c>
      <c r="F181">
        <v>752220.89</v>
      </c>
      <c r="G181">
        <v>1053724.69</v>
      </c>
      <c r="H181">
        <f t="shared" si="9"/>
        <v>301503.79999999993</v>
      </c>
      <c r="I181">
        <v>611619.62</v>
      </c>
      <c r="J181">
        <v>768347.35</v>
      </c>
      <c r="K181">
        <f t="shared" si="10"/>
        <v>156727.72999999998</v>
      </c>
      <c r="L181">
        <v>711969.31</v>
      </c>
      <c r="M181">
        <v>565947.46</v>
      </c>
      <c r="N181">
        <f t="shared" si="11"/>
        <v>-146021.85000000009</v>
      </c>
    </row>
    <row r="182" spans="2:14" x14ac:dyDescent="0.3">
      <c r="B182" t="str">
        <f xml:space="preserve"> _xll.EPMOlapMemberO("[CLACO].[PARENTH1].[AMSAASESORIAS]","","Asesorías y Consulto","","000")</f>
        <v>Asesorías y Consulto</v>
      </c>
      <c r="C182">
        <v>8263803.1600000001</v>
      </c>
      <c r="D182">
        <v>9379477.5899999999</v>
      </c>
      <c r="E182">
        <f t="shared" si="8"/>
        <v>1115674.4299999997</v>
      </c>
      <c r="F182">
        <v>8480724.8599999994</v>
      </c>
      <c r="G182">
        <v>8673462.2400000002</v>
      </c>
      <c r="H182">
        <f t="shared" si="9"/>
        <v>192737.38000000082</v>
      </c>
      <c r="I182">
        <v>7201628.4299999997</v>
      </c>
      <c r="J182">
        <v>7442981.29</v>
      </c>
      <c r="K182">
        <f t="shared" si="10"/>
        <v>241352.86000000034</v>
      </c>
      <c r="L182">
        <v>6221075.9000000004</v>
      </c>
      <c r="M182">
        <v>6703688.46</v>
      </c>
      <c r="N182">
        <f t="shared" si="11"/>
        <v>482612.55999999959</v>
      </c>
    </row>
    <row r="183" spans="2:14" x14ac:dyDescent="0.3">
      <c r="B183" t="str">
        <f xml:space="preserve"> _xll.EPMOlapMemberO("[CLACO].[PARENTH1].[AMSAARRIENDOS]","","Arriendos","","000")</f>
        <v>Arriendos</v>
      </c>
      <c r="C183">
        <v>145147.37</v>
      </c>
      <c r="D183">
        <v>126361.2</v>
      </c>
      <c r="E183">
        <f t="shared" si="8"/>
        <v>-18786.169999999998</v>
      </c>
      <c r="F183">
        <v>141769.48000000001</v>
      </c>
      <c r="G183">
        <v>129693.82</v>
      </c>
      <c r="H183">
        <f t="shared" si="9"/>
        <v>-12075.660000000003</v>
      </c>
      <c r="I183">
        <v>206835.37</v>
      </c>
      <c r="J183">
        <v>163266.53</v>
      </c>
      <c r="K183">
        <f t="shared" si="10"/>
        <v>-43568.84</v>
      </c>
      <c r="L183">
        <v>321445.08</v>
      </c>
      <c r="M183">
        <v>349011.34</v>
      </c>
      <c r="N183">
        <f t="shared" si="11"/>
        <v>27566.260000000009</v>
      </c>
    </row>
    <row r="184" spans="2:14" x14ac:dyDescent="0.3">
      <c r="B184" t="str">
        <f xml:space="preserve"> _xll.EPMOlapMemberO("[CLACO].[PARENTH1].[AMSASERVICIOS]","","Servicios","","000")</f>
        <v>Servicios</v>
      </c>
      <c r="C184">
        <v>1475787.64</v>
      </c>
      <c r="D184">
        <v>1670409.07</v>
      </c>
      <c r="E184">
        <f t="shared" si="8"/>
        <v>194621.43000000017</v>
      </c>
      <c r="F184">
        <v>2030992.64</v>
      </c>
      <c r="G184">
        <v>1764066.41</v>
      </c>
      <c r="H184">
        <f t="shared" si="9"/>
        <v>-266926.23</v>
      </c>
      <c r="I184">
        <v>2986088.26</v>
      </c>
      <c r="J184">
        <v>3672379.09</v>
      </c>
      <c r="K184">
        <f t="shared" si="10"/>
        <v>686290.83000000007</v>
      </c>
      <c r="L184">
        <v>5237252.74</v>
      </c>
      <c r="M184">
        <v>5325173.8899999997</v>
      </c>
      <c r="N184">
        <f t="shared" si="11"/>
        <v>87921.149999999441</v>
      </c>
    </row>
    <row r="185" spans="2:14" x14ac:dyDescent="0.3">
      <c r="B185" t="str">
        <f xml:space="preserve"> _xll.EPMOlapMemberO("[CLACO].[PARENTH1].[AMSASERMANTO.REPA]","","Servicios Mantenimie","","000")</f>
        <v>Servicios Mantenimie</v>
      </c>
      <c r="C185">
        <v>631293.26</v>
      </c>
      <c r="D185">
        <v>720603.79</v>
      </c>
      <c r="E185">
        <f t="shared" si="8"/>
        <v>89310.530000000028</v>
      </c>
      <c r="F185">
        <v>569909.81999999995</v>
      </c>
      <c r="G185">
        <v>715154.88</v>
      </c>
      <c r="H185">
        <f t="shared" si="9"/>
        <v>145245.06000000006</v>
      </c>
      <c r="I185">
        <v>661536.17000000004</v>
      </c>
      <c r="J185">
        <v>783400.02</v>
      </c>
      <c r="K185">
        <f t="shared" si="10"/>
        <v>121863.84999999998</v>
      </c>
      <c r="L185">
        <v>978572.62</v>
      </c>
      <c r="M185">
        <v>751670.89</v>
      </c>
      <c r="N185">
        <f t="shared" si="11"/>
        <v>-226901.72999999998</v>
      </c>
    </row>
    <row r="186" spans="2:14" x14ac:dyDescent="0.3">
      <c r="B186" t="str">
        <f xml:space="preserve"> _xll.EPMOlapMemberO("[CLACO].[PARENTH1].[AMSAINFORMATIC]","","Informática y Comuni","","000")</f>
        <v>Informática y Comuni</v>
      </c>
      <c r="C186">
        <v>11354788.119999999</v>
      </c>
      <c r="D186">
        <v>11108508.59</v>
      </c>
      <c r="E186">
        <f t="shared" si="8"/>
        <v>-246279.52999999933</v>
      </c>
      <c r="F186">
        <v>11347148.16</v>
      </c>
      <c r="G186">
        <v>11363536.119999999</v>
      </c>
      <c r="H186">
        <f t="shared" si="9"/>
        <v>16387.959999999031</v>
      </c>
      <c r="I186">
        <v>11051806.77</v>
      </c>
      <c r="J186">
        <v>11601650.34</v>
      </c>
      <c r="K186">
        <f t="shared" si="10"/>
        <v>549843.5700000003</v>
      </c>
      <c r="L186">
        <v>11177670.279999999</v>
      </c>
      <c r="M186">
        <v>10989050.140000001</v>
      </c>
      <c r="N186">
        <f t="shared" si="11"/>
        <v>-188620.13999999873</v>
      </c>
    </row>
    <row r="187" spans="2:14" x14ac:dyDescent="0.3">
      <c r="B187" t="str">
        <f xml:space="preserve"> _xll.EPMOlapMemberO("[CLACO].[PARENTH1].[AMSAG_VIAJES]","","Gastos de Viajes","","000")</f>
        <v>Gastos de Viajes</v>
      </c>
      <c r="C187">
        <v>1816982.65</v>
      </c>
      <c r="D187">
        <v>1628473.46</v>
      </c>
      <c r="E187">
        <f t="shared" si="8"/>
        <v>-188509.18999999994</v>
      </c>
      <c r="F187">
        <v>2645295.7000000002</v>
      </c>
      <c r="G187">
        <v>2343023.14</v>
      </c>
      <c r="H187">
        <f t="shared" si="9"/>
        <v>-302272.56000000006</v>
      </c>
      <c r="I187">
        <v>2537031.15</v>
      </c>
      <c r="J187">
        <v>2762100.39</v>
      </c>
      <c r="K187">
        <f t="shared" si="10"/>
        <v>225069.24000000022</v>
      </c>
      <c r="L187">
        <v>2817963.3</v>
      </c>
      <c r="M187">
        <v>3398921.47</v>
      </c>
      <c r="N187">
        <f t="shared" si="11"/>
        <v>580958.17000000039</v>
      </c>
    </row>
    <row r="188" spans="2:14" x14ac:dyDescent="0.3">
      <c r="B188" t="str">
        <f xml:space="preserve"> _xll.EPMOlapMemberO("[CLACO].[PARENTH1].[AMSASEGUROS]","","Seguros","","000")</f>
        <v>Seguros</v>
      </c>
      <c r="C188">
        <v>197220.13</v>
      </c>
      <c r="D188">
        <v>239510.34</v>
      </c>
      <c r="E188">
        <f t="shared" si="8"/>
        <v>42290.209999999992</v>
      </c>
      <c r="F188">
        <v>220391.13</v>
      </c>
      <c r="G188">
        <v>252905.72</v>
      </c>
      <c r="H188">
        <f t="shared" si="9"/>
        <v>32514.589999999997</v>
      </c>
      <c r="I188">
        <v>242469.89</v>
      </c>
      <c r="J188">
        <v>292390.58</v>
      </c>
      <c r="K188">
        <f t="shared" si="10"/>
        <v>49920.69</v>
      </c>
      <c r="L188">
        <v>211321.66</v>
      </c>
      <c r="M188">
        <v>329584.03999999998</v>
      </c>
      <c r="N188">
        <f t="shared" si="11"/>
        <v>118262.37999999998</v>
      </c>
    </row>
    <row r="189" spans="2:14" x14ac:dyDescent="0.3">
      <c r="B189" t="str">
        <f xml:space="preserve"> _xll.EPMOlapMemberO("[CLACO].[PARENTH1].[AMSAIMP_PATEN]","","Impuestos / Patentes","","000")</f>
        <v>Impuestos / Patentes</v>
      </c>
      <c r="C189">
        <v>5000338.4800000004</v>
      </c>
      <c r="D189">
        <v>5377586.4400000004</v>
      </c>
      <c r="E189">
        <f t="shared" si="8"/>
        <v>377247.95999999996</v>
      </c>
      <c r="F189">
        <v>5822751.0099999998</v>
      </c>
      <c r="G189">
        <v>6256639.4500000002</v>
      </c>
      <c r="H189">
        <f t="shared" si="9"/>
        <v>433888.44000000041</v>
      </c>
      <c r="I189">
        <v>5978626.7999999998</v>
      </c>
      <c r="J189">
        <v>8314315.6100000003</v>
      </c>
      <c r="K189">
        <f t="shared" si="10"/>
        <v>2335688.8100000005</v>
      </c>
      <c r="L189">
        <v>13647380.26</v>
      </c>
      <c r="M189">
        <v>15786306.470000001</v>
      </c>
      <c r="N189">
        <f t="shared" si="11"/>
        <v>2138926.2100000009</v>
      </c>
    </row>
    <row r="190" spans="2:14" x14ac:dyDescent="0.3">
      <c r="B190" t="str">
        <f xml:space="preserve"> _xll.EPMOlapMemberO("[CLACO].[PARENTH1].[AMSAGGENERALES.2]","","Otros Gastos","","000")</f>
        <v>Otros Gastos</v>
      </c>
      <c r="C190">
        <v>1692821.8</v>
      </c>
      <c r="D190">
        <v>2322372.91</v>
      </c>
      <c r="E190">
        <f t="shared" si="8"/>
        <v>629551.1100000001</v>
      </c>
      <c r="F190">
        <v>6098441.71</v>
      </c>
      <c r="G190">
        <v>5895971.29</v>
      </c>
      <c r="H190">
        <f t="shared" si="9"/>
        <v>-202470.41999999993</v>
      </c>
      <c r="I190">
        <v>1830992.21</v>
      </c>
      <c r="J190">
        <v>3019711.71</v>
      </c>
      <c r="K190">
        <f t="shared" si="10"/>
        <v>1188719.5</v>
      </c>
      <c r="L190">
        <v>2304353.08</v>
      </c>
      <c r="M190">
        <v>2423867.5499999998</v>
      </c>
      <c r="N190">
        <f t="shared" si="11"/>
        <v>119514.46999999974</v>
      </c>
    </row>
    <row r="191" spans="2:14" x14ac:dyDescent="0.3">
      <c r="B191" t="str">
        <f xml:space="preserve"> _xll.EPMOlapMemberO("[CLACO].[PARENTH1].[AMSACOMERCIALI]","","Comercial","","000")</f>
        <v>Comercial</v>
      </c>
      <c r="E191">
        <f t="shared" si="8"/>
        <v>0</v>
      </c>
      <c r="H191">
        <f t="shared" si="9"/>
        <v>0</v>
      </c>
      <c r="K191">
        <f t="shared" si="10"/>
        <v>0</v>
      </c>
      <c r="L191">
        <v>78.89</v>
      </c>
      <c r="N191">
        <f t="shared" si="11"/>
        <v>-78.89</v>
      </c>
    </row>
    <row r="192" spans="2:14" x14ac:dyDescent="0.3">
      <c r="B192" t="str">
        <f xml:space="preserve"> _xll.EPMOlapMemberO("[CLACO].[PARENTH1].[AMSAIFRS16]","","Arriendo por derecho","","000")</f>
        <v>Arriendo por derecho</v>
      </c>
      <c r="E192">
        <f t="shared" si="8"/>
        <v>0</v>
      </c>
      <c r="H192">
        <f t="shared" si="9"/>
        <v>0</v>
      </c>
      <c r="K192">
        <f t="shared" si="10"/>
        <v>0</v>
      </c>
      <c r="L192">
        <v>-23885.53</v>
      </c>
      <c r="N192">
        <f t="shared" si="11"/>
        <v>23885.53</v>
      </c>
    </row>
    <row r="193" spans="2:14" x14ac:dyDescent="0.3">
      <c r="B193" t="str">
        <f xml:space="preserve"> _xll.EPMOlapMemberO("[CLACO].[PARENTH1].[AMSASERV_CORP]","","Servicios Corporativ","","000")</f>
        <v>Servicios Corporativ</v>
      </c>
      <c r="C193">
        <v>30785.09</v>
      </c>
      <c r="D193">
        <v>28838.49</v>
      </c>
      <c r="E193">
        <f t="shared" si="8"/>
        <v>-1946.5999999999985</v>
      </c>
      <c r="F193">
        <v>28725.84</v>
      </c>
      <c r="G193">
        <v>26249.14</v>
      </c>
      <c r="H193">
        <f t="shared" si="9"/>
        <v>-2476.7000000000007</v>
      </c>
      <c r="I193">
        <v>28029.47</v>
      </c>
      <c r="J193">
        <v>29937.72</v>
      </c>
      <c r="K193">
        <f t="shared" si="10"/>
        <v>1908.25</v>
      </c>
      <c r="L193">
        <v>26922.78</v>
      </c>
      <c r="M193">
        <v>29579.08</v>
      </c>
      <c r="N193">
        <f t="shared" si="11"/>
        <v>2656.3000000000029</v>
      </c>
    </row>
    <row r="194" spans="2:14" x14ac:dyDescent="0.3"/>
    <row r="195" spans="2:14" x14ac:dyDescent="0.3"/>
    <row r="196" spans="2:14" x14ac:dyDescent="0.3"/>
    <row r="197" spans="2:14" x14ac:dyDescent="0.3"/>
    <row r="198" spans="2:14" x14ac:dyDescent="0.3"/>
    <row r="199" spans="2:14" x14ac:dyDescent="0.3"/>
    <row r="200" spans="2:14" x14ac:dyDescent="0.3"/>
    <row r="201" spans="2:14" x14ac:dyDescent="0.3"/>
    <row r="202" spans="2:14" x14ac:dyDescent="0.3"/>
    <row r="203" spans="2:14" x14ac:dyDescent="0.3"/>
    <row r="204" spans="2:14" x14ac:dyDescent="0.3"/>
    <row r="205" spans="2:14" x14ac:dyDescent="0.3"/>
    <row r="206" spans="2:14" x14ac:dyDescent="0.3"/>
    <row r="207" spans="2:14" x14ac:dyDescent="0.3"/>
    <row r="208" spans="2:14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</sheetData>
  <pageMargins left="0.7" right="0.7" top="0.75" bottom="0.75" header="0.3" footer="0.3"/>
  <customProperties>
    <customPr name="EpmWorksheetKeyString_GUID" r:id="rId1"/>
  </customProperties>
  <drawing r:id="rId2"/>
  <legacyDrawing r:id="rId3"/>
  <controls>
    <mc:AlternateContent xmlns:mc="http://schemas.openxmlformats.org/markup-compatibility/2006">
      <mc:Choice Requires="x14">
        <control shapeId="4097" r:id="rId4" name="FPMExcelClientSheetOptionstb1">
          <controlPr defaultSize="0" autoLin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4097" r:id="rId4" name="FPMExcelClientSheetOptionstb1"/>
      </mc:Fallback>
    </mc:AlternateContent>
    <mc:AlternateContent xmlns:mc="http://schemas.openxmlformats.org/markup-compatibility/2006">
      <mc:Choice Requires="x14">
        <control shapeId="4098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4098" r:id="rId6" name="ConnectionDescriptorsInfotb1"/>
      </mc:Fallback>
    </mc:AlternateContent>
    <mc:AlternateContent xmlns:mc="http://schemas.openxmlformats.org/markup-compatibility/2006">
      <mc:Choice Requires="x14">
        <control shapeId="4099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4099" r:id="rId8" name="MultipleReportManagerInfotb1"/>
      </mc:Fallback>
    </mc:AlternateContent>
    <mc:AlternateContent xmlns:mc="http://schemas.openxmlformats.org/markup-compatibility/2006">
      <mc:Choice Requires="x14">
        <control shapeId="4100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4100" r:id="rId10" name="AnalyzerDynReport000tb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BB29-F73A-4388-8492-97F6B7EE351B}">
  <sheetPr codeName="Hoja4"/>
  <dimension ref="A3:N657"/>
  <sheetViews>
    <sheetView showGridLines="0" tabSelected="1" zoomScale="70" zoomScaleNormal="70" workbookViewId="0">
      <selection activeCell="A6" sqref="A6"/>
    </sheetView>
  </sheetViews>
  <sheetFormatPr baseColWidth="10" defaultRowHeight="13.8" x14ac:dyDescent="0.3"/>
  <cols>
    <col min="1" max="1" width="27.44140625" bestFit="1" customWidth="1"/>
    <col min="2" max="2" width="20.109375" bestFit="1" customWidth="1"/>
    <col min="3" max="3" width="10.4414062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77734375" bestFit="1" customWidth="1"/>
    <col min="8" max="8" width="10.109375" bestFit="1" customWidth="1"/>
    <col min="9" max="9" width="10.44140625" bestFit="1" customWidth="1"/>
    <col min="10" max="10" width="9.77734375" bestFit="1" customWidth="1"/>
    <col min="11" max="11" width="10.109375" bestFit="1" customWidth="1"/>
    <col min="12" max="13" width="10.44140625" bestFit="1" customWidth="1"/>
    <col min="14" max="14" width="10.109375" bestFit="1" customWidth="1"/>
  </cols>
  <sheetData>
    <row r="3" spans="1:14" x14ac:dyDescent="0.3">
      <c r="A3" t="str">
        <f xml:space="preserve"> _xll.EPMOlapMemberO("[CEBE].[PARENTH1].[B1000CP000]","","B1000CP000 - Amsa Corporativo","","000")</f>
        <v>B1000CP000 - Amsa Corporativo</v>
      </c>
    </row>
    <row r="5" spans="1:14" x14ac:dyDescent="0.3"/>
    <row r="6" spans="1:14" x14ac:dyDescent="0.3">
      <c r="A6" t="e">
        <f ca="1" xml:space="preserve"> _xll.EPMOlapMemberO("[ENTITY].[PARENTH1].[1000]","","1000 - Antofagasta Minerals S.A.","","000")</f>
        <v>#NAME?</v>
      </c>
    </row>
    <row r="8" spans="1:14" s="3" customFormat="1" x14ac:dyDescent="0.3">
      <c r="C8" s="3" t="str">
        <f xml:space="preserve"> _xll.EPMOlapMemberO("[TIME].[PARENTH1].[2022.TOTAL]","","2022.TOTAL","","000")</f>
        <v>2022.TOTAL</v>
      </c>
      <c r="F8" s="3" t="str">
        <f xml:space="preserve"> _xll.EPMOlapMemberO("[TIME].[PARENTH1].[2023.TOTAL]","","2023.TOTAL","","000")</f>
        <v>2023.TOTAL</v>
      </c>
      <c r="I8" s="3" t="str">
        <f xml:space="preserve"> _xll.EPMOlapMemberO("[TIME].[PARENTH1].[2024.TOTAL]","","2024.TOTAL","","000")</f>
        <v>2024.TOTAL</v>
      </c>
      <c r="L8" s="3" t="str">
        <f xml:space="preserve"> _xll.EPMOlapMemberO("[TIME].[PARENTH1].[2025.TOTAL]","","2025.TOTAL","","000")</f>
        <v>2025.TOTAL</v>
      </c>
    </row>
    <row r="9" spans="1:14" s="3" customFormat="1" x14ac:dyDescent="0.3">
      <c r="C9" s="3" t="str">
        <f xml:space="preserve"> _xll.EPMOlapMemberO("[CATEGORY].[].[REAL]","","Real - Real","","000")</f>
        <v>Real - Real</v>
      </c>
      <c r="D9" s="3" t="str">
        <f xml:space="preserve"> _xll.EPMOlapMemberO("[CATEGORY].[].[PLAN]","","Plan - Plan","","000")</f>
        <v>Plan - Plan</v>
      </c>
      <c r="E9" s="3" t="str">
        <f xml:space="preserve"> _xll.FPMXLClient.TechnicalCategory.EPMLocalMember("VAR","000","000")</f>
        <v>VAR</v>
      </c>
      <c r="F9" s="3" t="str">
        <f xml:space="preserve"> _xll.EPMOlapMemberO("[CATEGORY].[].[REAL]","","Real - Real","","000")</f>
        <v>Real - Real</v>
      </c>
      <c r="G9" s="3" t="str">
        <f xml:space="preserve"> _xll.EPMOlapMemberO("[CATEGORY].[].[PLAN]","","Plan - Plan","","000")</f>
        <v>Plan - Plan</v>
      </c>
      <c r="H9" s="3" t="str">
        <f xml:space="preserve"> _xll.FPMXLClient.TechnicalCategory.EPMLocalMember("VAR","000","000")</f>
        <v>VAR</v>
      </c>
      <c r="I9" s="3" t="str">
        <f xml:space="preserve"> _xll.EPMOlapMemberO("[CATEGORY].[].[REAL]","","Real - Real","","000")</f>
        <v>Real - Real</v>
      </c>
      <c r="J9" s="3" t="str">
        <f xml:space="preserve"> _xll.EPMOlapMemberO("[CATEGORY].[].[PLAN]","","Plan - Plan","","000")</f>
        <v>Plan - Plan</v>
      </c>
      <c r="K9" s="3" t="str">
        <f xml:space="preserve"> _xll.FPMXLClient.TechnicalCategory.EPMLocalMember("VAR","000","000")</f>
        <v>VAR</v>
      </c>
      <c r="L9" s="3" t="str">
        <f xml:space="preserve"> _xll.EPMOlapMemberO("[CATEGORY].[].[REAL]","","Real - Real","","000")</f>
        <v>Real - Real</v>
      </c>
      <c r="M9" s="3" t="str">
        <f xml:space="preserve"> _xll.EPMOlapMemberO("[CATEGORY].[].[PLAN]","","Plan - Plan","","000")</f>
        <v>Plan - Plan</v>
      </c>
      <c r="N9" s="3" t="str">
        <f xml:space="preserve"> _xll.FPMXLClient.TechnicalCategory.EPMLocalMember("VAR","000","000")</f>
        <v>VAR</v>
      </c>
    </row>
    <row r="10" spans="1:14" x14ac:dyDescent="0.3">
      <c r="A10" s="8" t="str">
        <f xml:space="preserve"> _xll.EPMOlapMemberO("[CECO].[PARENTH3].[AMSA1000AC0501]","","VP Desarrollo","","000")</f>
        <v>VP Desarrollo</v>
      </c>
      <c r="B10" t="str">
        <f xml:space="preserve"> _xll.EPMOlapMemberO("[CLACO].[PARENTH1].[AMSAREMUNERACI.EE]","","Remuneraciones emple","","000")</f>
        <v>Remuneraciones emple</v>
      </c>
      <c r="C10" s="6"/>
      <c r="D10" s="6"/>
      <c r="E10" s="6">
        <f>+D10-C10</f>
        <v>0</v>
      </c>
      <c r="F10" s="6"/>
      <c r="G10" s="6"/>
      <c r="H10" s="6">
        <f>+G10-F10</f>
        <v>0</v>
      </c>
      <c r="I10" s="6">
        <v>-305.88</v>
      </c>
      <c r="J10" s="6"/>
      <c r="K10" s="6">
        <f>+J10-I10</f>
        <v>305.88</v>
      </c>
      <c r="L10" s="6">
        <v>-1731.37</v>
      </c>
      <c r="M10" s="6"/>
      <c r="N10" s="6">
        <f>+M10-L10</f>
        <v>1731.37</v>
      </c>
    </row>
    <row r="11" spans="1:14" x14ac:dyDescent="0.3">
      <c r="A11" s="8"/>
      <c r="B11" t="str">
        <f xml:space="preserve"> _xll.EPMOlapMemberO("[CLACO].[PARENTH1].[AMSAREMUNERACI.SS]","","Remuneraciones Super","","000")</f>
        <v>Remuneraciones Super</v>
      </c>
      <c r="C11" s="6">
        <v>1587681.04</v>
      </c>
      <c r="D11" s="6">
        <v>1436207.06</v>
      </c>
      <c r="E11" s="6">
        <f t="shared" ref="E11:E74" si="0">+D11-C11</f>
        <v>-151473.97999999998</v>
      </c>
      <c r="F11" s="6">
        <v>1757138.01</v>
      </c>
      <c r="G11" s="6">
        <v>1594625.18</v>
      </c>
      <c r="H11" s="6">
        <f t="shared" ref="H11:H74" si="1">+G11-F11</f>
        <v>-162512.83000000007</v>
      </c>
      <c r="I11" s="6">
        <v>2013251.05</v>
      </c>
      <c r="J11" s="6">
        <v>1613357.16</v>
      </c>
      <c r="K11" s="6">
        <f t="shared" ref="K11:K74" si="2">+J11-I11</f>
        <v>-399893.89000000013</v>
      </c>
      <c r="L11" s="6">
        <v>4275114.66</v>
      </c>
      <c r="M11" s="6">
        <v>1717356.71</v>
      </c>
      <c r="N11" s="6">
        <f t="shared" ref="N11:N74" si="3">+M11-L11</f>
        <v>-2557757.9500000002</v>
      </c>
    </row>
    <row r="12" spans="1:14" x14ac:dyDescent="0.3">
      <c r="A12" s="8"/>
      <c r="B12" t="str">
        <f xml:space="preserve"> _xll.EPMOlapMemberO("[CLACO].[PARENTH1].[AMSAMAT_Y_REP.2]","","Materiales y repuest","","000")</f>
        <v>Materiales y repuest</v>
      </c>
      <c r="C12" s="6"/>
      <c r="D12" s="6"/>
      <c r="E12" s="6">
        <f t="shared" si="0"/>
        <v>0</v>
      </c>
      <c r="F12" s="6">
        <v>0</v>
      </c>
      <c r="G12" s="6"/>
      <c r="H12" s="6">
        <f t="shared" si="1"/>
        <v>0</v>
      </c>
      <c r="I12" s="6"/>
      <c r="J12" s="6"/>
      <c r="K12" s="6">
        <f t="shared" si="2"/>
        <v>0</v>
      </c>
      <c r="L12" s="6"/>
      <c r="M12" s="6"/>
      <c r="N12" s="6">
        <f t="shared" si="3"/>
        <v>0</v>
      </c>
    </row>
    <row r="13" spans="1:14" x14ac:dyDescent="0.3">
      <c r="A13" s="8"/>
      <c r="B13" t="str">
        <f xml:space="preserve"> _xll.EPMOlapMemberO("[CLACO].[PARENTH1].[AMSAADM_PERSON]","","Administración Perso","","000")</f>
        <v>Administración Perso</v>
      </c>
      <c r="C13" s="6">
        <v>-289.22000000000003</v>
      </c>
      <c r="D13" s="6"/>
      <c r="E13" s="6">
        <f t="shared" si="0"/>
        <v>289.22000000000003</v>
      </c>
      <c r="F13" s="6"/>
      <c r="G13" s="6"/>
      <c r="H13" s="6">
        <f t="shared" si="1"/>
        <v>0</v>
      </c>
      <c r="I13" s="6">
        <v>142.82</v>
      </c>
      <c r="J13" s="6"/>
      <c r="K13" s="6">
        <f t="shared" si="2"/>
        <v>-142.82</v>
      </c>
      <c r="L13" s="6">
        <v>-705.93</v>
      </c>
      <c r="M13" s="6"/>
      <c r="N13" s="6">
        <f t="shared" si="3"/>
        <v>705.93</v>
      </c>
    </row>
    <row r="14" spans="1:14" x14ac:dyDescent="0.3">
      <c r="A14" s="8"/>
      <c r="B14" t="str">
        <f xml:space="preserve"> _xll.EPMOlapMemberO("[CLACO].[PARENTH1].[AMSAENTRENAMI]","","Entrenamiento","","000")</f>
        <v>Entrenamiento</v>
      </c>
      <c r="C14" s="6"/>
      <c r="D14" s="6"/>
      <c r="E14" s="6">
        <f t="shared" si="0"/>
        <v>0</v>
      </c>
      <c r="F14" s="6"/>
      <c r="G14" s="6"/>
      <c r="H14" s="6">
        <f t="shared" si="1"/>
        <v>0</v>
      </c>
      <c r="I14" s="6">
        <v>0</v>
      </c>
      <c r="J14" s="6"/>
      <c r="K14" s="6">
        <f t="shared" si="2"/>
        <v>0</v>
      </c>
      <c r="L14" s="6"/>
      <c r="M14" s="6"/>
      <c r="N14" s="6">
        <f t="shared" si="3"/>
        <v>0</v>
      </c>
    </row>
    <row r="15" spans="1:14" x14ac:dyDescent="0.3">
      <c r="A15" s="8"/>
      <c r="B15" t="str">
        <f xml:space="preserve"> _xll.EPMOlapMemberO("[CLACO].[PARENTH1].[AMSAASESORIAS]","","Asesorías y Consulto","","000")</f>
        <v>Asesorías y Consulto</v>
      </c>
      <c r="C15" s="6">
        <v>304073.99</v>
      </c>
      <c r="D15" s="6">
        <v>358349.63</v>
      </c>
      <c r="E15" s="6">
        <f t="shared" si="0"/>
        <v>54275.640000000014</v>
      </c>
      <c r="F15" s="6">
        <v>356884.22</v>
      </c>
      <c r="G15" s="6">
        <v>336104.7</v>
      </c>
      <c r="H15" s="6">
        <f t="shared" si="1"/>
        <v>-20779.51999999996</v>
      </c>
      <c r="I15" s="6">
        <v>325848.34999999998</v>
      </c>
      <c r="J15" s="6">
        <v>371268.63</v>
      </c>
      <c r="K15" s="6">
        <f t="shared" si="2"/>
        <v>45420.280000000028</v>
      </c>
      <c r="L15" s="6">
        <v>336660.05</v>
      </c>
      <c r="M15" s="6">
        <v>362838.63</v>
      </c>
      <c r="N15" s="6">
        <f t="shared" si="3"/>
        <v>26178.580000000016</v>
      </c>
    </row>
    <row r="16" spans="1:14" x14ac:dyDescent="0.3">
      <c r="A16" s="8"/>
      <c r="B16" t="str">
        <f xml:space="preserve"> _xll.EPMOlapMemberO("[CLACO].[PARENTH1].[AMSASERVICIOS]","","Servicios","","000")</f>
        <v>Servicios</v>
      </c>
      <c r="C16" s="6">
        <v>2618</v>
      </c>
      <c r="D16" s="6"/>
      <c r="E16" s="6">
        <f t="shared" si="0"/>
        <v>-2618</v>
      </c>
      <c r="F16" s="6">
        <v>103.08</v>
      </c>
      <c r="G16" s="6"/>
      <c r="H16" s="6">
        <f t="shared" si="1"/>
        <v>-103.08</v>
      </c>
      <c r="I16" s="6">
        <v>50.76</v>
      </c>
      <c r="J16" s="6"/>
      <c r="K16" s="6">
        <f t="shared" si="2"/>
        <v>-50.76</v>
      </c>
      <c r="L16" s="6">
        <v>8.64</v>
      </c>
      <c r="M16" s="6"/>
      <c r="N16" s="6">
        <f t="shared" si="3"/>
        <v>-8.64</v>
      </c>
    </row>
    <row r="17" spans="1:14" x14ac:dyDescent="0.3">
      <c r="A17" s="8"/>
      <c r="B17" t="str">
        <f xml:space="preserve"> _xll.EPMOlapMemberO("[CLACO].[PARENTH1].[AMSAINFORMATIC]","","Informática y Comuni","","000")</f>
        <v>Informática y Comuni</v>
      </c>
      <c r="C17" s="6">
        <v>460158.73</v>
      </c>
      <c r="D17" s="6">
        <v>474449.02</v>
      </c>
      <c r="E17" s="6">
        <f t="shared" si="0"/>
        <v>14290.290000000037</v>
      </c>
      <c r="F17" s="6">
        <v>476593.66</v>
      </c>
      <c r="G17" s="6">
        <v>479409.69</v>
      </c>
      <c r="H17" s="6">
        <f t="shared" si="1"/>
        <v>2816.0300000000279</v>
      </c>
      <c r="I17" s="6">
        <v>354210.73</v>
      </c>
      <c r="J17" s="6">
        <v>487509.6</v>
      </c>
      <c r="K17" s="6">
        <f t="shared" si="2"/>
        <v>133298.87</v>
      </c>
      <c r="L17" s="6">
        <v>495428.54</v>
      </c>
      <c r="M17" s="6">
        <v>533846.19999999995</v>
      </c>
      <c r="N17" s="6">
        <f t="shared" si="3"/>
        <v>38417.659999999974</v>
      </c>
    </row>
    <row r="18" spans="1:14" x14ac:dyDescent="0.3">
      <c r="A18" s="8"/>
      <c r="B18" t="str">
        <f xml:space="preserve"> _xll.EPMOlapMemberO("[CLACO].[PARENTH1].[AMSAG_VIAJES]","","Gastos de Viajes","","000")</f>
        <v>Gastos de Viajes</v>
      </c>
      <c r="C18" s="6">
        <v>139135.42000000001</v>
      </c>
      <c r="D18" s="6">
        <v>144933.10999999999</v>
      </c>
      <c r="E18" s="6">
        <f t="shared" si="0"/>
        <v>5797.6899999999732</v>
      </c>
      <c r="F18" s="6">
        <v>98666.73</v>
      </c>
      <c r="G18" s="6">
        <v>189486.78</v>
      </c>
      <c r="H18" s="6">
        <f t="shared" si="1"/>
        <v>90820.05</v>
      </c>
      <c r="I18" s="6">
        <v>441018.67</v>
      </c>
      <c r="J18" s="6">
        <v>189632.86</v>
      </c>
      <c r="K18" s="6">
        <f t="shared" si="2"/>
        <v>-251385.81</v>
      </c>
      <c r="L18" s="6">
        <v>350766.83</v>
      </c>
      <c r="M18" s="6">
        <v>368552.65</v>
      </c>
      <c r="N18" s="6">
        <f t="shared" si="3"/>
        <v>17785.820000000007</v>
      </c>
    </row>
    <row r="19" spans="1:14" x14ac:dyDescent="0.3">
      <c r="A19" s="8"/>
      <c r="B19" t="str">
        <f xml:space="preserve"> _xll.EPMOlapMemberO("[CLACO].[PARENTH1].[AMSAIMP_PATEN]","","Impuestos / Patentes","","000")</f>
        <v>Impuestos / Patentes</v>
      </c>
      <c r="C19" s="6"/>
      <c r="D19" s="6"/>
      <c r="E19" s="6">
        <f t="shared" si="0"/>
        <v>0</v>
      </c>
      <c r="F19" s="6"/>
      <c r="G19" s="6"/>
      <c r="H19" s="6">
        <f t="shared" si="1"/>
        <v>0</v>
      </c>
      <c r="I19" s="6"/>
      <c r="J19" s="6"/>
      <c r="K19" s="6">
        <f t="shared" si="2"/>
        <v>0</v>
      </c>
      <c r="L19" s="6">
        <v>0</v>
      </c>
      <c r="M19" s="6"/>
      <c r="N19" s="6">
        <f t="shared" si="3"/>
        <v>0</v>
      </c>
    </row>
    <row r="20" spans="1:14" x14ac:dyDescent="0.3">
      <c r="A20" s="8"/>
      <c r="B20" t="str">
        <f xml:space="preserve"> _xll.EPMOlapMemberO("[CLACO].[PARENTH1].[AMSAGGENERALES.2]","","Otros Gastos","","000")</f>
        <v>Otros Gastos</v>
      </c>
      <c r="C20" s="6">
        <v>6968</v>
      </c>
      <c r="D20" s="6">
        <v>18048.830000000002</v>
      </c>
      <c r="E20" s="6">
        <f t="shared" si="0"/>
        <v>11080.830000000002</v>
      </c>
      <c r="F20" s="6">
        <v>35471.03</v>
      </c>
      <c r="G20" s="6">
        <v>16124.31</v>
      </c>
      <c r="H20" s="6">
        <f t="shared" si="1"/>
        <v>-19346.72</v>
      </c>
      <c r="I20" s="6">
        <v>33428.76</v>
      </c>
      <c r="J20" s="6">
        <v>16906.95</v>
      </c>
      <c r="K20" s="6">
        <f t="shared" si="2"/>
        <v>-16521.810000000001</v>
      </c>
      <c r="L20" s="6">
        <v>69783.55</v>
      </c>
      <c r="M20" s="6">
        <v>74726.720000000001</v>
      </c>
      <c r="N20" s="6">
        <f t="shared" si="3"/>
        <v>4943.1699999999983</v>
      </c>
    </row>
    <row r="21" spans="1:14" x14ac:dyDescent="0.3">
      <c r="A21" s="8" t="str">
        <f xml:space="preserve"> _xll.EPMOlapMemberO("[CECO].[PARENTH3].[AMSA1000AC0502]","","Gcia de Desarrollo","","000")</f>
        <v>Gcia de Desarrollo</v>
      </c>
      <c r="B21" t="str">
        <f xml:space="preserve"> _xll.EPMOlapMemberO("[CLACO].[PARENTH1].[AMSAINFORMATIC]","","Informática y Comuni","","000")</f>
        <v>Informática y Comuni</v>
      </c>
      <c r="C21" s="6">
        <v>3791.7</v>
      </c>
      <c r="D21" s="6"/>
      <c r="E21" s="6">
        <f t="shared" si="0"/>
        <v>-3791.7</v>
      </c>
      <c r="F21" s="6">
        <v>1999.86</v>
      </c>
      <c r="G21" s="6"/>
      <c r="H21" s="6">
        <f t="shared" si="1"/>
        <v>-1999.86</v>
      </c>
      <c r="I21" s="6">
        <v>2589.6999999999998</v>
      </c>
      <c r="J21" s="6"/>
      <c r="K21" s="6">
        <f t="shared" si="2"/>
        <v>-2589.6999999999998</v>
      </c>
      <c r="L21" s="6">
        <v>0</v>
      </c>
      <c r="M21" s="6"/>
      <c r="N21" s="6">
        <f t="shared" si="3"/>
        <v>0</v>
      </c>
    </row>
    <row r="22" spans="1:14" x14ac:dyDescent="0.3">
      <c r="A22" s="8"/>
      <c r="B22" t="str">
        <f xml:space="preserve"> _xll.EPMOlapMemberO("[CLACO].[PARENTH1].[AMSAG_VIAJES]","","Gastos de Viajes","","000")</f>
        <v>Gastos de Viajes</v>
      </c>
      <c r="C22" s="6"/>
      <c r="D22" s="6"/>
      <c r="E22" s="6">
        <f t="shared" si="0"/>
        <v>0</v>
      </c>
      <c r="F22" s="6">
        <v>510.82</v>
      </c>
      <c r="G22" s="6"/>
      <c r="H22" s="6">
        <f t="shared" si="1"/>
        <v>-510.82</v>
      </c>
      <c r="I22" s="6">
        <v>459.19</v>
      </c>
      <c r="J22" s="6"/>
      <c r="K22" s="6">
        <f t="shared" si="2"/>
        <v>-459.19</v>
      </c>
      <c r="L22" s="6">
        <v>7530.39</v>
      </c>
      <c r="M22" s="6"/>
      <c r="N22" s="6">
        <f t="shared" si="3"/>
        <v>-7530.39</v>
      </c>
    </row>
    <row r="23" spans="1:14" x14ac:dyDescent="0.3">
      <c r="A23" s="8" t="str">
        <f xml:space="preserve"> _xll.EPMOlapMemberO("[CECO].[PARENTH3].[AMSA1000AC0509]","","Evaluación de Negoci","","000")</f>
        <v>Evaluación de Negoci</v>
      </c>
      <c r="B23" t="str">
        <f xml:space="preserve"> _xll.EPMOlapMemberO("[CLACO].[PARENTH1].[AMSAREMUNERACI.SS]","","Remuneraciones Super","","000")</f>
        <v>Remuneraciones Super</v>
      </c>
      <c r="C23" s="6">
        <v>1140970.21</v>
      </c>
      <c r="D23" s="6">
        <v>1161184.0900000001</v>
      </c>
      <c r="E23" s="6">
        <f t="shared" si="0"/>
        <v>20213.880000000121</v>
      </c>
      <c r="F23" s="6">
        <v>1580351.31</v>
      </c>
      <c r="G23" s="6">
        <v>1298497.6399999999</v>
      </c>
      <c r="H23" s="6">
        <f t="shared" si="1"/>
        <v>-281853.67000000016</v>
      </c>
      <c r="I23" s="6">
        <v>1531644.1</v>
      </c>
      <c r="J23" s="6">
        <v>1537676.11</v>
      </c>
      <c r="K23" s="6">
        <f t="shared" si="2"/>
        <v>6032.0100000000093</v>
      </c>
      <c r="L23" s="6">
        <v>594474.51</v>
      </c>
      <c r="M23" s="6">
        <v>1657610.14</v>
      </c>
      <c r="N23" s="6">
        <f t="shared" si="3"/>
        <v>1063135.6299999999</v>
      </c>
    </row>
    <row r="24" spans="1:14" x14ac:dyDescent="0.3">
      <c r="A24" s="8"/>
      <c r="B24" t="str">
        <f xml:space="preserve"> _xll.EPMOlapMemberO("[CLACO].[PARENTH1].[AMSAMAT_Y_REP.2]","","Materiales y repuest","","000")</f>
        <v>Materiales y repuest</v>
      </c>
      <c r="C24" s="6"/>
      <c r="D24" s="6"/>
      <c r="E24" s="6">
        <f t="shared" si="0"/>
        <v>0</v>
      </c>
      <c r="F24" s="6">
        <v>0</v>
      </c>
      <c r="G24" s="6"/>
      <c r="H24" s="6">
        <f t="shared" si="1"/>
        <v>0</v>
      </c>
      <c r="I24" s="6"/>
      <c r="J24" s="6"/>
      <c r="K24" s="6">
        <f t="shared" si="2"/>
        <v>0</v>
      </c>
      <c r="L24" s="6"/>
      <c r="M24" s="6"/>
      <c r="N24" s="6">
        <f t="shared" si="3"/>
        <v>0</v>
      </c>
    </row>
    <row r="25" spans="1:14" x14ac:dyDescent="0.3">
      <c r="A25" s="8"/>
      <c r="B25" t="str">
        <f xml:space="preserve"> _xll.EPMOlapMemberO("[CLACO].[PARENTH1].[AMSAENTRENAMI]","","Entrenamiento","","000")</f>
        <v>Entrenamiento</v>
      </c>
      <c r="C25" s="6"/>
      <c r="D25" s="6"/>
      <c r="E25" s="6">
        <f t="shared" si="0"/>
        <v>0</v>
      </c>
      <c r="F25" s="6"/>
      <c r="G25" s="6"/>
      <c r="H25" s="6">
        <f t="shared" si="1"/>
        <v>0</v>
      </c>
      <c r="I25" s="6">
        <v>1150</v>
      </c>
      <c r="J25" s="6"/>
      <c r="K25" s="6">
        <f t="shared" si="2"/>
        <v>-1150</v>
      </c>
      <c r="L25" s="6"/>
      <c r="M25" s="6"/>
      <c r="N25" s="6">
        <f t="shared" si="3"/>
        <v>0</v>
      </c>
    </row>
    <row r="26" spans="1:14" x14ac:dyDescent="0.3">
      <c r="A26" s="8"/>
      <c r="B26" t="str">
        <f xml:space="preserve"> _xll.EPMOlapMemberO("[CLACO].[PARENTH1].[AMSAARRIENDOS]","","Arriendos","","000")</f>
        <v>Arriendos</v>
      </c>
      <c r="C26" s="6">
        <v>102.24</v>
      </c>
      <c r="D26" s="6">
        <v>176.06</v>
      </c>
      <c r="E26" s="6">
        <f t="shared" si="0"/>
        <v>73.820000000000007</v>
      </c>
      <c r="F26" s="6">
        <v>319.61</v>
      </c>
      <c r="G26" s="6">
        <v>155.47</v>
      </c>
      <c r="H26" s="6">
        <f t="shared" si="1"/>
        <v>-164.14000000000001</v>
      </c>
      <c r="I26" s="6"/>
      <c r="J26" s="6">
        <v>163.97</v>
      </c>
      <c r="K26" s="6">
        <f t="shared" si="2"/>
        <v>163.97</v>
      </c>
      <c r="L26" s="6"/>
      <c r="M26" s="6">
        <v>154.55000000000001</v>
      </c>
      <c r="N26" s="6">
        <f t="shared" si="3"/>
        <v>154.55000000000001</v>
      </c>
    </row>
    <row r="27" spans="1:14" x14ac:dyDescent="0.3">
      <c r="A27" s="8"/>
      <c r="B27" t="str">
        <f xml:space="preserve"> _xll.EPMOlapMemberO("[CLACO].[PARENTH1].[AMSASERVICIOS]","","Servicios","","000")</f>
        <v>Servicios</v>
      </c>
      <c r="C27" s="6">
        <v>60.49</v>
      </c>
      <c r="D27" s="6">
        <v>666.85</v>
      </c>
      <c r="E27" s="6">
        <f t="shared" si="0"/>
        <v>606.36</v>
      </c>
      <c r="F27" s="6">
        <v>580.28</v>
      </c>
      <c r="G27" s="6">
        <v>591.17999999999995</v>
      </c>
      <c r="H27" s="6">
        <f t="shared" si="1"/>
        <v>10.899999999999977</v>
      </c>
      <c r="I27" s="6">
        <v>775.55</v>
      </c>
      <c r="J27" s="6">
        <v>624</v>
      </c>
      <c r="K27" s="6">
        <f t="shared" si="2"/>
        <v>-151.54999999999995</v>
      </c>
      <c r="L27" s="6">
        <v>-265.86</v>
      </c>
      <c r="M27" s="6">
        <v>588.17999999999995</v>
      </c>
      <c r="N27" s="6">
        <f t="shared" si="3"/>
        <v>854.04</v>
      </c>
    </row>
    <row r="28" spans="1:14" x14ac:dyDescent="0.3">
      <c r="A28" s="8"/>
      <c r="B28" t="str">
        <f xml:space="preserve"> _xll.EPMOlapMemberO("[CLACO].[PARENTH1].[AMSAINFORMATIC]","","Informática y Comuni","","000")</f>
        <v>Informática y Comuni</v>
      </c>
      <c r="C28" s="6">
        <v>26777.48</v>
      </c>
      <c r="D28" s="6">
        <v>32149.77</v>
      </c>
      <c r="E28" s="6">
        <f t="shared" si="0"/>
        <v>5372.2900000000009</v>
      </c>
      <c r="F28" s="6">
        <v>29963.08</v>
      </c>
      <c r="G28" s="6">
        <v>34514.050000000003</v>
      </c>
      <c r="H28" s="6">
        <f t="shared" si="1"/>
        <v>4550.9700000000012</v>
      </c>
      <c r="I28" s="6">
        <v>31662.79</v>
      </c>
      <c r="J28" s="6">
        <v>34306.28</v>
      </c>
      <c r="K28" s="6">
        <f t="shared" si="2"/>
        <v>2643.489999999998</v>
      </c>
      <c r="L28" s="6">
        <v>32461.97</v>
      </c>
      <c r="M28" s="6">
        <v>33918.81</v>
      </c>
      <c r="N28" s="6">
        <f t="shared" si="3"/>
        <v>1456.8399999999965</v>
      </c>
    </row>
    <row r="29" spans="1:14" x14ac:dyDescent="0.3">
      <c r="A29" s="8"/>
      <c r="B29" t="str">
        <f xml:space="preserve"> _xll.EPMOlapMemberO("[CLACO].[PARENTH1].[AMSAG_VIAJES]","","Gastos de Viajes","","000")</f>
        <v>Gastos de Viajes</v>
      </c>
      <c r="C29" s="6">
        <v>17281.490000000002</v>
      </c>
      <c r="D29" s="6">
        <v>11511.11</v>
      </c>
      <c r="E29" s="6">
        <f t="shared" si="0"/>
        <v>-5770.380000000001</v>
      </c>
      <c r="F29" s="6">
        <v>94889.83</v>
      </c>
      <c r="G29" s="6">
        <v>125243.96</v>
      </c>
      <c r="H29" s="6">
        <f t="shared" si="1"/>
        <v>30354.130000000005</v>
      </c>
      <c r="I29" s="6">
        <v>111123.51</v>
      </c>
      <c r="J29" s="6">
        <v>111431.29</v>
      </c>
      <c r="K29" s="6">
        <f t="shared" si="2"/>
        <v>307.77999999999884</v>
      </c>
      <c r="L29" s="6">
        <v>104227.2</v>
      </c>
      <c r="M29" s="6">
        <v>116847.54</v>
      </c>
      <c r="N29" s="6">
        <f t="shared" si="3"/>
        <v>12620.339999999997</v>
      </c>
    </row>
    <row r="30" spans="1:14" x14ac:dyDescent="0.3">
      <c r="A30" s="8"/>
      <c r="B30" t="str">
        <f xml:space="preserve"> _xll.EPMOlapMemberO("[CLACO].[PARENTH1].[AMSAGGENERALES.2]","","Otros Gastos","","000")</f>
        <v>Otros Gastos</v>
      </c>
      <c r="C30" s="6">
        <v>729.49</v>
      </c>
      <c r="D30" s="6">
        <v>4033.11</v>
      </c>
      <c r="E30" s="6">
        <f t="shared" si="0"/>
        <v>3303.62</v>
      </c>
      <c r="F30" s="6">
        <v>2095.94</v>
      </c>
      <c r="G30" s="6">
        <v>3610.3</v>
      </c>
      <c r="H30" s="6">
        <f t="shared" si="1"/>
        <v>1514.3600000000001</v>
      </c>
      <c r="I30" s="6">
        <v>3199.43</v>
      </c>
      <c r="J30" s="6">
        <v>3779</v>
      </c>
      <c r="K30" s="6">
        <f t="shared" si="2"/>
        <v>579.57000000000016</v>
      </c>
      <c r="L30" s="6">
        <v>8761.23</v>
      </c>
      <c r="M30" s="6">
        <v>3558.09</v>
      </c>
      <c r="N30" s="6">
        <f t="shared" si="3"/>
        <v>-5203.1399999999994</v>
      </c>
    </row>
    <row r="31" spans="1:14" x14ac:dyDescent="0.3">
      <c r="A31" s="8" t="str">
        <f xml:space="preserve"> _xll.EPMOlapMemberO("[CECO].[PARENTH3].[AMSA1000AC0512]","","Evaluación Recursos","","000")</f>
        <v>Evaluación Recursos</v>
      </c>
      <c r="B31" t="str">
        <f xml:space="preserve"> _xll.EPMOlapMemberO("[CLACO].[PARENTH1].[AMSAMAT_Y_REP.2]","","Materiales y repuest","","000")</f>
        <v>Materiales y repuest</v>
      </c>
      <c r="C31" s="6">
        <v>-118.38</v>
      </c>
      <c r="D31" s="6">
        <v>18381.52</v>
      </c>
      <c r="E31" s="6">
        <f t="shared" si="0"/>
        <v>18499.900000000001</v>
      </c>
      <c r="F31" s="6">
        <v>0</v>
      </c>
      <c r="G31" s="6">
        <v>18308.8</v>
      </c>
      <c r="H31" s="6">
        <f t="shared" si="1"/>
        <v>18308.8</v>
      </c>
      <c r="I31" s="6">
        <v>5432.78</v>
      </c>
      <c r="J31" s="6">
        <v>11105</v>
      </c>
      <c r="K31" s="6">
        <f t="shared" si="2"/>
        <v>5672.22</v>
      </c>
      <c r="L31" s="6">
        <v>9951.06</v>
      </c>
      <c r="M31" s="6">
        <v>16153.33</v>
      </c>
      <c r="N31" s="6">
        <f t="shared" si="3"/>
        <v>6202.27</v>
      </c>
    </row>
    <row r="32" spans="1:14" x14ac:dyDescent="0.3">
      <c r="A32" s="8"/>
      <c r="B32" t="str">
        <f xml:space="preserve"> _xll.EPMOlapMemberO("[CLACO].[PARENTH1].[AMSACOMBUSTIBL]","","Combustibles  / Lubr","","000")</f>
        <v>Combustibles  / Lubr</v>
      </c>
      <c r="C32" s="6"/>
      <c r="D32" s="6"/>
      <c r="E32" s="6">
        <f t="shared" si="0"/>
        <v>0</v>
      </c>
      <c r="F32" s="6">
        <v>41.82</v>
      </c>
      <c r="G32" s="6"/>
      <c r="H32" s="6">
        <f t="shared" si="1"/>
        <v>-41.82</v>
      </c>
      <c r="I32" s="6"/>
      <c r="J32" s="6"/>
      <c r="K32" s="6">
        <f t="shared" si="2"/>
        <v>0</v>
      </c>
      <c r="L32" s="6"/>
      <c r="M32" s="6"/>
      <c r="N32" s="6">
        <f t="shared" si="3"/>
        <v>0</v>
      </c>
    </row>
    <row r="33" spans="1:14" x14ac:dyDescent="0.3">
      <c r="A33" s="8"/>
      <c r="B33" t="str">
        <f xml:space="preserve"> _xll.EPMOlapMemberO("[CLACO].[PARENTH1].[AMSAADM_PERSON]","","Administración Perso","","000")</f>
        <v>Administración Perso</v>
      </c>
      <c r="C33" s="6">
        <v>84.7</v>
      </c>
      <c r="D33" s="6"/>
      <c r="E33" s="6">
        <f t="shared" si="0"/>
        <v>-84.7</v>
      </c>
      <c r="F33" s="6"/>
      <c r="G33" s="6"/>
      <c r="H33" s="6">
        <f t="shared" si="1"/>
        <v>0</v>
      </c>
      <c r="I33" s="6"/>
      <c r="J33" s="6"/>
      <c r="K33" s="6">
        <f t="shared" si="2"/>
        <v>0</v>
      </c>
      <c r="L33" s="6"/>
      <c r="M33" s="6"/>
      <c r="N33" s="6">
        <f t="shared" si="3"/>
        <v>0</v>
      </c>
    </row>
    <row r="34" spans="1:14" x14ac:dyDescent="0.3">
      <c r="A34" s="8"/>
      <c r="B34" t="str">
        <f xml:space="preserve"> _xll.EPMOlapMemberO("[CLACO].[PARENTH1].[AMSAENTRENAMI]","","Entrenamiento","","000")</f>
        <v>Entrenamiento</v>
      </c>
      <c r="C34" s="6">
        <v>12180.73</v>
      </c>
      <c r="D34" s="6">
        <v>30089.43</v>
      </c>
      <c r="E34" s="6">
        <f t="shared" si="0"/>
        <v>17908.7</v>
      </c>
      <c r="F34" s="6">
        <v>8827.66</v>
      </c>
      <c r="G34" s="6">
        <v>31675.43</v>
      </c>
      <c r="H34" s="6">
        <f t="shared" si="1"/>
        <v>22847.77</v>
      </c>
      <c r="I34" s="6">
        <v>7613.03</v>
      </c>
      <c r="J34" s="6">
        <v>34681.47</v>
      </c>
      <c r="K34" s="6">
        <f t="shared" si="2"/>
        <v>27068.440000000002</v>
      </c>
      <c r="L34" s="6">
        <v>19421.62</v>
      </c>
      <c r="M34" s="6">
        <v>34902.83</v>
      </c>
      <c r="N34" s="6">
        <f t="shared" si="3"/>
        <v>15481.210000000003</v>
      </c>
    </row>
    <row r="35" spans="1:14" x14ac:dyDescent="0.3">
      <c r="A35" s="8"/>
      <c r="B35" t="str">
        <f xml:space="preserve"> _xll.EPMOlapMemberO("[CLACO].[PARENTH1].[AMSAASESORIAS]","","Asesorías y Consulto","","000")</f>
        <v>Asesorías y Consulto</v>
      </c>
      <c r="C35" s="6">
        <v>32913.1</v>
      </c>
      <c r="D35" s="6">
        <v>93455.96</v>
      </c>
      <c r="E35" s="6">
        <f t="shared" si="0"/>
        <v>60542.860000000008</v>
      </c>
      <c r="F35" s="6">
        <v>136319.29</v>
      </c>
      <c r="G35" s="6">
        <v>61353.51</v>
      </c>
      <c r="H35" s="6">
        <f t="shared" si="1"/>
        <v>-74965.78</v>
      </c>
      <c r="I35" s="6">
        <v>45823.78</v>
      </c>
      <c r="J35" s="6">
        <v>69974.81</v>
      </c>
      <c r="K35" s="6">
        <f t="shared" si="2"/>
        <v>24151.03</v>
      </c>
      <c r="L35" s="6">
        <v>-4436.99</v>
      </c>
      <c r="M35" s="6">
        <v>42440.58</v>
      </c>
      <c r="N35" s="6">
        <f t="shared" si="3"/>
        <v>46877.57</v>
      </c>
    </row>
    <row r="36" spans="1:14" x14ac:dyDescent="0.3">
      <c r="A36" s="8"/>
      <c r="B36" t="str">
        <f xml:space="preserve"> _xll.EPMOlapMemberO("[CLACO].[PARENTH1].[AMSAARRIENDOS]","","Arriendos","","000")</f>
        <v>Arriendos</v>
      </c>
      <c r="C36" s="6">
        <v>3976.05</v>
      </c>
      <c r="D36" s="6">
        <v>9904.49</v>
      </c>
      <c r="E36" s="6">
        <f t="shared" si="0"/>
        <v>5928.44</v>
      </c>
      <c r="F36" s="6">
        <v>3214.21</v>
      </c>
      <c r="G36" s="6">
        <v>9940.06</v>
      </c>
      <c r="H36" s="6">
        <f t="shared" si="1"/>
        <v>6725.8499999999995</v>
      </c>
      <c r="I36" s="6">
        <v>3632.09</v>
      </c>
      <c r="J36" s="6">
        <v>11179.58</v>
      </c>
      <c r="K36" s="6">
        <f t="shared" si="2"/>
        <v>7547.49</v>
      </c>
      <c r="L36" s="6">
        <v>2408.04</v>
      </c>
      <c r="M36" s="6">
        <v>10933.48</v>
      </c>
      <c r="N36" s="6">
        <f t="shared" si="3"/>
        <v>8525.4399999999987</v>
      </c>
    </row>
    <row r="37" spans="1:14" x14ac:dyDescent="0.3">
      <c r="A37" s="8"/>
      <c r="B37" t="str">
        <f xml:space="preserve"> _xll.EPMOlapMemberO("[CLACO].[PARENTH1].[AMSASERVICIOS]","","Servicios","","000")</f>
        <v>Servicios</v>
      </c>
      <c r="C37" s="6">
        <v>76885.990000000005</v>
      </c>
      <c r="D37" s="6">
        <v>109356.89</v>
      </c>
      <c r="E37" s="6">
        <f t="shared" si="0"/>
        <v>32470.899999999994</v>
      </c>
      <c r="F37" s="6">
        <v>148750.69</v>
      </c>
      <c r="G37" s="6">
        <v>126844.69</v>
      </c>
      <c r="H37" s="6">
        <f t="shared" si="1"/>
        <v>-21906</v>
      </c>
      <c r="I37" s="6">
        <v>136336.24</v>
      </c>
      <c r="J37" s="6">
        <v>142411.19</v>
      </c>
      <c r="K37" s="6">
        <f t="shared" si="2"/>
        <v>6074.9500000000116</v>
      </c>
      <c r="L37" s="6">
        <v>175489.29</v>
      </c>
      <c r="M37" s="6">
        <v>127306.17</v>
      </c>
      <c r="N37" s="6">
        <f t="shared" si="3"/>
        <v>-48183.12000000001</v>
      </c>
    </row>
    <row r="38" spans="1:14" x14ac:dyDescent="0.3">
      <c r="A38" s="8"/>
      <c r="B38" t="str">
        <f xml:space="preserve"> _xll.EPMOlapMemberO("[CLACO].[PARENTH1].[AMSAINFORMATIC]","","Informática y Comuni","","000")</f>
        <v>Informática y Comuni</v>
      </c>
      <c r="C38" s="6">
        <v>53802.29</v>
      </c>
      <c r="D38" s="6">
        <v>39838.67</v>
      </c>
      <c r="E38" s="6">
        <f t="shared" si="0"/>
        <v>-13963.620000000003</v>
      </c>
      <c r="F38" s="6">
        <v>70765</v>
      </c>
      <c r="G38" s="6">
        <v>44402.54</v>
      </c>
      <c r="H38" s="6">
        <f t="shared" si="1"/>
        <v>-26362.46</v>
      </c>
      <c r="I38" s="6">
        <v>51854.98</v>
      </c>
      <c r="J38" s="6">
        <v>47383.56</v>
      </c>
      <c r="K38" s="6">
        <f t="shared" si="2"/>
        <v>-4471.4200000000055</v>
      </c>
      <c r="L38" s="6">
        <v>102881.27</v>
      </c>
      <c r="M38" s="6">
        <v>76870.91</v>
      </c>
      <c r="N38" s="6">
        <f t="shared" si="3"/>
        <v>-26010.36</v>
      </c>
    </row>
    <row r="39" spans="1:14" x14ac:dyDescent="0.3">
      <c r="A39" s="8"/>
      <c r="B39" t="str">
        <f xml:space="preserve"> _xll.EPMOlapMemberO("[CLACO].[PARENTH1].[AMSAG_VIAJES]","","Gastos de Viajes","","000")</f>
        <v>Gastos de Viajes</v>
      </c>
      <c r="C39" s="6">
        <v>33340.19</v>
      </c>
      <c r="D39" s="6">
        <v>90868.35</v>
      </c>
      <c r="E39" s="6">
        <f t="shared" si="0"/>
        <v>57528.160000000003</v>
      </c>
      <c r="F39" s="6">
        <v>53844.25</v>
      </c>
      <c r="G39" s="6">
        <v>131621.96</v>
      </c>
      <c r="H39" s="6">
        <f t="shared" si="1"/>
        <v>77777.709999999992</v>
      </c>
      <c r="I39" s="6">
        <v>46636.78</v>
      </c>
      <c r="J39" s="6">
        <v>107470.39</v>
      </c>
      <c r="K39" s="6">
        <f t="shared" si="2"/>
        <v>60833.61</v>
      </c>
      <c r="L39" s="6">
        <v>51252.3</v>
      </c>
      <c r="M39" s="6">
        <v>89625.27</v>
      </c>
      <c r="N39" s="6">
        <f t="shared" si="3"/>
        <v>38372.97</v>
      </c>
    </row>
    <row r="40" spans="1:14" x14ac:dyDescent="0.3">
      <c r="A40" s="8"/>
      <c r="B40" t="str">
        <f xml:space="preserve"> _xll.EPMOlapMemberO("[CLACO].[PARENTH1].[AMSAIMP_PATEN]","","Impuestos / Patentes","","000")</f>
        <v>Impuestos / Patentes</v>
      </c>
      <c r="C40" s="6"/>
      <c r="D40" s="6"/>
      <c r="E40" s="6">
        <f t="shared" si="0"/>
        <v>0</v>
      </c>
      <c r="F40" s="6"/>
      <c r="G40" s="6"/>
      <c r="H40" s="6">
        <f t="shared" si="1"/>
        <v>0</v>
      </c>
      <c r="I40" s="6"/>
      <c r="J40" s="6"/>
      <c r="K40" s="6">
        <f t="shared" si="2"/>
        <v>0</v>
      </c>
      <c r="L40" s="6">
        <v>49.63</v>
      </c>
      <c r="M40" s="6"/>
      <c r="N40" s="6">
        <f t="shared" si="3"/>
        <v>-49.63</v>
      </c>
    </row>
    <row r="41" spans="1:14" x14ac:dyDescent="0.3">
      <c r="A41" s="8"/>
      <c r="B41" t="str">
        <f xml:space="preserve"> _xll.EPMOlapMemberO("[CLACO].[PARENTH1].[AMSAGGENERALES.2]","","Otros Gastos","","000")</f>
        <v>Otros Gastos</v>
      </c>
      <c r="C41" s="6">
        <v>5854.83</v>
      </c>
      <c r="D41" s="6">
        <v>3327.44</v>
      </c>
      <c r="E41" s="6">
        <f t="shared" si="0"/>
        <v>-2527.39</v>
      </c>
      <c r="F41" s="6">
        <v>1404.45</v>
      </c>
      <c r="G41" s="6">
        <v>3310.59</v>
      </c>
      <c r="H41" s="6">
        <f t="shared" si="1"/>
        <v>1906.14</v>
      </c>
      <c r="I41" s="6">
        <v>11601.43</v>
      </c>
      <c r="J41" s="6">
        <v>4206.1099999999997</v>
      </c>
      <c r="K41" s="6">
        <f t="shared" si="2"/>
        <v>-7395.3200000000006</v>
      </c>
      <c r="L41" s="6">
        <v>1752.8</v>
      </c>
      <c r="M41" s="6">
        <v>4087.18</v>
      </c>
      <c r="N41" s="6">
        <f t="shared" si="3"/>
        <v>2334.38</v>
      </c>
    </row>
    <row r="42" spans="1:14" x14ac:dyDescent="0.3">
      <c r="A42" s="8" t="str">
        <f xml:space="preserve"> _xll.EPMOlapMemberO("[CECO].[PARENTH3].[AMSA1000AC0513]","","Servicios Técnicos","","000")</f>
        <v>Servicios Técnicos</v>
      </c>
      <c r="B42" t="str">
        <f xml:space="preserve"> _xll.EPMOlapMemberO("[CLACO].[PARENTH1].[AMSAMAT_Y_REP.2]","","Materiales y repuest","","000")</f>
        <v>Materiales y repuest</v>
      </c>
      <c r="C42" s="6"/>
      <c r="D42" s="6"/>
      <c r="E42" s="6">
        <f t="shared" si="0"/>
        <v>0</v>
      </c>
      <c r="F42" s="6"/>
      <c r="G42" s="6"/>
      <c r="H42" s="6">
        <f t="shared" si="1"/>
        <v>0</v>
      </c>
      <c r="I42" s="6"/>
      <c r="J42" s="6"/>
      <c r="K42" s="6">
        <f t="shared" si="2"/>
        <v>0</v>
      </c>
      <c r="L42" s="6">
        <v>24.69</v>
      </c>
      <c r="M42" s="6"/>
      <c r="N42" s="6">
        <f t="shared" si="3"/>
        <v>-24.69</v>
      </c>
    </row>
    <row r="43" spans="1:14" x14ac:dyDescent="0.3">
      <c r="A43" s="8"/>
      <c r="B43" t="str">
        <f xml:space="preserve"> _xll.EPMOlapMemberO("[CLACO].[PARENTH1].[AMSAENTRENAMI]","","Entrenamiento","","000")</f>
        <v>Entrenamiento</v>
      </c>
      <c r="C43" s="6"/>
      <c r="D43" s="6"/>
      <c r="E43" s="6">
        <f t="shared" si="0"/>
        <v>0</v>
      </c>
      <c r="F43" s="6"/>
      <c r="G43" s="6">
        <v>2089.34</v>
      </c>
      <c r="H43" s="6">
        <f t="shared" si="1"/>
        <v>2089.34</v>
      </c>
      <c r="I43" s="6"/>
      <c r="J43" s="6">
        <v>7127.5</v>
      </c>
      <c r="K43" s="6">
        <f t="shared" si="2"/>
        <v>7127.5</v>
      </c>
      <c r="L43" s="6"/>
      <c r="M43" s="6">
        <v>10057.5</v>
      </c>
      <c r="N43" s="6">
        <f t="shared" si="3"/>
        <v>10057.5</v>
      </c>
    </row>
    <row r="44" spans="1:14" x14ac:dyDescent="0.3">
      <c r="A44" s="8"/>
      <c r="B44" t="str">
        <f xml:space="preserve"> _xll.EPMOlapMemberO("[CLACO].[PARENTH1].[AMSAASESORIAS]","","Asesorías y Consulto","","000")</f>
        <v>Asesorías y Consulto</v>
      </c>
      <c r="C44" s="6"/>
      <c r="D44" s="6">
        <v>6176.85</v>
      </c>
      <c r="E44" s="6">
        <f t="shared" si="0"/>
        <v>6176.85</v>
      </c>
      <c r="F44" s="6">
        <v>0</v>
      </c>
      <c r="G44" s="6"/>
      <c r="H44" s="6">
        <f t="shared" si="1"/>
        <v>0</v>
      </c>
      <c r="I44" s="6"/>
      <c r="J44" s="6"/>
      <c r="K44" s="6">
        <f t="shared" si="2"/>
        <v>0</v>
      </c>
      <c r="L44" s="6"/>
      <c r="M44" s="6"/>
      <c r="N44" s="6">
        <f t="shared" si="3"/>
        <v>0</v>
      </c>
    </row>
    <row r="45" spans="1:14" x14ac:dyDescent="0.3">
      <c r="A45" s="8"/>
      <c r="B45" t="str">
        <f xml:space="preserve"> _xll.EPMOlapMemberO("[CLACO].[PARENTH1].[AMSAARRIENDOS]","","Arriendos","","000")</f>
        <v>Arriendos</v>
      </c>
      <c r="C45" s="6">
        <v>3700.68</v>
      </c>
      <c r="D45" s="6">
        <v>1233.97</v>
      </c>
      <c r="E45" s="6">
        <f t="shared" si="0"/>
        <v>-2466.71</v>
      </c>
      <c r="F45" s="6">
        <v>1007.9</v>
      </c>
      <c r="G45" s="6">
        <v>1857.5</v>
      </c>
      <c r="H45" s="6">
        <f t="shared" si="1"/>
        <v>849.6</v>
      </c>
      <c r="I45" s="6">
        <v>1886.76</v>
      </c>
      <c r="J45" s="6">
        <v>2235.5</v>
      </c>
      <c r="K45" s="6">
        <f t="shared" si="2"/>
        <v>348.74</v>
      </c>
      <c r="L45" s="6">
        <v>1846.65</v>
      </c>
      <c r="M45" s="6">
        <v>1824.54</v>
      </c>
      <c r="N45" s="6">
        <f t="shared" si="3"/>
        <v>-22.110000000000127</v>
      </c>
    </row>
    <row r="46" spans="1:14" x14ac:dyDescent="0.3">
      <c r="A46" s="8"/>
      <c r="B46" t="str">
        <f xml:space="preserve"> _xll.EPMOlapMemberO("[CLACO].[PARENTH1].[AMSASERVICIOS]","","Servicios","","000")</f>
        <v>Servicios</v>
      </c>
      <c r="C46" s="6">
        <v>75.84</v>
      </c>
      <c r="D46" s="6"/>
      <c r="E46" s="6">
        <f t="shared" si="0"/>
        <v>-75.84</v>
      </c>
      <c r="F46" s="6">
        <v>3277.61</v>
      </c>
      <c r="G46" s="6"/>
      <c r="H46" s="6">
        <f t="shared" si="1"/>
        <v>-3277.61</v>
      </c>
      <c r="I46" s="6">
        <v>3843.89</v>
      </c>
      <c r="J46" s="6"/>
      <c r="K46" s="6">
        <f t="shared" si="2"/>
        <v>-3843.89</v>
      </c>
      <c r="L46" s="6">
        <v>7171.08</v>
      </c>
      <c r="M46" s="6">
        <v>4378.84</v>
      </c>
      <c r="N46" s="6">
        <f t="shared" si="3"/>
        <v>-2792.24</v>
      </c>
    </row>
    <row r="47" spans="1:14" x14ac:dyDescent="0.3">
      <c r="A47" s="8"/>
      <c r="B47" t="str">
        <f xml:space="preserve"> _xll.EPMOlapMemberO("[CLACO].[PARENTH1].[AMSAINFORMATIC]","","Informática y Comuni","","000")</f>
        <v>Informática y Comuni</v>
      </c>
      <c r="C47" s="6"/>
      <c r="D47" s="6"/>
      <c r="E47" s="6">
        <f t="shared" si="0"/>
        <v>0</v>
      </c>
      <c r="F47" s="6">
        <v>4654.4799999999996</v>
      </c>
      <c r="G47" s="6">
        <v>3721.13</v>
      </c>
      <c r="H47" s="6">
        <f t="shared" si="1"/>
        <v>-933.34999999999945</v>
      </c>
      <c r="I47" s="6">
        <v>5238.7</v>
      </c>
      <c r="J47" s="6">
        <v>3707</v>
      </c>
      <c r="K47" s="6">
        <f t="shared" si="2"/>
        <v>-1531.6999999999998</v>
      </c>
      <c r="L47" s="6">
        <v>7847.22</v>
      </c>
      <c r="M47" s="6">
        <v>8379.83</v>
      </c>
      <c r="N47" s="6">
        <f t="shared" si="3"/>
        <v>532.60999999999967</v>
      </c>
    </row>
    <row r="48" spans="1:14" x14ac:dyDescent="0.3">
      <c r="A48" s="8"/>
      <c r="B48" t="str">
        <f xml:space="preserve"> _xll.EPMOlapMemberO("[CLACO].[PARENTH1].[AMSAG_VIAJES]","","Gastos de Viajes","","000")</f>
        <v>Gastos de Viajes</v>
      </c>
      <c r="C48" s="6">
        <v>15343.47</v>
      </c>
      <c r="D48" s="6">
        <v>19069.11</v>
      </c>
      <c r="E48" s="6">
        <f t="shared" si="0"/>
        <v>3725.6400000000012</v>
      </c>
      <c r="F48" s="6">
        <v>40450.01</v>
      </c>
      <c r="G48" s="6">
        <v>113978.36</v>
      </c>
      <c r="H48" s="6">
        <f t="shared" si="1"/>
        <v>73528.350000000006</v>
      </c>
      <c r="I48" s="6">
        <v>73444.429999999993</v>
      </c>
      <c r="J48" s="6">
        <v>109191.43</v>
      </c>
      <c r="K48" s="6">
        <f t="shared" si="2"/>
        <v>35747</v>
      </c>
      <c r="L48" s="6">
        <v>37405.89</v>
      </c>
      <c r="M48" s="6">
        <v>91143.09</v>
      </c>
      <c r="N48" s="6">
        <f t="shared" si="3"/>
        <v>53737.2</v>
      </c>
    </row>
    <row r="49" spans="1:14" x14ac:dyDescent="0.3">
      <c r="A49" s="8"/>
      <c r="B49" t="str">
        <f xml:space="preserve"> _xll.EPMOlapMemberO("[CLACO].[PARENTH1].[AMSAIMP_PATEN]","","Impuestos / Patentes","","000")</f>
        <v>Impuestos / Patentes</v>
      </c>
      <c r="C49" s="6"/>
      <c r="D49" s="6"/>
      <c r="E49" s="6">
        <f t="shared" si="0"/>
        <v>0</v>
      </c>
      <c r="F49" s="6"/>
      <c r="G49" s="6"/>
      <c r="H49" s="6">
        <f t="shared" si="1"/>
        <v>0</v>
      </c>
      <c r="I49" s="6">
        <v>52.27</v>
      </c>
      <c r="J49" s="6"/>
      <c r="K49" s="6">
        <f t="shared" si="2"/>
        <v>-52.27</v>
      </c>
      <c r="L49" s="6"/>
      <c r="M49" s="6"/>
      <c r="N49" s="6">
        <f t="shared" si="3"/>
        <v>0</v>
      </c>
    </row>
    <row r="50" spans="1:14" x14ac:dyDescent="0.3">
      <c r="A50" s="8"/>
      <c r="B50" t="str">
        <f xml:space="preserve"> _xll.EPMOlapMemberO("[CLACO].[PARENTH1].[AMSAGGENERALES.2]","","Otros Gastos","","000")</f>
        <v>Otros Gastos</v>
      </c>
      <c r="C50" s="6">
        <v>409.67</v>
      </c>
      <c r="D50" s="6">
        <v>510.01</v>
      </c>
      <c r="E50" s="6">
        <f t="shared" si="0"/>
        <v>100.33999999999997</v>
      </c>
      <c r="F50" s="6">
        <v>563.84</v>
      </c>
      <c r="G50" s="6">
        <v>1032.74</v>
      </c>
      <c r="H50" s="6">
        <f t="shared" si="1"/>
        <v>468.9</v>
      </c>
      <c r="I50" s="6">
        <v>440.12</v>
      </c>
      <c r="J50" s="6">
        <v>1016.53</v>
      </c>
      <c r="K50" s="6">
        <f t="shared" si="2"/>
        <v>576.41</v>
      </c>
      <c r="L50" s="6">
        <v>4838.43</v>
      </c>
      <c r="M50" s="6">
        <v>12141.08</v>
      </c>
      <c r="N50" s="6">
        <f t="shared" si="3"/>
        <v>7302.65</v>
      </c>
    </row>
    <row r="51" spans="1:14" x14ac:dyDescent="0.3">
      <c r="A51" s="8" t="str">
        <f xml:space="preserve"> _xll.EPMOlapMemberO("[CECO].[PARENTH3].[AMSA1000AC0516]","","Gncia Gest Ser y Ctr","","000")</f>
        <v>Gncia Gest Ser y Ctr</v>
      </c>
      <c r="B51" t="str">
        <f xml:space="preserve"> _xll.EPMOlapMemberO("[CLACO].[PARENTH1].[AMSAREMUNERACI.SS]","","Remuneraciones Super","","000")</f>
        <v>Remuneraciones Super</v>
      </c>
      <c r="C51" s="6">
        <v>472920.37</v>
      </c>
      <c r="D51" s="6">
        <v>582818.34</v>
      </c>
      <c r="E51" s="6">
        <f t="shared" si="0"/>
        <v>109897.96999999997</v>
      </c>
      <c r="F51" s="6">
        <v>546696.76</v>
      </c>
      <c r="G51" s="6">
        <v>626651.46</v>
      </c>
      <c r="H51" s="6">
        <f t="shared" si="1"/>
        <v>79954.699999999953</v>
      </c>
      <c r="I51" s="6">
        <v>542680.78</v>
      </c>
      <c r="J51" s="6">
        <v>652885.97</v>
      </c>
      <c r="K51" s="6">
        <f t="shared" si="2"/>
        <v>110205.18999999994</v>
      </c>
      <c r="L51" s="6">
        <v>756102.93</v>
      </c>
      <c r="M51" s="6">
        <v>863857.19</v>
      </c>
      <c r="N51" s="6">
        <f t="shared" si="3"/>
        <v>107754.25999999989</v>
      </c>
    </row>
    <row r="52" spans="1:14" x14ac:dyDescent="0.3">
      <c r="A52" s="8"/>
      <c r="B52" t="str">
        <f xml:space="preserve"> _xll.EPMOlapMemberO("[CLACO].[PARENTH1].[AMSAMAT_Y_REP.2]","","Materiales y repuest","","000")</f>
        <v>Materiales y repuest</v>
      </c>
      <c r="C52" s="6">
        <v>37.32</v>
      </c>
      <c r="D52" s="6"/>
      <c r="E52" s="6">
        <f t="shared" si="0"/>
        <v>-37.32</v>
      </c>
      <c r="F52" s="6">
        <v>0</v>
      </c>
      <c r="G52" s="6"/>
      <c r="H52" s="6">
        <f t="shared" si="1"/>
        <v>0</v>
      </c>
      <c r="I52" s="6">
        <v>125.2</v>
      </c>
      <c r="J52" s="6"/>
      <c r="K52" s="6">
        <f t="shared" si="2"/>
        <v>-125.2</v>
      </c>
      <c r="L52" s="6"/>
      <c r="M52" s="6"/>
      <c r="N52" s="6">
        <f t="shared" si="3"/>
        <v>0</v>
      </c>
    </row>
    <row r="53" spans="1:14" x14ac:dyDescent="0.3">
      <c r="A53" s="8"/>
      <c r="B53" t="str">
        <f xml:space="preserve"> _xll.EPMOlapMemberO("[CLACO].[PARENTH1].[AMSAADM_PERSON]","","Administración Perso","","000")</f>
        <v>Administración Perso</v>
      </c>
      <c r="C53" s="6"/>
      <c r="D53" s="6"/>
      <c r="E53" s="6">
        <f t="shared" si="0"/>
        <v>0</v>
      </c>
      <c r="F53" s="6">
        <v>188.48</v>
      </c>
      <c r="G53" s="6"/>
      <c r="H53" s="6">
        <f t="shared" si="1"/>
        <v>-188.48</v>
      </c>
      <c r="I53" s="6"/>
      <c r="J53" s="6"/>
      <c r="K53" s="6">
        <f t="shared" si="2"/>
        <v>0</v>
      </c>
      <c r="L53" s="6"/>
      <c r="M53" s="6"/>
      <c r="N53" s="6">
        <f t="shared" si="3"/>
        <v>0</v>
      </c>
    </row>
    <row r="54" spans="1:14" x14ac:dyDescent="0.3">
      <c r="A54" s="8"/>
      <c r="B54" t="str">
        <f xml:space="preserve"> _xll.EPMOlapMemberO("[CLACO].[PARENTH1].[AMSAENTRENAMI]","","Entrenamiento","","000")</f>
        <v>Entrenamiento</v>
      </c>
      <c r="C54" s="6">
        <v>330.68</v>
      </c>
      <c r="D54" s="6"/>
      <c r="E54" s="6">
        <f t="shared" si="0"/>
        <v>-330.68</v>
      </c>
      <c r="F54" s="6"/>
      <c r="G54" s="6"/>
      <c r="H54" s="6">
        <f t="shared" si="1"/>
        <v>0</v>
      </c>
      <c r="I54" s="6"/>
      <c r="J54" s="6"/>
      <c r="K54" s="6">
        <f t="shared" si="2"/>
        <v>0</v>
      </c>
      <c r="L54" s="6"/>
      <c r="M54" s="6"/>
      <c r="N54" s="6">
        <f t="shared" si="3"/>
        <v>0</v>
      </c>
    </row>
    <row r="55" spans="1:14" x14ac:dyDescent="0.3">
      <c r="A55" s="8"/>
      <c r="B55" t="str">
        <f xml:space="preserve"> _xll.EPMOlapMemberO("[CLACO].[PARENTH1].[AMSAASESORIAS]","","Asesorías y Consulto","","000")</f>
        <v>Asesorías y Consulto</v>
      </c>
      <c r="C55" s="6">
        <v>12419.87</v>
      </c>
      <c r="D55" s="6">
        <v>13170.72</v>
      </c>
      <c r="E55" s="6">
        <f t="shared" si="0"/>
        <v>750.84999999999854</v>
      </c>
      <c r="F55" s="6">
        <v>13128.63</v>
      </c>
      <c r="G55" s="6">
        <v>12080.23</v>
      </c>
      <c r="H55" s="6">
        <f t="shared" si="1"/>
        <v>-1048.3999999999996</v>
      </c>
      <c r="I55" s="6">
        <v>-1311.48</v>
      </c>
      <c r="J55" s="6">
        <v>13618.76</v>
      </c>
      <c r="K55" s="6">
        <f t="shared" si="2"/>
        <v>14930.24</v>
      </c>
      <c r="L55" s="6">
        <v>-3328.96</v>
      </c>
      <c r="M55" s="6"/>
      <c r="N55" s="6">
        <f t="shared" si="3"/>
        <v>3328.96</v>
      </c>
    </row>
    <row r="56" spans="1:14" x14ac:dyDescent="0.3">
      <c r="A56" s="8"/>
      <c r="B56" t="str">
        <f xml:space="preserve"> _xll.EPMOlapMemberO("[CLACO].[PARENTH1].[AMSAARRIENDOS]","","Arriendos","","000")</f>
        <v>Arriendos</v>
      </c>
      <c r="C56" s="6"/>
      <c r="D56" s="6">
        <v>1414.13</v>
      </c>
      <c r="E56" s="6">
        <f t="shared" si="0"/>
        <v>1414.13</v>
      </c>
      <c r="F56" s="6">
        <v>414.01</v>
      </c>
      <c r="G56" s="6">
        <v>1254.3599999999999</v>
      </c>
      <c r="H56" s="6">
        <f t="shared" si="1"/>
        <v>840.34999999999991</v>
      </c>
      <c r="I56" s="6">
        <v>76.95</v>
      </c>
      <c r="J56" s="6">
        <v>1322.69</v>
      </c>
      <c r="K56" s="6">
        <f t="shared" si="2"/>
        <v>1245.74</v>
      </c>
      <c r="L56" s="6">
        <v>70.97</v>
      </c>
      <c r="M56" s="6">
        <v>1730.58</v>
      </c>
      <c r="N56" s="6">
        <f t="shared" si="3"/>
        <v>1659.61</v>
      </c>
    </row>
    <row r="57" spans="1:14" x14ac:dyDescent="0.3">
      <c r="A57" s="8"/>
      <c r="B57" t="str">
        <f xml:space="preserve"> _xll.EPMOlapMemberO("[CLACO].[PARENTH1].[AMSASERVICIOS]","","Servicios","","000")</f>
        <v>Servicios</v>
      </c>
      <c r="C57" s="6">
        <v>49890.82</v>
      </c>
      <c r="D57" s="6">
        <v>80814.91</v>
      </c>
      <c r="E57" s="6">
        <f t="shared" si="0"/>
        <v>30924.090000000004</v>
      </c>
      <c r="F57" s="6">
        <v>72627.34</v>
      </c>
      <c r="G57" s="6">
        <v>79934.289999999994</v>
      </c>
      <c r="H57" s="6">
        <f t="shared" si="1"/>
        <v>7306.9499999999971</v>
      </c>
      <c r="I57" s="6">
        <v>84763.39</v>
      </c>
      <c r="J57" s="6">
        <v>90472.84</v>
      </c>
      <c r="K57" s="6">
        <f t="shared" si="2"/>
        <v>5709.4499999999971</v>
      </c>
      <c r="L57" s="6">
        <v>54696.39</v>
      </c>
      <c r="M57" s="6">
        <v>51811.03</v>
      </c>
      <c r="N57" s="6">
        <f t="shared" si="3"/>
        <v>-2885.3600000000006</v>
      </c>
    </row>
    <row r="58" spans="1:14" x14ac:dyDescent="0.3">
      <c r="A58" s="8"/>
      <c r="B58" t="str">
        <f xml:space="preserve"> _xll.EPMOlapMemberO("[CLACO].[PARENTH1].[AMSASERMANTO.REPA]","","Servicios Mantenimie","","000")</f>
        <v>Servicios Mantenimie</v>
      </c>
      <c r="C58" s="6"/>
      <c r="D58" s="6"/>
      <c r="E58" s="6">
        <f t="shared" si="0"/>
        <v>0</v>
      </c>
      <c r="F58" s="6">
        <v>1119.06</v>
      </c>
      <c r="G58" s="6"/>
      <c r="H58" s="6">
        <f t="shared" si="1"/>
        <v>-1119.06</v>
      </c>
      <c r="I58" s="6"/>
      <c r="J58" s="6"/>
      <c r="K58" s="6">
        <f t="shared" si="2"/>
        <v>0</v>
      </c>
      <c r="L58" s="6"/>
      <c r="M58" s="6"/>
      <c r="N58" s="6">
        <f t="shared" si="3"/>
        <v>0</v>
      </c>
    </row>
    <row r="59" spans="1:14" x14ac:dyDescent="0.3">
      <c r="A59" s="8"/>
      <c r="B59" t="str">
        <f xml:space="preserve"> _xll.EPMOlapMemberO("[CLACO].[PARENTH1].[AMSAINFORMATIC]","","Informática y Comuni","","000")</f>
        <v>Informática y Comuni</v>
      </c>
      <c r="C59" s="6">
        <v>9708.2099999999991</v>
      </c>
      <c r="D59" s="6">
        <v>1773.06</v>
      </c>
      <c r="E59" s="6">
        <f t="shared" si="0"/>
        <v>-7935.15</v>
      </c>
      <c r="F59" s="6">
        <v>5176.84</v>
      </c>
      <c r="G59" s="6">
        <v>1574.07</v>
      </c>
      <c r="H59" s="6">
        <f t="shared" si="1"/>
        <v>-3602.7700000000004</v>
      </c>
      <c r="I59" s="6">
        <v>3412.57</v>
      </c>
      <c r="J59" s="6">
        <v>1659.43</v>
      </c>
      <c r="K59" s="6">
        <f t="shared" si="2"/>
        <v>-1753.14</v>
      </c>
      <c r="L59" s="6">
        <v>2903.86</v>
      </c>
      <c r="M59" s="6">
        <v>1563.91</v>
      </c>
      <c r="N59" s="6">
        <f t="shared" si="3"/>
        <v>-1339.95</v>
      </c>
    </row>
    <row r="60" spans="1:14" x14ac:dyDescent="0.3">
      <c r="A60" s="8"/>
      <c r="B60" t="str">
        <f xml:space="preserve"> _xll.EPMOlapMemberO("[CLACO].[PARENTH1].[AMSAG_VIAJES]","","Gastos de Viajes","","000")</f>
        <v>Gastos de Viajes</v>
      </c>
      <c r="C60" s="6">
        <v>5228.91</v>
      </c>
      <c r="D60" s="6">
        <v>12004.92</v>
      </c>
      <c r="E60" s="6">
        <f t="shared" si="0"/>
        <v>6776.01</v>
      </c>
      <c r="F60" s="6">
        <v>14404.04</v>
      </c>
      <c r="G60" s="6">
        <v>13758.27</v>
      </c>
      <c r="H60" s="6">
        <f t="shared" si="1"/>
        <v>-645.77000000000044</v>
      </c>
      <c r="I60" s="6">
        <v>14037.5</v>
      </c>
      <c r="J60" s="6">
        <v>24438.55</v>
      </c>
      <c r="K60" s="6">
        <f t="shared" si="2"/>
        <v>10401.049999999999</v>
      </c>
      <c r="L60" s="6">
        <v>13697.74</v>
      </c>
      <c r="M60" s="6">
        <v>42108.39</v>
      </c>
      <c r="N60" s="6">
        <f t="shared" si="3"/>
        <v>28410.65</v>
      </c>
    </row>
    <row r="61" spans="1:14" x14ac:dyDescent="0.3">
      <c r="A61" s="8"/>
      <c r="B61" t="str">
        <f xml:space="preserve"> _xll.EPMOlapMemberO("[CLACO].[PARENTH1].[AMSAGGENERALES.2]","","Otros Gastos","","000")</f>
        <v>Otros Gastos</v>
      </c>
      <c r="C61" s="6">
        <v>6128.96</v>
      </c>
      <c r="D61" s="6">
        <v>2154.25</v>
      </c>
      <c r="E61" s="6">
        <f t="shared" si="0"/>
        <v>-3974.71</v>
      </c>
      <c r="F61" s="6">
        <v>744.73</v>
      </c>
      <c r="G61" s="6">
        <v>1912.49</v>
      </c>
      <c r="H61" s="6">
        <f t="shared" si="1"/>
        <v>1167.76</v>
      </c>
      <c r="I61" s="6">
        <v>349.3</v>
      </c>
      <c r="J61" s="6">
        <v>2016.19</v>
      </c>
      <c r="K61" s="6">
        <f t="shared" si="2"/>
        <v>1666.89</v>
      </c>
      <c r="L61" s="6">
        <v>219.78</v>
      </c>
      <c r="M61" s="6">
        <v>7754.33</v>
      </c>
      <c r="N61" s="6">
        <f t="shared" si="3"/>
        <v>7534.55</v>
      </c>
    </row>
    <row r="62" spans="1:14" x14ac:dyDescent="0.3">
      <c r="A62" s="8" t="str">
        <f xml:space="preserve"> _xll.EPMOlapMemberO("[CECO].[PARENTH3].[AMSA1000AC0518]","","Geología Corporativa","","000")</f>
        <v>Geología Corporativa</v>
      </c>
      <c r="B62" t="str">
        <f xml:space="preserve"> _xll.EPMOlapMemberO("[CLACO].[PARENTH1].[AMSAINFORMATIC]","","Informática y Comuni","","000")</f>
        <v>Informática y Comuni</v>
      </c>
      <c r="C62" s="6">
        <v>0</v>
      </c>
      <c r="D62" s="6"/>
      <c r="E62" s="6">
        <f t="shared" si="0"/>
        <v>0</v>
      </c>
      <c r="F62" s="6"/>
      <c r="G62" s="6"/>
      <c r="H62" s="6">
        <f t="shared" si="1"/>
        <v>0</v>
      </c>
      <c r="I62" s="6">
        <v>0</v>
      </c>
      <c r="J62" s="6"/>
      <c r="K62" s="6">
        <f t="shared" si="2"/>
        <v>0</v>
      </c>
      <c r="L62" s="6"/>
      <c r="M62" s="6"/>
      <c r="N62" s="6">
        <f t="shared" si="3"/>
        <v>0</v>
      </c>
    </row>
    <row r="63" spans="1:14" x14ac:dyDescent="0.3">
      <c r="A63" s="8"/>
      <c r="B63" t="str">
        <f xml:space="preserve"> _xll.EPMOlapMemberO("[CLACO].[PARENTH1].[AMSAGGENERALES.2]","","Otros Gastos","","000")</f>
        <v>Otros Gastos</v>
      </c>
      <c r="C63" s="6"/>
      <c r="D63" s="6"/>
      <c r="E63" s="6">
        <f t="shared" si="0"/>
        <v>0</v>
      </c>
      <c r="F63" s="6"/>
      <c r="G63" s="6"/>
      <c r="H63" s="6">
        <f t="shared" si="1"/>
        <v>0</v>
      </c>
      <c r="I63" s="6">
        <v>0.08</v>
      </c>
      <c r="J63" s="6"/>
      <c r="K63" s="6">
        <f t="shared" si="2"/>
        <v>-0.08</v>
      </c>
      <c r="L63" s="6">
        <v>0.85</v>
      </c>
      <c r="M63" s="6"/>
      <c r="N63" s="6">
        <f t="shared" si="3"/>
        <v>-0.85</v>
      </c>
    </row>
    <row r="64" spans="1:14" x14ac:dyDescent="0.3">
      <c r="A64" s="8" t="str">
        <f xml:space="preserve"> _xll.EPMOlapMemberO("[CECO].[PARENTH3].[AMSA1000AC0519]","","Inteligencia Minera","","000")</f>
        <v>Inteligencia Minera</v>
      </c>
      <c r="B64" t="str">
        <f xml:space="preserve"> _xll.EPMOlapMemberO("[CLACO].[PARENTH1].[AMSAENTRENAMI]","","Entrenamiento","","000")</f>
        <v>Entrenamiento</v>
      </c>
      <c r="C64" s="6"/>
      <c r="D64" s="6">
        <v>2054.17</v>
      </c>
      <c r="E64" s="6">
        <f t="shared" si="0"/>
        <v>2054.17</v>
      </c>
      <c r="F64" s="6"/>
      <c r="G64" s="6">
        <v>2059.13</v>
      </c>
      <c r="H64" s="6">
        <f t="shared" si="1"/>
        <v>2059.13</v>
      </c>
      <c r="I64" s="6"/>
      <c r="J64" s="6">
        <v>2015</v>
      </c>
      <c r="K64" s="6">
        <f t="shared" si="2"/>
        <v>2015</v>
      </c>
      <c r="L64" s="6"/>
      <c r="M64" s="6">
        <v>2011.5</v>
      </c>
      <c r="N64" s="6">
        <f t="shared" si="3"/>
        <v>2011.5</v>
      </c>
    </row>
    <row r="65" spans="1:14" x14ac:dyDescent="0.3">
      <c r="A65" s="8"/>
      <c r="B65" t="str">
        <f xml:space="preserve"> _xll.EPMOlapMemberO("[CLACO].[PARENTH1].[AMSAARRIENDOS]","","Arriendos","","000")</f>
        <v>Arriendos</v>
      </c>
      <c r="C65" s="6"/>
      <c r="D65" s="6"/>
      <c r="E65" s="6">
        <f t="shared" si="0"/>
        <v>0</v>
      </c>
      <c r="F65" s="6"/>
      <c r="G65" s="6"/>
      <c r="H65" s="6">
        <f t="shared" si="1"/>
        <v>0</v>
      </c>
      <c r="I65" s="6"/>
      <c r="J65" s="6"/>
      <c r="K65" s="6">
        <f t="shared" si="2"/>
        <v>0</v>
      </c>
      <c r="L65" s="6">
        <v>225.61</v>
      </c>
      <c r="M65" s="6"/>
      <c r="N65" s="6">
        <f t="shared" si="3"/>
        <v>-225.61</v>
      </c>
    </row>
    <row r="66" spans="1:14" x14ac:dyDescent="0.3">
      <c r="A66" s="8"/>
      <c r="B66" t="str">
        <f xml:space="preserve"> _xll.EPMOlapMemberO("[CLACO].[PARENTH1].[AMSASERVICIOS]","","Servicios","","000")</f>
        <v>Servicios</v>
      </c>
      <c r="C66" s="6">
        <v>9261.08</v>
      </c>
      <c r="D66" s="6"/>
      <c r="E66" s="6">
        <f t="shared" si="0"/>
        <v>-9261.08</v>
      </c>
      <c r="F66" s="6">
        <v>22816.51</v>
      </c>
      <c r="G66" s="6"/>
      <c r="H66" s="6">
        <f t="shared" si="1"/>
        <v>-22816.51</v>
      </c>
      <c r="I66" s="6">
        <v>-2850.97</v>
      </c>
      <c r="J66" s="6">
        <v>39877.019999999997</v>
      </c>
      <c r="K66" s="6">
        <f t="shared" si="2"/>
        <v>42727.99</v>
      </c>
      <c r="L66" s="6">
        <v>46756.65</v>
      </c>
      <c r="M66" s="6">
        <v>34412.75</v>
      </c>
      <c r="N66" s="6">
        <f t="shared" si="3"/>
        <v>-12343.900000000001</v>
      </c>
    </row>
    <row r="67" spans="1:14" x14ac:dyDescent="0.3">
      <c r="A67" s="8"/>
      <c r="B67" t="str">
        <f xml:space="preserve"> _xll.EPMOlapMemberO("[CLACO].[PARENTH1].[AMSAINFORMATIC]","","Informática y Comuni","","000")</f>
        <v>Informática y Comuni</v>
      </c>
      <c r="C67" s="6"/>
      <c r="D67" s="6">
        <v>14807.51</v>
      </c>
      <c r="E67" s="6">
        <f t="shared" si="0"/>
        <v>14807.51</v>
      </c>
      <c r="F67" s="6">
        <v>122.75</v>
      </c>
      <c r="G67" s="6">
        <v>14863.84</v>
      </c>
      <c r="H67" s="6">
        <f t="shared" si="1"/>
        <v>14741.09</v>
      </c>
      <c r="I67" s="6">
        <v>35177</v>
      </c>
      <c r="J67" s="6">
        <v>14634</v>
      </c>
      <c r="K67" s="6">
        <f t="shared" si="2"/>
        <v>-20543</v>
      </c>
      <c r="L67" s="6">
        <v>1231.2</v>
      </c>
      <c r="M67" s="6">
        <v>14579.4</v>
      </c>
      <c r="N67" s="6">
        <f t="shared" si="3"/>
        <v>13348.199999999999</v>
      </c>
    </row>
    <row r="68" spans="1:14" x14ac:dyDescent="0.3">
      <c r="A68" s="8"/>
      <c r="B68" t="str">
        <f xml:space="preserve"> _xll.EPMOlapMemberO("[CLACO].[PARENTH1].[AMSAG_VIAJES]","","Gastos de Viajes","","000")</f>
        <v>Gastos de Viajes</v>
      </c>
      <c r="C68" s="6">
        <v>964.46</v>
      </c>
      <c r="D68" s="6">
        <v>14572.82</v>
      </c>
      <c r="E68" s="6">
        <f t="shared" si="0"/>
        <v>13608.36</v>
      </c>
      <c r="F68" s="6">
        <v>2634.91</v>
      </c>
      <c r="G68" s="6">
        <v>18375.84</v>
      </c>
      <c r="H68" s="6">
        <f t="shared" si="1"/>
        <v>15740.93</v>
      </c>
      <c r="I68" s="6">
        <v>4845.21</v>
      </c>
      <c r="J68" s="6">
        <v>16484.509999999998</v>
      </c>
      <c r="K68" s="6">
        <f t="shared" si="2"/>
        <v>11639.3</v>
      </c>
      <c r="L68" s="6">
        <v>7968.18</v>
      </c>
      <c r="M68" s="6">
        <v>18609.41</v>
      </c>
      <c r="N68" s="6">
        <f t="shared" si="3"/>
        <v>10641.23</v>
      </c>
    </row>
    <row r="69" spans="1:14" x14ac:dyDescent="0.3">
      <c r="A69" s="8"/>
      <c r="B69" t="str">
        <f xml:space="preserve"> _xll.EPMOlapMemberO("[CLACO].[PARENTH1].[AMSAGGENERALES.2]","","Otros Gastos","","000")</f>
        <v>Otros Gastos</v>
      </c>
      <c r="C69" s="6">
        <v>12.03</v>
      </c>
      <c r="D69" s="6"/>
      <c r="E69" s="6">
        <f t="shared" si="0"/>
        <v>-12.03</v>
      </c>
      <c r="F69" s="6">
        <v>0.54</v>
      </c>
      <c r="G69" s="6"/>
      <c r="H69" s="6">
        <f t="shared" si="1"/>
        <v>-0.54</v>
      </c>
      <c r="I69" s="6">
        <v>0.82</v>
      </c>
      <c r="J69" s="6"/>
      <c r="K69" s="6">
        <f t="shared" si="2"/>
        <v>-0.82</v>
      </c>
      <c r="L69" s="6">
        <v>1.39</v>
      </c>
      <c r="M69" s="6"/>
      <c r="N69" s="6">
        <f t="shared" si="3"/>
        <v>-1.39</v>
      </c>
    </row>
    <row r="70" spans="1:14" x14ac:dyDescent="0.3">
      <c r="A70" s="8" t="str">
        <f xml:space="preserve"> _xll.EPMOlapMemberO("[CECO].[PARENTH3].[AMSA1000AC0521]","","MIC Costa","","000")</f>
        <v>MIC Costa</v>
      </c>
      <c r="B70" t="str">
        <f xml:space="preserve"> _xll.EPMOlapMemberO("[CLACO].[PARENTH1].[AMSAREMUNERACI.SS]","","Remuneraciones Super","","000")</f>
        <v>Remuneraciones Super</v>
      </c>
      <c r="C70" s="6">
        <v>593044.36</v>
      </c>
      <c r="D70" s="6">
        <v>621886.55000000005</v>
      </c>
      <c r="E70" s="6">
        <f t="shared" si="0"/>
        <v>28842.190000000061</v>
      </c>
      <c r="F70" s="6">
        <v>664274.98</v>
      </c>
      <c r="G70" s="6">
        <v>623570.68000000005</v>
      </c>
      <c r="H70" s="6">
        <f t="shared" si="1"/>
        <v>-40704.29999999993</v>
      </c>
      <c r="I70" s="6">
        <v>560880.72</v>
      </c>
      <c r="J70" s="6">
        <v>602559.59</v>
      </c>
      <c r="K70" s="6">
        <f t="shared" si="2"/>
        <v>41678.869999999995</v>
      </c>
      <c r="L70" s="6">
        <v>489183.63</v>
      </c>
      <c r="M70" s="6">
        <v>648857.39</v>
      </c>
      <c r="N70" s="6">
        <f t="shared" si="3"/>
        <v>159673.76</v>
      </c>
    </row>
    <row r="71" spans="1:14" x14ac:dyDescent="0.3">
      <c r="A71" s="8"/>
      <c r="B71" t="str">
        <f xml:space="preserve"> _xll.EPMOlapMemberO("[CLACO].[PARENTH1].[AMSAMAT_Y_REP.2]","","Materiales y repuest","","000")</f>
        <v>Materiales y repuest</v>
      </c>
      <c r="C71" s="6"/>
      <c r="D71" s="6"/>
      <c r="E71" s="6">
        <f t="shared" si="0"/>
        <v>0</v>
      </c>
      <c r="F71" s="6">
        <v>0</v>
      </c>
      <c r="G71" s="6"/>
      <c r="H71" s="6">
        <f t="shared" si="1"/>
        <v>0</v>
      </c>
      <c r="I71" s="6"/>
      <c r="J71" s="6"/>
      <c r="K71" s="6">
        <f t="shared" si="2"/>
        <v>0</v>
      </c>
      <c r="L71" s="6"/>
      <c r="M71" s="6"/>
      <c r="N71" s="6">
        <f t="shared" si="3"/>
        <v>0</v>
      </c>
    </row>
    <row r="72" spans="1:14" x14ac:dyDescent="0.3">
      <c r="A72" s="8"/>
      <c r="B72" t="str">
        <f xml:space="preserve"> _xll.EPMOlapMemberO("[CLACO].[PARENTH1].[AMSASERVICIOS]","","Servicios","","000")</f>
        <v>Servicios</v>
      </c>
      <c r="C72" s="6"/>
      <c r="D72" s="6"/>
      <c r="E72" s="6">
        <f t="shared" si="0"/>
        <v>0</v>
      </c>
      <c r="F72" s="6"/>
      <c r="G72" s="6"/>
      <c r="H72" s="6">
        <f t="shared" si="1"/>
        <v>0</v>
      </c>
      <c r="I72" s="6"/>
      <c r="J72" s="6"/>
      <c r="K72" s="6">
        <f t="shared" si="2"/>
        <v>0</v>
      </c>
      <c r="L72" s="6">
        <v>10651.6</v>
      </c>
      <c r="M72" s="6"/>
      <c r="N72" s="6">
        <f t="shared" si="3"/>
        <v>-10651.6</v>
      </c>
    </row>
    <row r="73" spans="1:14" x14ac:dyDescent="0.3">
      <c r="A73" s="8"/>
      <c r="B73" t="str">
        <f xml:space="preserve"> _xll.EPMOlapMemberO("[CLACO].[PARENTH1].[AMSAINFORMATIC]","","Informática y Comuni","","000")</f>
        <v>Informática y Comuni</v>
      </c>
      <c r="C73" s="6">
        <v>775.14</v>
      </c>
      <c r="D73" s="6">
        <v>42159.41</v>
      </c>
      <c r="E73" s="6">
        <f t="shared" si="0"/>
        <v>41384.270000000004</v>
      </c>
      <c r="F73" s="6">
        <v>1301.32</v>
      </c>
      <c r="G73" s="6">
        <v>20515.310000000001</v>
      </c>
      <c r="H73" s="6">
        <f t="shared" si="1"/>
        <v>19213.990000000002</v>
      </c>
      <c r="I73" s="6">
        <v>7836.51</v>
      </c>
      <c r="J73" s="6">
        <v>15338.03</v>
      </c>
      <c r="K73" s="6">
        <f t="shared" si="2"/>
        <v>7501.52</v>
      </c>
      <c r="L73" s="6">
        <v>6021.01</v>
      </c>
      <c r="M73" s="6">
        <v>9327.75</v>
      </c>
      <c r="N73" s="6">
        <f t="shared" si="3"/>
        <v>3306.74</v>
      </c>
    </row>
    <row r="74" spans="1:14" x14ac:dyDescent="0.3">
      <c r="A74" s="8"/>
      <c r="B74" t="str">
        <f xml:space="preserve"> _xll.EPMOlapMemberO("[CLACO].[PARENTH1].[AMSAG_VIAJES]","","Gastos de Viajes","","000")</f>
        <v>Gastos de Viajes</v>
      </c>
      <c r="C74" s="6"/>
      <c r="D74" s="6"/>
      <c r="E74" s="6">
        <f t="shared" si="0"/>
        <v>0</v>
      </c>
      <c r="F74" s="6">
        <v>0.46</v>
      </c>
      <c r="G74" s="6"/>
      <c r="H74" s="6">
        <f t="shared" si="1"/>
        <v>-0.46</v>
      </c>
      <c r="I74" s="6"/>
      <c r="J74" s="6"/>
      <c r="K74" s="6">
        <f t="shared" si="2"/>
        <v>0</v>
      </c>
      <c r="L74" s="6">
        <v>774.16</v>
      </c>
      <c r="M74" s="6"/>
      <c r="N74" s="6">
        <f t="shared" si="3"/>
        <v>-774.16</v>
      </c>
    </row>
    <row r="75" spans="1:14" x14ac:dyDescent="0.3">
      <c r="A75" s="8"/>
      <c r="B75" t="str">
        <f xml:space="preserve"> _xll.EPMOlapMemberO("[CLACO].[PARENTH1].[AMSAGGENERALES.2]","","Otros Gastos","","000")</f>
        <v>Otros Gastos</v>
      </c>
      <c r="C75" s="6">
        <v>2994.6</v>
      </c>
      <c r="D75" s="6">
        <v>5817.22</v>
      </c>
      <c r="E75" s="6">
        <f t="shared" ref="E75:E138" si="4">+D75-C75</f>
        <v>2822.6200000000003</v>
      </c>
      <c r="F75" s="6">
        <v>3251.01</v>
      </c>
      <c r="G75" s="6">
        <v>5760.38</v>
      </c>
      <c r="H75" s="6">
        <f t="shared" ref="H75:H138" si="5">+G75-F75</f>
        <v>2509.37</v>
      </c>
      <c r="I75" s="6">
        <v>1830.88</v>
      </c>
      <c r="J75" s="6">
        <v>5779.76</v>
      </c>
      <c r="K75" s="6">
        <f t="shared" ref="K75:K138" si="6">+J75-I75</f>
        <v>3948.88</v>
      </c>
      <c r="L75" s="6">
        <v>1974.55</v>
      </c>
      <c r="M75" s="6">
        <v>4494.6899999999996</v>
      </c>
      <c r="N75" s="6">
        <f t="shared" ref="N75:N138" si="7">+M75-L75</f>
        <v>2520.1399999999994</v>
      </c>
    </row>
    <row r="76" spans="1:14" x14ac:dyDescent="0.3">
      <c r="A76" s="8" t="str">
        <f xml:space="preserve"> _xll.EPMOlapMemberO("[CECO].[PARENTH3].[AMSA1000AC0523]","","Gcia de Sustentab","","000")</f>
        <v>Gcia de Sustentab</v>
      </c>
      <c r="B76" t="str">
        <f xml:space="preserve"> _xll.EPMOlapMemberO("[CLACO].[PARENTH1].[AMSAREMUNERACI.SS]","","Remuneraciones Super","","000")</f>
        <v>Remuneraciones Super</v>
      </c>
      <c r="C76" s="6"/>
      <c r="D76" s="6"/>
      <c r="E76" s="6">
        <f t="shared" si="4"/>
        <v>0</v>
      </c>
      <c r="F76" s="6"/>
      <c r="G76" s="6"/>
      <c r="H76" s="6">
        <f t="shared" si="5"/>
        <v>0</v>
      </c>
      <c r="I76" s="6"/>
      <c r="J76" s="6"/>
      <c r="K76" s="6">
        <f t="shared" si="6"/>
        <v>0</v>
      </c>
      <c r="L76" s="6"/>
      <c r="M76" s="6">
        <v>646381.4</v>
      </c>
      <c r="N76" s="6">
        <f t="shared" si="7"/>
        <v>646381.4</v>
      </c>
    </row>
    <row r="77" spans="1:14" x14ac:dyDescent="0.3">
      <c r="A77" s="8"/>
      <c r="B77" t="str">
        <f xml:space="preserve"> _xll.EPMOlapMemberO("[CLACO].[PARENTH1].[AMSAMAT_Y_REP.2]","","Materiales y repuest","","000")</f>
        <v>Materiales y repuest</v>
      </c>
      <c r="C77" s="6"/>
      <c r="D77" s="6"/>
      <c r="E77" s="6">
        <f t="shared" si="4"/>
        <v>0</v>
      </c>
      <c r="F77" s="6"/>
      <c r="G77" s="6"/>
      <c r="H77" s="6">
        <f t="shared" si="5"/>
        <v>0</v>
      </c>
      <c r="I77" s="6"/>
      <c r="J77" s="6"/>
      <c r="K77" s="6">
        <f t="shared" si="6"/>
        <v>0</v>
      </c>
      <c r="L77" s="6">
        <v>1313.52</v>
      </c>
      <c r="M77" s="6"/>
      <c r="N77" s="6">
        <f t="shared" si="7"/>
        <v>-1313.52</v>
      </c>
    </row>
    <row r="78" spans="1:14" x14ac:dyDescent="0.3">
      <c r="A78" s="8"/>
      <c r="B78" t="str">
        <f xml:space="preserve"> _xll.EPMOlapMemberO("[CLACO].[PARENTH1].[AMSAENTRENAMI]","","Entrenamiento","","000")</f>
        <v>Entrenamiento</v>
      </c>
      <c r="C78" s="6"/>
      <c r="D78" s="6"/>
      <c r="E78" s="6">
        <f t="shared" si="4"/>
        <v>0</v>
      </c>
      <c r="F78" s="6"/>
      <c r="G78" s="6"/>
      <c r="H78" s="6">
        <f t="shared" si="5"/>
        <v>0</v>
      </c>
      <c r="I78" s="6"/>
      <c r="J78" s="6"/>
      <c r="K78" s="6">
        <f t="shared" si="6"/>
        <v>0</v>
      </c>
      <c r="L78" s="6">
        <v>0</v>
      </c>
      <c r="M78" s="6">
        <v>14476.54</v>
      </c>
      <c r="N78" s="6">
        <f t="shared" si="7"/>
        <v>14476.54</v>
      </c>
    </row>
    <row r="79" spans="1:14" x14ac:dyDescent="0.3">
      <c r="A79" s="8"/>
      <c r="B79" t="str">
        <f xml:space="preserve"> _xll.EPMOlapMemberO("[CLACO].[PARENTH1].[AMSAARRIENDOS]","","Arriendos","","000")</f>
        <v>Arriendos</v>
      </c>
      <c r="C79" s="6"/>
      <c r="D79" s="6"/>
      <c r="E79" s="6">
        <f t="shared" si="4"/>
        <v>0</v>
      </c>
      <c r="F79" s="6"/>
      <c r="G79" s="6"/>
      <c r="H79" s="6">
        <f t="shared" si="5"/>
        <v>0</v>
      </c>
      <c r="I79" s="6"/>
      <c r="J79" s="6"/>
      <c r="K79" s="6">
        <f t="shared" si="6"/>
        <v>0</v>
      </c>
      <c r="L79" s="6">
        <v>1369.86</v>
      </c>
      <c r="M79" s="6"/>
      <c r="N79" s="6">
        <f t="shared" si="7"/>
        <v>-1369.86</v>
      </c>
    </row>
    <row r="80" spans="1:14" x14ac:dyDescent="0.3">
      <c r="A80" s="8"/>
      <c r="B80" t="str">
        <f xml:space="preserve"> _xll.EPMOlapMemberO("[CLACO].[PARENTH1].[AMSASERVICIOS]","","Servicios","","000")</f>
        <v>Servicios</v>
      </c>
      <c r="C80" s="6"/>
      <c r="D80" s="6"/>
      <c r="E80" s="6">
        <f t="shared" si="4"/>
        <v>0</v>
      </c>
      <c r="F80" s="6"/>
      <c r="G80" s="6"/>
      <c r="H80" s="6">
        <f t="shared" si="5"/>
        <v>0</v>
      </c>
      <c r="I80" s="6">
        <v>0.15</v>
      </c>
      <c r="J80" s="6"/>
      <c r="K80" s="6">
        <f t="shared" si="6"/>
        <v>-0.15</v>
      </c>
      <c r="L80" s="6">
        <v>2029.64</v>
      </c>
      <c r="M80" s="6">
        <v>12848.77</v>
      </c>
      <c r="N80" s="6">
        <f t="shared" si="7"/>
        <v>10819.130000000001</v>
      </c>
    </row>
    <row r="81" spans="1:14" x14ac:dyDescent="0.3">
      <c r="A81" s="8"/>
      <c r="B81" t="str">
        <f xml:space="preserve"> _xll.EPMOlapMemberO("[CLACO].[PARENTH1].[AMSASERMANTO.REPA]","","Servicios Mantenimie","","000")</f>
        <v>Servicios Mantenimie</v>
      </c>
      <c r="C81" s="6"/>
      <c r="D81" s="6"/>
      <c r="E81" s="6">
        <f t="shared" si="4"/>
        <v>0</v>
      </c>
      <c r="F81" s="6"/>
      <c r="G81" s="6"/>
      <c r="H81" s="6">
        <f t="shared" si="5"/>
        <v>0</v>
      </c>
      <c r="I81" s="6"/>
      <c r="J81" s="6"/>
      <c r="K81" s="6">
        <f t="shared" si="6"/>
        <v>0</v>
      </c>
      <c r="L81" s="6">
        <v>5.29</v>
      </c>
      <c r="M81" s="6"/>
      <c r="N81" s="6">
        <f t="shared" si="7"/>
        <v>-5.29</v>
      </c>
    </row>
    <row r="82" spans="1:14" x14ac:dyDescent="0.3">
      <c r="A82" s="8"/>
      <c r="B82" t="str">
        <f xml:space="preserve"> _xll.EPMOlapMemberO("[CLACO].[PARENTH1].[AMSAINFORMATIC]","","Informática y Comuni","","000")</f>
        <v>Informática y Comuni</v>
      </c>
      <c r="C82" s="6"/>
      <c r="D82" s="6"/>
      <c r="E82" s="6">
        <f t="shared" si="4"/>
        <v>0</v>
      </c>
      <c r="F82" s="6"/>
      <c r="G82" s="6"/>
      <c r="H82" s="6">
        <f t="shared" si="5"/>
        <v>0</v>
      </c>
      <c r="I82" s="6">
        <v>-0.28999999999999998</v>
      </c>
      <c r="J82" s="6"/>
      <c r="K82" s="6">
        <f t="shared" si="6"/>
        <v>0.28999999999999998</v>
      </c>
      <c r="L82" s="6">
        <v>3184.07</v>
      </c>
      <c r="M82" s="6">
        <v>400.94</v>
      </c>
      <c r="N82" s="6">
        <f t="shared" si="7"/>
        <v>-2783.13</v>
      </c>
    </row>
    <row r="83" spans="1:14" x14ac:dyDescent="0.3">
      <c r="A83" s="8"/>
      <c r="B83" t="str">
        <f xml:space="preserve"> _xll.EPMOlapMemberO("[CLACO].[PARENTH1].[AMSAG_VIAJES]","","Gastos de Viajes","","000")</f>
        <v>Gastos de Viajes</v>
      </c>
      <c r="C83" s="6"/>
      <c r="D83" s="6"/>
      <c r="E83" s="6">
        <f t="shared" si="4"/>
        <v>0</v>
      </c>
      <c r="F83" s="6"/>
      <c r="G83" s="6"/>
      <c r="H83" s="6">
        <f t="shared" si="5"/>
        <v>0</v>
      </c>
      <c r="I83" s="6">
        <v>0</v>
      </c>
      <c r="J83" s="6"/>
      <c r="K83" s="6">
        <f t="shared" si="6"/>
        <v>0</v>
      </c>
      <c r="L83" s="6">
        <v>24221.31</v>
      </c>
      <c r="M83" s="6">
        <v>38006.53</v>
      </c>
      <c r="N83" s="6">
        <f t="shared" si="7"/>
        <v>13785.219999999998</v>
      </c>
    </row>
    <row r="84" spans="1:14" x14ac:dyDescent="0.3">
      <c r="A84" s="8"/>
      <c r="B84" t="str">
        <f xml:space="preserve"> _xll.EPMOlapMemberO("[CLACO].[PARENTH1].[AMSAIMP_PATEN]","","Impuestos / Patentes","","000")</f>
        <v>Impuestos / Patentes</v>
      </c>
      <c r="C84" s="6"/>
      <c r="D84" s="6"/>
      <c r="E84" s="6">
        <f t="shared" si="4"/>
        <v>0</v>
      </c>
      <c r="F84" s="6"/>
      <c r="G84" s="6"/>
      <c r="H84" s="6">
        <f t="shared" si="5"/>
        <v>0</v>
      </c>
      <c r="I84" s="6"/>
      <c r="J84" s="6"/>
      <c r="K84" s="6">
        <f t="shared" si="6"/>
        <v>0</v>
      </c>
      <c r="L84" s="6">
        <v>0.31</v>
      </c>
      <c r="M84" s="6"/>
      <c r="N84" s="6">
        <f t="shared" si="7"/>
        <v>-0.31</v>
      </c>
    </row>
    <row r="85" spans="1:14" x14ac:dyDescent="0.3">
      <c r="A85" s="8"/>
      <c r="B85" t="str">
        <f xml:space="preserve"> _xll.EPMOlapMemberO("[CLACO].[PARENTH1].[AMSAGGENERALES.2]","","Otros Gastos","","000")</f>
        <v>Otros Gastos</v>
      </c>
      <c r="C85" s="6"/>
      <c r="D85" s="6"/>
      <c r="E85" s="6">
        <f t="shared" si="4"/>
        <v>0</v>
      </c>
      <c r="F85" s="6"/>
      <c r="G85" s="6"/>
      <c r="H85" s="6">
        <f t="shared" si="5"/>
        <v>0</v>
      </c>
      <c r="I85" s="6">
        <v>0</v>
      </c>
      <c r="J85" s="6"/>
      <c r="K85" s="6">
        <f t="shared" si="6"/>
        <v>0</v>
      </c>
      <c r="L85" s="6">
        <v>2237.92</v>
      </c>
      <c r="M85" s="6"/>
      <c r="N85" s="6">
        <f t="shared" si="7"/>
        <v>-2237.92</v>
      </c>
    </row>
    <row r="86" spans="1:14" x14ac:dyDescent="0.3">
      <c r="A86" s="8" t="str">
        <f xml:space="preserve"> _xll.EPMOlapMemberO("[CECO].[PARENTH3].[AMSA1000AC0504]","","VP Plani y Serv Tecn","","000")</f>
        <v>VP Plani y Serv Tecn</v>
      </c>
      <c r="B86" t="str">
        <f xml:space="preserve"> _xll.EPMOlapMemberO("[CLACO].[PARENTH1].[AMSAREMUNERACI.EE]","","Remuneraciones emple","","000")</f>
        <v>Remuneraciones emple</v>
      </c>
      <c r="C86" s="6"/>
      <c r="D86" s="6"/>
      <c r="E86" s="6">
        <f t="shared" si="4"/>
        <v>0</v>
      </c>
      <c r="F86" s="6"/>
      <c r="G86" s="6"/>
      <c r="H86" s="6">
        <f t="shared" si="5"/>
        <v>0</v>
      </c>
      <c r="I86" s="6">
        <v>-887.85</v>
      </c>
      <c r="J86" s="6"/>
      <c r="K86" s="6">
        <f t="shared" si="6"/>
        <v>887.85</v>
      </c>
      <c r="L86" s="6">
        <v>-3133.5</v>
      </c>
      <c r="M86" s="6"/>
      <c r="N86" s="6">
        <f t="shared" si="7"/>
        <v>3133.5</v>
      </c>
    </row>
    <row r="87" spans="1:14" x14ac:dyDescent="0.3">
      <c r="A87" s="8"/>
      <c r="B87" t="str">
        <f xml:space="preserve"> _xll.EPMOlapMemberO("[CLACO].[PARENTH1].[AMSAREMUNERACI.SS]","","Remuneraciones Super","","000")</f>
        <v>Remuneraciones Super</v>
      </c>
      <c r="C87" s="6">
        <v>2938175.72</v>
      </c>
      <c r="D87" s="6">
        <v>1395036.79</v>
      </c>
      <c r="E87" s="6">
        <f t="shared" si="4"/>
        <v>-1543138.9300000002</v>
      </c>
      <c r="F87" s="6">
        <v>3145580.83</v>
      </c>
      <c r="G87" s="6">
        <v>1463809.25</v>
      </c>
      <c r="H87" s="6">
        <f t="shared" si="5"/>
        <v>-1681771.58</v>
      </c>
      <c r="I87" s="6">
        <v>5112215.26</v>
      </c>
      <c r="J87" s="6">
        <v>2552821.04</v>
      </c>
      <c r="K87" s="6">
        <f t="shared" si="6"/>
        <v>-2559394.2199999997</v>
      </c>
      <c r="L87" s="6">
        <v>8052561.5099999998</v>
      </c>
      <c r="M87" s="6">
        <v>4054391.51</v>
      </c>
      <c r="N87" s="6">
        <f t="shared" si="7"/>
        <v>-3998170</v>
      </c>
    </row>
    <row r="88" spans="1:14" x14ac:dyDescent="0.3">
      <c r="A88" s="8"/>
      <c r="B88" t="str">
        <f xml:space="preserve"> _xll.EPMOlapMemberO("[CLACO].[PARENTH1].[AMSAMAT_Y_REP.2]","","Materiales y repuest","","000")</f>
        <v>Materiales y repuest</v>
      </c>
      <c r="C88" s="6"/>
      <c r="D88" s="6"/>
      <c r="E88" s="6">
        <f t="shared" si="4"/>
        <v>0</v>
      </c>
      <c r="F88" s="6">
        <v>0</v>
      </c>
      <c r="G88" s="6"/>
      <c r="H88" s="6">
        <f t="shared" si="5"/>
        <v>0</v>
      </c>
      <c r="I88" s="6"/>
      <c r="J88" s="6"/>
      <c r="K88" s="6">
        <f t="shared" si="6"/>
        <v>0</v>
      </c>
      <c r="L88" s="6"/>
      <c r="M88" s="6"/>
      <c r="N88" s="6">
        <f t="shared" si="7"/>
        <v>0</v>
      </c>
    </row>
    <row r="89" spans="1:14" x14ac:dyDescent="0.3">
      <c r="A89" s="8"/>
      <c r="B89" t="str">
        <f xml:space="preserve"> _xll.EPMOlapMemberO("[CLACO].[PARENTH1].[AMSAADM_PERSON]","","Administración Perso","","000")</f>
        <v>Administración Perso</v>
      </c>
      <c r="C89" s="6">
        <v>89924.92</v>
      </c>
      <c r="D89" s="6"/>
      <c r="E89" s="6">
        <f t="shared" si="4"/>
        <v>-89924.92</v>
      </c>
      <c r="F89" s="6">
        <v>234061.68</v>
      </c>
      <c r="G89" s="6"/>
      <c r="H89" s="6">
        <f t="shared" si="5"/>
        <v>-234061.68</v>
      </c>
      <c r="I89" s="6">
        <v>39630.68</v>
      </c>
      <c r="J89" s="6"/>
      <c r="K89" s="6">
        <f t="shared" si="6"/>
        <v>-39630.68</v>
      </c>
      <c r="L89" s="6"/>
      <c r="M89" s="6"/>
      <c r="N89" s="6">
        <f t="shared" si="7"/>
        <v>0</v>
      </c>
    </row>
    <row r="90" spans="1:14" x14ac:dyDescent="0.3">
      <c r="A90" s="8"/>
      <c r="B90" t="str">
        <f xml:space="preserve"> _xll.EPMOlapMemberO("[CLACO].[PARENTH1].[AMSAENTRENAMI]","","Entrenamiento","","000")</f>
        <v>Entrenamiento</v>
      </c>
      <c r="C90" s="6">
        <v>4852.2</v>
      </c>
      <c r="D90" s="6">
        <v>10294.85</v>
      </c>
      <c r="E90" s="6">
        <f t="shared" si="4"/>
        <v>5442.6500000000005</v>
      </c>
      <c r="F90" s="6">
        <v>8554.9</v>
      </c>
      <c r="G90" s="6">
        <v>9999.98</v>
      </c>
      <c r="H90" s="6">
        <f t="shared" si="5"/>
        <v>1445.08</v>
      </c>
      <c r="I90" s="6">
        <v>94305.02</v>
      </c>
      <c r="J90" s="6">
        <v>14999.99</v>
      </c>
      <c r="K90" s="6">
        <f t="shared" si="6"/>
        <v>-79305.03</v>
      </c>
      <c r="L90" s="6">
        <v>14069.21</v>
      </c>
      <c r="M90" s="6">
        <v>15000.02</v>
      </c>
      <c r="N90" s="6">
        <f t="shared" si="7"/>
        <v>930.81000000000131</v>
      </c>
    </row>
    <row r="91" spans="1:14" x14ac:dyDescent="0.3">
      <c r="A91" s="8"/>
      <c r="B91" t="str">
        <f xml:space="preserve"> _xll.EPMOlapMemberO("[CLACO].[PARENTH1].[AMSAASESORIAS]","","Asesorías y Consulto","","000")</f>
        <v>Asesorías y Consulto</v>
      </c>
      <c r="C91" s="6">
        <v>216880.12</v>
      </c>
      <c r="D91" s="6">
        <v>294946.65999999997</v>
      </c>
      <c r="E91" s="6">
        <f t="shared" si="4"/>
        <v>78066.539999999979</v>
      </c>
      <c r="F91" s="6">
        <v>518874.5</v>
      </c>
      <c r="G91" s="6">
        <v>291985.09000000003</v>
      </c>
      <c r="H91" s="6">
        <f t="shared" si="5"/>
        <v>-226889.40999999997</v>
      </c>
      <c r="I91" s="6">
        <v>230653.67</v>
      </c>
      <c r="J91" s="6">
        <v>250000</v>
      </c>
      <c r="K91" s="6">
        <f t="shared" si="6"/>
        <v>19346.329999999987</v>
      </c>
      <c r="L91" s="6">
        <v>129250.79</v>
      </c>
      <c r="M91" s="6">
        <v>180005.82</v>
      </c>
      <c r="N91" s="6">
        <f t="shared" si="7"/>
        <v>50755.030000000013</v>
      </c>
    </row>
    <row r="92" spans="1:14" x14ac:dyDescent="0.3">
      <c r="A92" s="8"/>
      <c r="B92" t="str">
        <f xml:space="preserve"> _xll.EPMOlapMemberO("[CLACO].[PARENTH1].[AMSAARRIENDOS]","","Arriendos","","000")</f>
        <v>Arriendos</v>
      </c>
      <c r="C92" s="6"/>
      <c r="D92" s="6"/>
      <c r="E92" s="6">
        <f t="shared" si="4"/>
        <v>0</v>
      </c>
      <c r="F92" s="6"/>
      <c r="G92" s="6"/>
      <c r="H92" s="6">
        <f t="shared" si="5"/>
        <v>0</v>
      </c>
      <c r="I92" s="6"/>
      <c r="J92" s="6"/>
      <c r="K92" s="6">
        <f t="shared" si="6"/>
        <v>0</v>
      </c>
      <c r="L92" s="6">
        <v>158.4</v>
      </c>
      <c r="M92" s="6"/>
      <c r="N92" s="6">
        <f t="shared" si="7"/>
        <v>-158.4</v>
      </c>
    </row>
    <row r="93" spans="1:14" x14ac:dyDescent="0.3">
      <c r="A93" s="8"/>
      <c r="B93" t="str">
        <f xml:space="preserve"> _xll.EPMOlapMemberO("[CLACO].[PARENTH1].[AMSASERVICIOS]","","Servicios","","000")</f>
        <v>Servicios</v>
      </c>
      <c r="C93" s="6"/>
      <c r="D93" s="6"/>
      <c r="E93" s="6">
        <f t="shared" si="4"/>
        <v>0</v>
      </c>
      <c r="F93" s="6">
        <v>89.07</v>
      </c>
      <c r="G93" s="6"/>
      <c r="H93" s="6">
        <f t="shared" si="5"/>
        <v>-89.07</v>
      </c>
      <c r="I93" s="6">
        <v>41342.83</v>
      </c>
      <c r="J93" s="6"/>
      <c r="K93" s="6">
        <f t="shared" si="6"/>
        <v>-41342.83</v>
      </c>
      <c r="L93" s="6">
        <v>117696.06</v>
      </c>
      <c r="M93" s="6">
        <v>8757.66</v>
      </c>
      <c r="N93" s="6">
        <f t="shared" si="7"/>
        <v>-108938.4</v>
      </c>
    </row>
    <row r="94" spans="1:14" x14ac:dyDescent="0.3">
      <c r="A94" s="8"/>
      <c r="B94" t="str">
        <f xml:space="preserve"> _xll.EPMOlapMemberO("[CLACO].[PARENTH1].[AMSASERMANTO.REPA]","","Servicios Mantenimie","","000")</f>
        <v>Servicios Mantenimie</v>
      </c>
      <c r="C94" s="6">
        <v>55.64</v>
      </c>
      <c r="D94" s="6"/>
      <c r="E94" s="6">
        <f t="shared" si="4"/>
        <v>-55.64</v>
      </c>
      <c r="F94" s="6"/>
      <c r="G94" s="6"/>
      <c r="H94" s="6">
        <f t="shared" si="5"/>
        <v>0</v>
      </c>
      <c r="I94" s="6"/>
      <c r="J94" s="6"/>
      <c r="K94" s="6">
        <f t="shared" si="6"/>
        <v>0</v>
      </c>
      <c r="L94" s="6">
        <v>41643.269999999997</v>
      </c>
      <c r="M94" s="6"/>
      <c r="N94" s="6">
        <f t="shared" si="7"/>
        <v>-41643.269999999997</v>
      </c>
    </row>
    <row r="95" spans="1:14" x14ac:dyDescent="0.3">
      <c r="A95" s="8"/>
      <c r="B95" t="str">
        <f xml:space="preserve"> _xll.EPMOlapMemberO("[CLACO].[PARENTH1].[AMSAINFORMATIC]","","Informática y Comuni","","000")</f>
        <v>Informática y Comuni</v>
      </c>
      <c r="C95" s="6">
        <v>15660.59</v>
      </c>
      <c r="D95" s="6">
        <v>5147.45</v>
      </c>
      <c r="E95" s="6">
        <f t="shared" si="4"/>
        <v>-10513.14</v>
      </c>
      <c r="F95" s="6">
        <v>67259.5</v>
      </c>
      <c r="G95" s="6">
        <v>4999.99</v>
      </c>
      <c r="H95" s="6">
        <f t="shared" si="5"/>
        <v>-62259.51</v>
      </c>
      <c r="I95" s="6">
        <v>16206.79</v>
      </c>
      <c r="J95" s="6">
        <v>6000</v>
      </c>
      <c r="K95" s="6">
        <f t="shared" si="6"/>
        <v>-10206.790000000001</v>
      </c>
      <c r="L95" s="6">
        <v>48851.05</v>
      </c>
      <c r="M95" s="6">
        <v>6000.06</v>
      </c>
      <c r="N95" s="6">
        <f t="shared" si="7"/>
        <v>-42850.990000000005</v>
      </c>
    </row>
    <row r="96" spans="1:14" x14ac:dyDescent="0.3">
      <c r="A96" s="8"/>
      <c r="B96" t="str">
        <f xml:space="preserve"> _xll.EPMOlapMemberO("[CLACO].[PARENTH1].[AMSAG_VIAJES]","","Gastos de Viajes","","000")</f>
        <v>Gastos de Viajes</v>
      </c>
      <c r="C96" s="6">
        <v>24758.18</v>
      </c>
      <c r="D96" s="6">
        <v>49789.54</v>
      </c>
      <c r="E96" s="6">
        <f t="shared" si="4"/>
        <v>25031.360000000001</v>
      </c>
      <c r="F96" s="6">
        <v>50889</v>
      </c>
      <c r="G96" s="6">
        <v>47687.3</v>
      </c>
      <c r="H96" s="6">
        <f t="shared" si="5"/>
        <v>-3201.6999999999971</v>
      </c>
      <c r="I96" s="6">
        <v>15650.11</v>
      </c>
      <c r="J96" s="6">
        <v>36896.019999999997</v>
      </c>
      <c r="K96" s="6">
        <f t="shared" si="6"/>
        <v>21245.909999999996</v>
      </c>
      <c r="L96" s="6">
        <v>36279.97</v>
      </c>
      <c r="M96" s="6">
        <v>36896.17</v>
      </c>
      <c r="N96" s="6">
        <f t="shared" si="7"/>
        <v>616.19999999999709</v>
      </c>
    </row>
    <row r="97" spans="1:14" x14ac:dyDescent="0.3">
      <c r="A97" s="8"/>
      <c r="B97" t="str">
        <f xml:space="preserve"> _xll.EPMOlapMemberO("[CLACO].[PARENTH1].[AMSAGGENERALES.2]","","Otros Gastos","","000")</f>
        <v>Otros Gastos</v>
      </c>
      <c r="C97" s="6">
        <v>1115.03</v>
      </c>
      <c r="D97" s="6">
        <v>7824.09</v>
      </c>
      <c r="E97" s="6">
        <f t="shared" si="4"/>
        <v>6709.06</v>
      </c>
      <c r="F97" s="6">
        <v>10312.450000000001</v>
      </c>
      <c r="G97" s="6">
        <v>7599.99</v>
      </c>
      <c r="H97" s="6">
        <f t="shared" si="5"/>
        <v>-2712.4600000000009</v>
      </c>
      <c r="I97" s="6">
        <v>6273.4</v>
      </c>
      <c r="J97" s="6">
        <v>9800</v>
      </c>
      <c r="K97" s="6">
        <f t="shared" si="6"/>
        <v>3526.6000000000004</v>
      </c>
      <c r="L97" s="6">
        <v>22271.77</v>
      </c>
      <c r="M97" s="6">
        <v>9800.1200000000008</v>
      </c>
      <c r="N97" s="6">
        <f t="shared" si="7"/>
        <v>-12471.65</v>
      </c>
    </row>
    <row r="98" spans="1:14" x14ac:dyDescent="0.3">
      <c r="A98" s="8" t="str">
        <f xml:space="preserve"> _xll.EPMOlapMemberO("[CECO].[PARENTH3].[AMSA1000AC0505]","","Gerencia Minería","","000")</f>
        <v>Gerencia Minería</v>
      </c>
      <c r="B98" t="str">
        <f xml:space="preserve"> _xll.EPMOlapMemberO("[CLACO].[PARENTH1].[AMSAREMUNERACI.SS]","","Remuneraciones Super","","000")</f>
        <v>Remuneraciones Super</v>
      </c>
      <c r="C98" s="6"/>
      <c r="D98" s="6"/>
      <c r="E98" s="6">
        <f t="shared" si="4"/>
        <v>0</v>
      </c>
      <c r="F98" s="6"/>
      <c r="G98" s="6"/>
      <c r="H98" s="6">
        <f t="shared" si="5"/>
        <v>0</v>
      </c>
      <c r="I98" s="6">
        <v>822715.22</v>
      </c>
      <c r="J98" s="6">
        <v>1522863.44</v>
      </c>
      <c r="K98" s="6">
        <f t="shared" si="6"/>
        <v>700148.22</v>
      </c>
      <c r="L98" s="6">
        <v>896453.89</v>
      </c>
      <c r="M98" s="6">
        <v>1132113.8400000001</v>
      </c>
      <c r="N98" s="6">
        <f t="shared" si="7"/>
        <v>235659.95000000007</v>
      </c>
    </row>
    <row r="99" spans="1:14" x14ac:dyDescent="0.3">
      <c r="A99" s="8"/>
      <c r="B99" t="str">
        <f xml:space="preserve"> _xll.EPMOlapMemberO("[CLACO].[PARENTH1].[AMSAENTRENAMI]","","Entrenamiento","","000")</f>
        <v>Entrenamiento</v>
      </c>
      <c r="C99" s="6"/>
      <c r="D99" s="6"/>
      <c r="E99" s="6">
        <f t="shared" si="4"/>
        <v>0</v>
      </c>
      <c r="F99" s="6"/>
      <c r="G99" s="6"/>
      <c r="H99" s="6">
        <f t="shared" si="5"/>
        <v>0</v>
      </c>
      <c r="I99" s="6">
        <v>185.85</v>
      </c>
      <c r="J99" s="6"/>
      <c r="K99" s="6">
        <f t="shared" si="6"/>
        <v>-185.85</v>
      </c>
      <c r="L99" s="6">
        <v>12969.14</v>
      </c>
      <c r="M99" s="6"/>
      <c r="N99" s="6">
        <f t="shared" si="7"/>
        <v>-12969.14</v>
      </c>
    </row>
    <row r="100" spans="1:14" x14ac:dyDescent="0.3">
      <c r="A100" s="8"/>
      <c r="B100" t="str">
        <f xml:space="preserve"> _xll.EPMOlapMemberO("[CLACO].[PARENTH1].[AMSAASESORIAS]","","Asesorías y Consulto","","000")</f>
        <v>Asesorías y Consulto</v>
      </c>
      <c r="C100" s="6">
        <v>-12064.4</v>
      </c>
      <c r="D100" s="6"/>
      <c r="E100" s="6">
        <f t="shared" si="4"/>
        <v>12064.4</v>
      </c>
      <c r="F100" s="6"/>
      <c r="G100" s="6"/>
      <c r="H100" s="6">
        <f t="shared" si="5"/>
        <v>0</v>
      </c>
      <c r="I100" s="6"/>
      <c r="J100" s="6">
        <v>80000</v>
      </c>
      <c r="K100" s="6">
        <f t="shared" si="6"/>
        <v>80000</v>
      </c>
      <c r="L100" s="6">
        <v>158644.01</v>
      </c>
      <c r="M100" s="6"/>
      <c r="N100" s="6">
        <f t="shared" si="7"/>
        <v>-158644.01</v>
      </c>
    </row>
    <row r="101" spans="1:14" x14ac:dyDescent="0.3">
      <c r="A101" s="8"/>
      <c r="B101" t="str">
        <f xml:space="preserve"> _xll.EPMOlapMemberO("[CLACO].[PARENTH1].[AMSASERVICIOS]","","Servicios","","000")</f>
        <v>Servicios</v>
      </c>
      <c r="C101" s="6"/>
      <c r="D101" s="6"/>
      <c r="E101" s="6">
        <f t="shared" si="4"/>
        <v>0</v>
      </c>
      <c r="F101" s="6">
        <v>146.77000000000001</v>
      </c>
      <c r="G101" s="6"/>
      <c r="H101" s="6">
        <f t="shared" si="5"/>
        <v>-146.77000000000001</v>
      </c>
      <c r="I101" s="6">
        <v>276987.78000000003</v>
      </c>
      <c r="J101" s="6">
        <v>280000.02</v>
      </c>
      <c r="K101" s="6">
        <f t="shared" si="6"/>
        <v>3012.2399999999907</v>
      </c>
      <c r="L101" s="6">
        <v>261428.34</v>
      </c>
      <c r="M101" s="6">
        <v>280005.11</v>
      </c>
      <c r="N101" s="6">
        <f t="shared" si="7"/>
        <v>18576.76999999999</v>
      </c>
    </row>
    <row r="102" spans="1:14" x14ac:dyDescent="0.3">
      <c r="A102" s="8"/>
      <c r="B102" t="str">
        <f xml:space="preserve"> _xll.EPMOlapMemberO("[CLACO].[PARENTH1].[AMSAINFORMATIC]","","Informática y Comuni","","000")</f>
        <v>Informática y Comuni</v>
      </c>
      <c r="C102" s="6">
        <v>0</v>
      </c>
      <c r="D102" s="6"/>
      <c r="E102" s="6">
        <f t="shared" si="4"/>
        <v>0</v>
      </c>
      <c r="F102" s="6">
        <v>369.9</v>
      </c>
      <c r="G102" s="6"/>
      <c r="H102" s="6">
        <f t="shared" si="5"/>
        <v>-369.9</v>
      </c>
      <c r="I102" s="6">
        <v>160374.48000000001</v>
      </c>
      <c r="J102" s="6">
        <v>60999.99</v>
      </c>
      <c r="K102" s="6">
        <f t="shared" si="6"/>
        <v>-99374.49000000002</v>
      </c>
      <c r="L102" s="6">
        <v>253373.88</v>
      </c>
      <c r="M102" s="6">
        <v>153001.04999999999</v>
      </c>
      <c r="N102" s="6">
        <f t="shared" si="7"/>
        <v>-100372.83000000002</v>
      </c>
    </row>
    <row r="103" spans="1:14" x14ac:dyDescent="0.3">
      <c r="A103" s="8"/>
      <c r="B103" t="str">
        <f xml:space="preserve"> _xll.EPMOlapMemberO("[CLACO].[PARENTH1].[AMSAG_VIAJES]","","Gastos de Viajes","","000")</f>
        <v>Gastos de Viajes</v>
      </c>
      <c r="C103" s="6"/>
      <c r="D103" s="6"/>
      <c r="E103" s="6">
        <f t="shared" si="4"/>
        <v>0</v>
      </c>
      <c r="F103" s="6">
        <v>2554.16</v>
      </c>
      <c r="G103" s="6"/>
      <c r="H103" s="6">
        <f t="shared" si="5"/>
        <v>-2554.16</v>
      </c>
      <c r="I103" s="6">
        <v>19465.27</v>
      </c>
      <c r="J103" s="6">
        <v>52412.01</v>
      </c>
      <c r="K103" s="6">
        <f t="shared" si="6"/>
        <v>32946.740000000005</v>
      </c>
      <c r="L103" s="6">
        <v>35049.4</v>
      </c>
      <c r="M103" s="6">
        <v>41388.36</v>
      </c>
      <c r="N103" s="6">
        <f t="shared" si="7"/>
        <v>6338.9599999999991</v>
      </c>
    </row>
    <row r="104" spans="1:14" x14ac:dyDescent="0.3">
      <c r="A104" s="8"/>
      <c r="B104" t="str">
        <f xml:space="preserve"> _xll.EPMOlapMemberO("[CLACO].[PARENTH1].[AMSAGGENERALES.2]","","Otros Gastos","","000")</f>
        <v>Otros Gastos</v>
      </c>
      <c r="C104" s="6">
        <v>13.7</v>
      </c>
      <c r="D104" s="6"/>
      <c r="E104" s="6">
        <f t="shared" si="4"/>
        <v>-13.7</v>
      </c>
      <c r="F104" s="6">
        <v>630.19000000000005</v>
      </c>
      <c r="G104" s="6"/>
      <c r="H104" s="6">
        <f t="shared" si="5"/>
        <v>-630.19000000000005</v>
      </c>
      <c r="I104" s="6">
        <v>4</v>
      </c>
      <c r="J104" s="6">
        <v>3000</v>
      </c>
      <c r="K104" s="6">
        <f t="shared" si="6"/>
        <v>2996</v>
      </c>
      <c r="L104" s="6">
        <v>6244.43</v>
      </c>
      <c r="M104" s="6">
        <v>53001.71</v>
      </c>
      <c r="N104" s="6">
        <f t="shared" si="7"/>
        <v>46757.279999999999</v>
      </c>
    </row>
    <row r="105" spans="1:14" x14ac:dyDescent="0.3">
      <c r="A105" s="8" t="str">
        <f xml:space="preserve"> _xll.EPMOlapMemberO("[CECO].[PARENTH3].[AMSA1000AC0506]","","Gerencia Procesos","","000")</f>
        <v>Gerencia Procesos</v>
      </c>
      <c r="B105" t="str">
        <f xml:space="preserve"> _xll.EPMOlapMemberO("[CLACO].[PARENTH1].[AMSAREMUNERACI.SS]","","Remuneraciones Super","","000")</f>
        <v>Remuneraciones Super</v>
      </c>
      <c r="C105" s="6">
        <v>11132.17</v>
      </c>
      <c r="D105" s="6"/>
      <c r="E105" s="6">
        <f t="shared" si="4"/>
        <v>-11132.17</v>
      </c>
      <c r="F105" s="6"/>
      <c r="G105" s="6"/>
      <c r="H105" s="6">
        <f t="shared" si="5"/>
        <v>0</v>
      </c>
      <c r="I105" s="6">
        <v>286072.02</v>
      </c>
      <c r="J105" s="6">
        <v>729530.15</v>
      </c>
      <c r="K105" s="6">
        <f t="shared" si="6"/>
        <v>443458.13</v>
      </c>
      <c r="L105" s="6">
        <v>675720.85</v>
      </c>
      <c r="M105" s="6">
        <v>875803.88</v>
      </c>
      <c r="N105" s="6">
        <f t="shared" si="7"/>
        <v>200083.03000000003</v>
      </c>
    </row>
    <row r="106" spans="1:14" x14ac:dyDescent="0.3">
      <c r="A106" s="8"/>
      <c r="B106" t="str">
        <f xml:space="preserve"> _xll.EPMOlapMemberO("[CLACO].[PARENTH1].[AMSAMAT_Y_REP.2]","","Materiales y repuest","","000")</f>
        <v>Materiales y repuest</v>
      </c>
      <c r="C106" s="6"/>
      <c r="D106" s="6"/>
      <c r="E106" s="6">
        <f t="shared" si="4"/>
        <v>0</v>
      </c>
      <c r="F106" s="6">
        <v>0</v>
      </c>
      <c r="G106" s="6"/>
      <c r="H106" s="6">
        <f t="shared" si="5"/>
        <v>0</v>
      </c>
      <c r="I106" s="6"/>
      <c r="J106" s="6"/>
      <c r="K106" s="6">
        <f t="shared" si="6"/>
        <v>0</v>
      </c>
      <c r="L106" s="6"/>
      <c r="M106" s="6"/>
      <c r="N106" s="6">
        <f t="shared" si="7"/>
        <v>0</v>
      </c>
    </row>
    <row r="107" spans="1:14" x14ac:dyDescent="0.3">
      <c r="A107" s="8"/>
      <c r="B107" t="str">
        <f xml:space="preserve"> _xll.EPMOlapMemberO("[CLACO].[PARENTH1].[AMSAENTRENAMI]","","Entrenamiento","","000")</f>
        <v>Entrenamiento</v>
      </c>
      <c r="C107" s="6"/>
      <c r="D107" s="6"/>
      <c r="E107" s="6">
        <f t="shared" si="4"/>
        <v>0</v>
      </c>
      <c r="F107" s="6"/>
      <c r="G107" s="6"/>
      <c r="H107" s="6">
        <f t="shared" si="5"/>
        <v>0</v>
      </c>
      <c r="I107" s="6"/>
      <c r="J107" s="6">
        <v>8000</v>
      </c>
      <c r="K107" s="6">
        <f t="shared" si="6"/>
        <v>8000</v>
      </c>
      <c r="L107" s="6">
        <v>25439.06</v>
      </c>
      <c r="M107" s="6"/>
      <c r="N107" s="6">
        <f t="shared" si="7"/>
        <v>-25439.06</v>
      </c>
    </row>
    <row r="108" spans="1:14" x14ac:dyDescent="0.3">
      <c r="A108" s="8"/>
      <c r="B108" t="str">
        <f xml:space="preserve"> _xll.EPMOlapMemberO("[CLACO].[PARENTH1].[AMSAASESORIAS]","","Asesorías y Consulto","","000")</f>
        <v>Asesorías y Consulto</v>
      </c>
      <c r="C108" s="6">
        <v>49714.64</v>
      </c>
      <c r="D108" s="6"/>
      <c r="E108" s="6">
        <f t="shared" si="4"/>
        <v>-49714.64</v>
      </c>
      <c r="F108" s="6"/>
      <c r="G108" s="6"/>
      <c r="H108" s="6">
        <f t="shared" si="5"/>
        <v>0</v>
      </c>
      <c r="I108" s="6"/>
      <c r="J108" s="6"/>
      <c r="K108" s="6">
        <f t="shared" si="6"/>
        <v>0</v>
      </c>
      <c r="L108" s="6">
        <v>5960.69</v>
      </c>
      <c r="M108" s="6"/>
      <c r="N108" s="6">
        <f t="shared" si="7"/>
        <v>-5960.69</v>
      </c>
    </row>
    <row r="109" spans="1:14" x14ac:dyDescent="0.3">
      <c r="A109" s="8"/>
      <c r="B109" t="str">
        <f xml:space="preserve"> _xll.EPMOlapMemberO("[CLACO].[PARENTH1].[AMSASERVICIOS]","","Servicios","","000")</f>
        <v>Servicios</v>
      </c>
      <c r="C109" s="6"/>
      <c r="D109" s="6"/>
      <c r="E109" s="6">
        <f t="shared" si="4"/>
        <v>0</v>
      </c>
      <c r="F109" s="6"/>
      <c r="G109" s="6"/>
      <c r="H109" s="6">
        <f t="shared" si="5"/>
        <v>0</v>
      </c>
      <c r="I109" s="6">
        <v>9414.83</v>
      </c>
      <c r="J109" s="6">
        <v>150000</v>
      </c>
      <c r="K109" s="6">
        <f t="shared" si="6"/>
        <v>140585.17000000001</v>
      </c>
      <c r="L109" s="6">
        <v>17936.05</v>
      </c>
      <c r="M109" s="6">
        <v>46710.36</v>
      </c>
      <c r="N109" s="6">
        <f t="shared" si="7"/>
        <v>28774.31</v>
      </c>
    </row>
    <row r="110" spans="1:14" x14ac:dyDescent="0.3">
      <c r="A110" s="8"/>
      <c r="B110" t="str">
        <f xml:space="preserve"> _xll.EPMOlapMemberO("[CLACO].[PARENTH1].[AMSASERMANTO.REPA]","","Servicios Mantenimie","","000")</f>
        <v>Servicios Mantenimie</v>
      </c>
      <c r="C110" s="6"/>
      <c r="D110" s="6"/>
      <c r="E110" s="6">
        <f t="shared" si="4"/>
        <v>0</v>
      </c>
      <c r="F110" s="6">
        <v>559.53</v>
      </c>
      <c r="G110" s="6"/>
      <c r="H110" s="6">
        <f t="shared" si="5"/>
        <v>-559.53</v>
      </c>
      <c r="I110" s="6"/>
      <c r="J110" s="6"/>
      <c r="K110" s="6">
        <f t="shared" si="6"/>
        <v>0</v>
      </c>
      <c r="L110" s="6">
        <v>4702.91</v>
      </c>
      <c r="M110" s="6"/>
      <c r="N110" s="6">
        <f t="shared" si="7"/>
        <v>-4702.91</v>
      </c>
    </row>
    <row r="111" spans="1:14" x14ac:dyDescent="0.3">
      <c r="A111" s="8"/>
      <c r="B111" t="str">
        <f xml:space="preserve"> _xll.EPMOlapMemberO("[CLACO].[PARENTH1].[AMSAINFORMATIC]","","Informática y Comuni","","000")</f>
        <v>Informática y Comuni</v>
      </c>
      <c r="C111" s="6">
        <v>1434.58</v>
      </c>
      <c r="D111" s="6"/>
      <c r="E111" s="6">
        <f t="shared" si="4"/>
        <v>-1434.58</v>
      </c>
      <c r="F111" s="6">
        <v>4464.2</v>
      </c>
      <c r="G111" s="6"/>
      <c r="H111" s="6">
        <f t="shared" si="5"/>
        <v>-4464.2</v>
      </c>
      <c r="I111" s="6">
        <v>273657.37</v>
      </c>
      <c r="J111" s="6">
        <v>42999.98</v>
      </c>
      <c r="K111" s="6">
        <f t="shared" si="6"/>
        <v>-230657.38999999998</v>
      </c>
      <c r="L111" s="6">
        <v>86540.36</v>
      </c>
      <c r="M111" s="6">
        <v>28000.86</v>
      </c>
      <c r="N111" s="6">
        <f t="shared" si="7"/>
        <v>-58539.5</v>
      </c>
    </row>
    <row r="112" spans="1:14" x14ac:dyDescent="0.3">
      <c r="A112" s="8"/>
      <c r="B112" t="str">
        <f xml:space="preserve"> _xll.EPMOlapMemberO("[CLACO].[PARENTH1].[AMSAG_VIAJES]","","Gastos de Viajes","","000")</f>
        <v>Gastos de Viajes</v>
      </c>
      <c r="C112" s="6"/>
      <c r="D112" s="6"/>
      <c r="E112" s="6">
        <f t="shared" si="4"/>
        <v>0</v>
      </c>
      <c r="F112" s="6"/>
      <c r="G112" s="6"/>
      <c r="H112" s="6">
        <f t="shared" si="5"/>
        <v>0</v>
      </c>
      <c r="I112" s="6">
        <v>8126.64</v>
      </c>
      <c r="J112" s="6">
        <v>49218</v>
      </c>
      <c r="K112" s="6">
        <f t="shared" si="6"/>
        <v>41091.360000000001</v>
      </c>
      <c r="L112" s="6">
        <v>13933.78</v>
      </c>
      <c r="M112" s="6"/>
      <c r="N112" s="6">
        <f t="shared" si="7"/>
        <v>-13933.78</v>
      </c>
    </row>
    <row r="113" spans="1:14" x14ac:dyDescent="0.3">
      <c r="A113" s="8"/>
      <c r="B113" t="str">
        <f xml:space="preserve"> _xll.EPMOlapMemberO("[CLACO].[PARENTH1].[AMSAGGENERALES.2]","","Otros Gastos","","000")</f>
        <v>Otros Gastos</v>
      </c>
      <c r="C113" s="6">
        <v>422.92</v>
      </c>
      <c r="D113" s="6"/>
      <c r="E113" s="6">
        <f t="shared" si="4"/>
        <v>-422.92</v>
      </c>
      <c r="F113" s="6">
        <v>4.6500000000000004</v>
      </c>
      <c r="G113" s="6"/>
      <c r="H113" s="6">
        <f t="shared" si="5"/>
        <v>-4.6500000000000004</v>
      </c>
      <c r="I113" s="6">
        <v>289.87</v>
      </c>
      <c r="J113" s="6">
        <v>3499.97</v>
      </c>
      <c r="K113" s="6">
        <f t="shared" si="6"/>
        <v>3210.1</v>
      </c>
      <c r="L113" s="6">
        <v>2873.85</v>
      </c>
      <c r="M113" s="6">
        <v>3500.05</v>
      </c>
      <c r="N113" s="6">
        <f t="shared" si="7"/>
        <v>626.20000000000027</v>
      </c>
    </row>
    <row r="114" spans="1:14" x14ac:dyDescent="0.3">
      <c r="A114" s="8" t="str">
        <f xml:space="preserve"> _xll.EPMOlapMemberO("[CECO].[PARENTH3].[AMSA1000AC0522]","","Gcia Téc d Min y Pro","","000")</f>
        <v>Gcia Téc d Min y Pro</v>
      </c>
      <c r="B114" t="str">
        <f xml:space="preserve"> _xll.EPMOlapMemberO("[CLACO].[PARENTH1].[AMSAREMUNERACI.SS]","","Remuneraciones Super","","000")</f>
        <v>Remuneraciones Super</v>
      </c>
      <c r="C114" s="6">
        <v>1092345.25</v>
      </c>
      <c r="D114" s="6">
        <v>1127123.24</v>
      </c>
      <c r="E114" s="6">
        <f t="shared" si="4"/>
        <v>34777.989999999991</v>
      </c>
      <c r="F114" s="6">
        <v>1411128.04</v>
      </c>
      <c r="G114" s="6">
        <v>1378903.82</v>
      </c>
      <c r="H114" s="6">
        <f t="shared" si="5"/>
        <v>-32224.219999999972</v>
      </c>
      <c r="I114" s="6">
        <v>0</v>
      </c>
      <c r="J114" s="6"/>
      <c r="K114" s="6">
        <f t="shared" si="6"/>
        <v>0</v>
      </c>
      <c r="L114" s="6"/>
      <c r="M114" s="6"/>
      <c r="N114" s="6">
        <f t="shared" si="7"/>
        <v>0</v>
      </c>
    </row>
    <row r="115" spans="1:14" x14ac:dyDescent="0.3">
      <c r="A115" s="8"/>
      <c r="B115" t="str">
        <f xml:space="preserve"> _xll.EPMOlapMemberO("[CLACO].[PARENTH1].[AMSAMAT_Y_REP.2]","","Materiales y repuest","","000")</f>
        <v>Materiales y repuest</v>
      </c>
      <c r="C115" s="6"/>
      <c r="D115" s="6"/>
      <c r="E115" s="6">
        <f t="shared" si="4"/>
        <v>0</v>
      </c>
      <c r="F115" s="6">
        <v>0</v>
      </c>
      <c r="G115" s="6"/>
      <c r="H115" s="6">
        <f t="shared" si="5"/>
        <v>0</v>
      </c>
      <c r="I115" s="6"/>
      <c r="J115" s="6"/>
      <c r="K115" s="6">
        <f t="shared" si="6"/>
        <v>0</v>
      </c>
      <c r="L115" s="6"/>
      <c r="M115" s="6"/>
      <c r="N115" s="6">
        <f t="shared" si="7"/>
        <v>0</v>
      </c>
    </row>
    <row r="116" spans="1:14" x14ac:dyDescent="0.3">
      <c r="A116" s="8"/>
      <c r="B116" t="str">
        <f xml:space="preserve"> _xll.EPMOlapMemberO("[CLACO].[PARENTH1].[AMSAENTRENAMI]","","Entrenamiento","","000")</f>
        <v>Entrenamiento</v>
      </c>
      <c r="C116" s="6">
        <v>5910.8</v>
      </c>
      <c r="D116" s="6">
        <v>9550.4699999999993</v>
      </c>
      <c r="E116" s="6">
        <f t="shared" si="4"/>
        <v>3639.6699999999992</v>
      </c>
      <c r="F116" s="6">
        <v>26818.13</v>
      </c>
      <c r="G116" s="6">
        <v>25499.97</v>
      </c>
      <c r="H116" s="6">
        <f t="shared" si="5"/>
        <v>-1318.1599999999999</v>
      </c>
      <c r="I116" s="6"/>
      <c r="J116" s="6"/>
      <c r="K116" s="6">
        <f t="shared" si="6"/>
        <v>0</v>
      </c>
      <c r="L116" s="6"/>
      <c r="M116" s="6"/>
      <c r="N116" s="6">
        <f t="shared" si="7"/>
        <v>0</v>
      </c>
    </row>
    <row r="117" spans="1:14" x14ac:dyDescent="0.3">
      <c r="A117" s="8"/>
      <c r="B117" t="str">
        <f xml:space="preserve"> _xll.EPMOlapMemberO("[CLACO].[PARENTH1].[AMSAASESORIAS]","","Asesorías y Consulto","","000")</f>
        <v>Asesorías y Consulto</v>
      </c>
      <c r="C117" s="6">
        <v>415663.42</v>
      </c>
      <c r="D117" s="6">
        <v>361348.26</v>
      </c>
      <c r="E117" s="6">
        <f t="shared" si="4"/>
        <v>-54315.159999999974</v>
      </c>
      <c r="F117" s="6">
        <v>460805.71</v>
      </c>
      <c r="G117" s="6">
        <v>430000.01</v>
      </c>
      <c r="H117" s="6">
        <f t="shared" si="5"/>
        <v>-30805.700000000012</v>
      </c>
      <c r="I117" s="6">
        <v>18041.560000000001</v>
      </c>
      <c r="J117" s="6"/>
      <c r="K117" s="6">
        <f t="shared" si="6"/>
        <v>-18041.560000000001</v>
      </c>
      <c r="L117" s="6"/>
      <c r="M117" s="6"/>
      <c r="N117" s="6">
        <f t="shared" si="7"/>
        <v>0</v>
      </c>
    </row>
    <row r="118" spans="1:14" x14ac:dyDescent="0.3">
      <c r="A118" s="8"/>
      <c r="B118" t="str">
        <f xml:space="preserve"> _xll.EPMOlapMemberO("[CLACO].[PARENTH1].[AMSASERVICIOS]","","Servicios","","000")</f>
        <v>Servicios</v>
      </c>
      <c r="C118" s="6"/>
      <c r="D118" s="6"/>
      <c r="E118" s="6">
        <f t="shared" si="4"/>
        <v>0</v>
      </c>
      <c r="F118" s="6">
        <v>2736.43</v>
      </c>
      <c r="G118" s="6"/>
      <c r="H118" s="6">
        <f t="shared" si="5"/>
        <v>-2736.43</v>
      </c>
      <c r="I118" s="6">
        <v>27144.41</v>
      </c>
      <c r="J118" s="6"/>
      <c r="K118" s="6">
        <f t="shared" si="6"/>
        <v>-27144.41</v>
      </c>
      <c r="L118" s="6">
        <v>848.94</v>
      </c>
      <c r="M118" s="6"/>
      <c r="N118" s="6">
        <f t="shared" si="7"/>
        <v>-848.94</v>
      </c>
    </row>
    <row r="119" spans="1:14" x14ac:dyDescent="0.3">
      <c r="A119" s="8"/>
      <c r="B119" t="str">
        <f xml:space="preserve"> _xll.EPMOlapMemberO("[CLACO].[PARENTH1].[AMSASERMANTO.REPA]","","Servicios Mantenimie","","000")</f>
        <v>Servicios Mantenimie</v>
      </c>
      <c r="C119" s="6"/>
      <c r="D119" s="6"/>
      <c r="E119" s="6">
        <f t="shared" si="4"/>
        <v>0</v>
      </c>
      <c r="F119" s="6">
        <v>1119.06</v>
      </c>
      <c r="G119" s="6"/>
      <c r="H119" s="6">
        <f t="shared" si="5"/>
        <v>-1119.06</v>
      </c>
      <c r="I119" s="6"/>
      <c r="J119" s="6"/>
      <c r="K119" s="6">
        <f t="shared" si="6"/>
        <v>0</v>
      </c>
      <c r="L119" s="6"/>
      <c r="M119" s="6"/>
      <c r="N119" s="6">
        <f t="shared" si="7"/>
        <v>0</v>
      </c>
    </row>
    <row r="120" spans="1:14" x14ac:dyDescent="0.3">
      <c r="A120" s="8"/>
      <c r="B120" t="str">
        <f xml:space="preserve"> _xll.EPMOlapMemberO("[CLACO].[PARENTH1].[AMSAINFORMATIC]","","Informática y Comuni","","000")</f>
        <v>Informática y Comuni</v>
      </c>
      <c r="C120" s="6">
        <v>37604.68</v>
      </c>
      <c r="D120" s="6">
        <v>54871.45</v>
      </c>
      <c r="E120" s="6">
        <f t="shared" si="4"/>
        <v>17266.769999999997</v>
      </c>
      <c r="F120" s="6">
        <v>125662.96</v>
      </c>
      <c r="G120" s="6">
        <v>53200.08</v>
      </c>
      <c r="H120" s="6">
        <f t="shared" si="5"/>
        <v>-72462.880000000005</v>
      </c>
      <c r="I120" s="6">
        <v>42973.74</v>
      </c>
      <c r="J120" s="6"/>
      <c r="K120" s="6">
        <f t="shared" si="6"/>
        <v>-42973.74</v>
      </c>
      <c r="L120" s="6">
        <v>-13485.83</v>
      </c>
      <c r="M120" s="6"/>
      <c r="N120" s="6">
        <f t="shared" si="7"/>
        <v>13485.83</v>
      </c>
    </row>
    <row r="121" spans="1:14" x14ac:dyDescent="0.3">
      <c r="A121" s="8"/>
      <c r="B121" t="str">
        <f xml:space="preserve"> _xll.EPMOlapMemberO("[CLACO].[PARENTH1].[AMSAG_VIAJES]","","Gastos de Viajes","","000")</f>
        <v>Gastos de Viajes</v>
      </c>
      <c r="C121" s="6">
        <v>55167.49</v>
      </c>
      <c r="D121" s="6">
        <v>80918.52</v>
      </c>
      <c r="E121" s="6">
        <f t="shared" si="4"/>
        <v>25751.030000000006</v>
      </c>
      <c r="F121" s="6">
        <v>43688.23</v>
      </c>
      <c r="G121" s="6">
        <v>84708.24</v>
      </c>
      <c r="H121" s="6">
        <f t="shared" si="5"/>
        <v>41020.01</v>
      </c>
      <c r="I121" s="6">
        <v>8596.93</v>
      </c>
      <c r="J121" s="6"/>
      <c r="K121" s="6">
        <f t="shared" si="6"/>
        <v>-8596.93</v>
      </c>
      <c r="L121" s="6"/>
      <c r="M121" s="6"/>
      <c r="N121" s="6">
        <f t="shared" si="7"/>
        <v>0</v>
      </c>
    </row>
    <row r="122" spans="1:14" x14ac:dyDescent="0.3">
      <c r="A122" s="8"/>
      <c r="B122" t="str">
        <f xml:space="preserve"> _xll.EPMOlapMemberO("[CLACO].[PARENTH1].[AMSAGGENERALES.2]","","Otros Gastos","","000")</f>
        <v>Otros Gastos</v>
      </c>
      <c r="C122" s="6">
        <v>2957.17</v>
      </c>
      <c r="D122" s="6">
        <v>3294.32</v>
      </c>
      <c r="E122" s="6">
        <f t="shared" si="4"/>
        <v>337.15000000000009</v>
      </c>
      <c r="F122" s="6">
        <v>2842.87</v>
      </c>
      <c r="G122" s="6">
        <v>3500.01</v>
      </c>
      <c r="H122" s="6">
        <f t="shared" si="5"/>
        <v>657.14000000000033</v>
      </c>
      <c r="I122" s="6">
        <v>619.13</v>
      </c>
      <c r="J122" s="6"/>
      <c r="K122" s="6">
        <f t="shared" si="6"/>
        <v>-619.13</v>
      </c>
      <c r="L122" s="6">
        <v>91.76</v>
      </c>
      <c r="M122" s="6"/>
      <c r="N122" s="6">
        <f t="shared" si="7"/>
        <v>-91.76</v>
      </c>
    </row>
    <row r="123" spans="1:14" x14ac:dyDescent="0.3">
      <c r="A123" s="8" t="str">
        <f xml:space="preserve"> _xll.EPMOlapMemberO("[CECO].[PARENTH3].[AMSA1000AC0525]","","Gerencia Relaves","","000")</f>
        <v>Gerencia Relaves</v>
      </c>
      <c r="B123" t="str">
        <f xml:space="preserve"> _xll.EPMOlapMemberO("[CLACO].[PARENTH1].[AMSAREMUNERACI.SS]","","Remuneraciones Super","","000")</f>
        <v>Remuneraciones Super</v>
      </c>
      <c r="C123" s="6">
        <v>703682.92</v>
      </c>
      <c r="D123" s="6">
        <v>688530.36</v>
      </c>
      <c r="E123" s="6">
        <f t="shared" si="4"/>
        <v>-15152.560000000056</v>
      </c>
      <c r="F123" s="6">
        <v>950194.85</v>
      </c>
      <c r="G123" s="6">
        <v>886256.68</v>
      </c>
      <c r="H123" s="6">
        <f t="shared" si="5"/>
        <v>-63938.169999999925</v>
      </c>
      <c r="I123" s="6">
        <v>508830.26</v>
      </c>
      <c r="J123" s="6">
        <v>1093855.8500000001</v>
      </c>
      <c r="K123" s="6">
        <f t="shared" si="6"/>
        <v>585025.59000000008</v>
      </c>
      <c r="L123" s="6">
        <v>736740.42</v>
      </c>
      <c r="M123" s="6">
        <v>1064388.3</v>
      </c>
      <c r="N123" s="6">
        <f t="shared" si="7"/>
        <v>327647.88</v>
      </c>
    </row>
    <row r="124" spans="1:14" x14ac:dyDescent="0.3">
      <c r="A124" s="8"/>
      <c r="B124" t="str">
        <f xml:space="preserve"> _xll.EPMOlapMemberO("[CLACO].[PARENTH1].[AMSAMAT_Y_REP.2]","","Materiales y repuest","","000")</f>
        <v>Materiales y repuest</v>
      </c>
      <c r="C124" s="6"/>
      <c r="D124" s="6"/>
      <c r="E124" s="6">
        <f t="shared" si="4"/>
        <v>0</v>
      </c>
      <c r="F124" s="6">
        <v>0</v>
      </c>
      <c r="G124" s="6"/>
      <c r="H124" s="6">
        <f t="shared" si="5"/>
        <v>0</v>
      </c>
      <c r="I124" s="6"/>
      <c r="J124" s="6"/>
      <c r="K124" s="6">
        <f t="shared" si="6"/>
        <v>0</v>
      </c>
      <c r="L124" s="6"/>
      <c r="M124" s="6"/>
      <c r="N124" s="6">
        <f t="shared" si="7"/>
        <v>0</v>
      </c>
    </row>
    <row r="125" spans="1:14" x14ac:dyDescent="0.3">
      <c r="A125" s="8"/>
      <c r="B125" t="str">
        <f xml:space="preserve"> _xll.EPMOlapMemberO("[CLACO].[PARENTH1].[AMSAADM_PERSON]","","Administración Perso","","000")</f>
        <v>Administración Perso</v>
      </c>
      <c r="C125" s="6"/>
      <c r="D125" s="6"/>
      <c r="E125" s="6">
        <f t="shared" si="4"/>
        <v>0</v>
      </c>
      <c r="F125" s="6"/>
      <c r="G125" s="6"/>
      <c r="H125" s="6">
        <f t="shared" si="5"/>
        <v>0</v>
      </c>
      <c r="I125" s="6"/>
      <c r="J125" s="6"/>
      <c r="K125" s="6">
        <f t="shared" si="6"/>
        <v>0</v>
      </c>
      <c r="L125" s="6">
        <v>0</v>
      </c>
      <c r="M125" s="6"/>
      <c r="N125" s="6">
        <f t="shared" si="7"/>
        <v>0</v>
      </c>
    </row>
    <row r="126" spans="1:14" x14ac:dyDescent="0.3">
      <c r="A126" s="8"/>
      <c r="B126" t="str">
        <f xml:space="preserve"> _xll.EPMOlapMemberO("[CLACO].[PARENTH1].[AMSAENTRENAMI]","","Entrenamiento","","000")</f>
        <v>Entrenamiento</v>
      </c>
      <c r="C126" s="6">
        <v>11948.41</v>
      </c>
      <c r="D126" s="6">
        <v>38862.51</v>
      </c>
      <c r="E126" s="6">
        <f t="shared" si="4"/>
        <v>26914.100000000002</v>
      </c>
      <c r="F126" s="6">
        <v>1243.6199999999999</v>
      </c>
      <c r="G126" s="6">
        <v>32799.980000000003</v>
      </c>
      <c r="H126" s="6">
        <f t="shared" si="5"/>
        <v>31556.360000000004</v>
      </c>
      <c r="I126" s="6">
        <v>2229.9</v>
      </c>
      <c r="J126" s="6">
        <v>8000</v>
      </c>
      <c r="K126" s="6">
        <f t="shared" si="6"/>
        <v>5770.1</v>
      </c>
      <c r="L126" s="6">
        <v>10850.13</v>
      </c>
      <c r="M126" s="6"/>
      <c r="N126" s="6">
        <f t="shared" si="7"/>
        <v>-10850.13</v>
      </c>
    </row>
    <row r="127" spans="1:14" x14ac:dyDescent="0.3">
      <c r="A127" s="8"/>
      <c r="B127" t="str">
        <f xml:space="preserve"> _xll.EPMOlapMemberO("[CLACO].[PARENTH1].[AMSAASESORIAS]","","Asesorías y Consulto","","000")</f>
        <v>Asesorías y Consulto</v>
      </c>
      <c r="C127" s="6">
        <v>17118.89</v>
      </c>
      <c r="D127" s="6">
        <v>25737.08</v>
      </c>
      <c r="E127" s="6">
        <f t="shared" si="4"/>
        <v>8618.1900000000023</v>
      </c>
      <c r="F127" s="6">
        <v>14305.78</v>
      </c>
      <c r="G127" s="6">
        <v>9999.98</v>
      </c>
      <c r="H127" s="6">
        <f t="shared" si="5"/>
        <v>-4305.8000000000011</v>
      </c>
      <c r="I127" s="6">
        <v>67201.820000000007</v>
      </c>
      <c r="J127" s="6"/>
      <c r="K127" s="6">
        <f t="shared" si="6"/>
        <v>-67201.820000000007</v>
      </c>
      <c r="L127" s="6">
        <v>395.7</v>
      </c>
      <c r="M127" s="6"/>
      <c r="N127" s="6">
        <f t="shared" si="7"/>
        <v>-395.7</v>
      </c>
    </row>
    <row r="128" spans="1:14" x14ac:dyDescent="0.3">
      <c r="A128" s="8"/>
      <c r="B128" t="str">
        <f xml:space="preserve"> _xll.EPMOlapMemberO("[CLACO].[PARENTH1].[AMSAARRIENDOS]","","Arriendos","","000")</f>
        <v>Arriendos</v>
      </c>
      <c r="C128" s="6"/>
      <c r="D128" s="6"/>
      <c r="E128" s="6">
        <f t="shared" si="4"/>
        <v>0</v>
      </c>
      <c r="F128" s="6"/>
      <c r="G128" s="6"/>
      <c r="H128" s="6">
        <f t="shared" si="5"/>
        <v>0</v>
      </c>
      <c r="I128" s="6"/>
      <c r="J128" s="6"/>
      <c r="K128" s="6">
        <f t="shared" si="6"/>
        <v>0</v>
      </c>
      <c r="L128" s="6">
        <v>821.64</v>
      </c>
      <c r="M128" s="6"/>
      <c r="N128" s="6">
        <f t="shared" si="7"/>
        <v>-821.64</v>
      </c>
    </row>
    <row r="129" spans="1:14" x14ac:dyDescent="0.3">
      <c r="A129" s="8"/>
      <c r="B129" t="str">
        <f xml:space="preserve"> _xll.EPMOlapMemberO("[CLACO].[PARENTH1].[AMSASERVICIOS]","","Servicios","","000")</f>
        <v>Servicios</v>
      </c>
      <c r="C129" s="6"/>
      <c r="D129" s="6"/>
      <c r="E129" s="6">
        <f t="shared" si="4"/>
        <v>0</v>
      </c>
      <c r="F129" s="6"/>
      <c r="G129" s="6"/>
      <c r="H129" s="6">
        <f t="shared" si="5"/>
        <v>0</v>
      </c>
      <c r="I129" s="6">
        <v>149.88999999999999</v>
      </c>
      <c r="J129" s="6"/>
      <c r="K129" s="6">
        <f t="shared" si="6"/>
        <v>-149.88999999999999</v>
      </c>
      <c r="L129" s="6">
        <v>6785.9</v>
      </c>
      <c r="M129" s="6"/>
      <c r="N129" s="6">
        <f t="shared" si="7"/>
        <v>-6785.9</v>
      </c>
    </row>
    <row r="130" spans="1:14" x14ac:dyDescent="0.3">
      <c r="A130" s="8"/>
      <c r="B130" t="str">
        <f xml:space="preserve"> _xll.EPMOlapMemberO("[CLACO].[PARENTH1].[AMSASERMANTO.REPA]","","Servicios Mantenimie","","000")</f>
        <v>Servicios Mantenimie</v>
      </c>
      <c r="C130" s="6"/>
      <c r="D130" s="6"/>
      <c r="E130" s="6">
        <f t="shared" si="4"/>
        <v>0</v>
      </c>
      <c r="F130" s="6"/>
      <c r="G130" s="6"/>
      <c r="H130" s="6">
        <f t="shared" si="5"/>
        <v>0</v>
      </c>
      <c r="I130" s="6">
        <v>950.47</v>
      </c>
      <c r="J130" s="6"/>
      <c r="K130" s="6">
        <f t="shared" si="6"/>
        <v>-950.47</v>
      </c>
      <c r="L130" s="6">
        <v>2504.21</v>
      </c>
      <c r="M130" s="6"/>
      <c r="N130" s="6">
        <f t="shared" si="7"/>
        <v>-2504.21</v>
      </c>
    </row>
    <row r="131" spans="1:14" x14ac:dyDescent="0.3">
      <c r="A131" s="8"/>
      <c r="B131" t="str">
        <f xml:space="preserve"> _xll.EPMOlapMemberO("[CLACO].[PARENTH1].[AMSAINFORMATIC]","","Informática y Comuni","","000")</f>
        <v>Informática y Comuni</v>
      </c>
      <c r="C131" s="6">
        <v>14630.41</v>
      </c>
      <c r="D131" s="6">
        <v>8064.93</v>
      </c>
      <c r="E131" s="6">
        <f t="shared" si="4"/>
        <v>-6565.48</v>
      </c>
      <c r="F131" s="6">
        <v>3708.82</v>
      </c>
      <c r="G131" s="6">
        <v>13638.97</v>
      </c>
      <c r="H131" s="6">
        <f t="shared" si="5"/>
        <v>9930.15</v>
      </c>
      <c r="I131" s="6">
        <v>7700.82</v>
      </c>
      <c r="J131" s="6">
        <v>6834</v>
      </c>
      <c r="K131" s="6">
        <f t="shared" si="6"/>
        <v>-866.81999999999971</v>
      </c>
      <c r="L131" s="6">
        <v>46514.95</v>
      </c>
      <c r="M131" s="6">
        <v>2800.06</v>
      </c>
      <c r="N131" s="6">
        <f t="shared" si="7"/>
        <v>-43714.89</v>
      </c>
    </row>
    <row r="132" spans="1:14" x14ac:dyDescent="0.3">
      <c r="A132" s="8"/>
      <c r="B132" t="str">
        <f xml:space="preserve"> _xll.EPMOlapMemberO("[CLACO].[PARENTH1].[AMSAG_VIAJES]","","Gastos de Viajes","","000")</f>
        <v>Gastos de Viajes</v>
      </c>
      <c r="C132" s="6">
        <v>21219.41</v>
      </c>
      <c r="D132" s="6">
        <v>33753.120000000003</v>
      </c>
      <c r="E132" s="6">
        <f t="shared" si="4"/>
        <v>12533.710000000003</v>
      </c>
      <c r="F132" s="6">
        <v>42985.03</v>
      </c>
      <c r="G132" s="6">
        <v>49980.72</v>
      </c>
      <c r="H132" s="6">
        <f t="shared" si="5"/>
        <v>6995.6900000000023</v>
      </c>
      <c r="I132" s="6">
        <v>41760.68</v>
      </c>
      <c r="J132" s="6">
        <v>100396.01</v>
      </c>
      <c r="K132" s="6">
        <f t="shared" si="6"/>
        <v>58635.329999999994</v>
      </c>
      <c r="L132" s="6">
        <v>93672.85</v>
      </c>
      <c r="M132" s="6">
        <v>120453.92</v>
      </c>
      <c r="N132" s="6">
        <f t="shared" si="7"/>
        <v>26781.069999999992</v>
      </c>
    </row>
    <row r="133" spans="1:14" x14ac:dyDescent="0.3">
      <c r="A133" s="8"/>
      <c r="B133" t="str">
        <f xml:space="preserve"> _xll.EPMOlapMemberO("[CLACO].[PARENTH1].[AMSAGGENERALES.2]","","Otros Gastos","","000")</f>
        <v>Otros Gastos</v>
      </c>
      <c r="C133" s="6">
        <v>1887.4</v>
      </c>
      <c r="D133" s="6">
        <v>1235.3699999999999</v>
      </c>
      <c r="E133" s="6">
        <f t="shared" si="4"/>
        <v>-652.0300000000002</v>
      </c>
      <c r="F133" s="6">
        <v>1654.4</v>
      </c>
      <c r="G133" s="6">
        <v>1200</v>
      </c>
      <c r="H133" s="6">
        <f t="shared" si="5"/>
        <v>-454.40000000000009</v>
      </c>
      <c r="I133" s="6">
        <v>6132.78</v>
      </c>
      <c r="J133" s="6">
        <v>4300</v>
      </c>
      <c r="K133" s="6">
        <f t="shared" si="6"/>
        <v>-1832.7799999999997</v>
      </c>
      <c r="L133" s="6">
        <v>5124.3599999999997</v>
      </c>
      <c r="M133" s="6">
        <v>10599.8</v>
      </c>
      <c r="N133" s="6">
        <f t="shared" si="7"/>
        <v>5475.44</v>
      </c>
    </row>
    <row r="134" spans="1:14" x14ac:dyDescent="0.3">
      <c r="A134" s="8" t="str">
        <f xml:space="preserve"> _xll.EPMOlapMemberO("[CECO].[PARENTH3].[AMSA1000AC0530]","","Gercia Mantenimiento","","000")</f>
        <v>Gercia Mantenimiento</v>
      </c>
      <c r="B134" t="str">
        <f xml:space="preserve"> _xll.EPMOlapMemberO("[CLACO].[PARENTH1].[AMSAREMUNERACI.SS]","","Remuneraciones Super","","000")</f>
        <v>Remuneraciones Super</v>
      </c>
      <c r="C134" s="6">
        <v>1165304.1299999999</v>
      </c>
      <c r="D134" s="6">
        <v>1162036.1599999999</v>
      </c>
      <c r="E134" s="6">
        <f t="shared" si="4"/>
        <v>-3267.9699999999721</v>
      </c>
      <c r="F134" s="6">
        <v>1450493.93</v>
      </c>
      <c r="G134" s="6">
        <v>1304412.3600000001</v>
      </c>
      <c r="H134" s="6">
        <f t="shared" si="5"/>
        <v>-146081.56999999983</v>
      </c>
      <c r="I134" s="6">
        <v>2023927.21</v>
      </c>
      <c r="J134" s="6">
        <v>1988722.6</v>
      </c>
      <c r="K134" s="6">
        <f t="shared" si="6"/>
        <v>-35204.60999999987</v>
      </c>
      <c r="L134" s="6">
        <v>2311418.79</v>
      </c>
      <c r="M134" s="6">
        <v>2136734.48</v>
      </c>
      <c r="N134" s="6">
        <f t="shared" si="7"/>
        <v>-174684.31000000006</v>
      </c>
    </row>
    <row r="135" spans="1:14" x14ac:dyDescent="0.3">
      <c r="A135" s="8"/>
      <c r="B135" t="str">
        <f xml:space="preserve"> _xll.EPMOlapMemberO("[CLACO].[PARENTH1].[AMSAMAT_Y_REP.2]","","Materiales y repuest","","000")</f>
        <v>Materiales y repuest</v>
      </c>
      <c r="C135" s="6"/>
      <c r="D135" s="6"/>
      <c r="E135" s="6">
        <f t="shared" si="4"/>
        <v>0</v>
      </c>
      <c r="F135" s="6">
        <v>0</v>
      </c>
      <c r="G135" s="6"/>
      <c r="H135" s="6">
        <f t="shared" si="5"/>
        <v>0</v>
      </c>
      <c r="I135" s="6"/>
      <c r="J135" s="6"/>
      <c r="K135" s="6">
        <f t="shared" si="6"/>
        <v>0</v>
      </c>
      <c r="L135" s="6"/>
      <c r="M135" s="6"/>
      <c r="N135" s="6">
        <f t="shared" si="7"/>
        <v>0</v>
      </c>
    </row>
    <row r="136" spans="1:14" x14ac:dyDescent="0.3">
      <c r="A136" s="8"/>
      <c r="B136" t="str">
        <f xml:space="preserve"> _xll.EPMOlapMemberO("[CLACO].[PARENTH1].[AMSAADM_PERSON]","","Administración Perso","","000")</f>
        <v>Administración Perso</v>
      </c>
      <c r="C136" s="6">
        <v>1093.51</v>
      </c>
      <c r="D136" s="6"/>
      <c r="E136" s="6">
        <f t="shared" si="4"/>
        <v>-1093.51</v>
      </c>
      <c r="F136" s="6"/>
      <c r="G136" s="6"/>
      <c r="H136" s="6">
        <f t="shared" si="5"/>
        <v>0</v>
      </c>
      <c r="I136" s="6"/>
      <c r="J136" s="6"/>
      <c r="K136" s="6">
        <f t="shared" si="6"/>
        <v>0</v>
      </c>
      <c r="L136" s="6"/>
      <c r="M136" s="6"/>
      <c r="N136" s="6">
        <f t="shared" si="7"/>
        <v>0</v>
      </c>
    </row>
    <row r="137" spans="1:14" x14ac:dyDescent="0.3">
      <c r="A137" s="8"/>
      <c r="B137" t="str">
        <f xml:space="preserve"> _xll.EPMOlapMemberO("[CLACO].[PARENTH1].[AMSAENTRENAMI]","","Entrenamiento","","000")</f>
        <v>Entrenamiento</v>
      </c>
      <c r="C137" s="6">
        <v>121588.02</v>
      </c>
      <c r="D137" s="6">
        <v>38090.769999999997</v>
      </c>
      <c r="E137" s="6">
        <f t="shared" si="4"/>
        <v>-83497.25</v>
      </c>
      <c r="F137" s="6">
        <v>26273.49</v>
      </c>
      <c r="G137" s="6">
        <v>45499.98</v>
      </c>
      <c r="H137" s="6">
        <f t="shared" si="5"/>
        <v>19226.490000000002</v>
      </c>
      <c r="I137" s="6">
        <v>343.59</v>
      </c>
      <c r="J137" s="6">
        <v>19000.009999999998</v>
      </c>
      <c r="K137" s="6">
        <f t="shared" si="6"/>
        <v>18656.419999999998</v>
      </c>
      <c r="L137" s="6">
        <v>19740.3</v>
      </c>
      <c r="M137" s="6"/>
      <c r="N137" s="6">
        <f t="shared" si="7"/>
        <v>-19740.3</v>
      </c>
    </row>
    <row r="138" spans="1:14" x14ac:dyDescent="0.3">
      <c r="A138" s="8"/>
      <c r="B138" t="str">
        <f xml:space="preserve"> _xll.EPMOlapMemberO("[CLACO].[PARENTH1].[AMSAASESORIAS]","","Asesorías y Consulto","","000")</f>
        <v>Asesorías y Consulto</v>
      </c>
      <c r="C138" s="6">
        <v>223813.52</v>
      </c>
      <c r="D138" s="6">
        <v>365439.32</v>
      </c>
      <c r="E138" s="6">
        <f t="shared" si="4"/>
        <v>141625.80000000002</v>
      </c>
      <c r="F138" s="6">
        <v>248640.49</v>
      </c>
      <c r="G138" s="6">
        <v>259999.99</v>
      </c>
      <c r="H138" s="6">
        <f t="shared" si="5"/>
        <v>11359.5</v>
      </c>
      <c r="I138" s="6">
        <v>24352.3</v>
      </c>
      <c r="J138" s="6">
        <v>100000</v>
      </c>
      <c r="K138" s="6">
        <f t="shared" si="6"/>
        <v>75647.7</v>
      </c>
      <c r="L138" s="6">
        <v>57697.87</v>
      </c>
      <c r="M138" s="6">
        <v>80000.67</v>
      </c>
      <c r="N138" s="6">
        <f t="shared" si="7"/>
        <v>22302.799999999996</v>
      </c>
    </row>
    <row r="139" spans="1:14" x14ac:dyDescent="0.3">
      <c r="A139" s="8"/>
      <c r="B139" t="str">
        <f xml:space="preserve"> _xll.EPMOlapMemberO("[CLACO].[PARENTH1].[AMSASERVICIOS]","","Servicios","","000")</f>
        <v>Servicios</v>
      </c>
      <c r="C139" s="6">
        <v>34608.9</v>
      </c>
      <c r="D139" s="6">
        <v>41179.31</v>
      </c>
      <c r="E139" s="6">
        <f t="shared" ref="E139:E202" si="8">+D139-C139</f>
        <v>6570.4099999999962</v>
      </c>
      <c r="F139" s="6">
        <v>53058.33</v>
      </c>
      <c r="G139" s="6">
        <v>50000</v>
      </c>
      <c r="H139" s="6">
        <f t="shared" ref="H139:H202" si="9">+G139-F139</f>
        <v>-3058.3300000000017</v>
      </c>
      <c r="I139" s="6">
        <v>192196.37</v>
      </c>
      <c r="J139" s="6">
        <v>96000</v>
      </c>
      <c r="K139" s="6">
        <f t="shared" ref="K139:K202" si="10">+J139-I139</f>
        <v>-96196.37</v>
      </c>
      <c r="L139" s="6">
        <v>160283.81</v>
      </c>
      <c r="M139" s="6">
        <v>192001.58</v>
      </c>
      <c r="N139" s="6">
        <f t="shared" ref="N139:N202" si="11">+M139-L139</f>
        <v>31717.76999999999</v>
      </c>
    </row>
    <row r="140" spans="1:14" x14ac:dyDescent="0.3">
      <c r="A140" s="8"/>
      <c r="B140" t="str">
        <f xml:space="preserve"> _xll.EPMOlapMemberO("[CLACO].[PARENTH1].[AMSASERMANTO.REPA]","","Servicios Mantenimie","","000")</f>
        <v>Servicios Mantenimie</v>
      </c>
      <c r="C140" s="6"/>
      <c r="D140" s="6"/>
      <c r="E140" s="6">
        <f t="shared" si="8"/>
        <v>0</v>
      </c>
      <c r="F140" s="6">
        <v>1678.59</v>
      </c>
      <c r="G140" s="6"/>
      <c r="H140" s="6">
        <f t="shared" si="9"/>
        <v>-1678.59</v>
      </c>
      <c r="I140" s="6"/>
      <c r="J140" s="6"/>
      <c r="K140" s="6">
        <f t="shared" si="10"/>
        <v>0</v>
      </c>
      <c r="L140" s="6">
        <v>14.1</v>
      </c>
      <c r="M140" s="6"/>
      <c r="N140" s="6">
        <f t="shared" si="11"/>
        <v>-14.1</v>
      </c>
    </row>
    <row r="141" spans="1:14" x14ac:dyDescent="0.3">
      <c r="A141" s="8"/>
      <c r="B141" t="str">
        <f xml:space="preserve"> _xll.EPMOlapMemberO("[CLACO].[PARENTH1].[AMSAINFORMATIC]","","Informática y Comuni","","000")</f>
        <v>Informática y Comuni</v>
      </c>
      <c r="C141" s="6">
        <v>30555.61</v>
      </c>
      <c r="D141" s="6">
        <v>33355.29</v>
      </c>
      <c r="E141" s="6">
        <f t="shared" si="8"/>
        <v>2799.6800000000003</v>
      </c>
      <c r="F141" s="6">
        <v>70969.84</v>
      </c>
      <c r="G141" s="6">
        <v>7700.02</v>
      </c>
      <c r="H141" s="6">
        <f t="shared" si="9"/>
        <v>-63269.819999999992</v>
      </c>
      <c r="I141" s="6">
        <v>20808.41</v>
      </c>
      <c r="J141" s="6">
        <v>6200</v>
      </c>
      <c r="K141" s="6">
        <f t="shared" si="10"/>
        <v>-14608.41</v>
      </c>
      <c r="L141" s="6">
        <v>6220.72</v>
      </c>
      <c r="M141" s="6">
        <v>8840.4</v>
      </c>
      <c r="N141" s="6">
        <f t="shared" si="11"/>
        <v>2619.6799999999994</v>
      </c>
    </row>
    <row r="142" spans="1:14" x14ac:dyDescent="0.3">
      <c r="A142" s="8"/>
      <c r="B142" t="str">
        <f xml:space="preserve"> _xll.EPMOlapMemberO("[CLACO].[PARENTH1].[AMSAG_VIAJES]","","Gastos de Viajes","","000")</f>
        <v>Gastos de Viajes</v>
      </c>
      <c r="C142" s="6">
        <v>45207.040000000001</v>
      </c>
      <c r="D142" s="6">
        <v>54414.84</v>
      </c>
      <c r="E142" s="6">
        <f t="shared" si="8"/>
        <v>9207.7999999999956</v>
      </c>
      <c r="F142" s="6">
        <v>26514.62</v>
      </c>
      <c r="G142" s="6">
        <v>58735.32</v>
      </c>
      <c r="H142" s="6">
        <f t="shared" si="9"/>
        <v>32220.7</v>
      </c>
      <c r="I142" s="6">
        <v>17713.62</v>
      </c>
      <c r="J142" s="6">
        <v>24058.01</v>
      </c>
      <c r="K142" s="6">
        <f t="shared" si="10"/>
        <v>6344.3899999999994</v>
      </c>
      <c r="L142" s="6">
        <v>33616.160000000003</v>
      </c>
      <c r="M142" s="6">
        <v>23742.21</v>
      </c>
      <c r="N142" s="6">
        <f t="shared" si="11"/>
        <v>-9873.9500000000044</v>
      </c>
    </row>
    <row r="143" spans="1:14" x14ac:dyDescent="0.3">
      <c r="A143" s="8"/>
      <c r="B143" t="str">
        <f xml:space="preserve"> _xll.EPMOlapMemberO("[CLACO].[PARENTH1].[AMSAGGENERALES.2]","","Otros Gastos","","000")</f>
        <v>Otros Gastos</v>
      </c>
      <c r="C143" s="6">
        <v>194.73</v>
      </c>
      <c r="D143" s="6">
        <v>977.99</v>
      </c>
      <c r="E143" s="6">
        <f t="shared" si="8"/>
        <v>783.26</v>
      </c>
      <c r="F143" s="6">
        <v>1429.26</v>
      </c>
      <c r="G143" s="6"/>
      <c r="H143" s="6">
        <f t="shared" si="9"/>
        <v>-1429.26</v>
      </c>
      <c r="I143" s="6">
        <v>552.30999999999995</v>
      </c>
      <c r="J143" s="6">
        <v>2500</v>
      </c>
      <c r="K143" s="6">
        <f t="shared" si="10"/>
        <v>1947.69</v>
      </c>
      <c r="L143" s="6">
        <v>6319.73</v>
      </c>
      <c r="M143" s="6">
        <v>17200.27</v>
      </c>
      <c r="N143" s="6">
        <f t="shared" si="11"/>
        <v>10880.54</v>
      </c>
    </row>
    <row r="144" spans="1:14" x14ac:dyDescent="0.3">
      <c r="A144" s="8" t="str">
        <f xml:space="preserve"> _xll.EPMOlapMemberO("[CECO].[PARENTH3].[AMSA1000AC0540]","","Chief Operating Offi","","000")</f>
        <v>Chief Operating Offi</v>
      </c>
      <c r="B144" t="str">
        <f xml:space="preserve"> _xll.EPMOlapMemberO("[CLACO].[PARENTH1].[AMSAADM_PERSON]","","Administración Perso","","000")</f>
        <v>Administración Perso</v>
      </c>
      <c r="C144" s="6"/>
      <c r="D144" s="6"/>
      <c r="E144" s="6">
        <f t="shared" si="8"/>
        <v>0</v>
      </c>
      <c r="F144" s="6"/>
      <c r="G144" s="6"/>
      <c r="H144" s="6">
        <f t="shared" si="9"/>
        <v>0</v>
      </c>
      <c r="I144" s="6"/>
      <c r="J144" s="6"/>
      <c r="K144" s="6">
        <f t="shared" si="10"/>
        <v>0</v>
      </c>
      <c r="L144" s="6">
        <v>32597.1</v>
      </c>
      <c r="M144" s="6"/>
      <c r="N144" s="6">
        <f t="shared" si="11"/>
        <v>-32597.1</v>
      </c>
    </row>
    <row r="145" spans="1:14" x14ac:dyDescent="0.3">
      <c r="A145" s="8"/>
      <c r="B145" t="str">
        <f xml:space="preserve"> _xll.EPMOlapMemberO("[CLACO].[PARENTH1].[AMSAENTRENAMI]","","Entrenamiento","","000")</f>
        <v>Entrenamiento</v>
      </c>
      <c r="C145" s="6"/>
      <c r="D145" s="6"/>
      <c r="E145" s="6">
        <f t="shared" si="8"/>
        <v>0</v>
      </c>
      <c r="F145" s="6"/>
      <c r="G145" s="6"/>
      <c r="H145" s="6">
        <f t="shared" si="9"/>
        <v>0</v>
      </c>
      <c r="I145" s="6">
        <v>44841.68</v>
      </c>
      <c r="J145" s="6">
        <v>12578.62</v>
      </c>
      <c r="K145" s="6">
        <f t="shared" si="10"/>
        <v>-32263.059999999998</v>
      </c>
      <c r="L145" s="6">
        <v>16548.259999999998</v>
      </c>
      <c r="M145" s="6">
        <v>12578.4</v>
      </c>
      <c r="N145" s="6">
        <f t="shared" si="11"/>
        <v>-3969.8599999999988</v>
      </c>
    </row>
    <row r="146" spans="1:14" x14ac:dyDescent="0.3">
      <c r="A146" s="8"/>
      <c r="B146" t="str">
        <f xml:space="preserve"> _xll.EPMOlapMemberO("[CLACO].[PARENTH1].[AMSAASESORIAS]","","Asesorías y Consulto","","000")</f>
        <v>Asesorías y Consulto</v>
      </c>
      <c r="C146" s="6"/>
      <c r="D146" s="6"/>
      <c r="E146" s="6">
        <f t="shared" si="8"/>
        <v>0</v>
      </c>
      <c r="F146" s="6"/>
      <c r="G146" s="6"/>
      <c r="H146" s="6">
        <f t="shared" si="9"/>
        <v>0</v>
      </c>
      <c r="I146" s="6"/>
      <c r="J146" s="6">
        <v>200000</v>
      </c>
      <c r="K146" s="6">
        <f t="shared" si="10"/>
        <v>200000</v>
      </c>
      <c r="L146" s="6"/>
      <c r="M146" s="6">
        <v>79999.67</v>
      </c>
      <c r="N146" s="6">
        <f t="shared" si="11"/>
        <v>79999.67</v>
      </c>
    </row>
    <row r="147" spans="1:14" x14ac:dyDescent="0.3">
      <c r="A147" s="8"/>
      <c r="B147" t="str">
        <f xml:space="preserve"> _xll.EPMOlapMemberO("[CLACO].[PARENTH1].[AMSASERMANTO.REPA]","","Servicios Mantenimie","","000")</f>
        <v>Servicios Mantenimie</v>
      </c>
      <c r="C147" s="6"/>
      <c r="D147" s="6"/>
      <c r="E147" s="6">
        <f t="shared" si="8"/>
        <v>0</v>
      </c>
      <c r="F147" s="6"/>
      <c r="G147" s="6"/>
      <c r="H147" s="6">
        <f t="shared" si="9"/>
        <v>0</v>
      </c>
      <c r="I147" s="6"/>
      <c r="J147" s="6"/>
      <c r="K147" s="6">
        <f t="shared" si="10"/>
        <v>0</v>
      </c>
      <c r="L147" s="6">
        <v>204.81</v>
      </c>
      <c r="M147" s="6"/>
      <c r="N147" s="6">
        <f t="shared" si="11"/>
        <v>-204.81</v>
      </c>
    </row>
    <row r="148" spans="1:14" x14ac:dyDescent="0.3">
      <c r="A148" s="8"/>
      <c r="B148" t="str">
        <f xml:space="preserve"> _xll.EPMOlapMemberO("[CLACO].[PARENTH1].[AMSAINFORMATIC]","","Informática y Comuni","","000")</f>
        <v>Informática y Comuni</v>
      </c>
      <c r="C148" s="6"/>
      <c r="D148" s="6"/>
      <c r="E148" s="6">
        <f t="shared" si="8"/>
        <v>0</v>
      </c>
      <c r="F148" s="6">
        <v>861.08</v>
      </c>
      <c r="G148" s="6"/>
      <c r="H148" s="6">
        <f t="shared" si="9"/>
        <v>-861.08</v>
      </c>
      <c r="I148" s="6">
        <v>383.07</v>
      </c>
      <c r="J148" s="6">
        <v>5000</v>
      </c>
      <c r="K148" s="6">
        <f t="shared" si="10"/>
        <v>4616.93</v>
      </c>
      <c r="L148" s="6">
        <v>746.5</v>
      </c>
      <c r="M148" s="6">
        <v>5000.0600000000004</v>
      </c>
      <c r="N148" s="6">
        <f t="shared" si="11"/>
        <v>4253.5600000000004</v>
      </c>
    </row>
    <row r="149" spans="1:14" x14ac:dyDescent="0.3">
      <c r="A149" s="8"/>
      <c r="B149" t="str">
        <f xml:space="preserve"> _xll.EPMOlapMemberO("[CLACO].[PARENTH1].[AMSAG_VIAJES]","","Gastos de Viajes","","000")</f>
        <v>Gastos de Viajes</v>
      </c>
      <c r="C149" s="6"/>
      <c r="D149" s="6"/>
      <c r="E149" s="6">
        <f t="shared" si="8"/>
        <v>0</v>
      </c>
      <c r="F149" s="6">
        <v>6403.48</v>
      </c>
      <c r="G149" s="6"/>
      <c r="H149" s="6">
        <f t="shared" si="9"/>
        <v>-6403.48</v>
      </c>
      <c r="I149" s="6">
        <v>29454.91</v>
      </c>
      <c r="J149" s="6">
        <v>36896.019999999997</v>
      </c>
      <c r="K149" s="6">
        <f t="shared" si="10"/>
        <v>7441.1099999999969</v>
      </c>
      <c r="L149" s="6">
        <v>52661.47</v>
      </c>
      <c r="M149" s="6">
        <v>36896.17</v>
      </c>
      <c r="N149" s="6">
        <f t="shared" si="11"/>
        <v>-15765.300000000003</v>
      </c>
    </row>
    <row r="150" spans="1:14" x14ac:dyDescent="0.3">
      <c r="A150" s="8"/>
      <c r="B150" t="str">
        <f xml:space="preserve"> _xll.EPMOlapMemberO("[CLACO].[PARENTH1].[AMSAGGENERALES.2]","","Otros Gastos","","000")</f>
        <v>Otros Gastos</v>
      </c>
      <c r="C150" s="6"/>
      <c r="D150" s="6"/>
      <c r="E150" s="6">
        <f t="shared" si="8"/>
        <v>0</v>
      </c>
      <c r="F150" s="6">
        <v>462.96</v>
      </c>
      <c r="G150" s="6"/>
      <c r="H150" s="6">
        <f t="shared" si="9"/>
        <v>-462.96</v>
      </c>
      <c r="I150" s="6">
        <v>331.35</v>
      </c>
      <c r="J150" s="6">
        <v>6522.02</v>
      </c>
      <c r="K150" s="6">
        <f t="shared" si="10"/>
        <v>6190.67</v>
      </c>
      <c r="L150" s="6">
        <v>12850.94</v>
      </c>
      <c r="M150" s="6">
        <v>6000.03</v>
      </c>
      <c r="N150" s="6">
        <f t="shared" si="11"/>
        <v>-6850.9100000000008</v>
      </c>
    </row>
    <row r="151" spans="1:14" x14ac:dyDescent="0.3">
      <c r="A151" s="8" t="str">
        <f xml:space="preserve"> _xll.EPMOlapMemberO("[CECO].[PARENTH3].[AMSA1000AC7013]","","Gcia Recursos Minero","","000")</f>
        <v>Gcia Recursos Minero</v>
      </c>
      <c r="B151" t="str">
        <f xml:space="preserve"> _xll.EPMOlapMemberO("[CLACO].[PARENTH1].[AMSAREMUNERACI.SS]","","Remuneraciones Super","","000")</f>
        <v>Remuneraciones Super</v>
      </c>
      <c r="C151" s="6">
        <v>794561.87</v>
      </c>
      <c r="D151" s="6">
        <v>798204.04</v>
      </c>
      <c r="E151" s="6">
        <f t="shared" si="8"/>
        <v>3642.1700000000419</v>
      </c>
      <c r="F151" s="6">
        <v>974183.08</v>
      </c>
      <c r="G151" s="6">
        <v>833342.84</v>
      </c>
      <c r="H151" s="6">
        <f t="shared" si="9"/>
        <v>-140840.24</v>
      </c>
      <c r="I151" s="6">
        <v>1070162</v>
      </c>
      <c r="J151" s="6">
        <v>1069445.28</v>
      </c>
      <c r="K151" s="6">
        <f t="shared" si="10"/>
        <v>-716.71999999997206</v>
      </c>
      <c r="L151" s="6">
        <v>734969.12</v>
      </c>
      <c r="M151" s="6">
        <v>1248783.94</v>
      </c>
      <c r="N151" s="6">
        <f t="shared" si="11"/>
        <v>513814.81999999995</v>
      </c>
    </row>
    <row r="152" spans="1:14" x14ac:dyDescent="0.3">
      <c r="A152" s="8"/>
      <c r="B152" t="str">
        <f xml:space="preserve"> _xll.EPMOlapMemberO("[CLACO].[PARENTH1].[AMSAMAT_Y_REP.2]","","Materiales y repuest","","000")</f>
        <v>Materiales y repuest</v>
      </c>
      <c r="C152" s="6"/>
      <c r="D152" s="6"/>
      <c r="E152" s="6">
        <f t="shared" si="8"/>
        <v>0</v>
      </c>
      <c r="F152" s="6">
        <v>0</v>
      </c>
      <c r="G152" s="6"/>
      <c r="H152" s="6">
        <f t="shared" si="9"/>
        <v>0</v>
      </c>
      <c r="I152" s="6"/>
      <c r="J152" s="6"/>
      <c r="K152" s="6">
        <f t="shared" si="10"/>
        <v>0</v>
      </c>
      <c r="L152" s="6"/>
      <c r="M152" s="6"/>
      <c r="N152" s="6">
        <f t="shared" si="11"/>
        <v>0</v>
      </c>
    </row>
    <row r="153" spans="1:14" x14ac:dyDescent="0.3">
      <c r="A153" s="8"/>
      <c r="B153" t="str">
        <f xml:space="preserve"> _xll.EPMOlapMemberO("[CLACO].[PARENTH1].[AMSAADM_PERSON]","","Administración Perso","","000")</f>
        <v>Administración Perso</v>
      </c>
      <c r="C153" s="6"/>
      <c r="D153" s="6"/>
      <c r="E153" s="6">
        <f t="shared" si="8"/>
        <v>0</v>
      </c>
      <c r="F153" s="6"/>
      <c r="G153" s="6"/>
      <c r="H153" s="6">
        <f t="shared" si="9"/>
        <v>0</v>
      </c>
      <c r="I153" s="6"/>
      <c r="J153" s="6"/>
      <c r="K153" s="6">
        <f t="shared" si="10"/>
        <v>0</v>
      </c>
      <c r="L153" s="6">
        <v>38.99</v>
      </c>
      <c r="M153" s="6"/>
      <c r="N153" s="6">
        <f t="shared" si="11"/>
        <v>-38.99</v>
      </c>
    </row>
    <row r="154" spans="1:14" x14ac:dyDescent="0.3">
      <c r="A154" s="8"/>
      <c r="B154" t="str">
        <f xml:space="preserve"> _xll.EPMOlapMemberO("[CLACO].[PARENTH1].[AMSAENTRENAMI]","","Entrenamiento","","000")</f>
        <v>Entrenamiento</v>
      </c>
      <c r="C154" s="6">
        <v>24453.439999999999</v>
      </c>
      <c r="D154" s="6"/>
      <c r="E154" s="6">
        <f t="shared" si="8"/>
        <v>-24453.439999999999</v>
      </c>
      <c r="F154" s="6">
        <v>450.23</v>
      </c>
      <c r="G154" s="6"/>
      <c r="H154" s="6">
        <f t="shared" si="9"/>
        <v>-450.23</v>
      </c>
      <c r="I154" s="6">
        <v>3277.84</v>
      </c>
      <c r="J154" s="6"/>
      <c r="K154" s="6">
        <f t="shared" si="10"/>
        <v>-3277.84</v>
      </c>
      <c r="L154" s="6">
        <v>3459.8</v>
      </c>
      <c r="M154" s="6"/>
      <c r="N154" s="6">
        <f t="shared" si="11"/>
        <v>-3459.8</v>
      </c>
    </row>
    <row r="155" spans="1:14" x14ac:dyDescent="0.3">
      <c r="A155" s="8"/>
      <c r="B155" t="str">
        <f xml:space="preserve"> _xll.EPMOlapMemberO("[CLACO].[PARENTH1].[AMSAASESORIAS]","","Asesorías y Consulto","","000")</f>
        <v>Asesorías y Consulto</v>
      </c>
      <c r="C155" s="6">
        <v>156317.4</v>
      </c>
      <c r="D155" s="6">
        <v>292615.84000000003</v>
      </c>
      <c r="E155" s="6">
        <f t="shared" si="8"/>
        <v>136298.44000000003</v>
      </c>
      <c r="F155" s="6">
        <v>177186.94</v>
      </c>
      <c r="G155" s="6">
        <v>173868.17</v>
      </c>
      <c r="H155" s="6">
        <f t="shared" si="9"/>
        <v>-3318.7699999999895</v>
      </c>
      <c r="I155" s="6">
        <v>74376.72</v>
      </c>
      <c r="J155" s="6"/>
      <c r="K155" s="6">
        <f t="shared" si="10"/>
        <v>-74376.72</v>
      </c>
      <c r="L155" s="6"/>
      <c r="M155" s="6"/>
      <c r="N155" s="6">
        <f t="shared" si="11"/>
        <v>0</v>
      </c>
    </row>
    <row r="156" spans="1:14" x14ac:dyDescent="0.3">
      <c r="A156" s="8"/>
      <c r="B156" t="str">
        <f xml:space="preserve"> _xll.EPMOlapMemberO("[CLACO].[PARENTH1].[AMSASERVICIOS]","","Servicios","","000")</f>
        <v>Servicios</v>
      </c>
      <c r="C156" s="6"/>
      <c r="D156" s="6"/>
      <c r="E156" s="6">
        <f t="shared" si="8"/>
        <v>0</v>
      </c>
      <c r="F156" s="6">
        <v>7977.94</v>
      </c>
      <c r="G156" s="6"/>
      <c r="H156" s="6">
        <f t="shared" si="9"/>
        <v>-7977.94</v>
      </c>
      <c r="I156" s="6">
        <v>281640.43</v>
      </c>
      <c r="J156" s="6">
        <v>360000.01</v>
      </c>
      <c r="K156" s="6">
        <f t="shared" si="10"/>
        <v>78359.580000000016</v>
      </c>
      <c r="L156" s="6">
        <v>328001.28000000003</v>
      </c>
      <c r="M156" s="6">
        <v>335006.77</v>
      </c>
      <c r="N156" s="6">
        <f t="shared" si="11"/>
        <v>7005.4899999999907</v>
      </c>
    </row>
    <row r="157" spans="1:14" x14ac:dyDescent="0.3">
      <c r="A157" s="8"/>
      <c r="B157" t="str">
        <f xml:space="preserve"> _xll.EPMOlapMemberO("[CLACO].[PARENTH1].[AMSASERMANTO.REPA]","","Servicios Mantenimie","","000")</f>
        <v>Servicios Mantenimie</v>
      </c>
      <c r="C157" s="6"/>
      <c r="D157" s="6"/>
      <c r="E157" s="6">
        <f t="shared" si="8"/>
        <v>0</v>
      </c>
      <c r="F157" s="6">
        <v>279.76</v>
      </c>
      <c r="G157" s="6"/>
      <c r="H157" s="6">
        <f t="shared" si="9"/>
        <v>-279.76</v>
      </c>
      <c r="I157" s="6"/>
      <c r="J157" s="6"/>
      <c r="K157" s="6">
        <f t="shared" si="10"/>
        <v>0</v>
      </c>
      <c r="L157" s="6"/>
      <c r="M157" s="6"/>
      <c r="N157" s="6">
        <f t="shared" si="11"/>
        <v>0</v>
      </c>
    </row>
    <row r="158" spans="1:14" x14ac:dyDescent="0.3">
      <c r="A158" s="8"/>
      <c r="B158" t="str">
        <f xml:space="preserve"> _xll.EPMOlapMemberO("[CLACO].[PARENTH1].[AMSAINFORMATIC]","","Informática y Comuni","","000")</f>
        <v>Informática y Comuni</v>
      </c>
      <c r="C158" s="6">
        <v>100134.26</v>
      </c>
      <c r="D158" s="6">
        <v>89054.35</v>
      </c>
      <c r="E158" s="6">
        <f t="shared" si="8"/>
        <v>-11079.909999999989</v>
      </c>
      <c r="F158" s="6">
        <v>63702.89</v>
      </c>
      <c r="G158" s="6">
        <v>99265.98</v>
      </c>
      <c r="H158" s="6">
        <f t="shared" si="9"/>
        <v>35563.089999999997</v>
      </c>
      <c r="I158" s="6">
        <v>141371.44</v>
      </c>
      <c r="J158" s="6">
        <v>140460</v>
      </c>
      <c r="K158" s="6">
        <f t="shared" si="10"/>
        <v>-911.44000000000233</v>
      </c>
      <c r="L158" s="6">
        <v>129287.53</v>
      </c>
      <c r="M158" s="6">
        <v>145463.67999999999</v>
      </c>
      <c r="N158" s="6">
        <f t="shared" si="11"/>
        <v>16176.149999999994</v>
      </c>
    </row>
    <row r="159" spans="1:14" x14ac:dyDescent="0.3">
      <c r="A159" s="8"/>
      <c r="B159" t="str">
        <f xml:space="preserve"> _xll.EPMOlapMemberO("[CLACO].[PARENTH1].[AMSAG_VIAJES]","","Gastos de Viajes","","000")</f>
        <v>Gastos de Viajes</v>
      </c>
      <c r="C159" s="6">
        <v>603.39</v>
      </c>
      <c r="D159" s="6">
        <v>8740.7000000000007</v>
      </c>
      <c r="E159" s="6">
        <f t="shared" si="8"/>
        <v>8137.31</v>
      </c>
      <c r="F159" s="6">
        <v>3636.57</v>
      </c>
      <c r="G159" s="6">
        <v>10494.51</v>
      </c>
      <c r="H159" s="6">
        <f t="shared" si="9"/>
        <v>6857.9400000000005</v>
      </c>
      <c r="I159" s="6">
        <v>6310.87</v>
      </c>
      <c r="J159" s="6">
        <v>22367</v>
      </c>
      <c r="K159" s="6">
        <f t="shared" si="10"/>
        <v>16056.130000000001</v>
      </c>
      <c r="L159" s="6">
        <v>2403.92</v>
      </c>
      <c r="M159" s="6">
        <v>10855.07</v>
      </c>
      <c r="N159" s="6">
        <f t="shared" si="11"/>
        <v>8451.15</v>
      </c>
    </row>
    <row r="160" spans="1:14" x14ac:dyDescent="0.3">
      <c r="A160" s="8"/>
      <c r="B160" t="str">
        <f xml:space="preserve"> _xll.EPMOlapMemberO("[CLACO].[PARENTH1].[AMSAGGENERALES.2]","","Otros Gastos","","000")</f>
        <v>Otros Gastos</v>
      </c>
      <c r="C160" s="6">
        <v>1144.17</v>
      </c>
      <c r="D160" s="6">
        <v>1464.31</v>
      </c>
      <c r="E160" s="6">
        <f t="shared" si="8"/>
        <v>320.13999999999987</v>
      </c>
      <c r="F160" s="6">
        <v>801.68</v>
      </c>
      <c r="G160" s="6">
        <v>913.31</v>
      </c>
      <c r="H160" s="6">
        <f t="shared" si="9"/>
        <v>111.63</v>
      </c>
      <c r="I160" s="6">
        <v>1226.55</v>
      </c>
      <c r="J160" s="6">
        <v>1579.99</v>
      </c>
      <c r="K160" s="6">
        <f t="shared" si="10"/>
        <v>353.44000000000005</v>
      </c>
      <c r="L160" s="6">
        <v>3966.72</v>
      </c>
      <c r="M160" s="6">
        <v>11580.48</v>
      </c>
      <c r="N160" s="6">
        <f t="shared" si="11"/>
        <v>7613.76</v>
      </c>
    </row>
    <row r="161" spans="1:14" x14ac:dyDescent="0.3">
      <c r="A161" s="8" t="str">
        <f xml:space="preserve"> _xll.EPMOlapMemberO("[CECO].[PARENTH3].[AMSA1000AC7015]","","Gcia Recurs Hídricos","","000")</f>
        <v>Gcia Recurs Hídricos</v>
      </c>
      <c r="B161" t="str">
        <f xml:space="preserve"> _xll.EPMOlapMemberO("[CLACO].[PARENTH1].[AMSAREMUNERACI.SS]","","Remuneraciones Super","","000")</f>
        <v>Remuneraciones Super</v>
      </c>
      <c r="C161" s="6"/>
      <c r="D161" s="6"/>
      <c r="E161" s="6">
        <f t="shared" si="8"/>
        <v>0</v>
      </c>
      <c r="F161" s="6"/>
      <c r="G161" s="6"/>
      <c r="H161" s="6">
        <f t="shared" si="9"/>
        <v>0</v>
      </c>
      <c r="I161" s="6"/>
      <c r="J161" s="6">
        <v>611730.35</v>
      </c>
      <c r="K161" s="6">
        <f t="shared" si="10"/>
        <v>611730.35</v>
      </c>
      <c r="L161" s="6"/>
      <c r="M161" s="6">
        <v>720719.21</v>
      </c>
      <c r="N161" s="6">
        <f t="shared" si="11"/>
        <v>720719.21</v>
      </c>
    </row>
    <row r="162" spans="1:14" x14ac:dyDescent="0.3">
      <c r="A162" s="8"/>
      <c r="B162" t="str">
        <f xml:space="preserve"> _xll.EPMOlapMemberO("[CLACO].[PARENTH1].[AMSAADM_PERSON]","","Administración Perso","","000")</f>
        <v>Administración Perso</v>
      </c>
      <c r="C162" s="6"/>
      <c r="D162" s="6"/>
      <c r="E162" s="6">
        <f t="shared" si="8"/>
        <v>0</v>
      </c>
      <c r="F162" s="6"/>
      <c r="G162" s="6"/>
      <c r="H162" s="6">
        <f t="shared" si="9"/>
        <v>0</v>
      </c>
      <c r="I162" s="6"/>
      <c r="J162" s="6"/>
      <c r="K162" s="6">
        <f t="shared" si="10"/>
        <v>0</v>
      </c>
      <c r="L162" s="6">
        <v>19.25</v>
      </c>
      <c r="M162" s="6"/>
      <c r="N162" s="6">
        <f t="shared" si="11"/>
        <v>-19.25</v>
      </c>
    </row>
    <row r="163" spans="1:14" x14ac:dyDescent="0.3">
      <c r="A163" s="8"/>
      <c r="B163" t="str">
        <f xml:space="preserve"> _xll.EPMOlapMemberO("[CLACO].[PARENTH1].[AMSAENTRENAMI]","","Entrenamiento","","000")</f>
        <v>Entrenamiento</v>
      </c>
      <c r="C163" s="6"/>
      <c r="D163" s="6">
        <v>1543.26</v>
      </c>
      <c r="E163" s="6">
        <f t="shared" si="8"/>
        <v>1543.26</v>
      </c>
      <c r="F163" s="6"/>
      <c r="G163" s="6"/>
      <c r="H163" s="6">
        <f t="shared" si="9"/>
        <v>0</v>
      </c>
      <c r="I163" s="6">
        <v>10578.91</v>
      </c>
      <c r="J163" s="6">
        <v>23100</v>
      </c>
      <c r="K163" s="6">
        <f t="shared" si="10"/>
        <v>12521.09</v>
      </c>
      <c r="L163" s="6">
        <v>3323.37</v>
      </c>
      <c r="M163" s="6"/>
      <c r="N163" s="6">
        <f t="shared" si="11"/>
        <v>-3323.37</v>
      </c>
    </row>
    <row r="164" spans="1:14" x14ac:dyDescent="0.3">
      <c r="A164" s="8"/>
      <c r="B164" t="str">
        <f xml:space="preserve"> _xll.EPMOlapMemberO("[CLACO].[PARENTH1].[AMSAASESORIAS]","","Asesorías y Consulto","","000")</f>
        <v>Asesorías y Consulto</v>
      </c>
      <c r="C164" s="6">
        <v>171345.04</v>
      </c>
      <c r="D164" s="6">
        <v>162401.57</v>
      </c>
      <c r="E164" s="6">
        <f t="shared" si="8"/>
        <v>-8943.4700000000012</v>
      </c>
      <c r="F164" s="6">
        <v>219759.58</v>
      </c>
      <c r="G164" s="6">
        <v>212082.77</v>
      </c>
      <c r="H164" s="6">
        <f t="shared" si="9"/>
        <v>-7676.8099999999977</v>
      </c>
      <c r="I164" s="6">
        <v>376887.18</v>
      </c>
      <c r="J164" s="6">
        <v>385000</v>
      </c>
      <c r="K164" s="6">
        <f t="shared" si="10"/>
        <v>8112.820000000007</v>
      </c>
      <c r="L164" s="6">
        <v>27969.75</v>
      </c>
      <c r="M164" s="6"/>
      <c r="N164" s="6">
        <f t="shared" si="11"/>
        <v>-27969.75</v>
      </c>
    </row>
    <row r="165" spans="1:14" x14ac:dyDescent="0.3">
      <c r="A165" s="8"/>
      <c r="B165" t="str">
        <f xml:space="preserve"> _xll.EPMOlapMemberO("[CLACO].[PARENTH1].[AMSAARRIENDOS]","","Arriendos","","000")</f>
        <v>Arriendos</v>
      </c>
      <c r="C165" s="6"/>
      <c r="D165" s="6">
        <v>523.41</v>
      </c>
      <c r="E165" s="6">
        <f t="shared" si="8"/>
        <v>523.41</v>
      </c>
      <c r="F165" s="6"/>
      <c r="G165" s="6"/>
      <c r="H165" s="6">
        <f t="shared" si="9"/>
        <v>0</v>
      </c>
      <c r="I165" s="6"/>
      <c r="J165" s="6"/>
      <c r="K165" s="6">
        <f t="shared" si="10"/>
        <v>0</v>
      </c>
      <c r="L165" s="6"/>
      <c r="M165" s="6"/>
      <c r="N165" s="6">
        <f t="shared" si="11"/>
        <v>0</v>
      </c>
    </row>
    <row r="166" spans="1:14" x14ac:dyDescent="0.3">
      <c r="A166" s="8"/>
      <c r="B166" t="str">
        <f xml:space="preserve"> _xll.EPMOlapMemberO("[CLACO].[PARENTH1].[AMSASERVICIOS]","","Servicios","","000")</f>
        <v>Servicios</v>
      </c>
      <c r="C166" s="6"/>
      <c r="D166" s="6"/>
      <c r="E166" s="6">
        <f t="shared" si="8"/>
        <v>0</v>
      </c>
      <c r="F166" s="6">
        <v>159083.57999999999</v>
      </c>
      <c r="G166" s="6">
        <v>163013.43</v>
      </c>
      <c r="H166" s="6">
        <f t="shared" si="9"/>
        <v>3929.8500000000058</v>
      </c>
      <c r="I166" s="6">
        <v>294510.96000000002</v>
      </c>
      <c r="J166" s="6">
        <v>242848</v>
      </c>
      <c r="K166" s="6">
        <f t="shared" si="10"/>
        <v>-51662.960000000021</v>
      </c>
      <c r="L166" s="6">
        <v>561270.27</v>
      </c>
      <c r="M166" s="6">
        <v>602030.4</v>
      </c>
      <c r="N166" s="6">
        <f t="shared" si="11"/>
        <v>40760.130000000005</v>
      </c>
    </row>
    <row r="167" spans="1:14" x14ac:dyDescent="0.3">
      <c r="A167" s="8"/>
      <c r="B167" t="str">
        <f xml:space="preserve"> _xll.EPMOlapMemberO("[CLACO].[PARENTH1].[AMSAINFORMATIC]","","Informática y Comuni","","000")</f>
        <v>Informática y Comuni</v>
      </c>
      <c r="C167" s="6">
        <v>23625</v>
      </c>
      <c r="D167" s="6">
        <v>23701.35</v>
      </c>
      <c r="E167" s="6">
        <f t="shared" si="8"/>
        <v>76.349999999998545</v>
      </c>
      <c r="F167" s="6">
        <v>293.52</v>
      </c>
      <c r="G167" s="6">
        <v>9271.2099999999991</v>
      </c>
      <c r="H167" s="6">
        <f t="shared" si="9"/>
        <v>8977.6899999999987</v>
      </c>
      <c r="I167" s="6">
        <v>1623.09</v>
      </c>
      <c r="J167" s="6">
        <v>11317</v>
      </c>
      <c r="K167" s="6">
        <f t="shared" si="10"/>
        <v>9693.91</v>
      </c>
      <c r="L167" s="6">
        <v>18168.59</v>
      </c>
      <c r="M167" s="6">
        <v>12880.07</v>
      </c>
      <c r="N167" s="6">
        <f t="shared" si="11"/>
        <v>-5288.52</v>
      </c>
    </row>
    <row r="168" spans="1:14" x14ac:dyDescent="0.3">
      <c r="A168" s="8"/>
      <c r="B168" t="str">
        <f xml:space="preserve"> _xll.EPMOlapMemberO("[CLACO].[PARENTH1].[AMSAG_VIAJES]","","Gastos de Viajes","","000")</f>
        <v>Gastos de Viajes</v>
      </c>
      <c r="C168" s="6">
        <v>717.86</v>
      </c>
      <c r="D168" s="6">
        <v>14372.8</v>
      </c>
      <c r="E168" s="6">
        <f t="shared" si="8"/>
        <v>13654.939999999999</v>
      </c>
      <c r="F168" s="6">
        <v>20227.54</v>
      </c>
      <c r="G168" s="6">
        <v>6043.97</v>
      </c>
      <c r="H168" s="6">
        <f t="shared" si="9"/>
        <v>-14183.57</v>
      </c>
      <c r="I168" s="6">
        <v>23755.77</v>
      </c>
      <c r="J168" s="6">
        <v>26243</v>
      </c>
      <c r="K168" s="6">
        <f t="shared" si="10"/>
        <v>2487.2299999999996</v>
      </c>
      <c r="L168" s="6">
        <v>9103.3799999999992</v>
      </c>
      <c r="M168" s="6">
        <v>23091.96</v>
      </c>
      <c r="N168" s="6">
        <f t="shared" si="11"/>
        <v>13988.58</v>
      </c>
    </row>
    <row r="169" spans="1:14" x14ac:dyDescent="0.3">
      <c r="A169" s="8"/>
      <c r="B169" t="str">
        <f xml:space="preserve"> _xll.EPMOlapMemberO("[CLACO].[PARENTH1].[AMSAGGENERALES.2]","","Otros Gastos","","000")</f>
        <v>Otros Gastos</v>
      </c>
      <c r="C169" s="6">
        <v>377.62</v>
      </c>
      <c r="D169" s="6">
        <v>384.05</v>
      </c>
      <c r="E169" s="6">
        <f t="shared" si="8"/>
        <v>6.4300000000000068</v>
      </c>
      <c r="F169" s="6">
        <v>0.88</v>
      </c>
      <c r="G169" s="6">
        <v>4628.5200000000004</v>
      </c>
      <c r="H169" s="6">
        <f t="shared" si="9"/>
        <v>4627.6400000000003</v>
      </c>
      <c r="I169" s="6">
        <v>3751.51</v>
      </c>
      <c r="J169" s="6">
        <v>1250</v>
      </c>
      <c r="K169" s="6">
        <f t="shared" si="10"/>
        <v>-2501.5100000000002</v>
      </c>
      <c r="L169" s="6">
        <v>56126.92</v>
      </c>
      <c r="M169" s="6">
        <v>55250.87</v>
      </c>
      <c r="N169" s="6">
        <f t="shared" si="11"/>
        <v>-876.04999999999563</v>
      </c>
    </row>
    <row r="170" spans="1:14" x14ac:dyDescent="0.3">
      <c r="A170" s="8" t="str">
        <f xml:space="preserve"> _xll.EPMOlapMemberO("[CECO].[PARENTH3].[AMSA1000AC0531]","","Gcia Excel Operacion","","000")</f>
        <v>Gcia Excel Operacion</v>
      </c>
      <c r="B170" t="str">
        <f xml:space="preserve"> _xll.EPMOlapMemberO("[CLACO].[PARENTH1].[AMSAADM_PERSON]","","Administración Perso","","000")</f>
        <v>Administración Perso</v>
      </c>
      <c r="C170" s="6"/>
      <c r="D170" s="6"/>
      <c r="E170" s="6">
        <f t="shared" si="8"/>
        <v>0</v>
      </c>
      <c r="F170" s="6"/>
      <c r="G170" s="6"/>
      <c r="H170" s="6">
        <f t="shared" si="9"/>
        <v>0</v>
      </c>
      <c r="I170" s="6">
        <v>156.82</v>
      </c>
      <c r="J170" s="6"/>
      <c r="K170" s="6">
        <f t="shared" si="10"/>
        <v>-156.82</v>
      </c>
      <c r="L170" s="6">
        <v>94.08</v>
      </c>
      <c r="M170" s="6"/>
      <c r="N170" s="6">
        <f t="shared" si="11"/>
        <v>-94.08</v>
      </c>
    </row>
    <row r="171" spans="1:14" x14ac:dyDescent="0.3">
      <c r="A171" s="8"/>
      <c r="B171" t="str">
        <f xml:space="preserve"> _xll.EPMOlapMemberO("[CLACO].[PARENTH1].[AMSAENTRENAMI]","","Entrenamiento","","000")</f>
        <v>Entrenamiento</v>
      </c>
      <c r="C171" s="6"/>
      <c r="D171" s="6"/>
      <c r="E171" s="6">
        <f t="shared" si="8"/>
        <v>0</v>
      </c>
      <c r="F171" s="6"/>
      <c r="G171" s="6"/>
      <c r="H171" s="6">
        <f t="shared" si="9"/>
        <v>0</v>
      </c>
      <c r="I171" s="6">
        <v>11759.37</v>
      </c>
      <c r="J171" s="6">
        <v>30000</v>
      </c>
      <c r="K171" s="6">
        <f t="shared" si="10"/>
        <v>18240.629999999997</v>
      </c>
      <c r="L171" s="6">
        <v>33835.39</v>
      </c>
      <c r="M171" s="6"/>
      <c r="N171" s="6">
        <f t="shared" si="11"/>
        <v>-33835.39</v>
      </c>
    </row>
    <row r="172" spans="1:14" x14ac:dyDescent="0.3">
      <c r="A172" s="8"/>
      <c r="B172" t="str">
        <f xml:space="preserve"> _xll.EPMOlapMemberO("[CLACO].[PARENTH1].[AMSAASESORIAS]","","Asesorías y Consulto","","000")</f>
        <v>Asesorías y Consulto</v>
      </c>
      <c r="C172" s="6"/>
      <c r="D172" s="6"/>
      <c r="E172" s="6">
        <f t="shared" si="8"/>
        <v>0</v>
      </c>
      <c r="F172" s="6"/>
      <c r="G172" s="6"/>
      <c r="H172" s="6">
        <f t="shared" si="9"/>
        <v>0</v>
      </c>
      <c r="I172" s="6">
        <v>1911.75</v>
      </c>
      <c r="J172" s="6"/>
      <c r="K172" s="6">
        <f t="shared" si="10"/>
        <v>-1911.75</v>
      </c>
      <c r="L172" s="6">
        <v>14216.78</v>
      </c>
      <c r="M172" s="6"/>
      <c r="N172" s="6">
        <f t="shared" si="11"/>
        <v>-14216.78</v>
      </c>
    </row>
    <row r="173" spans="1:14" x14ac:dyDescent="0.3">
      <c r="A173" s="8"/>
      <c r="B173" t="str">
        <f xml:space="preserve"> _xll.EPMOlapMemberO("[CLACO].[PARENTH1].[AMSASERVICIOS]","","Servicios","","000")</f>
        <v>Servicios</v>
      </c>
      <c r="C173" s="6"/>
      <c r="D173" s="6"/>
      <c r="E173" s="6">
        <f t="shared" si="8"/>
        <v>0</v>
      </c>
      <c r="F173" s="6"/>
      <c r="G173" s="6"/>
      <c r="H173" s="6">
        <f t="shared" si="9"/>
        <v>0</v>
      </c>
      <c r="I173" s="6">
        <v>20652.52</v>
      </c>
      <c r="J173" s="6">
        <v>20000</v>
      </c>
      <c r="K173" s="6">
        <f t="shared" si="10"/>
        <v>-652.52000000000044</v>
      </c>
      <c r="L173" s="6">
        <v>48491.91</v>
      </c>
      <c r="M173" s="6">
        <v>57999.94</v>
      </c>
      <c r="N173" s="6">
        <f t="shared" si="11"/>
        <v>9508.0299999999988</v>
      </c>
    </row>
    <row r="174" spans="1:14" x14ac:dyDescent="0.3">
      <c r="A174" s="8"/>
      <c r="B174" t="str">
        <f xml:space="preserve"> _xll.EPMOlapMemberO("[CLACO].[PARENTH1].[AMSASERMANTO.REPA]","","Servicios Mantenimie","","000")</f>
        <v>Servicios Mantenimie</v>
      </c>
      <c r="C174" s="6"/>
      <c r="D174" s="6"/>
      <c r="E174" s="6">
        <f t="shared" si="8"/>
        <v>0</v>
      </c>
      <c r="F174" s="6"/>
      <c r="G174" s="6"/>
      <c r="H174" s="6">
        <f t="shared" si="9"/>
        <v>0</v>
      </c>
      <c r="I174" s="6"/>
      <c r="J174" s="6"/>
      <c r="K174" s="6">
        <f t="shared" si="10"/>
        <v>0</v>
      </c>
      <c r="L174" s="6">
        <v>929.33</v>
      </c>
      <c r="M174" s="6"/>
      <c r="N174" s="6">
        <f t="shared" si="11"/>
        <v>-929.33</v>
      </c>
    </row>
    <row r="175" spans="1:14" x14ac:dyDescent="0.3">
      <c r="A175" s="8"/>
      <c r="B175" t="str">
        <f xml:space="preserve"> _xll.EPMOlapMemberO("[CLACO].[PARENTH1].[AMSAINFORMATIC]","","Informática y Comuni","","000")</f>
        <v>Informática y Comuni</v>
      </c>
      <c r="C175" s="6"/>
      <c r="D175" s="6"/>
      <c r="E175" s="6">
        <f t="shared" si="8"/>
        <v>0</v>
      </c>
      <c r="F175" s="6"/>
      <c r="G175" s="6"/>
      <c r="H175" s="6">
        <f t="shared" si="9"/>
        <v>0</v>
      </c>
      <c r="I175" s="6">
        <v>1296.71</v>
      </c>
      <c r="J175" s="6">
        <v>3000</v>
      </c>
      <c r="K175" s="6">
        <f t="shared" si="10"/>
        <v>1703.29</v>
      </c>
      <c r="L175" s="6">
        <v>3770.89</v>
      </c>
      <c r="M175" s="6">
        <v>2000.01</v>
      </c>
      <c r="N175" s="6">
        <f t="shared" si="11"/>
        <v>-1770.8799999999999</v>
      </c>
    </row>
    <row r="176" spans="1:14" x14ac:dyDescent="0.3">
      <c r="A176" s="8"/>
      <c r="B176" t="str">
        <f xml:space="preserve"> _xll.EPMOlapMemberO("[CLACO].[PARENTH1].[AMSAG_VIAJES]","","Gastos de Viajes","","000")</f>
        <v>Gastos de Viajes</v>
      </c>
      <c r="C176" s="6"/>
      <c r="D176" s="6"/>
      <c r="E176" s="6">
        <f t="shared" si="8"/>
        <v>0</v>
      </c>
      <c r="F176" s="6"/>
      <c r="G176" s="6"/>
      <c r="H176" s="6">
        <f t="shared" si="9"/>
        <v>0</v>
      </c>
      <c r="I176" s="6">
        <v>38620.160000000003</v>
      </c>
      <c r="J176" s="6">
        <v>14058</v>
      </c>
      <c r="K176" s="6">
        <f t="shared" si="10"/>
        <v>-24562.160000000003</v>
      </c>
      <c r="L176" s="6">
        <v>18307.64</v>
      </c>
      <c r="M176" s="6">
        <v>32565.24</v>
      </c>
      <c r="N176" s="6">
        <f t="shared" si="11"/>
        <v>14257.600000000002</v>
      </c>
    </row>
    <row r="177" spans="1:14" x14ac:dyDescent="0.3">
      <c r="A177" s="8"/>
      <c r="B177" t="str">
        <f xml:space="preserve"> _xll.EPMOlapMemberO("[CLACO].[PARENTH1].[AMSAGGENERALES.2]","","Otros Gastos","","000")</f>
        <v>Otros Gastos</v>
      </c>
      <c r="C177" s="6"/>
      <c r="D177" s="6"/>
      <c r="E177" s="6">
        <f t="shared" si="8"/>
        <v>0</v>
      </c>
      <c r="F177" s="6"/>
      <c r="G177" s="6"/>
      <c r="H177" s="6">
        <f t="shared" si="9"/>
        <v>0</v>
      </c>
      <c r="I177" s="6"/>
      <c r="J177" s="6"/>
      <c r="K177" s="6">
        <f t="shared" si="10"/>
        <v>0</v>
      </c>
      <c r="L177" s="6">
        <v>8937.39</v>
      </c>
      <c r="M177" s="6">
        <v>45000.73</v>
      </c>
      <c r="N177" s="6">
        <f t="shared" si="11"/>
        <v>36063.340000000004</v>
      </c>
    </row>
    <row r="178" spans="1:14" x14ac:dyDescent="0.3">
      <c r="A178" s="8" t="str">
        <f xml:space="preserve"> _xll.EPMOlapMemberO("[CECO].[PARENTH3].[AMSA1000AC0511]","","VPP","","000")</f>
        <v>VPP</v>
      </c>
      <c r="B178" t="str">
        <f xml:space="preserve"> _xll.EPMOlapMemberO("[CLACO].[PARENTH1].[AMSAREMUNERACI.SS]","","Remuneraciones Super","","000")</f>
        <v>Remuneraciones Super</v>
      </c>
      <c r="C178" s="6">
        <v>4160501.7</v>
      </c>
      <c r="D178" s="6">
        <v>4373701.87</v>
      </c>
      <c r="E178" s="6">
        <f t="shared" si="8"/>
        <v>213200.16999999993</v>
      </c>
      <c r="F178" s="6">
        <v>4497690.3600000003</v>
      </c>
      <c r="G178" s="6">
        <v>4331395.5</v>
      </c>
      <c r="H178" s="6">
        <f t="shared" si="9"/>
        <v>-166294.86000000034</v>
      </c>
      <c r="I178" s="6">
        <v>5999549.5899999999</v>
      </c>
      <c r="J178" s="6">
        <v>4774224.4000000004</v>
      </c>
      <c r="K178" s="6">
        <f t="shared" si="10"/>
        <v>-1225325.1899999995</v>
      </c>
      <c r="L178" s="6">
        <v>7453841.1200000001</v>
      </c>
      <c r="M178" s="6">
        <v>7240198.5700000003</v>
      </c>
      <c r="N178" s="6">
        <f t="shared" si="11"/>
        <v>-213642.54999999981</v>
      </c>
    </row>
    <row r="179" spans="1:14" x14ac:dyDescent="0.3">
      <c r="A179" s="8"/>
      <c r="B179" t="str">
        <f xml:space="preserve"> _xll.EPMOlapMemberO("[CLACO].[PARENTH1].[AMSAMAT_Y_REP.2]","","Materiales y repuest","","000")</f>
        <v>Materiales y repuest</v>
      </c>
      <c r="C179" s="6"/>
      <c r="D179" s="6"/>
      <c r="E179" s="6">
        <f t="shared" si="8"/>
        <v>0</v>
      </c>
      <c r="F179" s="6">
        <v>0</v>
      </c>
      <c r="G179" s="6"/>
      <c r="H179" s="6">
        <f t="shared" si="9"/>
        <v>0</v>
      </c>
      <c r="I179" s="6"/>
      <c r="J179" s="6"/>
      <c r="K179" s="6">
        <f t="shared" si="10"/>
        <v>0</v>
      </c>
      <c r="L179" s="6">
        <v>3709.55</v>
      </c>
      <c r="M179" s="6"/>
      <c r="N179" s="6">
        <f t="shared" si="11"/>
        <v>-3709.55</v>
      </c>
    </row>
    <row r="180" spans="1:14" x14ac:dyDescent="0.3">
      <c r="A180" s="8"/>
      <c r="B180" t="str">
        <f xml:space="preserve"> _xll.EPMOlapMemberO("[CLACO].[PARENTH1].[AMSAADM_PERSON]","","Administración Perso","","000")</f>
        <v>Administración Perso</v>
      </c>
      <c r="C180" s="6">
        <v>18627.759999999998</v>
      </c>
      <c r="D180" s="6">
        <v>13491.9</v>
      </c>
      <c r="E180" s="6">
        <f t="shared" si="8"/>
        <v>-5135.8599999999988</v>
      </c>
      <c r="F180" s="6"/>
      <c r="G180" s="6">
        <v>20231.39</v>
      </c>
      <c r="H180" s="6">
        <f t="shared" si="9"/>
        <v>20231.39</v>
      </c>
      <c r="I180" s="6"/>
      <c r="J180" s="6"/>
      <c r="K180" s="6">
        <f t="shared" si="10"/>
        <v>0</v>
      </c>
      <c r="L180" s="6"/>
      <c r="M180" s="6"/>
      <c r="N180" s="6">
        <f t="shared" si="11"/>
        <v>0</v>
      </c>
    </row>
    <row r="181" spans="1:14" x14ac:dyDescent="0.3">
      <c r="A181" s="8"/>
      <c r="B181" t="str">
        <f xml:space="preserve"> _xll.EPMOlapMemberO("[CLACO].[PARENTH1].[AMSAENTRENAMI]","","Entrenamiento","","000")</f>
        <v>Entrenamiento</v>
      </c>
      <c r="C181" s="6">
        <v>7691.65</v>
      </c>
      <c r="D181" s="6">
        <v>12334.88</v>
      </c>
      <c r="E181" s="6">
        <f t="shared" si="8"/>
        <v>4643.2299999999996</v>
      </c>
      <c r="F181" s="6">
        <v>1759</v>
      </c>
      <c r="G181" s="6"/>
      <c r="H181" s="6">
        <f t="shared" si="9"/>
        <v>-1759</v>
      </c>
      <c r="I181" s="6">
        <v>3243.73</v>
      </c>
      <c r="J181" s="6"/>
      <c r="K181" s="6">
        <f t="shared" si="10"/>
        <v>-3243.73</v>
      </c>
      <c r="L181" s="6">
        <v>16245.42</v>
      </c>
      <c r="M181" s="6"/>
      <c r="N181" s="6">
        <f t="shared" si="11"/>
        <v>-16245.42</v>
      </c>
    </row>
    <row r="182" spans="1:14" x14ac:dyDescent="0.3">
      <c r="A182" s="8"/>
      <c r="B182" t="str">
        <f xml:space="preserve"> _xll.EPMOlapMemberO("[CLACO].[PARENTH1].[AMSAASESORIAS]","","Asesorías y Consulto","","000")</f>
        <v>Asesorías y Consulto</v>
      </c>
      <c r="C182" s="6">
        <v>130428.21</v>
      </c>
      <c r="D182" s="6">
        <v>153532.23000000001</v>
      </c>
      <c r="E182" s="6">
        <f t="shared" si="8"/>
        <v>23104.020000000004</v>
      </c>
      <c r="F182" s="6">
        <v>65385.45</v>
      </c>
      <c r="G182" s="6">
        <v>131145.71</v>
      </c>
      <c r="H182" s="6">
        <f t="shared" si="9"/>
        <v>65760.259999999995</v>
      </c>
      <c r="I182" s="6">
        <v>73653.440000000002</v>
      </c>
      <c r="J182" s="6">
        <v>129600</v>
      </c>
      <c r="K182" s="6">
        <f t="shared" si="10"/>
        <v>55946.559999999998</v>
      </c>
      <c r="L182" s="6">
        <v>49338.46</v>
      </c>
      <c r="M182" s="6">
        <v>100000</v>
      </c>
      <c r="N182" s="6">
        <f t="shared" si="11"/>
        <v>50661.54</v>
      </c>
    </row>
    <row r="183" spans="1:14" x14ac:dyDescent="0.3">
      <c r="A183" s="8"/>
      <c r="B183" t="str">
        <f xml:space="preserve"> _xll.EPMOlapMemberO("[CLACO].[PARENTH1].[AMSASERVICIOS]","","Servicios","","000")</f>
        <v>Servicios</v>
      </c>
      <c r="C183" s="6">
        <v>30866.54</v>
      </c>
      <c r="D183" s="6">
        <v>60813.68</v>
      </c>
      <c r="E183" s="6">
        <f t="shared" si="8"/>
        <v>29947.14</v>
      </c>
      <c r="F183" s="6">
        <v>51275.33</v>
      </c>
      <c r="G183" s="6">
        <v>47351.08</v>
      </c>
      <c r="H183" s="6">
        <f t="shared" si="9"/>
        <v>-3924.25</v>
      </c>
      <c r="I183" s="6">
        <v>48262.03</v>
      </c>
      <c r="J183" s="6">
        <v>61022.74</v>
      </c>
      <c r="K183" s="6">
        <f t="shared" si="10"/>
        <v>12760.71</v>
      </c>
      <c r="L183" s="6">
        <v>52677.04</v>
      </c>
      <c r="M183" s="6">
        <v>70044.509999999995</v>
      </c>
      <c r="N183" s="6">
        <f t="shared" si="11"/>
        <v>17367.469999999994</v>
      </c>
    </row>
    <row r="184" spans="1:14" x14ac:dyDescent="0.3">
      <c r="A184" s="8"/>
      <c r="B184" t="str">
        <f xml:space="preserve"> _xll.EPMOlapMemberO("[CLACO].[PARENTH1].[AMSASERMANTO.REPA]","","Servicios Mantenimie","","000")</f>
        <v>Servicios Mantenimie</v>
      </c>
      <c r="C184" s="6">
        <v>46.58</v>
      </c>
      <c r="D184" s="6"/>
      <c r="E184" s="6">
        <f t="shared" si="8"/>
        <v>-46.58</v>
      </c>
      <c r="F184" s="6"/>
      <c r="G184" s="6"/>
      <c r="H184" s="6">
        <f t="shared" si="9"/>
        <v>0</v>
      </c>
      <c r="I184" s="6"/>
      <c r="J184" s="6"/>
      <c r="K184" s="6">
        <f t="shared" si="10"/>
        <v>0</v>
      </c>
      <c r="L184" s="6"/>
      <c r="M184" s="6"/>
      <c r="N184" s="6">
        <f t="shared" si="11"/>
        <v>0</v>
      </c>
    </row>
    <row r="185" spans="1:14" x14ac:dyDescent="0.3">
      <c r="A185" s="8"/>
      <c r="B185" t="str">
        <f xml:space="preserve"> _xll.EPMOlapMemberO("[CLACO].[PARENTH1].[AMSAINFORMATIC]","","Informática y Comuni","","000")</f>
        <v>Informática y Comuni</v>
      </c>
      <c r="C185" s="6">
        <v>50060.98</v>
      </c>
      <c r="D185" s="6">
        <v>152468.67000000001</v>
      </c>
      <c r="E185" s="6">
        <f t="shared" si="8"/>
        <v>102407.69</v>
      </c>
      <c r="F185" s="6">
        <v>79881.63</v>
      </c>
      <c r="G185" s="6">
        <v>99393.76</v>
      </c>
      <c r="H185" s="6">
        <f t="shared" si="9"/>
        <v>19512.12999999999</v>
      </c>
      <c r="I185" s="6">
        <v>79078.94</v>
      </c>
      <c r="J185" s="6">
        <v>106474.73</v>
      </c>
      <c r="K185" s="6">
        <f t="shared" si="10"/>
        <v>27395.789999999994</v>
      </c>
      <c r="L185" s="6">
        <v>63555.3</v>
      </c>
      <c r="M185" s="6">
        <v>97757.35</v>
      </c>
      <c r="N185" s="6">
        <f t="shared" si="11"/>
        <v>34202.050000000003</v>
      </c>
    </row>
    <row r="186" spans="1:14" x14ac:dyDescent="0.3">
      <c r="A186" s="8"/>
      <c r="B186" t="str">
        <f xml:space="preserve"> _xll.EPMOlapMemberO("[CLACO].[PARENTH1].[AMSAG_VIAJES]","","Gastos de Viajes","","000")</f>
        <v>Gastos de Viajes</v>
      </c>
      <c r="C186" s="6">
        <v>16185.74</v>
      </c>
      <c r="D186" s="6">
        <v>27703.96</v>
      </c>
      <c r="E186" s="6">
        <f t="shared" si="8"/>
        <v>11518.22</v>
      </c>
      <c r="F186" s="6">
        <v>21173.64</v>
      </c>
      <c r="G186" s="6">
        <v>30652.5</v>
      </c>
      <c r="H186" s="6">
        <f t="shared" si="9"/>
        <v>9478.86</v>
      </c>
      <c r="I186" s="6">
        <v>28426.13</v>
      </c>
      <c r="J186" s="6">
        <v>32146.16</v>
      </c>
      <c r="K186" s="6">
        <f t="shared" si="10"/>
        <v>3720.0299999999988</v>
      </c>
      <c r="L186" s="6">
        <v>49733.71</v>
      </c>
      <c r="M186" s="6">
        <v>66814</v>
      </c>
      <c r="N186" s="6">
        <f t="shared" si="11"/>
        <v>17080.29</v>
      </c>
    </row>
    <row r="187" spans="1:14" x14ac:dyDescent="0.3">
      <c r="A187" s="8"/>
      <c r="B187" t="str">
        <f xml:space="preserve"> _xll.EPMOlapMemberO("[CLACO].[PARENTH1].[AMSAGGENERALES.2]","","Otros Gastos","","000")</f>
        <v>Otros Gastos</v>
      </c>
      <c r="C187" s="6">
        <v>556.42999999999995</v>
      </c>
      <c r="D187" s="6">
        <v>3198.92</v>
      </c>
      <c r="E187" s="6">
        <f t="shared" si="8"/>
        <v>2642.4900000000002</v>
      </c>
      <c r="F187" s="6">
        <v>3402.67</v>
      </c>
      <c r="G187" s="6">
        <v>2284.27</v>
      </c>
      <c r="H187" s="6">
        <f t="shared" si="9"/>
        <v>-1118.4000000000001</v>
      </c>
      <c r="I187" s="6">
        <v>4834.45</v>
      </c>
      <c r="J187" s="6">
        <v>2408.1799999999998</v>
      </c>
      <c r="K187" s="6">
        <f t="shared" si="10"/>
        <v>-2426.27</v>
      </c>
      <c r="L187" s="6">
        <v>9629.9500000000007</v>
      </c>
      <c r="M187" s="6">
        <v>6000.06</v>
      </c>
      <c r="N187" s="6">
        <f t="shared" si="11"/>
        <v>-3629.8900000000003</v>
      </c>
    </row>
    <row r="188" spans="1:14" x14ac:dyDescent="0.3">
      <c r="A188" s="8" t="str">
        <f xml:space="preserve"> _xll.EPMOlapMemberO("[CECO].[PARENTH3].[AMSA1000AC0515]","","Soporte AMSA TMM","","000")</f>
        <v>Soporte AMSA TMM</v>
      </c>
      <c r="B188" t="str">
        <f xml:space="preserve"> _xll.EPMOlapMemberO("[CLACO].[PARENTH1].[AMSAG_VIAJES]","","Gastos de Viajes","","000")</f>
        <v>Gastos de Viajes</v>
      </c>
      <c r="C188" s="6">
        <v>31178.78</v>
      </c>
      <c r="D188" s="6">
        <v>13268.97</v>
      </c>
      <c r="E188" s="6">
        <f t="shared" si="8"/>
        <v>-17909.809999999998</v>
      </c>
      <c r="F188" s="6">
        <v>27298.63</v>
      </c>
      <c r="G188" s="6">
        <v>10311.200000000001</v>
      </c>
      <c r="H188" s="6">
        <f t="shared" si="9"/>
        <v>-16987.43</v>
      </c>
      <c r="I188" s="6">
        <v>15311.17</v>
      </c>
      <c r="J188" s="6">
        <v>30738.68</v>
      </c>
      <c r="K188" s="6">
        <f t="shared" si="10"/>
        <v>15427.51</v>
      </c>
      <c r="L188" s="6"/>
      <c r="M188" s="6"/>
      <c r="N188" s="6">
        <f t="shared" si="11"/>
        <v>0</v>
      </c>
    </row>
    <row r="189" spans="1:14" x14ac:dyDescent="0.3">
      <c r="A189" s="8" t="str">
        <f xml:space="preserve"> _xll.EPMOlapMemberO("[CECO].[PARENTH3].[AMSA1000AC0508]","","Presidencia Ejecutiv","","000")</f>
        <v>Presidencia Ejecutiv</v>
      </c>
      <c r="B189" t="str">
        <f xml:space="preserve"> _xll.EPMOlapMemberO("[CLACO].[PARENTH1].[AMSAREMUNERACI.SS]","","Remuneraciones Super","","000")</f>
        <v>Remuneraciones Super</v>
      </c>
      <c r="C189" s="6">
        <v>4928054.29</v>
      </c>
      <c r="D189" s="6">
        <v>3637442.12</v>
      </c>
      <c r="E189" s="6">
        <f t="shared" si="8"/>
        <v>-1290612.17</v>
      </c>
      <c r="F189" s="6">
        <v>6080950.4500000002</v>
      </c>
      <c r="G189" s="6">
        <v>4028243.83</v>
      </c>
      <c r="H189" s="6">
        <f t="shared" si="9"/>
        <v>-2052706.62</v>
      </c>
      <c r="I189" s="6">
        <v>6447346.04</v>
      </c>
      <c r="J189" s="6">
        <v>5553392.0099999998</v>
      </c>
      <c r="K189" s="6">
        <f t="shared" si="10"/>
        <v>-893954.03000000026</v>
      </c>
      <c r="L189" s="6">
        <v>11043945.85</v>
      </c>
      <c r="M189" s="6">
        <v>5890412.54</v>
      </c>
      <c r="N189" s="6">
        <f t="shared" si="11"/>
        <v>-5153533.3099999996</v>
      </c>
    </row>
    <row r="190" spans="1:14" x14ac:dyDescent="0.3">
      <c r="A190" s="8"/>
      <c r="B190" t="str">
        <f xml:space="preserve"> _xll.EPMOlapMemberO("[CLACO].[PARENTH1].[AMSAMAT_Y_REP.2]","","Materiales y repuest","","000")</f>
        <v>Materiales y repuest</v>
      </c>
      <c r="C190" s="6">
        <v>198.92</v>
      </c>
      <c r="D190" s="6"/>
      <c r="E190" s="6">
        <f t="shared" si="8"/>
        <v>-198.92</v>
      </c>
      <c r="F190" s="6">
        <v>151.26</v>
      </c>
      <c r="G190" s="6"/>
      <c r="H190" s="6">
        <f t="shared" si="9"/>
        <v>-151.26</v>
      </c>
      <c r="I190" s="6">
        <v>480.49</v>
      </c>
      <c r="J190" s="6"/>
      <c r="K190" s="6">
        <f t="shared" si="10"/>
        <v>-480.49</v>
      </c>
      <c r="L190" s="6">
        <v>125.38</v>
      </c>
      <c r="M190" s="6"/>
      <c r="N190" s="6">
        <f t="shared" si="11"/>
        <v>-125.38</v>
      </c>
    </row>
    <row r="191" spans="1:14" x14ac:dyDescent="0.3">
      <c r="A191" s="8"/>
      <c r="B191" t="str">
        <f xml:space="preserve"> _xll.EPMOlapMemberO("[CLACO].[PARENTH1].[AMSAADM_PERSON]","","Administración Perso","","000")</f>
        <v>Administración Perso</v>
      </c>
      <c r="C191" s="6">
        <v>0</v>
      </c>
      <c r="D191" s="6"/>
      <c r="E191" s="6">
        <f t="shared" si="8"/>
        <v>0</v>
      </c>
      <c r="F191" s="6">
        <v>3834.19</v>
      </c>
      <c r="G191" s="6"/>
      <c r="H191" s="6">
        <f t="shared" si="9"/>
        <v>-3834.19</v>
      </c>
      <c r="I191" s="6"/>
      <c r="J191" s="6"/>
      <c r="K191" s="6">
        <f t="shared" si="10"/>
        <v>0</v>
      </c>
      <c r="L191" s="6">
        <v>4595.63</v>
      </c>
      <c r="M191" s="6"/>
      <c r="N191" s="6">
        <f t="shared" si="11"/>
        <v>-4595.63</v>
      </c>
    </row>
    <row r="192" spans="1:14" x14ac:dyDescent="0.3">
      <c r="A192" s="8"/>
      <c r="B192" t="str">
        <f xml:space="preserve"> _xll.EPMOlapMemberO("[CLACO].[PARENTH1].[AMSAENTRENAMI]","","Entrenamiento","","000")</f>
        <v>Entrenamiento</v>
      </c>
      <c r="C192" s="6">
        <v>17417.64</v>
      </c>
      <c r="D192" s="6">
        <v>46308.76</v>
      </c>
      <c r="E192" s="6">
        <f t="shared" si="8"/>
        <v>28891.120000000003</v>
      </c>
      <c r="F192" s="6">
        <v>13089.79</v>
      </c>
      <c r="G192" s="6">
        <v>16095.13</v>
      </c>
      <c r="H192" s="6">
        <f t="shared" si="9"/>
        <v>3005.3399999999983</v>
      </c>
      <c r="I192" s="6">
        <v>28865.94</v>
      </c>
      <c r="J192" s="6">
        <v>14029.42</v>
      </c>
      <c r="K192" s="6">
        <f t="shared" si="10"/>
        <v>-14836.519999999999</v>
      </c>
      <c r="L192" s="6">
        <v>6689.99</v>
      </c>
      <c r="M192" s="6">
        <v>22722.240000000002</v>
      </c>
      <c r="N192" s="6">
        <f t="shared" si="11"/>
        <v>16032.250000000002</v>
      </c>
    </row>
    <row r="193" spans="1:14" x14ac:dyDescent="0.3">
      <c r="A193" s="8"/>
      <c r="B193" t="str">
        <f xml:space="preserve"> _xll.EPMOlapMemberO("[CLACO].[PARENTH1].[AMSAASESORIAS]","","Asesorías y Consulto","","000")</f>
        <v>Asesorías y Consulto</v>
      </c>
      <c r="C193" s="6">
        <v>40633.480000000003</v>
      </c>
      <c r="D193" s="6">
        <v>101437.84</v>
      </c>
      <c r="E193" s="6">
        <f t="shared" si="8"/>
        <v>60804.359999999993</v>
      </c>
      <c r="F193" s="6">
        <v>29603.35</v>
      </c>
      <c r="G193" s="6">
        <v>78866.02</v>
      </c>
      <c r="H193" s="6">
        <f t="shared" si="9"/>
        <v>49262.670000000006</v>
      </c>
      <c r="I193" s="6">
        <v>39369.339999999997</v>
      </c>
      <c r="J193" s="6">
        <v>87133.45</v>
      </c>
      <c r="K193" s="6">
        <f t="shared" si="10"/>
        <v>47764.11</v>
      </c>
      <c r="L193" s="6">
        <v>6112.18</v>
      </c>
      <c r="M193" s="6">
        <v>62460.2</v>
      </c>
      <c r="N193" s="6">
        <f t="shared" si="11"/>
        <v>56348.02</v>
      </c>
    </row>
    <row r="194" spans="1:14" x14ac:dyDescent="0.3">
      <c r="A194" s="8"/>
      <c r="B194" t="str">
        <f xml:space="preserve"> _xll.EPMOlapMemberO("[CLACO].[PARENTH1].[AMSASERVICIOS]","","Servicios","","000")</f>
        <v>Servicios</v>
      </c>
      <c r="C194" s="6"/>
      <c r="D194" s="6"/>
      <c r="E194" s="6">
        <f t="shared" si="8"/>
        <v>0</v>
      </c>
      <c r="F194" s="6">
        <v>54.55</v>
      </c>
      <c r="G194" s="6"/>
      <c r="H194" s="6">
        <f t="shared" si="9"/>
        <v>-54.55</v>
      </c>
      <c r="I194" s="6"/>
      <c r="J194" s="6"/>
      <c r="K194" s="6">
        <f t="shared" si="10"/>
        <v>0</v>
      </c>
      <c r="L194" s="6">
        <v>100204.11</v>
      </c>
      <c r="M194" s="6">
        <v>97196</v>
      </c>
      <c r="N194" s="6">
        <f t="shared" si="11"/>
        <v>-3008.1100000000006</v>
      </c>
    </row>
    <row r="195" spans="1:14" x14ac:dyDescent="0.3">
      <c r="A195" s="8"/>
      <c r="B195" t="str">
        <f xml:space="preserve"> _xll.EPMOlapMemberO("[CLACO].[PARENTH1].[AMSASERMANTO.REPA]","","Servicios Mantenimie","","000")</f>
        <v>Servicios Mantenimie</v>
      </c>
      <c r="C195" s="6">
        <v>81.22</v>
      </c>
      <c r="D195" s="6"/>
      <c r="E195" s="6">
        <f t="shared" si="8"/>
        <v>-81.22</v>
      </c>
      <c r="F195" s="6"/>
      <c r="G195" s="6"/>
      <c r="H195" s="6">
        <f t="shared" si="9"/>
        <v>0</v>
      </c>
      <c r="I195" s="6"/>
      <c r="J195" s="6"/>
      <c r="K195" s="6">
        <f t="shared" si="10"/>
        <v>0</v>
      </c>
      <c r="L195" s="6"/>
      <c r="M195" s="6"/>
      <c r="N195" s="6">
        <f t="shared" si="11"/>
        <v>0</v>
      </c>
    </row>
    <row r="196" spans="1:14" x14ac:dyDescent="0.3">
      <c r="A196" s="8"/>
      <c r="B196" t="str">
        <f xml:space="preserve"> _xll.EPMOlapMemberO("[CLACO].[PARENTH1].[AMSAINFORMATIC]","","Informática y Comuni","","000")</f>
        <v>Informática y Comuni</v>
      </c>
      <c r="C196" s="6">
        <v>4721.1000000000004</v>
      </c>
      <c r="D196" s="6">
        <v>8579.83</v>
      </c>
      <c r="E196" s="6">
        <f t="shared" si="8"/>
        <v>3858.7299999999996</v>
      </c>
      <c r="F196" s="6">
        <v>5192.28</v>
      </c>
      <c r="G196" s="6">
        <v>7443.8</v>
      </c>
      <c r="H196" s="6">
        <f t="shared" si="9"/>
        <v>2251.5200000000004</v>
      </c>
      <c r="I196" s="6">
        <v>3277.44</v>
      </c>
      <c r="J196" s="6">
        <v>6118.18</v>
      </c>
      <c r="K196" s="6">
        <f t="shared" si="10"/>
        <v>2840.7400000000002</v>
      </c>
      <c r="L196" s="6">
        <v>2268.69</v>
      </c>
      <c r="M196" s="6">
        <v>3726.88</v>
      </c>
      <c r="N196" s="6">
        <f t="shared" si="11"/>
        <v>1458.19</v>
      </c>
    </row>
    <row r="197" spans="1:14" x14ac:dyDescent="0.3">
      <c r="A197" s="8"/>
      <c r="B197" t="str">
        <f xml:space="preserve"> _xll.EPMOlapMemberO("[CLACO].[PARENTH1].[AMSAG_VIAJES]","","Gastos de Viajes","","000")</f>
        <v>Gastos de Viajes</v>
      </c>
      <c r="C197" s="6">
        <v>257560.06</v>
      </c>
      <c r="D197" s="6">
        <v>98960.9</v>
      </c>
      <c r="E197" s="6">
        <f t="shared" si="8"/>
        <v>-158599.16</v>
      </c>
      <c r="F197" s="6">
        <v>366411.48</v>
      </c>
      <c r="G197" s="6">
        <v>237516.35</v>
      </c>
      <c r="H197" s="6">
        <f t="shared" si="9"/>
        <v>-128895.12999999998</v>
      </c>
      <c r="I197" s="6">
        <v>232198.16</v>
      </c>
      <c r="J197" s="6">
        <v>331555.28999999998</v>
      </c>
      <c r="K197" s="6">
        <f t="shared" si="10"/>
        <v>99357.129999999976</v>
      </c>
      <c r="L197" s="6">
        <v>393249.63</v>
      </c>
      <c r="M197" s="6">
        <v>310112.61</v>
      </c>
      <c r="N197" s="6">
        <f t="shared" si="11"/>
        <v>-83137.020000000019</v>
      </c>
    </row>
    <row r="198" spans="1:14" x14ac:dyDescent="0.3">
      <c r="A198" s="8"/>
      <c r="B198" t="str">
        <f xml:space="preserve"> _xll.EPMOlapMemberO("[CLACO].[PARENTH1].[AMSAGGENERALES.2]","","Otros Gastos","","000")</f>
        <v>Otros Gastos</v>
      </c>
      <c r="C198" s="6">
        <v>194292.32</v>
      </c>
      <c r="D198" s="6">
        <v>195555.55</v>
      </c>
      <c r="E198" s="6">
        <f t="shared" si="8"/>
        <v>1263.2299999999814</v>
      </c>
      <c r="F198" s="6">
        <v>107972.6</v>
      </c>
      <c r="G198" s="6">
        <v>135077</v>
      </c>
      <c r="H198" s="6">
        <f t="shared" si="9"/>
        <v>27104.399999999994</v>
      </c>
      <c r="I198" s="6">
        <v>114052.47</v>
      </c>
      <c r="J198" s="6">
        <v>144858.6</v>
      </c>
      <c r="K198" s="6">
        <f t="shared" si="10"/>
        <v>30806.130000000005</v>
      </c>
      <c r="L198" s="6">
        <v>157766.64000000001</v>
      </c>
      <c r="M198" s="6">
        <v>145774.79</v>
      </c>
      <c r="N198" s="6">
        <f t="shared" si="11"/>
        <v>-11991.850000000006</v>
      </c>
    </row>
    <row r="199" spans="1:14" x14ac:dyDescent="0.3">
      <c r="A199" s="8" t="str">
        <f xml:space="preserve"> _xll.EPMOlapMemberO("[CECO].[PARENTH3].[AMSA1000AC3002]","","Gcia Auditoría","","000")</f>
        <v>Gcia Auditoría</v>
      </c>
      <c r="B199" t="str">
        <f xml:space="preserve"> _xll.EPMOlapMemberO("[CLACO].[PARENTH1].[AMSAREMUNERACI.SS]","","Remuneraciones Super","","000")</f>
        <v>Remuneraciones Super</v>
      </c>
      <c r="C199" s="6">
        <v>1710911.13</v>
      </c>
      <c r="D199" s="6">
        <v>1669726.21</v>
      </c>
      <c r="E199" s="6">
        <f t="shared" si="8"/>
        <v>-41184.919999999925</v>
      </c>
      <c r="F199" s="6">
        <v>1977899.16</v>
      </c>
      <c r="G199" s="6">
        <v>1774980.69</v>
      </c>
      <c r="H199" s="6">
        <f t="shared" si="9"/>
        <v>-202918.46999999997</v>
      </c>
      <c r="I199" s="6">
        <v>1942733.23</v>
      </c>
      <c r="J199" s="6">
        <v>2250491.88</v>
      </c>
      <c r="K199" s="6">
        <f t="shared" si="10"/>
        <v>307758.64999999991</v>
      </c>
      <c r="L199" s="6">
        <v>2226702.65</v>
      </c>
      <c r="M199" s="6">
        <v>2244345.5699999998</v>
      </c>
      <c r="N199" s="6">
        <f t="shared" si="11"/>
        <v>17642.919999999925</v>
      </c>
    </row>
    <row r="200" spans="1:14" x14ac:dyDescent="0.3">
      <c r="A200" s="8"/>
      <c r="B200" t="str">
        <f xml:space="preserve"> _xll.EPMOlapMemberO("[CLACO].[PARENTH1].[AMSAMAT_Y_REP.2]","","Materiales y repuest","","000")</f>
        <v>Materiales y repuest</v>
      </c>
      <c r="C200" s="6"/>
      <c r="D200" s="6"/>
      <c r="E200" s="6">
        <f t="shared" si="8"/>
        <v>0</v>
      </c>
      <c r="F200" s="6">
        <v>0</v>
      </c>
      <c r="G200" s="6"/>
      <c r="H200" s="6">
        <f t="shared" si="9"/>
        <v>0</v>
      </c>
      <c r="I200" s="6"/>
      <c r="J200" s="6"/>
      <c r="K200" s="6">
        <f t="shared" si="10"/>
        <v>0</v>
      </c>
      <c r="L200" s="6"/>
      <c r="M200" s="6"/>
      <c r="N200" s="6">
        <f t="shared" si="11"/>
        <v>0</v>
      </c>
    </row>
    <row r="201" spans="1:14" x14ac:dyDescent="0.3">
      <c r="A201" s="8"/>
      <c r="B201" t="str">
        <f xml:space="preserve"> _xll.EPMOlapMemberO("[CLACO].[PARENTH1].[AMSAADM_PERSON]","","Administración Perso","","000")</f>
        <v>Administración Perso</v>
      </c>
      <c r="C201" s="6">
        <v>1350.43</v>
      </c>
      <c r="D201" s="6">
        <v>2082.73</v>
      </c>
      <c r="E201" s="6">
        <f t="shared" si="8"/>
        <v>732.3</v>
      </c>
      <c r="F201" s="6">
        <v>1904.68</v>
      </c>
      <c r="G201" s="6">
        <v>2120</v>
      </c>
      <c r="H201" s="6">
        <f t="shared" si="9"/>
        <v>215.31999999999994</v>
      </c>
      <c r="I201" s="6">
        <v>-2000</v>
      </c>
      <c r="J201" s="6">
        <v>2060</v>
      </c>
      <c r="K201" s="6">
        <f t="shared" si="10"/>
        <v>4060</v>
      </c>
      <c r="L201" s="6">
        <v>112.8</v>
      </c>
      <c r="M201" s="6">
        <v>2046</v>
      </c>
      <c r="N201" s="6">
        <f t="shared" si="11"/>
        <v>1933.2</v>
      </c>
    </row>
    <row r="202" spans="1:14" x14ac:dyDescent="0.3">
      <c r="A202" s="8"/>
      <c r="B202" t="str">
        <f xml:space="preserve"> _xll.EPMOlapMemberO("[CLACO].[PARENTH1].[AMSAENTRENAMI]","","Entrenamiento","","000")</f>
        <v>Entrenamiento</v>
      </c>
      <c r="C202" s="6">
        <v>2288.64</v>
      </c>
      <c r="D202" s="6">
        <v>8264.1299999999992</v>
      </c>
      <c r="E202" s="6">
        <f t="shared" si="8"/>
        <v>5975.49</v>
      </c>
      <c r="F202" s="6">
        <v>5868.53</v>
      </c>
      <c r="G202" s="6">
        <v>8357.76</v>
      </c>
      <c r="H202" s="6">
        <f t="shared" si="9"/>
        <v>2489.2300000000005</v>
      </c>
      <c r="I202" s="6">
        <v>1396.96</v>
      </c>
      <c r="J202" s="6">
        <v>6135</v>
      </c>
      <c r="K202" s="6">
        <f t="shared" si="10"/>
        <v>4738.04</v>
      </c>
      <c r="L202" s="6">
        <v>2622.56</v>
      </c>
      <c r="M202" s="6"/>
      <c r="N202" s="6">
        <f t="shared" si="11"/>
        <v>-2622.56</v>
      </c>
    </row>
    <row r="203" spans="1:14" x14ac:dyDescent="0.3">
      <c r="A203" s="8"/>
      <c r="B203" t="str">
        <f xml:space="preserve"> _xll.EPMOlapMemberO("[CLACO].[PARENTH1].[AMSAASESORIAS]","","Asesorías y Consulto","","000")</f>
        <v>Asesorías y Consulto</v>
      </c>
      <c r="C203" s="6">
        <v>127230.53</v>
      </c>
      <c r="D203" s="6">
        <v>213125.12</v>
      </c>
      <c r="E203" s="6">
        <f t="shared" ref="E203:E266" si="12">+D203-C203</f>
        <v>85894.59</v>
      </c>
      <c r="F203" s="6">
        <v>104542.15</v>
      </c>
      <c r="G203" s="6">
        <v>160864.70000000001</v>
      </c>
      <c r="H203" s="6">
        <f t="shared" ref="H203:H266" si="13">+G203-F203</f>
        <v>56322.550000000017</v>
      </c>
      <c r="I203" s="6">
        <v>82533.070000000007</v>
      </c>
      <c r="J203" s="6">
        <v>144134.98000000001</v>
      </c>
      <c r="K203" s="6">
        <f t="shared" ref="K203:K266" si="14">+J203-I203</f>
        <v>61601.91</v>
      </c>
      <c r="L203" s="6">
        <v>180453.85</v>
      </c>
      <c r="M203" s="6">
        <v>191909.5</v>
      </c>
      <c r="N203" s="6">
        <f t="shared" ref="N203:N266" si="15">+M203-L203</f>
        <v>11455.649999999994</v>
      </c>
    </row>
    <row r="204" spans="1:14" x14ac:dyDescent="0.3">
      <c r="A204" s="8"/>
      <c r="B204" t="str">
        <f xml:space="preserve"> _xll.EPMOlapMemberO("[CLACO].[PARENTH1].[AMSASERVICIOS]","","Servicios","","000")</f>
        <v>Servicios</v>
      </c>
      <c r="C204" s="6">
        <v>28437.4</v>
      </c>
      <c r="D204" s="6"/>
      <c r="E204" s="6">
        <f t="shared" si="12"/>
        <v>-28437.4</v>
      </c>
      <c r="F204" s="6">
        <v>7893.3</v>
      </c>
      <c r="G204" s="6">
        <v>1529.42</v>
      </c>
      <c r="H204" s="6">
        <f t="shared" si="13"/>
        <v>-6363.88</v>
      </c>
      <c r="I204" s="6">
        <v>17618.25</v>
      </c>
      <c r="J204" s="6">
        <v>2126.25</v>
      </c>
      <c r="K204" s="6">
        <f t="shared" si="14"/>
        <v>-15492</v>
      </c>
      <c r="L204" s="6">
        <v>4260.7700000000004</v>
      </c>
      <c r="M204" s="6">
        <v>4053.67</v>
      </c>
      <c r="N204" s="6">
        <f t="shared" si="15"/>
        <v>-207.10000000000036</v>
      </c>
    </row>
    <row r="205" spans="1:14" x14ac:dyDescent="0.3">
      <c r="A205" s="8"/>
      <c r="B205" t="str">
        <f xml:space="preserve"> _xll.EPMOlapMemberO("[CLACO].[PARENTH1].[AMSASERMANTO.REPA]","","Servicios Mantenimie","","000")</f>
        <v>Servicios Mantenimie</v>
      </c>
      <c r="C205" s="6"/>
      <c r="D205" s="6"/>
      <c r="E205" s="6">
        <f t="shared" si="12"/>
        <v>0</v>
      </c>
      <c r="F205" s="6"/>
      <c r="G205" s="6"/>
      <c r="H205" s="6">
        <f t="shared" si="13"/>
        <v>0</v>
      </c>
      <c r="I205" s="6"/>
      <c r="J205" s="6"/>
      <c r="K205" s="6">
        <f t="shared" si="14"/>
        <v>0</v>
      </c>
      <c r="L205" s="6">
        <v>1053.9100000000001</v>
      </c>
      <c r="M205" s="6"/>
      <c r="N205" s="6">
        <f t="shared" si="15"/>
        <v>-1053.9100000000001</v>
      </c>
    </row>
    <row r="206" spans="1:14" x14ac:dyDescent="0.3">
      <c r="A206" s="8"/>
      <c r="B206" t="str">
        <f xml:space="preserve"> _xll.EPMOlapMemberO("[CLACO].[PARENTH1].[AMSAINFORMATIC]","","Informática y Comuni","","000")</f>
        <v>Informática y Comuni</v>
      </c>
      <c r="C206" s="6">
        <v>57865.8</v>
      </c>
      <c r="D206" s="6">
        <v>22383.43</v>
      </c>
      <c r="E206" s="6">
        <f t="shared" si="12"/>
        <v>-35482.370000000003</v>
      </c>
      <c r="F206" s="6">
        <v>-2040.34</v>
      </c>
      <c r="G206" s="6">
        <v>41966.37</v>
      </c>
      <c r="H206" s="6">
        <f t="shared" si="13"/>
        <v>44006.71</v>
      </c>
      <c r="I206" s="6">
        <v>50129.02</v>
      </c>
      <c r="J206" s="6">
        <v>50489.65</v>
      </c>
      <c r="K206" s="6">
        <f t="shared" si="14"/>
        <v>360.63000000000466</v>
      </c>
      <c r="L206" s="6">
        <v>44531.48</v>
      </c>
      <c r="M206" s="6">
        <v>50303.34</v>
      </c>
      <c r="N206" s="6">
        <f t="shared" si="15"/>
        <v>5771.8599999999933</v>
      </c>
    </row>
    <row r="207" spans="1:14" x14ac:dyDescent="0.3">
      <c r="A207" s="8"/>
      <c r="B207" t="str">
        <f xml:space="preserve"> _xll.EPMOlapMemberO("[CLACO].[PARENTH1].[AMSAG_VIAJES]","","Gastos de Viajes","","000")</f>
        <v>Gastos de Viajes</v>
      </c>
      <c r="C207" s="6">
        <v>31676.880000000001</v>
      </c>
      <c r="D207" s="6">
        <v>56224.65</v>
      </c>
      <c r="E207" s="6">
        <f t="shared" si="12"/>
        <v>24547.77</v>
      </c>
      <c r="F207" s="6">
        <v>14149.93</v>
      </c>
      <c r="G207" s="6">
        <v>60307.67</v>
      </c>
      <c r="H207" s="6">
        <f t="shared" si="13"/>
        <v>46157.74</v>
      </c>
      <c r="I207" s="6">
        <v>15436.28</v>
      </c>
      <c r="J207" s="6">
        <v>69144.759999999995</v>
      </c>
      <c r="K207" s="6">
        <f t="shared" si="14"/>
        <v>53708.479999999996</v>
      </c>
      <c r="L207" s="6">
        <v>20892.189999999999</v>
      </c>
      <c r="M207" s="6">
        <v>41412.26</v>
      </c>
      <c r="N207" s="6">
        <f t="shared" si="15"/>
        <v>20520.070000000003</v>
      </c>
    </row>
    <row r="208" spans="1:14" x14ac:dyDescent="0.3">
      <c r="A208" s="8"/>
      <c r="B208" t="str">
        <f xml:space="preserve"> _xll.EPMOlapMemberO("[CLACO].[PARENTH1].[AMSAGGENERALES.2]","","Otros Gastos","","000")</f>
        <v>Otros Gastos</v>
      </c>
      <c r="C208" s="6">
        <v>1536.08</v>
      </c>
      <c r="D208" s="6">
        <v>1233.97</v>
      </c>
      <c r="E208" s="6">
        <f t="shared" si="12"/>
        <v>-302.1099999999999</v>
      </c>
      <c r="F208" s="6">
        <v>1299.92</v>
      </c>
      <c r="G208" s="6">
        <v>1238.68</v>
      </c>
      <c r="H208" s="6">
        <f t="shared" si="13"/>
        <v>-61.240000000000009</v>
      </c>
      <c r="I208" s="6">
        <v>1627.94</v>
      </c>
      <c r="J208" s="6">
        <v>1219.5</v>
      </c>
      <c r="K208" s="6">
        <f t="shared" si="14"/>
        <v>-408.44000000000005</v>
      </c>
      <c r="L208" s="6">
        <v>1443.31</v>
      </c>
      <c r="M208" s="6">
        <v>1214.96</v>
      </c>
      <c r="N208" s="6">
        <f t="shared" si="15"/>
        <v>-228.34999999999991</v>
      </c>
    </row>
    <row r="209" spans="1:14" x14ac:dyDescent="0.3">
      <c r="A209" s="8" t="str">
        <f xml:space="preserve"> _xll.EPMOlapMemberO("[CECO].[PARENTH3].[AMSA1000AC3001]","","Directorio","","000")</f>
        <v>Directorio</v>
      </c>
      <c r="B209" t="str">
        <f xml:space="preserve"> _xll.EPMOlapMemberO("[CLACO].[PARENTH1].[AMSAREMUNERACI.EE]","","Remuneraciones emple","","000")</f>
        <v>Remuneraciones emple</v>
      </c>
      <c r="C209" s="6">
        <v>30915.39</v>
      </c>
      <c r="D209" s="6">
        <v>38933.839999999997</v>
      </c>
      <c r="E209" s="6">
        <f t="shared" si="12"/>
        <v>8018.4499999999971</v>
      </c>
      <c r="F209" s="6">
        <v>46468.07</v>
      </c>
      <c r="G209" s="6">
        <v>36570.83</v>
      </c>
      <c r="H209" s="6">
        <f t="shared" si="13"/>
        <v>-9897.239999999998</v>
      </c>
      <c r="I209" s="6">
        <v>46289.52</v>
      </c>
      <c r="J209" s="6">
        <v>46242.45</v>
      </c>
      <c r="K209" s="6">
        <f t="shared" si="14"/>
        <v>-47.069999999999709</v>
      </c>
      <c r="L209" s="6">
        <v>52424.42</v>
      </c>
      <c r="M209" s="6">
        <v>46327.23</v>
      </c>
      <c r="N209" s="6">
        <f t="shared" si="15"/>
        <v>-6097.1899999999951</v>
      </c>
    </row>
    <row r="210" spans="1:14" x14ac:dyDescent="0.3">
      <c r="A210" s="8"/>
      <c r="B210" t="str">
        <f xml:space="preserve"> _xll.EPMOlapMemberO("[CLACO].[PARENTH1].[AMSAREMUNERACI.SS]","","Remuneraciones Super","","000")</f>
        <v>Remuneraciones Super</v>
      </c>
      <c r="C210" s="6">
        <v>226609.57</v>
      </c>
      <c r="D210" s="6">
        <v>213262.34</v>
      </c>
      <c r="E210" s="6">
        <f t="shared" si="12"/>
        <v>-13347.23000000001</v>
      </c>
      <c r="F210" s="6">
        <v>262467.18</v>
      </c>
      <c r="G210" s="6">
        <v>229578.22</v>
      </c>
      <c r="H210" s="6">
        <f t="shared" si="13"/>
        <v>-32888.959999999992</v>
      </c>
      <c r="I210" s="6">
        <v>269133.09000000003</v>
      </c>
      <c r="J210" s="6">
        <v>256624.84</v>
      </c>
      <c r="K210" s="6">
        <f t="shared" si="14"/>
        <v>-12508.250000000029</v>
      </c>
      <c r="L210" s="6">
        <v>288420.34000000003</v>
      </c>
      <c r="M210" s="6">
        <v>281135.8</v>
      </c>
      <c r="N210" s="6">
        <f t="shared" si="15"/>
        <v>-7284.5400000000373</v>
      </c>
    </row>
    <row r="211" spans="1:14" x14ac:dyDescent="0.3">
      <c r="A211" s="8"/>
      <c r="B211" t="str">
        <f xml:space="preserve"> _xll.EPMOlapMemberO("[CLACO].[PARENTH1].[AMSAMAT_Y_REP.2]","","Materiales y repuest","","000")</f>
        <v>Materiales y repuest</v>
      </c>
      <c r="C211" s="6"/>
      <c r="D211" s="6"/>
      <c r="E211" s="6">
        <f t="shared" si="12"/>
        <v>0</v>
      </c>
      <c r="F211" s="6">
        <v>0</v>
      </c>
      <c r="G211" s="6"/>
      <c r="H211" s="6">
        <f t="shared" si="13"/>
        <v>0</v>
      </c>
      <c r="I211" s="6"/>
      <c r="J211" s="6"/>
      <c r="K211" s="6">
        <f t="shared" si="14"/>
        <v>0</v>
      </c>
      <c r="L211" s="6"/>
      <c r="M211" s="6"/>
      <c r="N211" s="6">
        <f t="shared" si="15"/>
        <v>0</v>
      </c>
    </row>
    <row r="212" spans="1:14" x14ac:dyDescent="0.3">
      <c r="A212" s="8"/>
      <c r="B212" t="str">
        <f xml:space="preserve"> _xll.EPMOlapMemberO("[CLACO].[PARENTH1].[AMSAADM_PERSON]","","Administración Perso","","000")</f>
        <v>Administración Perso</v>
      </c>
      <c r="C212" s="6"/>
      <c r="D212" s="6"/>
      <c r="E212" s="6">
        <f t="shared" si="12"/>
        <v>0</v>
      </c>
      <c r="F212" s="6">
        <v>1317.98</v>
      </c>
      <c r="G212" s="6"/>
      <c r="H212" s="6">
        <f t="shared" si="13"/>
        <v>-1317.98</v>
      </c>
      <c r="I212" s="6">
        <v>57979.57</v>
      </c>
      <c r="J212" s="6"/>
      <c r="K212" s="6">
        <f t="shared" si="14"/>
        <v>-57979.57</v>
      </c>
      <c r="L212" s="6"/>
      <c r="M212" s="6"/>
      <c r="N212" s="6">
        <f t="shared" si="15"/>
        <v>0</v>
      </c>
    </row>
    <row r="213" spans="1:14" x14ac:dyDescent="0.3">
      <c r="A213" s="8"/>
      <c r="B213" t="str">
        <f xml:space="preserve"> _xll.EPMOlapMemberO("[CLACO].[PARENTH1].[AMSAASESORIAS]","","Asesorías y Consulto","","000")</f>
        <v>Asesorías y Consulto</v>
      </c>
      <c r="C213" s="6">
        <v>2409507.61</v>
      </c>
      <c r="D213" s="6">
        <v>2360990.96</v>
      </c>
      <c r="E213" s="6">
        <f t="shared" si="12"/>
        <v>-48516.649999999907</v>
      </c>
      <c r="F213" s="6">
        <v>2667281.58</v>
      </c>
      <c r="G213" s="6">
        <v>2571394.38</v>
      </c>
      <c r="H213" s="6">
        <f t="shared" si="13"/>
        <v>-95887.200000000186</v>
      </c>
      <c r="I213" s="6">
        <v>2976019.03</v>
      </c>
      <c r="J213" s="6">
        <v>2749101.92</v>
      </c>
      <c r="K213" s="6">
        <f t="shared" si="14"/>
        <v>-226917.10999999987</v>
      </c>
      <c r="L213" s="6">
        <v>2648001.67</v>
      </c>
      <c r="M213" s="6">
        <v>2815823.29</v>
      </c>
      <c r="N213" s="6">
        <f t="shared" si="15"/>
        <v>167821.62000000011</v>
      </c>
    </row>
    <row r="214" spans="1:14" x14ac:dyDescent="0.3">
      <c r="A214" s="8"/>
      <c r="B214" t="str">
        <f xml:space="preserve"> _xll.EPMOlapMemberO("[CLACO].[PARENTH1].[AMSAARRIENDOS]","","Arriendos","","000")</f>
        <v>Arriendos</v>
      </c>
      <c r="C214" s="6"/>
      <c r="D214" s="6"/>
      <c r="E214" s="6">
        <f t="shared" si="12"/>
        <v>0</v>
      </c>
      <c r="F214" s="6"/>
      <c r="G214" s="6"/>
      <c r="H214" s="6">
        <f t="shared" si="13"/>
        <v>0</v>
      </c>
      <c r="I214" s="6">
        <v>66555.759999999995</v>
      </c>
      <c r="J214" s="6"/>
      <c r="K214" s="6">
        <f t="shared" si="14"/>
        <v>-66555.759999999995</v>
      </c>
      <c r="L214" s="6">
        <v>54383.199999999997</v>
      </c>
      <c r="M214" s="6"/>
      <c r="N214" s="6">
        <f t="shared" si="15"/>
        <v>-54383.199999999997</v>
      </c>
    </row>
    <row r="215" spans="1:14" x14ac:dyDescent="0.3">
      <c r="A215" s="8"/>
      <c r="B215" t="str">
        <f xml:space="preserve"> _xll.EPMOlapMemberO("[CLACO].[PARENTH1].[AMSASERVICIOS]","","Servicios","","000")</f>
        <v>Servicios</v>
      </c>
      <c r="C215" s="6">
        <v>385833.29</v>
      </c>
      <c r="D215" s="6">
        <v>322017.57</v>
      </c>
      <c r="E215" s="6">
        <f t="shared" si="12"/>
        <v>-63815.719999999972</v>
      </c>
      <c r="F215" s="6">
        <v>324726.51</v>
      </c>
      <c r="G215" s="6">
        <v>477422.55</v>
      </c>
      <c r="H215" s="6">
        <f t="shared" si="13"/>
        <v>152696.03999999998</v>
      </c>
      <c r="I215" s="6">
        <v>276963.15999999997</v>
      </c>
      <c r="J215" s="6">
        <v>485261.52</v>
      </c>
      <c r="K215" s="6">
        <f t="shared" si="14"/>
        <v>208298.36000000004</v>
      </c>
      <c r="L215" s="6">
        <v>316573.62</v>
      </c>
      <c r="M215" s="6">
        <v>323530.76</v>
      </c>
      <c r="N215" s="6">
        <f t="shared" si="15"/>
        <v>6957.140000000014</v>
      </c>
    </row>
    <row r="216" spans="1:14" x14ac:dyDescent="0.3">
      <c r="A216" s="8"/>
      <c r="B216" t="str">
        <f xml:space="preserve"> _xll.EPMOlapMemberO("[CLACO].[PARENTH1].[AMSASERMANTO.REPA]","","Servicios Mantenimie","","000")</f>
        <v>Servicios Mantenimie</v>
      </c>
      <c r="C216" s="6">
        <v>300.08</v>
      </c>
      <c r="D216" s="6"/>
      <c r="E216" s="6">
        <f t="shared" si="12"/>
        <v>-300.08</v>
      </c>
      <c r="F216" s="6">
        <v>23492.43</v>
      </c>
      <c r="G216" s="6"/>
      <c r="H216" s="6">
        <f t="shared" si="13"/>
        <v>-23492.43</v>
      </c>
      <c r="I216" s="6">
        <v>60178.1</v>
      </c>
      <c r="J216" s="6"/>
      <c r="K216" s="6">
        <f t="shared" si="14"/>
        <v>-60178.1</v>
      </c>
      <c r="L216" s="6">
        <v>34973.78</v>
      </c>
      <c r="M216" s="6"/>
      <c r="N216" s="6">
        <f t="shared" si="15"/>
        <v>-34973.78</v>
      </c>
    </row>
    <row r="217" spans="1:14" x14ac:dyDescent="0.3">
      <c r="A217" s="8"/>
      <c r="B217" t="str">
        <f xml:space="preserve"> _xll.EPMOlapMemberO("[CLACO].[PARENTH1].[AMSAINFORMATIC]","","Informática y Comuni","","000")</f>
        <v>Informática y Comuni</v>
      </c>
      <c r="C217" s="6">
        <v>7987.82</v>
      </c>
      <c r="D217" s="6">
        <v>30896.39</v>
      </c>
      <c r="E217" s="6">
        <f t="shared" si="12"/>
        <v>22908.57</v>
      </c>
      <c r="F217" s="6">
        <v>29250.82</v>
      </c>
      <c r="G217" s="6">
        <v>30117.3</v>
      </c>
      <c r="H217" s="6">
        <f t="shared" si="13"/>
        <v>866.47999999999956</v>
      </c>
      <c r="I217" s="6">
        <v>29033.09</v>
      </c>
      <c r="J217" s="6">
        <v>31499.03</v>
      </c>
      <c r="K217" s="6">
        <f t="shared" si="14"/>
        <v>2465.9399999999987</v>
      </c>
      <c r="L217" s="6">
        <v>32633.87</v>
      </c>
      <c r="M217" s="6">
        <v>30798.38</v>
      </c>
      <c r="N217" s="6">
        <f t="shared" si="15"/>
        <v>-1835.489999999998</v>
      </c>
    </row>
    <row r="218" spans="1:14" x14ac:dyDescent="0.3">
      <c r="A218" s="8"/>
      <c r="B218" t="str">
        <f xml:space="preserve"> _xll.EPMOlapMemberO("[CLACO].[PARENTH1].[AMSAG_VIAJES]","","Gastos de Viajes","","000")</f>
        <v>Gastos de Viajes</v>
      </c>
      <c r="C218" s="6">
        <v>378605.42</v>
      </c>
      <c r="D218" s="6">
        <v>193828.2</v>
      </c>
      <c r="E218" s="6">
        <f t="shared" si="12"/>
        <v>-184777.21999999997</v>
      </c>
      <c r="F218" s="6">
        <v>776618.14</v>
      </c>
      <c r="G218" s="6">
        <v>250328.6</v>
      </c>
      <c r="H218" s="6">
        <f t="shared" si="13"/>
        <v>-526289.54</v>
      </c>
      <c r="I218" s="6">
        <v>332989.73</v>
      </c>
      <c r="J218" s="6">
        <v>378521.68</v>
      </c>
      <c r="K218" s="6">
        <f t="shared" si="14"/>
        <v>45531.950000000012</v>
      </c>
      <c r="L218" s="6">
        <v>473950.43</v>
      </c>
      <c r="M218" s="6">
        <v>725102.48</v>
      </c>
      <c r="N218" s="6">
        <f t="shared" si="15"/>
        <v>251152.05</v>
      </c>
    </row>
    <row r="219" spans="1:14" x14ac:dyDescent="0.3">
      <c r="A219" s="8"/>
      <c r="B219" t="str">
        <f xml:space="preserve"> _xll.EPMOlapMemberO("[CLACO].[PARENTH1].[AMSAIMP_PATEN]","","Impuestos / Patentes","","000")</f>
        <v>Impuestos / Patentes</v>
      </c>
      <c r="C219" s="6"/>
      <c r="D219" s="6"/>
      <c r="E219" s="6">
        <f t="shared" si="12"/>
        <v>0</v>
      </c>
      <c r="F219" s="6"/>
      <c r="G219" s="6"/>
      <c r="H219" s="6">
        <f t="shared" si="13"/>
        <v>0</v>
      </c>
      <c r="I219" s="6">
        <v>154.69</v>
      </c>
      <c r="J219" s="6"/>
      <c r="K219" s="6">
        <f t="shared" si="14"/>
        <v>-154.69</v>
      </c>
      <c r="L219" s="6"/>
      <c r="M219" s="6"/>
      <c r="N219" s="6">
        <f t="shared" si="15"/>
        <v>0</v>
      </c>
    </row>
    <row r="220" spans="1:14" x14ac:dyDescent="0.3">
      <c r="A220" s="8"/>
      <c r="B220" t="str">
        <f xml:space="preserve"> _xll.EPMOlapMemberO("[CLACO].[PARENTH1].[AMSAGGENERALES.2]","","Otros Gastos","","000")</f>
        <v>Otros Gastos</v>
      </c>
      <c r="C220" s="6">
        <v>84607.59</v>
      </c>
      <c r="D220" s="6">
        <v>432255.38</v>
      </c>
      <c r="E220" s="6">
        <f t="shared" si="12"/>
        <v>347647.79000000004</v>
      </c>
      <c r="F220" s="6">
        <v>58957.919999999998</v>
      </c>
      <c r="G220" s="6">
        <v>417053.88</v>
      </c>
      <c r="H220" s="6">
        <f t="shared" si="13"/>
        <v>358095.96</v>
      </c>
      <c r="I220" s="6">
        <v>60069.3</v>
      </c>
      <c r="J220" s="6">
        <v>487409.1</v>
      </c>
      <c r="K220" s="6">
        <f t="shared" si="14"/>
        <v>427339.8</v>
      </c>
      <c r="L220" s="6">
        <v>41111.68</v>
      </c>
      <c r="M220" s="6">
        <v>62186.94</v>
      </c>
      <c r="N220" s="6">
        <f t="shared" si="15"/>
        <v>21075.260000000002</v>
      </c>
    </row>
    <row r="221" spans="1:14" x14ac:dyDescent="0.3">
      <c r="A221" s="8" t="str">
        <f xml:space="preserve"> _xll.EPMOlapMemberO("[CECO].[PARENTH3].[AMSA1000AC3501]","","VP Finanzas","","000")</f>
        <v>VP Finanzas</v>
      </c>
      <c r="B221" t="str">
        <f xml:space="preserve"> _xll.EPMOlapMemberO("[CLACO].[PARENTH1].[AMSAREMUNERACI.SS]","","Remuneraciones Super","","000")</f>
        <v>Remuneraciones Super</v>
      </c>
      <c r="C221" s="6"/>
      <c r="D221" s="6">
        <v>1069093.02</v>
      </c>
      <c r="E221" s="6">
        <f t="shared" si="12"/>
        <v>1069093.02</v>
      </c>
      <c r="F221" s="6"/>
      <c r="G221" s="6"/>
      <c r="H221" s="6">
        <f t="shared" si="13"/>
        <v>0</v>
      </c>
      <c r="I221" s="6"/>
      <c r="J221" s="6"/>
      <c r="K221" s="6">
        <f t="shared" si="14"/>
        <v>0</v>
      </c>
      <c r="L221" s="6">
        <v>27514.560000000001</v>
      </c>
      <c r="M221" s="6">
        <v>2404979.83</v>
      </c>
      <c r="N221" s="6">
        <f t="shared" si="15"/>
        <v>2377465.27</v>
      </c>
    </row>
    <row r="222" spans="1:14" x14ac:dyDescent="0.3">
      <c r="A222" s="8"/>
      <c r="B222" t="str">
        <f xml:space="preserve"> _xll.EPMOlapMemberO("[CLACO].[PARENTH1].[AMSAMAT_Y_REP.2]","","Materiales y repuest","","000")</f>
        <v>Materiales y repuest</v>
      </c>
      <c r="C222" s="6"/>
      <c r="D222" s="6"/>
      <c r="E222" s="6">
        <f t="shared" si="12"/>
        <v>0</v>
      </c>
      <c r="F222" s="6"/>
      <c r="G222" s="6"/>
      <c r="H222" s="6">
        <f t="shared" si="13"/>
        <v>0</v>
      </c>
      <c r="I222" s="6"/>
      <c r="J222" s="6"/>
      <c r="K222" s="6">
        <f t="shared" si="14"/>
        <v>0</v>
      </c>
      <c r="L222" s="6">
        <v>69.260000000000005</v>
      </c>
      <c r="M222" s="6"/>
      <c r="N222" s="6">
        <f t="shared" si="15"/>
        <v>-69.260000000000005</v>
      </c>
    </row>
    <row r="223" spans="1:14" x14ac:dyDescent="0.3">
      <c r="A223" s="8"/>
      <c r="B223" t="str">
        <f xml:space="preserve"> _xll.EPMOlapMemberO("[CLACO].[PARENTH1].[AMSAADM_PERSON]","","Administración Perso","","000")</f>
        <v>Administración Perso</v>
      </c>
      <c r="C223" s="6"/>
      <c r="D223" s="6"/>
      <c r="E223" s="6">
        <f t="shared" si="12"/>
        <v>0</v>
      </c>
      <c r="F223" s="6">
        <v>74.790000000000006</v>
      </c>
      <c r="G223" s="6"/>
      <c r="H223" s="6">
        <f t="shared" si="13"/>
        <v>-74.790000000000006</v>
      </c>
      <c r="I223" s="6">
        <v>1621.17</v>
      </c>
      <c r="J223" s="6"/>
      <c r="K223" s="6">
        <f t="shared" si="14"/>
        <v>-1621.17</v>
      </c>
      <c r="L223" s="6">
        <v>868.42</v>
      </c>
      <c r="M223" s="6"/>
      <c r="N223" s="6">
        <f t="shared" si="15"/>
        <v>-868.42</v>
      </c>
    </row>
    <row r="224" spans="1:14" x14ac:dyDescent="0.3">
      <c r="A224" s="8"/>
      <c r="B224" t="str">
        <f xml:space="preserve"> _xll.EPMOlapMemberO("[CLACO].[PARENTH1].[AMSAENTRENAMI]","","Entrenamiento","","000")</f>
        <v>Entrenamiento</v>
      </c>
      <c r="C224" s="6">
        <v>80638.600000000006</v>
      </c>
      <c r="D224" s="6"/>
      <c r="E224" s="6">
        <f t="shared" si="12"/>
        <v>-80638.600000000006</v>
      </c>
      <c r="F224" s="6">
        <v>41034.239999999998</v>
      </c>
      <c r="G224" s="6"/>
      <c r="H224" s="6">
        <f t="shared" si="13"/>
        <v>-41034.239999999998</v>
      </c>
      <c r="I224" s="6">
        <v>25904.44</v>
      </c>
      <c r="J224" s="6">
        <v>25000</v>
      </c>
      <c r="K224" s="6">
        <f t="shared" si="14"/>
        <v>-904.43999999999869</v>
      </c>
      <c r="L224" s="6">
        <v>28458.62</v>
      </c>
      <c r="M224" s="6">
        <v>23893.35</v>
      </c>
      <c r="N224" s="6">
        <f t="shared" si="15"/>
        <v>-4565.2700000000004</v>
      </c>
    </row>
    <row r="225" spans="1:14" x14ac:dyDescent="0.3">
      <c r="A225" s="8"/>
      <c r="B225" t="str">
        <f xml:space="preserve"> _xll.EPMOlapMemberO("[CLACO].[PARENTH1].[AMSAASESORIAS]","","Asesorías y Consulto","","000")</f>
        <v>Asesorías y Consulto</v>
      </c>
      <c r="C225" s="6">
        <v>-1242.19</v>
      </c>
      <c r="D225" s="6">
        <v>10900.26</v>
      </c>
      <c r="E225" s="6">
        <f t="shared" si="12"/>
        <v>12142.45</v>
      </c>
      <c r="F225" s="6"/>
      <c r="G225" s="6">
        <v>9303.0400000000009</v>
      </c>
      <c r="H225" s="6">
        <f t="shared" si="13"/>
        <v>9303.0400000000009</v>
      </c>
      <c r="I225" s="6">
        <v>6572.53</v>
      </c>
      <c r="J225" s="6">
        <v>8500</v>
      </c>
      <c r="K225" s="6">
        <f t="shared" si="14"/>
        <v>1927.4700000000003</v>
      </c>
      <c r="L225" s="6"/>
      <c r="M225" s="6">
        <v>8000.02</v>
      </c>
      <c r="N225" s="6">
        <f t="shared" si="15"/>
        <v>8000.02</v>
      </c>
    </row>
    <row r="226" spans="1:14" x14ac:dyDescent="0.3">
      <c r="A226" s="8"/>
      <c r="B226" t="str">
        <f xml:space="preserve"> _xll.EPMOlapMemberO("[CLACO].[PARENTH1].[AMSASERVICIOS]","","Servicios","","000")</f>
        <v>Servicios</v>
      </c>
      <c r="C226" s="6">
        <v>5027.09</v>
      </c>
      <c r="D226" s="6"/>
      <c r="E226" s="6">
        <f t="shared" si="12"/>
        <v>-5027.09</v>
      </c>
      <c r="F226" s="6"/>
      <c r="G226" s="6">
        <v>3315.34</v>
      </c>
      <c r="H226" s="6">
        <f t="shared" si="13"/>
        <v>3315.34</v>
      </c>
      <c r="I226" s="6"/>
      <c r="J226" s="6">
        <v>4131.37</v>
      </c>
      <c r="K226" s="6">
        <f t="shared" si="14"/>
        <v>4131.37</v>
      </c>
      <c r="L226" s="6"/>
      <c r="M226" s="6"/>
      <c r="N226" s="6">
        <f t="shared" si="15"/>
        <v>0</v>
      </c>
    </row>
    <row r="227" spans="1:14" x14ac:dyDescent="0.3">
      <c r="A227" s="8"/>
      <c r="B227" t="str">
        <f xml:space="preserve"> _xll.EPMOlapMemberO("[CLACO].[PARENTH1].[AMSASERMANTO.REPA]","","Servicios Mantenimie","","000")</f>
        <v>Servicios Mantenimie</v>
      </c>
      <c r="C227" s="6"/>
      <c r="D227" s="6"/>
      <c r="E227" s="6">
        <f t="shared" si="12"/>
        <v>0</v>
      </c>
      <c r="F227" s="6">
        <v>48.47</v>
      </c>
      <c r="G227" s="6"/>
      <c r="H227" s="6">
        <f t="shared" si="13"/>
        <v>-48.47</v>
      </c>
      <c r="I227" s="6"/>
      <c r="J227" s="6"/>
      <c r="K227" s="6">
        <f t="shared" si="14"/>
        <v>0</v>
      </c>
      <c r="L227" s="6">
        <v>1014.04</v>
      </c>
      <c r="M227" s="6"/>
      <c r="N227" s="6">
        <f t="shared" si="15"/>
        <v>-1014.04</v>
      </c>
    </row>
    <row r="228" spans="1:14" x14ac:dyDescent="0.3">
      <c r="A228" s="8"/>
      <c r="B228" t="str">
        <f xml:space="preserve"> _xll.EPMOlapMemberO("[CLACO].[PARENTH1].[AMSAINFORMATIC]","","Informática y Comuni","","000")</f>
        <v>Informática y Comuni</v>
      </c>
      <c r="C228" s="6">
        <v>1812.21</v>
      </c>
      <c r="D228" s="6">
        <v>2135.23</v>
      </c>
      <c r="E228" s="6">
        <f t="shared" si="12"/>
        <v>323.02</v>
      </c>
      <c r="F228" s="6">
        <v>2050.1999999999998</v>
      </c>
      <c r="G228" s="6">
        <v>1976.51</v>
      </c>
      <c r="H228" s="6">
        <f t="shared" si="13"/>
        <v>-73.689999999999827</v>
      </c>
      <c r="I228" s="6">
        <v>3122.9</v>
      </c>
      <c r="J228" s="6">
        <v>1356.04</v>
      </c>
      <c r="K228" s="6">
        <f t="shared" si="14"/>
        <v>-1766.8600000000001</v>
      </c>
      <c r="L228" s="6">
        <v>3724.81</v>
      </c>
      <c r="M228" s="6">
        <v>1978.73</v>
      </c>
      <c r="N228" s="6">
        <f t="shared" si="15"/>
        <v>-1746.08</v>
      </c>
    </row>
    <row r="229" spans="1:14" x14ac:dyDescent="0.3">
      <c r="A229" s="8"/>
      <c r="B229" t="str">
        <f xml:space="preserve"> _xll.EPMOlapMemberO("[CLACO].[PARENTH1].[AMSAG_VIAJES]","","Gastos de Viajes","","000")</f>
        <v>Gastos de Viajes</v>
      </c>
      <c r="C229" s="6">
        <v>64114.9</v>
      </c>
      <c r="D229" s="6">
        <v>48388.68</v>
      </c>
      <c r="E229" s="6">
        <f t="shared" si="12"/>
        <v>-15726.220000000001</v>
      </c>
      <c r="F229" s="6">
        <v>76713.47</v>
      </c>
      <c r="G229" s="6">
        <v>61270.77</v>
      </c>
      <c r="H229" s="6">
        <f t="shared" si="13"/>
        <v>-15442.700000000004</v>
      </c>
      <c r="I229" s="6">
        <v>83739.899999999994</v>
      </c>
      <c r="J229" s="6">
        <v>97910.19</v>
      </c>
      <c r="K229" s="6">
        <f t="shared" si="14"/>
        <v>14170.290000000008</v>
      </c>
      <c r="L229" s="6">
        <v>81148.800000000003</v>
      </c>
      <c r="M229" s="6">
        <v>146831.20000000001</v>
      </c>
      <c r="N229" s="6">
        <f t="shared" si="15"/>
        <v>65682.400000000009</v>
      </c>
    </row>
    <row r="230" spans="1:14" x14ac:dyDescent="0.3">
      <c r="A230" s="8"/>
      <c r="B230" t="str">
        <f xml:space="preserve"> _xll.EPMOlapMemberO("[CLACO].[PARENTH1].[AMSAGGENERALES.2]","","Otros Gastos","","000")</f>
        <v>Otros Gastos</v>
      </c>
      <c r="C230" s="6">
        <v>9735.92</v>
      </c>
      <c r="D230" s="6">
        <v>6027.37</v>
      </c>
      <c r="E230" s="6">
        <f t="shared" si="12"/>
        <v>-3708.55</v>
      </c>
      <c r="F230" s="6">
        <v>3763.61</v>
      </c>
      <c r="G230" s="6">
        <v>5494.73</v>
      </c>
      <c r="H230" s="6">
        <f t="shared" si="13"/>
        <v>1731.1199999999994</v>
      </c>
      <c r="I230" s="6">
        <v>14255.4</v>
      </c>
      <c r="J230" s="6">
        <v>2850</v>
      </c>
      <c r="K230" s="6">
        <f t="shared" si="14"/>
        <v>-11405.4</v>
      </c>
      <c r="L230" s="6">
        <v>47433.62</v>
      </c>
      <c r="M230" s="6">
        <v>13432.5</v>
      </c>
      <c r="N230" s="6">
        <f t="shared" si="15"/>
        <v>-34001.120000000003</v>
      </c>
    </row>
    <row r="231" spans="1:14" x14ac:dyDescent="0.3">
      <c r="A231" s="8" t="str">
        <f xml:space="preserve"> _xll.EPMOlapMemberO("[CECO].[PARENTH3].[AMSA1000AC3502]","","Gcia Abastecimiento","","000")</f>
        <v>Gcia Abastecimiento</v>
      </c>
      <c r="B231" t="str">
        <f xml:space="preserve"> _xll.EPMOlapMemberO("[CLACO].[PARENTH1].[AMSAREMUNERACI.EE]","","Remuneraciones emple","","000")</f>
        <v>Remuneraciones emple</v>
      </c>
      <c r="C231" s="6">
        <v>481.9</v>
      </c>
      <c r="D231" s="6"/>
      <c r="E231" s="6">
        <f t="shared" si="12"/>
        <v>-481.9</v>
      </c>
      <c r="F231" s="6"/>
      <c r="G231" s="6"/>
      <c r="H231" s="6">
        <f t="shared" si="13"/>
        <v>0</v>
      </c>
      <c r="I231" s="6"/>
      <c r="J231" s="6"/>
      <c r="K231" s="6">
        <f t="shared" si="14"/>
        <v>0</v>
      </c>
      <c r="L231" s="6"/>
      <c r="M231" s="6"/>
      <c r="N231" s="6">
        <f t="shared" si="15"/>
        <v>0</v>
      </c>
    </row>
    <row r="232" spans="1:14" x14ac:dyDescent="0.3">
      <c r="A232" s="8"/>
      <c r="B232" t="str">
        <f xml:space="preserve"> _xll.EPMOlapMemberO("[CLACO].[PARENTH1].[AMSAREMUNERACI.SS]","","Remuneraciones Super","","000")</f>
        <v>Remuneraciones Super</v>
      </c>
      <c r="C232" s="6">
        <v>4798463.33</v>
      </c>
      <c r="D232" s="6">
        <v>5058701.46</v>
      </c>
      <c r="E232" s="6">
        <f t="shared" si="12"/>
        <v>260238.12999999989</v>
      </c>
      <c r="F232" s="6">
        <v>5799485.9800000004</v>
      </c>
      <c r="G232" s="6">
        <v>5633770.5499999998</v>
      </c>
      <c r="H232" s="6">
        <f t="shared" si="13"/>
        <v>-165715.43000000063</v>
      </c>
      <c r="I232" s="6">
        <v>5269906.79</v>
      </c>
      <c r="J232" s="6">
        <v>5871751.54</v>
      </c>
      <c r="K232" s="6">
        <f t="shared" si="14"/>
        <v>601844.75</v>
      </c>
      <c r="L232" s="6">
        <v>4874370.5599999996</v>
      </c>
      <c r="M232" s="6">
        <v>5696854.9199999999</v>
      </c>
      <c r="N232" s="6">
        <f t="shared" si="15"/>
        <v>822484.36000000034</v>
      </c>
    </row>
    <row r="233" spans="1:14" x14ac:dyDescent="0.3">
      <c r="A233" s="8"/>
      <c r="B233" t="str">
        <f xml:space="preserve"> _xll.EPMOlapMemberO("[CLACO].[PARENTH1].[AMSAMAT_Y_REP.2]","","Materiales y repuest","","000")</f>
        <v>Materiales y repuest</v>
      </c>
      <c r="C233" s="6"/>
      <c r="D233" s="6"/>
      <c r="E233" s="6">
        <f t="shared" si="12"/>
        <v>0</v>
      </c>
      <c r="F233" s="6">
        <v>0</v>
      </c>
      <c r="G233" s="6"/>
      <c r="H233" s="6">
        <f t="shared" si="13"/>
        <v>0</v>
      </c>
      <c r="I233" s="6"/>
      <c r="J233" s="6"/>
      <c r="K233" s="6">
        <f t="shared" si="14"/>
        <v>0</v>
      </c>
      <c r="L233" s="6">
        <v>642.12</v>
      </c>
      <c r="M233" s="6"/>
      <c r="N233" s="6">
        <f t="shared" si="15"/>
        <v>-642.12</v>
      </c>
    </row>
    <row r="234" spans="1:14" x14ac:dyDescent="0.3">
      <c r="A234" s="8"/>
      <c r="B234" t="str">
        <f xml:space="preserve"> _xll.EPMOlapMemberO("[CLACO].[PARENTH1].[AMSAADM_PERSON]","","Administración Perso","","000")</f>
        <v>Administración Perso</v>
      </c>
      <c r="C234" s="6">
        <v>11227.01</v>
      </c>
      <c r="D234" s="6"/>
      <c r="E234" s="6">
        <f t="shared" si="12"/>
        <v>-11227.01</v>
      </c>
      <c r="F234" s="6"/>
      <c r="G234" s="6"/>
      <c r="H234" s="6">
        <f t="shared" si="13"/>
        <v>0</v>
      </c>
      <c r="I234" s="6"/>
      <c r="J234" s="6"/>
      <c r="K234" s="6">
        <f t="shared" si="14"/>
        <v>0</v>
      </c>
      <c r="L234" s="6">
        <v>869.27</v>
      </c>
      <c r="M234" s="6"/>
      <c r="N234" s="6">
        <f t="shared" si="15"/>
        <v>-869.27</v>
      </c>
    </row>
    <row r="235" spans="1:14" x14ac:dyDescent="0.3">
      <c r="A235" s="8"/>
      <c r="B235" t="str">
        <f xml:space="preserve"> _xll.EPMOlapMemberO("[CLACO].[PARENTH1].[AMSAENTRENAMI]","","Entrenamiento","","000")</f>
        <v>Entrenamiento</v>
      </c>
      <c r="C235" s="6">
        <v>8253.61</v>
      </c>
      <c r="D235" s="6">
        <v>87071.89</v>
      </c>
      <c r="E235" s="6">
        <f t="shared" si="12"/>
        <v>78818.28</v>
      </c>
      <c r="F235" s="6">
        <v>21091.96</v>
      </c>
      <c r="G235" s="6">
        <v>27352.79</v>
      </c>
      <c r="H235" s="6">
        <f t="shared" si="13"/>
        <v>6260.8300000000017</v>
      </c>
      <c r="I235" s="6">
        <v>4756.41</v>
      </c>
      <c r="J235" s="6">
        <v>15000</v>
      </c>
      <c r="K235" s="6">
        <f t="shared" si="14"/>
        <v>10243.59</v>
      </c>
      <c r="L235" s="6">
        <v>13265.8</v>
      </c>
      <c r="M235" s="6">
        <v>10910.76</v>
      </c>
      <c r="N235" s="6">
        <f t="shared" si="15"/>
        <v>-2355.0399999999991</v>
      </c>
    </row>
    <row r="236" spans="1:14" x14ac:dyDescent="0.3">
      <c r="A236" s="8"/>
      <c r="B236" t="str">
        <f xml:space="preserve"> _xll.EPMOlapMemberO("[CLACO].[PARENTH1].[AMSAASESORIAS]","","Asesorías y Consulto","","000")</f>
        <v>Asesorías y Consulto</v>
      </c>
      <c r="C236" s="6">
        <v>-21660.22</v>
      </c>
      <c r="D236" s="6"/>
      <c r="E236" s="6">
        <f t="shared" si="12"/>
        <v>21660.22</v>
      </c>
      <c r="F236" s="6">
        <v>10959.7</v>
      </c>
      <c r="G236" s="6"/>
      <c r="H236" s="6">
        <f t="shared" si="13"/>
        <v>-10959.7</v>
      </c>
      <c r="I236" s="6">
        <v>1119.73</v>
      </c>
      <c r="J236" s="6"/>
      <c r="K236" s="6">
        <f t="shared" si="14"/>
        <v>-1119.73</v>
      </c>
      <c r="L236" s="6">
        <v>0</v>
      </c>
      <c r="M236" s="6"/>
      <c r="N236" s="6">
        <f t="shared" si="15"/>
        <v>0</v>
      </c>
    </row>
    <row r="237" spans="1:14" x14ac:dyDescent="0.3">
      <c r="A237" s="8"/>
      <c r="B237" t="str">
        <f xml:space="preserve"> _xll.EPMOlapMemberO("[CLACO].[PARENTH1].[AMSASERVICIOS]","","Servicios","","000")</f>
        <v>Servicios</v>
      </c>
      <c r="C237" s="6">
        <v>52036.49</v>
      </c>
      <c r="D237" s="6">
        <v>568.85</v>
      </c>
      <c r="E237" s="6">
        <f t="shared" si="12"/>
        <v>-51467.64</v>
      </c>
      <c r="F237" s="6">
        <v>38918.31</v>
      </c>
      <c r="G237" s="6">
        <v>2992.96</v>
      </c>
      <c r="H237" s="6">
        <f t="shared" si="13"/>
        <v>-35925.35</v>
      </c>
      <c r="I237" s="6">
        <v>2819.87</v>
      </c>
      <c r="J237" s="6"/>
      <c r="K237" s="6">
        <f t="shared" si="14"/>
        <v>-2819.87</v>
      </c>
      <c r="L237" s="6">
        <v>1020.38</v>
      </c>
      <c r="M237" s="6"/>
      <c r="N237" s="6">
        <f t="shared" si="15"/>
        <v>-1020.38</v>
      </c>
    </row>
    <row r="238" spans="1:14" x14ac:dyDescent="0.3">
      <c r="A238" s="8"/>
      <c r="B238" t="str">
        <f xml:space="preserve"> _xll.EPMOlapMemberO("[CLACO].[PARENTH1].[AMSASERMANTO.REPA]","","Servicios Mantenimie","","000")</f>
        <v>Servicios Mantenimie</v>
      </c>
      <c r="C238" s="6"/>
      <c r="D238" s="6"/>
      <c r="E238" s="6">
        <f t="shared" si="12"/>
        <v>0</v>
      </c>
      <c r="F238" s="6">
        <v>0.02</v>
      </c>
      <c r="G238" s="6"/>
      <c r="H238" s="6">
        <f t="shared" si="13"/>
        <v>-0.02</v>
      </c>
      <c r="I238" s="6"/>
      <c r="J238" s="6"/>
      <c r="K238" s="6">
        <f t="shared" si="14"/>
        <v>0</v>
      </c>
      <c r="L238" s="6">
        <v>6746.96</v>
      </c>
      <c r="M238" s="6"/>
      <c r="N238" s="6">
        <f t="shared" si="15"/>
        <v>-6746.96</v>
      </c>
    </row>
    <row r="239" spans="1:14" x14ac:dyDescent="0.3">
      <c r="A239" s="8"/>
      <c r="B239" t="str">
        <f xml:space="preserve"> _xll.EPMOlapMemberO("[CLACO].[PARENTH1].[AMSAINFORMATIC]","","Informática y Comuni","","000")</f>
        <v>Informática y Comuni</v>
      </c>
      <c r="C239" s="6">
        <v>21112.66</v>
      </c>
      <c r="D239" s="6">
        <v>36512.36</v>
      </c>
      <c r="E239" s="6">
        <f t="shared" si="12"/>
        <v>15399.7</v>
      </c>
      <c r="F239" s="6">
        <v>68258.09</v>
      </c>
      <c r="G239" s="6">
        <v>43467.15</v>
      </c>
      <c r="H239" s="6">
        <f t="shared" si="13"/>
        <v>-24790.939999999995</v>
      </c>
      <c r="I239" s="6">
        <v>59941.120000000003</v>
      </c>
      <c r="J239" s="6">
        <v>42139.83</v>
      </c>
      <c r="K239" s="6">
        <f t="shared" si="14"/>
        <v>-17801.29</v>
      </c>
      <c r="L239" s="6">
        <v>31880.89</v>
      </c>
      <c r="M239" s="6">
        <v>46282.68</v>
      </c>
      <c r="N239" s="6">
        <f t="shared" si="15"/>
        <v>14401.79</v>
      </c>
    </row>
    <row r="240" spans="1:14" x14ac:dyDescent="0.3">
      <c r="A240" s="8"/>
      <c r="B240" t="str">
        <f xml:space="preserve"> _xll.EPMOlapMemberO("[CLACO].[PARENTH1].[AMSAG_VIAJES]","","Gastos de Viajes","","000")</f>
        <v>Gastos de Viajes</v>
      </c>
      <c r="C240" s="6">
        <v>110519.31</v>
      </c>
      <c r="D240" s="6">
        <v>81828.55</v>
      </c>
      <c r="E240" s="6">
        <f t="shared" si="12"/>
        <v>-28690.759999999995</v>
      </c>
      <c r="F240" s="6">
        <v>58127.33</v>
      </c>
      <c r="G240" s="6">
        <v>63501.04</v>
      </c>
      <c r="H240" s="6">
        <f t="shared" si="13"/>
        <v>5373.7099999999991</v>
      </c>
      <c r="I240" s="6">
        <v>40204.82</v>
      </c>
      <c r="J240" s="6">
        <v>42000</v>
      </c>
      <c r="K240" s="6">
        <f t="shared" si="14"/>
        <v>1795.1800000000003</v>
      </c>
      <c r="L240" s="6">
        <v>38021.93</v>
      </c>
      <c r="M240" s="6">
        <v>73030.5</v>
      </c>
      <c r="N240" s="6">
        <f t="shared" si="15"/>
        <v>35008.57</v>
      </c>
    </row>
    <row r="241" spans="1:14" x14ac:dyDescent="0.3">
      <c r="A241" s="8"/>
      <c r="B241" t="str">
        <f xml:space="preserve"> _xll.EPMOlapMemberO("[CLACO].[PARENTH1].[AMSAGGENERALES.2]","","Otros Gastos","","000")</f>
        <v>Otros Gastos</v>
      </c>
      <c r="C241" s="6">
        <v>48516.36</v>
      </c>
      <c r="D241" s="6">
        <v>14989.5</v>
      </c>
      <c r="E241" s="6">
        <f t="shared" si="12"/>
        <v>-33526.86</v>
      </c>
      <c r="F241" s="6">
        <v>47172.46</v>
      </c>
      <c r="G241" s="6">
        <v>32665.49</v>
      </c>
      <c r="H241" s="6">
        <f t="shared" si="13"/>
        <v>-14506.969999999998</v>
      </c>
      <c r="I241" s="6">
        <v>12355.31</v>
      </c>
      <c r="J241" s="6">
        <v>15300.01</v>
      </c>
      <c r="K241" s="6">
        <f t="shared" si="14"/>
        <v>2944.7000000000007</v>
      </c>
      <c r="L241" s="6">
        <v>13484.46</v>
      </c>
      <c r="M241" s="6">
        <v>11542.06</v>
      </c>
      <c r="N241" s="6">
        <f t="shared" si="15"/>
        <v>-1942.3999999999996</v>
      </c>
    </row>
    <row r="242" spans="1:14" x14ac:dyDescent="0.3">
      <c r="A242" s="8" t="str">
        <f xml:space="preserve"> _xll.EPMOlapMemberO("[CECO].[PARENTH3].[AMSA1000AC3503]","","Gcia Contabilidad","","000")</f>
        <v>Gcia Contabilidad</v>
      </c>
      <c r="B242" t="str">
        <f xml:space="preserve"> _xll.EPMOlapMemberO("[CLACO].[PARENTH1].[AMSAREMUNERACI.SS]","","Remuneraciones Super","","000")</f>
        <v>Remuneraciones Super</v>
      </c>
      <c r="C242" s="6">
        <v>3246785.33</v>
      </c>
      <c r="D242" s="6">
        <v>3123909.92</v>
      </c>
      <c r="E242" s="6">
        <f t="shared" si="12"/>
        <v>-122875.41000000015</v>
      </c>
      <c r="F242" s="6">
        <v>4069262.82</v>
      </c>
      <c r="G242" s="6">
        <v>3732800.96</v>
      </c>
      <c r="H242" s="6">
        <f t="shared" si="13"/>
        <v>-336461.85999999987</v>
      </c>
      <c r="I242" s="6">
        <v>3685944.23</v>
      </c>
      <c r="J242" s="6">
        <v>4098095.82</v>
      </c>
      <c r="K242" s="6">
        <f t="shared" si="14"/>
        <v>412151.58999999985</v>
      </c>
      <c r="L242" s="6">
        <v>3763666.66</v>
      </c>
      <c r="M242" s="6">
        <v>4027315.13</v>
      </c>
      <c r="N242" s="6">
        <f t="shared" si="15"/>
        <v>263648.46999999974</v>
      </c>
    </row>
    <row r="243" spans="1:14" x14ac:dyDescent="0.3">
      <c r="A243" s="8"/>
      <c r="B243" t="str">
        <f xml:space="preserve"> _xll.EPMOlapMemberO("[CLACO].[PARENTH1].[AMSAMAT_Y_REP.2]","","Materiales y repuest","","000")</f>
        <v>Materiales y repuest</v>
      </c>
      <c r="C243" s="6"/>
      <c r="D243" s="6"/>
      <c r="E243" s="6">
        <f t="shared" si="12"/>
        <v>0</v>
      </c>
      <c r="F243" s="6">
        <v>0</v>
      </c>
      <c r="G243" s="6"/>
      <c r="H243" s="6">
        <f t="shared" si="13"/>
        <v>0</v>
      </c>
      <c r="I243" s="6">
        <v>192.18</v>
      </c>
      <c r="J243" s="6"/>
      <c r="K243" s="6">
        <f t="shared" si="14"/>
        <v>-192.18</v>
      </c>
      <c r="L243" s="6">
        <v>60.62</v>
      </c>
      <c r="M243" s="6"/>
      <c r="N243" s="6">
        <f t="shared" si="15"/>
        <v>-60.62</v>
      </c>
    </row>
    <row r="244" spans="1:14" x14ac:dyDescent="0.3">
      <c r="A244" s="8"/>
      <c r="B244" t="str">
        <f xml:space="preserve"> _xll.EPMOlapMemberO("[CLACO].[PARENTH1].[AMSAADM_PERSON]","","Administración Perso","","000")</f>
        <v>Administración Perso</v>
      </c>
      <c r="C244" s="6"/>
      <c r="D244" s="6"/>
      <c r="E244" s="6">
        <f t="shared" si="12"/>
        <v>0</v>
      </c>
      <c r="F244" s="6">
        <v>1982.89</v>
      </c>
      <c r="G244" s="6"/>
      <c r="H244" s="6">
        <f t="shared" si="13"/>
        <v>-1982.89</v>
      </c>
      <c r="I244" s="6">
        <v>45.13</v>
      </c>
      <c r="J244" s="6"/>
      <c r="K244" s="6">
        <f t="shared" si="14"/>
        <v>-45.13</v>
      </c>
      <c r="L244" s="6">
        <v>-229.69</v>
      </c>
      <c r="M244" s="6"/>
      <c r="N244" s="6">
        <f t="shared" si="15"/>
        <v>229.69</v>
      </c>
    </row>
    <row r="245" spans="1:14" x14ac:dyDescent="0.3">
      <c r="A245" s="8"/>
      <c r="B245" t="str">
        <f xml:space="preserve"> _xll.EPMOlapMemberO("[CLACO].[PARENTH1].[AMSAENTRENAMI]","","Entrenamiento","","000")</f>
        <v>Entrenamiento</v>
      </c>
      <c r="C245" s="6">
        <v>603.87</v>
      </c>
      <c r="D245" s="6">
        <v>12343.39</v>
      </c>
      <c r="E245" s="6">
        <f t="shared" si="12"/>
        <v>11739.519999999999</v>
      </c>
      <c r="F245" s="6">
        <v>20326.18</v>
      </c>
      <c r="G245" s="6">
        <v>26111.35</v>
      </c>
      <c r="H245" s="6">
        <f t="shared" si="13"/>
        <v>5785.1699999999983</v>
      </c>
      <c r="I245" s="6">
        <v>4281.62</v>
      </c>
      <c r="J245" s="6">
        <v>4050</v>
      </c>
      <c r="K245" s="6">
        <f t="shared" si="14"/>
        <v>-231.61999999999989</v>
      </c>
      <c r="L245" s="6">
        <v>4830.4399999999996</v>
      </c>
      <c r="M245" s="6">
        <v>12449.86</v>
      </c>
      <c r="N245" s="6">
        <f t="shared" si="15"/>
        <v>7619.420000000001</v>
      </c>
    </row>
    <row r="246" spans="1:14" x14ac:dyDescent="0.3">
      <c r="A246" s="8"/>
      <c r="B246" t="str">
        <f xml:space="preserve"> _xll.EPMOlapMemberO("[CLACO].[PARENTH1].[AMSAASESORIAS]","","Asesorías y Consulto","","000")</f>
        <v>Asesorías y Consulto</v>
      </c>
      <c r="C246" s="6">
        <v>154546.15</v>
      </c>
      <c r="D246" s="6">
        <v>144338.76999999999</v>
      </c>
      <c r="E246" s="6">
        <f t="shared" si="12"/>
        <v>-10207.380000000005</v>
      </c>
      <c r="F246" s="6">
        <v>225156.6</v>
      </c>
      <c r="G246" s="6">
        <v>192956.41</v>
      </c>
      <c r="H246" s="6">
        <f t="shared" si="13"/>
        <v>-32200.190000000002</v>
      </c>
      <c r="I246" s="6">
        <v>142104.99</v>
      </c>
      <c r="J246" s="6">
        <v>217777.56</v>
      </c>
      <c r="K246" s="6">
        <f t="shared" si="14"/>
        <v>75672.570000000007</v>
      </c>
      <c r="L246" s="6">
        <v>187212.05</v>
      </c>
      <c r="M246" s="6">
        <v>214049.82</v>
      </c>
      <c r="N246" s="6">
        <f t="shared" si="15"/>
        <v>26837.770000000019</v>
      </c>
    </row>
    <row r="247" spans="1:14" x14ac:dyDescent="0.3">
      <c r="A247" s="8"/>
      <c r="B247" t="str">
        <f xml:space="preserve"> _xll.EPMOlapMemberO("[CLACO].[PARENTH1].[AMSASERVICIOS]","","Servicios","","000")</f>
        <v>Servicios</v>
      </c>
      <c r="C247" s="6">
        <v>59195.6</v>
      </c>
      <c r="D247" s="6">
        <v>55024.36</v>
      </c>
      <c r="E247" s="6">
        <f t="shared" si="12"/>
        <v>-4171.239999999998</v>
      </c>
      <c r="F247" s="6">
        <v>45282.95</v>
      </c>
      <c r="G247" s="6">
        <v>49585.83</v>
      </c>
      <c r="H247" s="6">
        <f t="shared" si="13"/>
        <v>4302.8800000000047</v>
      </c>
      <c r="I247" s="6">
        <v>7011.48</v>
      </c>
      <c r="J247" s="6">
        <v>16461.73</v>
      </c>
      <c r="K247" s="6">
        <f t="shared" si="14"/>
        <v>9450.25</v>
      </c>
      <c r="L247" s="6">
        <v>37156.879999999997</v>
      </c>
      <c r="M247" s="6">
        <v>16323.05</v>
      </c>
      <c r="N247" s="6">
        <f t="shared" si="15"/>
        <v>-20833.829999999998</v>
      </c>
    </row>
    <row r="248" spans="1:14" x14ac:dyDescent="0.3">
      <c r="A248" s="8"/>
      <c r="B248" t="str">
        <f xml:space="preserve"> _xll.EPMOlapMemberO("[CLACO].[PARENTH1].[AMSASERMANTO.REPA]","","Servicios Mantenimie","","000")</f>
        <v>Servicios Mantenimie</v>
      </c>
      <c r="C248" s="6"/>
      <c r="D248" s="6"/>
      <c r="E248" s="6">
        <f t="shared" si="12"/>
        <v>0</v>
      </c>
      <c r="F248" s="6">
        <v>1398.83</v>
      </c>
      <c r="G248" s="6"/>
      <c r="H248" s="6">
        <f t="shared" si="13"/>
        <v>-1398.83</v>
      </c>
      <c r="I248" s="6"/>
      <c r="J248" s="6"/>
      <c r="K248" s="6">
        <f t="shared" si="14"/>
        <v>0</v>
      </c>
      <c r="L248" s="6">
        <v>2150.77</v>
      </c>
      <c r="M248" s="6"/>
      <c r="N248" s="6">
        <f t="shared" si="15"/>
        <v>-2150.77</v>
      </c>
    </row>
    <row r="249" spans="1:14" x14ac:dyDescent="0.3">
      <c r="A249" s="8"/>
      <c r="B249" t="str">
        <f xml:space="preserve"> _xll.EPMOlapMemberO("[CLACO].[PARENTH1].[AMSAINFORMATIC]","","Informática y Comuni","","000")</f>
        <v>Informática y Comuni</v>
      </c>
      <c r="C249" s="6">
        <v>73657.98</v>
      </c>
      <c r="D249" s="6">
        <v>81717.570000000007</v>
      </c>
      <c r="E249" s="6">
        <f t="shared" si="12"/>
        <v>8059.5900000000111</v>
      </c>
      <c r="F249" s="6">
        <v>13532.11</v>
      </c>
      <c r="G249" s="6">
        <v>90298.43</v>
      </c>
      <c r="H249" s="6">
        <f t="shared" si="13"/>
        <v>76766.319999999992</v>
      </c>
      <c r="I249" s="6">
        <v>70059.12</v>
      </c>
      <c r="J249" s="6">
        <v>81027.06</v>
      </c>
      <c r="K249" s="6">
        <f t="shared" si="14"/>
        <v>10967.940000000002</v>
      </c>
      <c r="L249" s="6">
        <v>127996.9</v>
      </c>
      <c r="M249" s="6">
        <v>94475</v>
      </c>
      <c r="N249" s="6">
        <f t="shared" si="15"/>
        <v>-33521.899999999994</v>
      </c>
    </row>
    <row r="250" spans="1:14" x14ac:dyDescent="0.3">
      <c r="A250" s="8"/>
      <c r="B250" t="str">
        <f xml:space="preserve"> _xll.EPMOlapMemberO("[CLACO].[PARENTH1].[AMSAG_VIAJES]","","Gastos de Viajes","","000")</f>
        <v>Gastos de Viajes</v>
      </c>
      <c r="C250" s="6">
        <v>23522.84</v>
      </c>
      <c r="D250" s="6">
        <v>17409.86</v>
      </c>
      <c r="E250" s="6">
        <f t="shared" si="12"/>
        <v>-6112.98</v>
      </c>
      <c r="F250" s="6">
        <v>16140.5</v>
      </c>
      <c r="G250" s="6">
        <v>20627.939999999999</v>
      </c>
      <c r="H250" s="6">
        <f t="shared" si="13"/>
        <v>4487.4399999999987</v>
      </c>
      <c r="I250" s="6">
        <v>8625.02</v>
      </c>
      <c r="J250" s="6">
        <v>15049.03</v>
      </c>
      <c r="K250" s="6">
        <f t="shared" si="14"/>
        <v>6424.01</v>
      </c>
      <c r="L250" s="6">
        <v>9619.67</v>
      </c>
      <c r="M250" s="6">
        <v>13789.76</v>
      </c>
      <c r="N250" s="6">
        <f t="shared" si="15"/>
        <v>4170.09</v>
      </c>
    </row>
    <row r="251" spans="1:14" x14ac:dyDescent="0.3">
      <c r="A251" s="8"/>
      <c r="B251" t="str">
        <f xml:space="preserve"> _xll.EPMOlapMemberO("[CLACO].[PARENTH1].[AMSAGGENERALES.2]","","Otros Gastos","","000")</f>
        <v>Otros Gastos</v>
      </c>
      <c r="C251" s="6">
        <v>15935.64</v>
      </c>
      <c r="D251" s="6">
        <v>21281.83</v>
      </c>
      <c r="E251" s="6">
        <f t="shared" si="12"/>
        <v>5346.1900000000023</v>
      </c>
      <c r="F251" s="6">
        <v>19167.189999999999</v>
      </c>
      <c r="G251" s="6">
        <v>15490.79</v>
      </c>
      <c r="H251" s="6">
        <f t="shared" si="13"/>
        <v>-3676.3999999999978</v>
      </c>
      <c r="I251" s="6">
        <v>13075.7</v>
      </c>
      <c r="J251" s="6">
        <v>24006.07</v>
      </c>
      <c r="K251" s="6">
        <f t="shared" si="14"/>
        <v>10930.369999999999</v>
      </c>
      <c r="L251" s="6">
        <v>13980.85</v>
      </c>
      <c r="M251" s="6">
        <v>24031</v>
      </c>
      <c r="N251" s="6">
        <f t="shared" si="15"/>
        <v>10050.15</v>
      </c>
    </row>
    <row r="252" spans="1:14" x14ac:dyDescent="0.3">
      <c r="A252" s="8"/>
      <c r="B252" t="str">
        <f xml:space="preserve"> _xll.EPMOlapMemberO("[CLACO].[PARENTH1].[AMSASERV_CORP]","","Servicios Corporativ","","000")</f>
        <v>Servicios Corporativ</v>
      </c>
      <c r="C252" s="6">
        <v>26521.09</v>
      </c>
      <c r="D252" s="6">
        <v>28838.49</v>
      </c>
      <c r="E252" s="6">
        <f t="shared" si="12"/>
        <v>2317.4000000000015</v>
      </c>
      <c r="F252" s="6">
        <v>28725.84</v>
      </c>
      <c r="G252" s="6">
        <v>26249.14</v>
      </c>
      <c r="H252" s="6">
        <f t="shared" si="13"/>
        <v>-2476.7000000000007</v>
      </c>
      <c r="I252" s="6">
        <v>28029.47</v>
      </c>
      <c r="J252" s="6">
        <v>29937.72</v>
      </c>
      <c r="K252" s="6">
        <f t="shared" si="14"/>
        <v>1908.25</v>
      </c>
      <c r="L252" s="6">
        <v>26775.41</v>
      </c>
      <c r="M252" s="6">
        <v>29579.08</v>
      </c>
      <c r="N252" s="6">
        <f t="shared" si="15"/>
        <v>2803.6700000000019</v>
      </c>
    </row>
    <row r="253" spans="1:14" x14ac:dyDescent="0.3">
      <c r="A253" s="8" t="str">
        <f xml:space="preserve"> _xll.EPMOlapMemberO("[CECO].[PARENTH3].[AMSA1000AC3504]","","Gcia Planificación","","000")</f>
        <v>Gcia Planificación</v>
      </c>
      <c r="B253" t="str">
        <f xml:space="preserve"> _xll.EPMOlapMemberO("[CLACO].[PARENTH1].[AMSAREMUNERACI.SS]","","Remuneraciones Super","","000")</f>
        <v>Remuneraciones Super</v>
      </c>
      <c r="C253" s="6">
        <v>1371539.97</v>
      </c>
      <c r="D253" s="6">
        <v>1333853.21</v>
      </c>
      <c r="E253" s="6">
        <f t="shared" si="12"/>
        <v>-37686.760000000009</v>
      </c>
      <c r="F253" s="6">
        <v>1630941</v>
      </c>
      <c r="G253" s="6">
        <v>1472068.36</v>
      </c>
      <c r="H253" s="6">
        <f t="shared" si="13"/>
        <v>-158872.6399999999</v>
      </c>
      <c r="I253" s="6">
        <v>1466403.49</v>
      </c>
      <c r="J253" s="6">
        <v>1755773.88</v>
      </c>
      <c r="K253" s="6">
        <f t="shared" si="14"/>
        <v>289370.3899999999</v>
      </c>
      <c r="L253" s="6">
        <v>1614233.12</v>
      </c>
      <c r="M253" s="6">
        <v>1672012.7</v>
      </c>
      <c r="N253" s="6">
        <f t="shared" si="15"/>
        <v>57779.579999999842</v>
      </c>
    </row>
    <row r="254" spans="1:14" x14ac:dyDescent="0.3">
      <c r="A254" s="8"/>
      <c r="B254" t="str">
        <f xml:space="preserve"> _xll.EPMOlapMemberO("[CLACO].[PARENTH1].[AMSAMAT_Y_REP.2]","","Materiales y repuest","","000")</f>
        <v>Materiales y repuest</v>
      </c>
      <c r="C254" s="6"/>
      <c r="D254" s="6"/>
      <c r="E254" s="6">
        <f t="shared" si="12"/>
        <v>0</v>
      </c>
      <c r="F254" s="6">
        <v>0</v>
      </c>
      <c r="G254" s="6"/>
      <c r="H254" s="6">
        <f t="shared" si="13"/>
        <v>0</v>
      </c>
      <c r="I254" s="6"/>
      <c r="J254" s="6"/>
      <c r="K254" s="6">
        <f t="shared" si="14"/>
        <v>0</v>
      </c>
      <c r="L254" s="6"/>
      <c r="M254" s="6"/>
      <c r="N254" s="6">
        <f t="shared" si="15"/>
        <v>0</v>
      </c>
    </row>
    <row r="255" spans="1:14" x14ac:dyDescent="0.3">
      <c r="A255" s="8"/>
      <c r="B255" t="str">
        <f xml:space="preserve"> _xll.EPMOlapMemberO("[CLACO].[PARENTH1].[AMSAADM_PERSON]","","Administración Perso","","000")</f>
        <v>Administración Perso</v>
      </c>
      <c r="C255" s="6">
        <v>263.45</v>
      </c>
      <c r="D255" s="6"/>
      <c r="E255" s="6">
        <f t="shared" si="12"/>
        <v>-263.45</v>
      </c>
      <c r="F255" s="6">
        <v>291.33</v>
      </c>
      <c r="G255" s="6"/>
      <c r="H255" s="6">
        <f t="shared" si="13"/>
        <v>-291.33</v>
      </c>
      <c r="I255" s="6"/>
      <c r="J255" s="6"/>
      <c r="K255" s="6">
        <f t="shared" si="14"/>
        <v>0</v>
      </c>
      <c r="L255" s="6"/>
      <c r="M255" s="6"/>
      <c r="N255" s="6">
        <f t="shared" si="15"/>
        <v>0</v>
      </c>
    </row>
    <row r="256" spans="1:14" x14ac:dyDescent="0.3">
      <c r="A256" s="8"/>
      <c r="B256" t="str">
        <f xml:space="preserve"> _xll.EPMOlapMemberO("[CLACO].[PARENTH1].[AMSAENTRENAMI]","","Entrenamiento","","000")</f>
        <v>Entrenamiento</v>
      </c>
      <c r="C256" s="6"/>
      <c r="D256" s="6">
        <v>8965.65</v>
      </c>
      <c r="E256" s="6">
        <f t="shared" si="12"/>
        <v>8965.65</v>
      </c>
      <c r="F256" s="6"/>
      <c r="G256" s="6">
        <v>17938.25</v>
      </c>
      <c r="H256" s="6">
        <f t="shared" si="13"/>
        <v>17938.25</v>
      </c>
      <c r="I256" s="6">
        <v>18.93</v>
      </c>
      <c r="J256" s="6">
        <v>5611.76</v>
      </c>
      <c r="K256" s="6">
        <f t="shared" si="14"/>
        <v>5592.83</v>
      </c>
      <c r="L256" s="6">
        <v>1094.0999999999999</v>
      </c>
      <c r="M256" s="6">
        <v>1511.5</v>
      </c>
      <c r="N256" s="6">
        <f t="shared" si="15"/>
        <v>417.40000000000009</v>
      </c>
    </row>
    <row r="257" spans="1:14" x14ac:dyDescent="0.3">
      <c r="A257" s="8"/>
      <c r="B257" t="str">
        <f xml:space="preserve"> _xll.EPMOlapMemberO("[CLACO].[PARENTH1].[AMSAASESORIAS]","","Asesorías y Consulto","","000")</f>
        <v>Asesorías y Consulto</v>
      </c>
      <c r="C257" s="6">
        <v>1496.98</v>
      </c>
      <c r="D257" s="6">
        <v>10223.68</v>
      </c>
      <c r="E257" s="6">
        <f t="shared" si="12"/>
        <v>8726.7000000000007</v>
      </c>
      <c r="F257" s="6">
        <v>10090</v>
      </c>
      <c r="G257" s="6">
        <v>11919.44</v>
      </c>
      <c r="H257" s="6">
        <f t="shared" si="13"/>
        <v>1829.4400000000005</v>
      </c>
      <c r="I257" s="6">
        <v>924.13</v>
      </c>
      <c r="J257" s="6"/>
      <c r="K257" s="6">
        <f t="shared" si="14"/>
        <v>-924.13</v>
      </c>
      <c r="L257" s="6">
        <v>-19552.650000000001</v>
      </c>
      <c r="M257" s="6"/>
      <c r="N257" s="6">
        <f t="shared" si="15"/>
        <v>19552.650000000001</v>
      </c>
    </row>
    <row r="258" spans="1:14" x14ac:dyDescent="0.3">
      <c r="A258" s="8"/>
      <c r="B258" t="str">
        <f xml:space="preserve"> _xll.EPMOlapMemberO("[CLACO].[PARENTH1].[AMSASERVICIOS]","","Servicios","","000")</f>
        <v>Servicios</v>
      </c>
      <c r="C258" s="6"/>
      <c r="D258" s="6"/>
      <c r="E258" s="6">
        <f t="shared" si="12"/>
        <v>0</v>
      </c>
      <c r="F258" s="6">
        <v>1894.74</v>
      </c>
      <c r="G258" s="6"/>
      <c r="H258" s="6">
        <f t="shared" si="13"/>
        <v>-1894.74</v>
      </c>
      <c r="I258" s="6">
        <v>40234.03</v>
      </c>
      <c r="J258" s="6">
        <v>2118.39</v>
      </c>
      <c r="K258" s="6">
        <f t="shared" si="14"/>
        <v>-38115.64</v>
      </c>
      <c r="L258" s="6">
        <v>33971.1</v>
      </c>
      <c r="M258" s="6">
        <v>8757.66</v>
      </c>
      <c r="N258" s="6">
        <f t="shared" si="15"/>
        <v>-25213.439999999999</v>
      </c>
    </row>
    <row r="259" spans="1:14" x14ac:dyDescent="0.3">
      <c r="A259" s="8"/>
      <c r="B259" t="str">
        <f xml:space="preserve"> _xll.EPMOlapMemberO("[CLACO].[PARENTH1].[AMSASERMANTO.REPA]","","Servicios Mantenimie","","000")</f>
        <v>Servicios Mantenimie</v>
      </c>
      <c r="C259" s="6"/>
      <c r="D259" s="6"/>
      <c r="E259" s="6">
        <f t="shared" si="12"/>
        <v>0</v>
      </c>
      <c r="F259" s="6">
        <v>2151.71</v>
      </c>
      <c r="G259" s="6"/>
      <c r="H259" s="6">
        <f t="shared" si="13"/>
        <v>-2151.71</v>
      </c>
      <c r="I259" s="6"/>
      <c r="J259" s="6"/>
      <c r="K259" s="6">
        <f t="shared" si="14"/>
        <v>0</v>
      </c>
      <c r="L259" s="6"/>
      <c r="M259" s="6"/>
      <c r="N259" s="6">
        <f t="shared" si="15"/>
        <v>0</v>
      </c>
    </row>
    <row r="260" spans="1:14" x14ac:dyDescent="0.3">
      <c r="A260" s="8"/>
      <c r="B260" t="str">
        <f xml:space="preserve"> _xll.EPMOlapMemberO("[CLACO].[PARENTH1].[AMSAINFORMATIC]","","Informática y Comuni","","000")</f>
        <v>Informática y Comuni</v>
      </c>
      <c r="C260" s="6">
        <v>6662.83</v>
      </c>
      <c r="D260" s="6">
        <v>12561.92</v>
      </c>
      <c r="E260" s="6">
        <f t="shared" si="12"/>
        <v>5899.09</v>
      </c>
      <c r="F260" s="6">
        <v>67914.37</v>
      </c>
      <c r="G260" s="6">
        <v>78754.38</v>
      </c>
      <c r="H260" s="6">
        <f t="shared" si="13"/>
        <v>10840.010000000009</v>
      </c>
      <c r="I260" s="6">
        <v>66807.05</v>
      </c>
      <c r="J260" s="6">
        <v>63644.29</v>
      </c>
      <c r="K260" s="6">
        <f t="shared" si="14"/>
        <v>-3162.760000000002</v>
      </c>
      <c r="L260" s="6">
        <v>116285.02</v>
      </c>
      <c r="M260" s="6">
        <v>65094.62</v>
      </c>
      <c r="N260" s="6">
        <f t="shared" si="15"/>
        <v>-51190.400000000001</v>
      </c>
    </row>
    <row r="261" spans="1:14" x14ac:dyDescent="0.3">
      <c r="A261" s="8"/>
      <c r="B261" t="str">
        <f xml:space="preserve"> _xll.EPMOlapMemberO("[CLACO].[PARENTH1].[AMSAG_VIAJES]","","Gastos de Viajes","","000")</f>
        <v>Gastos de Viajes</v>
      </c>
      <c r="C261" s="6">
        <v>12675.45</v>
      </c>
      <c r="D261" s="6">
        <v>21169.78</v>
      </c>
      <c r="E261" s="6">
        <f t="shared" si="12"/>
        <v>8494.3299999999981</v>
      </c>
      <c r="F261" s="6">
        <v>16947.79</v>
      </c>
      <c r="G261" s="6">
        <v>34847.26</v>
      </c>
      <c r="H261" s="6">
        <f t="shared" si="13"/>
        <v>17899.47</v>
      </c>
      <c r="I261" s="6">
        <v>14376.14</v>
      </c>
      <c r="J261" s="6">
        <v>17319.48</v>
      </c>
      <c r="K261" s="6">
        <f t="shared" si="14"/>
        <v>2943.34</v>
      </c>
      <c r="L261" s="6">
        <v>8710.2800000000007</v>
      </c>
      <c r="M261" s="6">
        <v>11417.84</v>
      </c>
      <c r="N261" s="6">
        <f t="shared" si="15"/>
        <v>2707.5599999999995</v>
      </c>
    </row>
    <row r="262" spans="1:14" x14ac:dyDescent="0.3">
      <c r="A262" s="8"/>
      <c r="B262" t="str">
        <f xml:space="preserve"> _xll.EPMOlapMemberO("[CLACO].[PARENTH1].[AMSAGGENERALES.2]","","Otros Gastos","","000")</f>
        <v>Otros Gastos</v>
      </c>
      <c r="C262" s="6">
        <v>1663.09</v>
      </c>
      <c r="D262" s="6">
        <v>4352.05</v>
      </c>
      <c r="E262" s="6">
        <f t="shared" si="12"/>
        <v>2688.96</v>
      </c>
      <c r="F262" s="6">
        <v>3227.3</v>
      </c>
      <c r="G262" s="6">
        <v>3862.31</v>
      </c>
      <c r="H262" s="6">
        <f t="shared" si="13"/>
        <v>635.00999999999976</v>
      </c>
      <c r="I262" s="6">
        <v>3773.64</v>
      </c>
      <c r="J262" s="6">
        <v>2787.76</v>
      </c>
      <c r="K262" s="6">
        <f t="shared" si="14"/>
        <v>-985.87999999999965</v>
      </c>
      <c r="L262" s="6">
        <v>4175.7299999999996</v>
      </c>
      <c r="M262" s="6">
        <v>34785.99</v>
      </c>
      <c r="N262" s="6">
        <f t="shared" si="15"/>
        <v>30610.26</v>
      </c>
    </row>
    <row r="263" spans="1:14" x14ac:dyDescent="0.3">
      <c r="A263" s="8" t="str">
        <f xml:space="preserve"> _xll.EPMOlapMemberO("[CECO].[PARENTH3].[AMSA1000AC3506]","","Gcia Inv y Finanzas","","000")</f>
        <v>Gcia Inv y Finanzas</v>
      </c>
      <c r="B263" t="str">
        <f xml:space="preserve"> _xll.EPMOlapMemberO("[CLACO].[PARENTH1].[AMSAREMUNERACI.EE]","","Remuneraciones emple","","000")</f>
        <v>Remuneraciones emple</v>
      </c>
      <c r="C263" s="6">
        <v>113358.18</v>
      </c>
      <c r="D263" s="6">
        <v>123071.02</v>
      </c>
      <c r="E263" s="6">
        <f t="shared" si="12"/>
        <v>9712.8400000000111</v>
      </c>
      <c r="F263" s="6">
        <v>118291.96</v>
      </c>
      <c r="G263" s="6">
        <v>126408.98</v>
      </c>
      <c r="H263" s="6">
        <f t="shared" si="13"/>
        <v>8117.0199999999895</v>
      </c>
      <c r="I263" s="6">
        <v>116970.64</v>
      </c>
      <c r="J263" s="6">
        <v>140539.57</v>
      </c>
      <c r="K263" s="6">
        <f t="shared" si="14"/>
        <v>23568.930000000008</v>
      </c>
      <c r="L263" s="6">
        <v>132025.85</v>
      </c>
      <c r="M263" s="6">
        <v>135699.45000000001</v>
      </c>
      <c r="N263" s="6">
        <f t="shared" si="15"/>
        <v>3673.6000000000058</v>
      </c>
    </row>
    <row r="264" spans="1:14" x14ac:dyDescent="0.3">
      <c r="A264" s="8"/>
      <c r="B264" t="str">
        <f xml:space="preserve"> _xll.EPMOlapMemberO("[CLACO].[PARENTH1].[AMSAREMUNERACI.SS]","","Remuneraciones Super","","000")</f>
        <v>Remuneraciones Super</v>
      </c>
      <c r="C264" s="6">
        <v>3290724.91</v>
      </c>
      <c r="D264" s="6">
        <v>1551507.9</v>
      </c>
      <c r="E264" s="6">
        <f t="shared" si="12"/>
        <v>-1739217.0100000002</v>
      </c>
      <c r="F264" s="6">
        <v>3943515.49</v>
      </c>
      <c r="G264" s="6">
        <v>3390251.82</v>
      </c>
      <c r="H264" s="6">
        <f t="shared" si="13"/>
        <v>-553263.67000000039</v>
      </c>
      <c r="I264" s="6">
        <v>4436377.74</v>
      </c>
      <c r="J264" s="6">
        <v>4177525.56</v>
      </c>
      <c r="K264" s="6">
        <f t="shared" si="14"/>
        <v>-258852.18000000017</v>
      </c>
      <c r="L264" s="6">
        <v>4219019.47</v>
      </c>
      <c r="M264" s="6">
        <v>1773062</v>
      </c>
      <c r="N264" s="6">
        <f t="shared" si="15"/>
        <v>-2445957.4699999997</v>
      </c>
    </row>
    <row r="265" spans="1:14" x14ac:dyDescent="0.3">
      <c r="A265" s="8"/>
      <c r="B265" t="str">
        <f xml:space="preserve"> _xll.EPMOlapMemberO("[CLACO].[PARENTH1].[AMSAMAT_Y_REP.2]","","Materiales y repuest","","000")</f>
        <v>Materiales y repuest</v>
      </c>
      <c r="C265" s="6"/>
      <c r="D265" s="6"/>
      <c r="E265" s="6">
        <f t="shared" si="12"/>
        <v>0</v>
      </c>
      <c r="F265" s="6">
        <v>0</v>
      </c>
      <c r="G265" s="6"/>
      <c r="H265" s="6">
        <f t="shared" si="13"/>
        <v>0</v>
      </c>
      <c r="I265" s="6"/>
      <c r="J265" s="6"/>
      <c r="K265" s="6">
        <f t="shared" si="14"/>
        <v>0</v>
      </c>
      <c r="L265" s="6"/>
      <c r="M265" s="6"/>
      <c r="N265" s="6">
        <f t="shared" si="15"/>
        <v>0</v>
      </c>
    </row>
    <row r="266" spans="1:14" x14ac:dyDescent="0.3">
      <c r="A266" s="8"/>
      <c r="B266" t="str">
        <f xml:space="preserve"> _xll.EPMOlapMemberO("[CLACO].[PARENTH1].[AMSAADM_PERSON]","","Administración Perso","","000")</f>
        <v>Administración Perso</v>
      </c>
      <c r="C266" s="6"/>
      <c r="D266" s="6"/>
      <c r="E266" s="6">
        <f t="shared" si="12"/>
        <v>0</v>
      </c>
      <c r="F266" s="6">
        <v>0</v>
      </c>
      <c r="G266" s="6"/>
      <c r="H266" s="6">
        <f t="shared" si="13"/>
        <v>0</v>
      </c>
      <c r="I266" s="6">
        <v>63.5</v>
      </c>
      <c r="J266" s="6"/>
      <c r="K266" s="6">
        <f t="shared" si="14"/>
        <v>-63.5</v>
      </c>
      <c r="L266" s="6">
        <v>0</v>
      </c>
      <c r="M266" s="6"/>
      <c r="N266" s="6">
        <f t="shared" si="15"/>
        <v>0</v>
      </c>
    </row>
    <row r="267" spans="1:14" x14ac:dyDescent="0.3">
      <c r="A267" s="8"/>
      <c r="B267" t="str">
        <f xml:space="preserve"> _xll.EPMOlapMemberO("[CLACO].[PARENTH1].[AMSAENTRENAMI]","","Entrenamiento","","000")</f>
        <v>Entrenamiento</v>
      </c>
      <c r="C267" s="6">
        <v>17183.53</v>
      </c>
      <c r="D267" s="6">
        <v>16657.990000000002</v>
      </c>
      <c r="E267" s="6">
        <f t="shared" ref="E267:E330" si="16">+D267-C267</f>
        <v>-525.53999999999724</v>
      </c>
      <c r="F267" s="6">
        <v>-13130.23</v>
      </c>
      <c r="G267" s="6">
        <v>15042.32</v>
      </c>
      <c r="H267" s="6">
        <f t="shared" ref="H267:H330" si="17">+G267-F267</f>
        <v>28172.55</v>
      </c>
      <c r="I267" s="6">
        <v>5171.09</v>
      </c>
      <c r="J267" s="6">
        <v>2470.59</v>
      </c>
      <c r="K267" s="6">
        <f t="shared" ref="K267:K330" si="18">+J267-I267</f>
        <v>-2700.5</v>
      </c>
      <c r="L267" s="6">
        <v>1689.24</v>
      </c>
      <c r="M267" s="6">
        <v>2644.45</v>
      </c>
      <c r="N267" s="6">
        <f t="shared" ref="N267:N330" si="19">+M267-L267</f>
        <v>955.20999999999981</v>
      </c>
    </row>
    <row r="268" spans="1:14" x14ac:dyDescent="0.3">
      <c r="A268" s="8"/>
      <c r="B268" t="str">
        <f xml:space="preserve"> _xll.EPMOlapMemberO("[CLACO].[PARENTH1].[AMSAASESORIAS]","","Asesorías y Consulto","","000")</f>
        <v>Asesorías y Consulto</v>
      </c>
      <c r="C268" s="6">
        <v>36663.129999999997</v>
      </c>
      <c r="D268" s="6">
        <v>52686.77</v>
      </c>
      <c r="E268" s="6">
        <f t="shared" si="16"/>
        <v>16023.64</v>
      </c>
      <c r="F268" s="6">
        <v>37719.07</v>
      </c>
      <c r="G268" s="6">
        <v>48635.26</v>
      </c>
      <c r="H268" s="6">
        <f t="shared" si="17"/>
        <v>10916.190000000002</v>
      </c>
      <c r="I268" s="6">
        <v>28143.11</v>
      </c>
      <c r="J268" s="6">
        <v>33211.410000000003</v>
      </c>
      <c r="K268" s="6">
        <f t="shared" si="18"/>
        <v>5068.3000000000029</v>
      </c>
      <c r="L268" s="6">
        <v>29240.43</v>
      </c>
      <c r="M268" s="6">
        <v>37681.08</v>
      </c>
      <c r="N268" s="6">
        <f t="shared" si="19"/>
        <v>8440.6500000000015</v>
      </c>
    </row>
    <row r="269" spans="1:14" x14ac:dyDescent="0.3">
      <c r="A269" s="8"/>
      <c r="B269" t="str">
        <f xml:space="preserve"> _xll.EPMOlapMemberO("[CLACO].[PARENTH1].[AMSAARRIENDOS]","","Arriendos","","000")</f>
        <v>Arriendos</v>
      </c>
      <c r="C269" s="6">
        <v>0</v>
      </c>
      <c r="D269" s="6"/>
      <c r="E269" s="6">
        <f t="shared" si="16"/>
        <v>0</v>
      </c>
      <c r="F269" s="6"/>
      <c r="G269" s="6"/>
      <c r="H269" s="6">
        <f t="shared" si="17"/>
        <v>0</v>
      </c>
      <c r="I269" s="6"/>
      <c r="J269" s="6"/>
      <c r="K269" s="6">
        <f t="shared" si="18"/>
        <v>0</v>
      </c>
      <c r="L269" s="6"/>
      <c r="M269" s="6"/>
      <c r="N269" s="6">
        <f t="shared" si="19"/>
        <v>0</v>
      </c>
    </row>
    <row r="270" spans="1:14" x14ac:dyDescent="0.3">
      <c r="A270" s="8"/>
      <c r="B270" t="str">
        <f xml:space="preserve"> _xll.EPMOlapMemberO("[CLACO].[PARENTH1].[AMSASERVICIOS]","","Servicios","","000")</f>
        <v>Servicios</v>
      </c>
      <c r="C270" s="6">
        <v>2093.9499999999998</v>
      </c>
      <c r="D270" s="6">
        <v>2339</v>
      </c>
      <c r="E270" s="6">
        <f t="shared" si="16"/>
        <v>245.05000000000018</v>
      </c>
      <c r="F270" s="6">
        <v>2813.73</v>
      </c>
      <c r="G270" s="6">
        <v>5080.42</v>
      </c>
      <c r="H270" s="6">
        <f t="shared" si="17"/>
        <v>2266.69</v>
      </c>
      <c r="I270" s="6">
        <v>3568.42</v>
      </c>
      <c r="J270" s="6">
        <v>2823.48</v>
      </c>
      <c r="K270" s="6">
        <f t="shared" si="18"/>
        <v>-744.94</v>
      </c>
      <c r="L270" s="6"/>
      <c r="M270" s="6">
        <v>2666.64</v>
      </c>
      <c r="N270" s="6">
        <f t="shared" si="19"/>
        <v>2666.64</v>
      </c>
    </row>
    <row r="271" spans="1:14" x14ac:dyDescent="0.3">
      <c r="A271" s="8"/>
      <c r="B271" t="str">
        <f xml:space="preserve"> _xll.EPMOlapMemberO("[CLACO].[PARENTH1].[AMSASERMANTO.REPA]","","Servicios Mantenimie","","000")</f>
        <v>Servicios Mantenimie</v>
      </c>
      <c r="C271" s="6"/>
      <c r="D271" s="6"/>
      <c r="E271" s="6">
        <f t="shared" si="16"/>
        <v>0</v>
      </c>
      <c r="F271" s="6">
        <v>324.44</v>
      </c>
      <c r="G271" s="6"/>
      <c r="H271" s="6">
        <f t="shared" si="17"/>
        <v>-324.44</v>
      </c>
      <c r="I271" s="6"/>
      <c r="J271" s="6"/>
      <c r="K271" s="6">
        <f t="shared" si="18"/>
        <v>0</v>
      </c>
      <c r="L271" s="6"/>
      <c r="M271" s="6"/>
      <c r="N271" s="6">
        <f t="shared" si="19"/>
        <v>0</v>
      </c>
    </row>
    <row r="272" spans="1:14" x14ac:dyDescent="0.3">
      <c r="A272" s="8"/>
      <c r="B272" t="str">
        <f xml:space="preserve"> _xll.EPMOlapMemberO("[CLACO].[PARENTH1].[AMSAINFORMATIC]","","Informática y Comuni","","000")</f>
        <v>Informática y Comuni</v>
      </c>
      <c r="C272" s="6">
        <v>33462.81</v>
      </c>
      <c r="D272" s="6">
        <v>35744.89</v>
      </c>
      <c r="E272" s="6">
        <f t="shared" si="16"/>
        <v>2282.0800000000017</v>
      </c>
      <c r="F272" s="6">
        <v>48520.83</v>
      </c>
      <c r="G272" s="6">
        <v>48093.22</v>
      </c>
      <c r="H272" s="6">
        <f t="shared" si="17"/>
        <v>-427.61000000000058</v>
      </c>
      <c r="I272" s="6">
        <v>51749.3</v>
      </c>
      <c r="J272" s="6">
        <v>50975.75</v>
      </c>
      <c r="K272" s="6">
        <f t="shared" si="18"/>
        <v>-773.55000000000291</v>
      </c>
      <c r="L272" s="6">
        <v>46944.3</v>
      </c>
      <c r="M272" s="6">
        <v>76117.48</v>
      </c>
      <c r="N272" s="6">
        <f t="shared" si="19"/>
        <v>29173.179999999993</v>
      </c>
    </row>
    <row r="273" spans="1:14" x14ac:dyDescent="0.3">
      <c r="A273" s="8"/>
      <c r="B273" t="str">
        <f xml:space="preserve"> _xll.EPMOlapMemberO("[CLACO].[PARENTH1].[AMSAG_VIAJES]","","Gastos de Viajes","","000")</f>
        <v>Gastos de Viajes</v>
      </c>
      <c r="C273" s="6">
        <v>4688.6400000000003</v>
      </c>
      <c r="D273" s="6"/>
      <c r="E273" s="6">
        <f t="shared" si="16"/>
        <v>-4688.6400000000003</v>
      </c>
      <c r="F273" s="6">
        <v>5632.36</v>
      </c>
      <c r="G273" s="6">
        <v>11210.06</v>
      </c>
      <c r="H273" s="6">
        <f t="shared" si="17"/>
        <v>5577.7</v>
      </c>
      <c r="I273" s="6">
        <v>35328.449999999997</v>
      </c>
      <c r="J273" s="6">
        <v>4901.84</v>
      </c>
      <c r="K273" s="6">
        <f t="shared" si="18"/>
        <v>-30426.609999999997</v>
      </c>
      <c r="L273" s="6">
        <v>7086.71</v>
      </c>
      <c r="M273" s="6">
        <v>2666.64</v>
      </c>
      <c r="N273" s="6">
        <f t="shared" si="19"/>
        <v>-4420.07</v>
      </c>
    </row>
    <row r="274" spans="1:14" x14ac:dyDescent="0.3">
      <c r="A274" s="8"/>
      <c r="B274" t="str">
        <f xml:space="preserve"> _xll.EPMOlapMemberO("[CLACO].[PARENTH1].[AMSASEGUROS]","","Seguros","","000")</f>
        <v>Seguros</v>
      </c>
      <c r="C274" s="6">
        <v>0</v>
      </c>
      <c r="D274" s="6"/>
      <c r="E274" s="6">
        <f t="shared" si="16"/>
        <v>0</v>
      </c>
      <c r="F274" s="6"/>
      <c r="G274" s="6"/>
      <c r="H274" s="6">
        <f t="shared" si="17"/>
        <v>0</v>
      </c>
      <c r="I274" s="6"/>
      <c r="J274" s="6"/>
      <c r="K274" s="6">
        <f t="shared" si="18"/>
        <v>0</v>
      </c>
      <c r="L274" s="6"/>
      <c r="M274" s="6"/>
      <c r="N274" s="6">
        <f t="shared" si="19"/>
        <v>0</v>
      </c>
    </row>
    <row r="275" spans="1:14" x14ac:dyDescent="0.3">
      <c r="A275" s="8"/>
      <c r="B275" t="str">
        <f xml:space="preserve"> _xll.EPMOlapMemberO("[CLACO].[PARENTH1].[AMSAIMP_PATEN]","","Impuestos / Patentes","","000")</f>
        <v>Impuestos / Patentes</v>
      </c>
      <c r="C275" s="6">
        <v>67.209999999999994</v>
      </c>
      <c r="D275" s="6"/>
      <c r="E275" s="6">
        <f t="shared" si="16"/>
        <v>-67.209999999999994</v>
      </c>
      <c r="F275" s="6"/>
      <c r="G275" s="6"/>
      <c r="H275" s="6">
        <f t="shared" si="17"/>
        <v>0</v>
      </c>
      <c r="I275" s="6">
        <v>104.77</v>
      </c>
      <c r="J275" s="6"/>
      <c r="K275" s="6">
        <f t="shared" si="18"/>
        <v>-104.77</v>
      </c>
      <c r="L275" s="6">
        <v>215.18</v>
      </c>
      <c r="M275" s="6"/>
      <c r="N275" s="6">
        <f t="shared" si="19"/>
        <v>-215.18</v>
      </c>
    </row>
    <row r="276" spans="1:14" x14ac:dyDescent="0.3">
      <c r="A276" s="8"/>
      <c r="B276" t="str">
        <f xml:space="preserve"> _xll.EPMOlapMemberO("[CLACO].[PARENTH1].[AMSAGGENERALES.2]","","Otros Gastos","","000")</f>
        <v>Otros Gastos</v>
      </c>
      <c r="C276" s="6">
        <v>8859.77</v>
      </c>
      <c r="D276" s="6">
        <v>17706.330000000002</v>
      </c>
      <c r="E276" s="6">
        <f t="shared" si="16"/>
        <v>8846.5600000000013</v>
      </c>
      <c r="F276" s="6">
        <v>31290.16</v>
      </c>
      <c r="G276" s="6">
        <v>12110.13</v>
      </c>
      <c r="H276" s="6">
        <f t="shared" si="17"/>
        <v>-19180.03</v>
      </c>
      <c r="I276" s="6">
        <v>8706.4699999999993</v>
      </c>
      <c r="J276" s="6">
        <v>8183.46</v>
      </c>
      <c r="K276" s="6">
        <f t="shared" si="18"/>
        <v>-523.00999999999931</v>
      </c>
      <c r="L276" s="6">
        <v>12589.26</v>
      </c>
      <c r="M276" s="6">
        <v>10574.43</v>
      </c>
      <c r="N276" s="6">
        <f t="shared" si="19"/>
        <v>-2014.83</v>
      </c>
    </row>
    <row r="277" spans="1:14" x14ac:dyDescent="0.3">
      <c r="A277" s="8" t="str">
        <f xml:space="preserve"> _xll.EPMOlapMemberO("[CECO].[PARENTH3].[AMSA1000AC3509]","","Gcia Impuestos","","000")</f>
        <v>Gcia Impuestos</v>
      </c>
      <c r="B277" t="str">
        <f xml:space="preserve"> _xll.EPMOlapMemberO("[CLACO].[PARENTH1].[AMSAREMUNERACI.SS]","","Remuneraciones Super","","000")</f>
        <v>Remuneraciones Super</v>
      </c>
      <c r="C277" s="6">
        <v>893334.96</v>
      </c>
      <c r="D277" s="6">
        <v>877252.44</v>
      </c>
      <c r="E277" s="6">
        <f t="shared" si="16"/>
        <v>-16082.520000000019</v>
      </c>
      <c r="F277" s="6">
        <v>1076895.02</v>
      </c>
      <c r="G277" s="6">
        <v>961528.65</v>
      </c>
      <c r="H277" s="6">
        <f t="shared" si="17"/>
        <v>-115366.37</v>
      </c>
      <c r="I277" s="6">
        <v>1061865.42</v>
      </c>
      <c r="J277" s="6">
        <v>1299882.9099999999</v>
      </c>
      <c r="K277" s="6">
        <f t="shared" si="18"/>
        <v>238017.49</v>
      </c>
      <c r="L277" s="6">
        <v>1169495.23</v>
      </c>
      <c r="M277" s="6">
        <v>1189796.29</v>
      </c>
      <c r="N277" s="6">
        <f t="shared" si="19"/>
        <v>20301.060000000056</v>
      </c>
    </row>
    <row r="278" spans="1:14" x14ac:dyDescent="0.3">
      <c r="A278" s="8"/>
      <c r="B278" t="str">
        <f xml:space="preserve"> _xll.EPMOlapMemberO("[CLACO].[PARENTH1].[AMSAMAT_Y_REP.2]","","Materiales y repuest","","000")</f>
        <v>Materiales y repuest</v>
      </c>
      <c r="C278" s="6"/>
      <c r="D278" s="6"/>
      <c r="E278" s="6">
        <f t="shared" si="16"/>
        <v>0</v>
      </c>
      <c r="F278" s="6">
        <v>0</v>
      </c>
      <c r="G278" s="6"/>
      <c r="H278" s="6">
        <f t="shared" si="17"/>
        <v>0</v>
      </c>
      <c r="I278" s="6"/>
      <c r="J278" s="6"/>
      <c r="K278" s="6">
        <f t="shared" si="18"/>
        <v>0</v>
      </c>
      <c r="L278" s="6"/>
      <c r="M278" s="6"/>
      <c r="N278" s="6">
        <f t="shared" si="19"/>
        <v>0</v>
      </c>
    </row>
    <row r="279" spans="1:14" x14ac:dyDescent="0.3">
      <c r="A279" s="8"/>
      <c r="B279" t="str">
        <f xml:space="preserve"> _xll.EPMOlapMemberO("[CLACO].[PARENTH1].[AMSAADM_PERSON]","","Administración Perso","","000")</f>
        <v>Administración Perso</v>
      </c>
      <c r="C279" s="6"/>
      <c r="D279" s="6"/>
      <c r="E279" s="6">
        <f t="shared" si="16"/>
        <v>0</v>
      </c>
      <c r="F279" s="6"/>
      <c r="G279" s="6"/>
      <c r="H279" s="6">
        <f t="shared" si="17"/>
        <v>0</v>
      </c>
      <c r="I279" s="6">
        <v>0</v>
      </c>
      <c r="J279" s="6"/>
      <c r="K279" s="6">
        <f t="shared" si="18"/>
        <v>0</v>
      </c>
      <c r="L279" s="6">
        <v>302.7</v>
      </c>
      <c r="M279" s="6"/>
      <c r="N279" s="6">
        <f t="shared" si="19"/>
        <v>-302.7</v>
      </c>
    </row>
    <row r="280" spans="1:14" x14ac:dyDescent="0.3">
      <c r="A280" s="8"/>
      <c r="B280" t="str">
        <f xml:space="preserve"> _xll.EPMOlapMemberO("[CLACO].[PARENTH1].[AMSAENTRENAMI]","","Entrenamiento","","000")</f>
        <v>Entrenamiento</v>
      </c>
      <c r="C280" s="6">
        <v>-8295.7900000000009</v>
      </c>
      <c r="D280" s="6">
        <v>12339.57</v>
      </c>
      <c r="E280" s="6">
        <f t="shared" si="16"/>
        <v>20635.36</v>
      </c>
      <c r="F280" s="6">
        <v>1692.28</v>
      </c>
      <c r="G280" s="6">
        <v>12000</v>
      </c>
      <c r="H280" s="6">
        <f t="shared" si="17"/>
        <v>10307.719999999999</v>
      </c>
      <c r="I280" s="6">
        <v>2025.53</v>
      </c>
      <c r="J280" s="6">
        <v>12916</v>
      </c>
      <c r="K280" s="6">
        <f t="shared" si="18"/>
        <v>10890.47</v>
      </c>
      <c r="L280" s="6">
        <v>8343.31</v>
      </c>
      <c r="M280" s="6">
        <v>12700</v>
      </c>
      <c r="N280" s="6">
        <f t="shared" si="19"/>
        <v>4356.6900000000005</v>
      </c>
    </row>
    <row r="281" spans="1:14" x14ac:dyDescent="0.3">
      <c r="A281" s="8"/>
      <c r="B281" t="str">
        <f xml:space="preserve"> _xll.EPMOlapMemberO("[CLACO].[PARENTH1].[AMSAASESORIAS]","","Asesorías y Consulto","","000")</f>
        <v>Asesorías y Consulto</v>
      </c>
      <c r="C281" s="6">
        <v>111878.39</v>
      </c>
      <c r="D281" s="6">
        <v>134803.81</v>
      </c>
      <c r="E281" s="6">
        <f t="shared" si="16"/>
        <v>22925.42</v>
      </c>
      <c r="F281" s="6">
        <v>108488.72</v>
      </c>
      <c r="G281" s="6">
        <v>99950.43</v>
      </c>
      <c r="H281" s="6">
        <f t="shared" si="17"/>
        <v>-8538.2900000000081</v>
      </c>
      <c r="I281" s="6">
        <v>264136.46000000002</v>
      </c>
      <c r="J281" s="6">
        <v>90830.25</v>
      </c>
      <c r="K281" s="6">
        <f t="shared" si="18"/>
        <v>-173306.21000000002</v>
      </c>
      <c r="L281" s="6">
        <v>175252.53</v>
      </c>
      <c r="M281" s="6">
        <v>80531.53</v>
      </c>
      <c r="N281" s="6">
        <f t="shared" si="19"/>
        <v>-94721</v>
      </c>
    </row>
    <row r="282" spans="1:14" x14ac:dyDescent="0.3">
      <c r="A282" s="8"/>
      <c r="B282" t="str">
        <f xml:space="preserve"> _xll.EPMOlapMemberO("[CLACO].[PARENTH1].[AMSAARRIENDOS]","","Arriendos","","000")</f>
        <v>Arriendos</v>
      </c>
      <c r="C282" s="6"/>
      <c r="D282" s="6"/>
      <c r="E282" s="6">
        <f t="shared" si="16"/>
        <v>0</v>
      </c>
      <c r="F282" s="6"/>
      <c r="G282" s="6"/>
      <c r="H282" s="6">
        <f t="shared" si="17"/>
        <v>0</v>
      </c>
      <c r="I282" s="6">
        <v>1491.94</v>
      </c>
      <c r="J282" s="6"/>
      <c r="K282" s="6">
        <f t="shared" si="18"/>
        <v>-1491.94</v>
      </c>
      <c r="L282" s="6"/>
      <c r="M282" s="6"/>
      <c r="N282" s="6">
        <f t="shared" si="19"/>
        <v>0</v>
      </c>
    </row>
    <row r="283" spans="1:14" x14ac:dyDescent="0.3">
      <c r="A283" s="8"/>
      <c r="B283" t="str">
        <f xml:space="preserve"> _xll.EPMOlapMemberO("[CLACO].[PARENTH1].[AMSASERVICIOS]","","Servicios","","000")</f>
        <v>Servicios</v>
      </c>
      <c r="C283" s="6"/>
      <c r="D283" s="6"/>
      <c r="E283" s="6">
        <f t="shared" si="16"/>
        <v>0</v>
      </c>
      <c r="F283" s="6">
        <v>13125.8</v>
      </c>
      <c r="G283" s="6">
        <v>66407.210000000006</v>
      </c>
      <c r="H283" s="6">
        <f t="shared" si="17"/>
        <v>53281.41</v>
      </c>
      <c r="I283" s="6">
        <v>26118.69</v>
      </c>
      <c r="J283" s="6">
        <v>67486.14</v>
      </c>
      <c r="K283" s="6">
        <f t="shared" si="18"/>
        <v>41367.449999999997</v>
      </c>
      <c r="L283" s="6">
        <v>10384.02</v>
      </c>
      <c r="M283" s="6">
        <v>50905.01</v>
      </c>
      <c r="N283" s="6">
        <f t="shared" si="19"/>
        <v>40520.990000000005</v>
      </c>
    </row>
    <row r="284" spans="1:14" x14ac:dyDescent="0.3">
      <c r="A284" s="8"/>
      <c r="B284" t="str">
        <f xml:space="preserve"> _xll.EPMOlapMemberO("[CLACO].[PARENTH1].[AMSAINFORMATIC]","","Informática y Comuni","","000")</f>
        <v>Informática y Comuni</v>
      </c>
      <c r="C284" s="6">
        <v>943.81</v>
      </c>
      <c r="D284" s="6">
        <v>5579.84</v>
      </c>
      <c r="E284" s="6">
        <f t="shared" si="16"/>
        <v>4636.0300000000007</v>
      </c>
      <c r="F284" s="6">
        <v>9649.59</v>
      </c>
      <c r="G284" s="6">
        <v>5579.83</v>
      </c>
      <c r="H284" s="6">
        <f t="shared" si="17"/>
        <v>-4069.76</v>
      </c>
      <c r="I284" s="6">
        <v>6435.67</v>
      </c>
      <c r="J284" s="6">
        <v>8233.44</v>
      </c>
      <c r="K284" s="6">
        <f t="shared" si="18"/>
        <v>1797.7700000000004</v>
      </c>
      <c r="L284" s="6">
        <v>2533.9499999999998</v>
      </c>
      <c r="M284" s="6">
        <v>3759.81</v>
      </c>
      <c r="N284" s="6">
        <f t="shared" si="19"/>
        <v>1225.8600000000001</v>
      </c>
    </row>
    <row r="285" spans="1:14" x14ac:dyDescent="0.3">
      <c r="A285" s="8"/>
      <c r="B285" t="str">
        <f xml:space="preserve"> _xll.EPMOlapMemberO("[CLACO].[PARENTH1].[AMSAG_VIAJES]","","Gastos de Viajes","","000")</f>
        <v>Gastos de Viajes</v>
      </c>
      <c r="C285" s="6">
        <v>581.19000000000005</v>
      </c>
      <c r="D285" s="6">
        <v>10736.42</v>
      </c>
      <c r="E285" s="6">
        <f t="shared" si="16"/>
        <v>10155.23</v>
      </c>
      <c r="F285" s="6">
        <v>6460.46</v>
      </c>
      <c r="G285" s="6">
        <v>22791.01</v>
      </c>
      <c r="H285" s="6">
        <f t="shared" si="17"/>
        <v>16330.55</v>
      </c>
      <c r="I285" s="6">
        <v>7584.44</v>
      </c>
      <c r="J285" s="6">
        <v>178.64</v>
      </c>
      <c r="K285" s="6">
        <f t="shared" si="18"/>
        <v>-7405.7999999999993</v>
      </c>
      <c r="L285" s="6">
        <v>1496.28</v>
      </c>
      <c r="M285" s="6">
        <v>180</v>
      </c>
      <c r="N285" s="6">
        <f t="shared" si="19"/>
        <v>-1316.28</v>
      </c>
    </row>
    <row r="286" spans="1:14" x14ac:dyDescent="0.3">
      <c r="A286" s="8"/>
      <c r="B286" t="str">
        <f xml:space="preserve"> _xll.EPMOlapMemberO("[CLACO].[PARENTH1].[AMSAIMP_PATEN]","","Impuestos / Patentes","","000")</f>
        <v>Impuestos / Patentes</v>
      </c>
      <c r="C286" s="6">
        <v>860726.65</v>
      </c>
      <c r="D286" s="6">
        <v>780746.89</v>
      </c>
      <c r="E286" s="6">
        <f t="shared" si="16"/>
        <v>-79979.760000000009</v>
      </c>
      <c r="F286" s="6">
        <v>1083221.79</v>
      </c>
      <c r="G286" s="6">
        <v>885939.38</v>
      </c>
      <c r="H286" s="6">
        <f t="shared" si="17"/>
        <v>-197282.41000000003</v>
      </c>
      <c r="I286" s="6">
        <v>837892.49</v>
      </c>
      <c r="J286" s="6">
        <v>960897.02</v>
      </c>
      <c r="K286" s="6">
        <f t="shared" si="18"/>
        <v>123004.53000000003</v>
      </c>
      <c r="L286" s="6">
        <v>929015.77</v>
      </c>
      <c r="M286" s="6">
        <v>1014722.46</v>
      </c>
      <c r="N286" s="6">
        <f t="shared" si="19"/>
        <v>85706.689999999944</v>
      </c>
    </row>
    <row r="287" spans="1:14" x14ac:dyDescent="0.3">
      <c r="A287" s="8"/>
      <c r="B287" t="str">
        <f xml:space="preserve"> _xll.EPMOlapMemberO("[CLACO].[PARENTH1].[AMSAGGENERALES.2]","","Otros Gastos","","000")</f>
        <v>Otros Gastos</v>
      </c>
      <c r="C287" s="6">
        <v>458.59</v>
      </c>
      <c r="D287" s="6">
        <v>6342.74</v>
      </c>
      <c r="E287" s="6">
        <f t="shared" si="16"/>
        <v>5884.15</v>
      </c>
      <c r="F287" s="6">
        <v>770.54</v>
      </c>
      <c r="G287" s="6">
        <v>4105.41</v>
      </c>
      <c r="H287" s="6">
        <f t="shared" si="17"/>
        <v>3334.87</v>
      </c>
      <c r="I287" s="6">
        <v>1447.11</v>
      </c>
      <c r="J287" s="6">
        <v>4246.66</v>
      </c>
      <c r="K287" s="6">
        <f t="shared" si="18"/>
        <v>2799.55</v>
      </c>
      <c r="L287" s="6">
        <v>733.62</v>
      </c>
      <c r="M287" s="6">
        <v>6203.51</v>
      </c>
      <c r="N287" s="6">
        <f t="shared" si="19"/>
        <v>5469.89</v>
      </c>
    </row>
    <row r="288" spans="1:14" x14ac:dyDescent="0.3">
      <c r="A288" s="8" t="str">
        <f xml:space="preserve"> _xll.EPMOlapMemberO("[CECO].[PARENTH3].[AMSA1000AC3512]","","Prog Compet Costos","","000")</f>
        <v>Prog Compet Costos</v>
      </c>
      <c r="B288" t="str">
        <f xml:space="preserve"> _xll.EPMOlapMemberO("[CLACO].[PARENTH1].[AMSAINFORMATIC]","","Informática y Comuni","","000")</f>
        <v>Informática y Comuni</v>
      </c>
      <c r="C288" s="6">
        <v>0</v>
      </c>
      <c r="D288" s="6"/>
      <c r="E288" s="6">
        <f t="shared" si="16"/>
        <v>0</v>
      </c>
      <c r="F288" s="6"/>
      <c r="G288" s="6"/>
      <c r="H288" s="6">
        <f t="shared" si="17"/>
        <v>0</v>
      </c>
      <c r="I288" s="6"/>
      <c r="J288" s="6"/>
      <c r="K288" s="6">
        <f t="shared" si="18"/>
        <v>0</v>
      </c>
      <c r="L288" s="6"/>
      <c r="M288" s="6"/>
      <c r="N288" s="6">
        <f t="shared" si="19"/>
        <v>0</v>
      </c>
    </row>
    <row r="289" spans="1:14" x14ac:dyDescent="0.3">
      <c r="A289" s="8" t="str">
        <f xml:space="preserve"> _xll.EPMOlapMemberO("[CECO].[PARENTH3].[AMSA1000AC3513]","","Grcia.Riesg.CompyCIn","","000")</f>
        <v>Grcia.Riesg.CompyCIn</v>
      </c>
      <c r="B289" t="str">
        <f xml:space="preserve"> _xll.EPMOlapMemberO("[CLACO].[PARENTH1].[AMSAREMUNERACI.SS]","","Remuneraciones Super","","000")</f>
        <v>Remuneraciones Super</v>
      </c>
      <c r="C289" s="6">
        <v>943776.43</v>
      </c>
      <c r="D289" s="6">
        <v>1058261.1000000001</v>
      </c>
      <c r="E289" s="6">
        <f t="shared" si="16"/>
        <v>114484.67000000004</v>
      </c>
      <c r="F289" s="6">
        <v>1241394.51</v>
      </c>
      <c r="G289" s="6">
        <v>1279212.58</v>
      </c>
      <c r="H289" s="6">
        <f t="shared" si="17"/>
        <v>37818.070000000065</v>
      </c>
      <c r="I289" s="6">
        <v>1300076.8999999999</v>
      </c>
      <c r="J289" s="6">
        <v>1367568.86</v>
      </c>
      <c r="K289" s="6">
        <f t="shared" si="18"/>
        <v>67491.960000000196</v>
      </c>
      <c r="L289" s="6">
        <v>1591432.45</v>
      </c>
      <c r="M289" s="6">
        <v>1422598.78</v>
      </c>
      <c r="N289" s="6">
        <f t="shared" si="19"/>
        <v>-168833.66999999993</v>
      </c>
    </row>
    <row r="290" spans="1:14" x14ac:dyDescent="0.3">
      <c r="A290" s="8"/>
      <c r="B290" t="str">
        <f xml:space="preserve"> _xll.EPMOlapMemberO("[CLACO].[PARENTH1].[AMSAMAT_Y_REP.2]","","Materiales y repuest","","000")</f>
        <v>Materiales y repuest</v>
      </c>
      <c r="C290" s="6"/>
      <c r="D290" s="6"/>
      <c r="E290" s="6">
        <f t="shared" si="16"/>
        <v>0</v>
      </c>
      <c r="F290" s="6">
        <v>0</v>
      </c>
      <c r="G290" s="6"/>
      <c r="H290" s="6">
        <f t="shared" si="17"/>
        <v>0</v>
      </c>
      <c r="I290" s="6"/>
      <c r="J290" s="6"/>
      <c r="K290" s="6">
        <f t="shared" si="18"/>
        <v>0</v>
      </c>
      <c r="L290" s="6">
        <v>50.11</v>
      </c>
      <c r="M290" s="6"/>
      <c r="N290" s="6">
        <f t="shared" si="19"/>
        <v>-50.11</v>
      </c>
    </row>
    <row r="291" spans="1:14" x14ac:dyDescent="0.3">
      <c r="A291" s="8"/>
      <c r="B291" t="str">
        <f xml:space="preserve"> _xll.EPMOlapMemberO("[CLACO].[PARENTH1].[AMSAADM_PERSON]","","Administración Perso","","000")</f>
        <v>Administración Perso</v>
      </c>
      <c r="C291" s="6"/>
      <c r="D291" s="6"/>
      <c r="E291" s="6">
        <f t="shared" si="16"/>
        <v>0</v>
      </c>
      <c r="F291" s="6">
        <v>29355.38</v>
      </c>
      <c r="G291" s="6"/>
      <c r="H291" s="6">
        <f t="shared" si="17"/>
        <v>-29355.38</v>
      </c>
      <c r="I291" s="6"/>
      <c r="J291" s="6"/>
      <c r="K291" s="6">
        <f t="shared" si="18"/>
        <v>0</v>
      </c>
      <c r="L291" s="6"/>
      <c r="M291" s="6"/>
      <c r="N291" s="6">
        <f t="shared" si="19"/>
        <v>0</v>
      </c>
    </row>
    <row r="292" spans="1:14" x14ac:dyDescent="0.3">
      <c r="A292" s="8"/>
      <c r="B292" t="str">
        <f xml:space="preserve"> _xll.EPMOlapMemberO("[CLACO].[PARENTH1].[AMSAENTRENAMI]","","Entrenamiento","","000")</f>
        <v>Entrenamiento</v>
      </c>
      <c r="C292" s="6">
        <v>3097.95</v>
      </c>
      <c r="D292" s="6">
        <v>9629.6</v>
      </c>
      <c r="E292" s="6">
        <f t="shared" si="16"/>
        <v>6531.6500000000005</v>
      </c>
      <c r="F292" s="6"/>
      <c r="G292" s="6">
        <v>6032.37</v>
      </c>
      <c r="H292" s="6">
        <f t="shared" si="17"/>
        <v>6032.37</v>
      </c>
      <c r="I292" s="6">
        <v>7146.54</v>
      </c>
      <c r="J292" s="6">
        <v>4455.18</v>
      </c>
      <c r="K292" s="6">
        <f t="shared" si="18"/>
        <v>-2691.3599999999997</v>
      </c>
      <c r="L292" s="6">
        <v>9432.7000000000007</v>
      </c>
      <c r="M292" s="6">
        <v>8729.1</v>
      </c>
      <c r="N292" s="6">
        <f t="shared" si="19"/>
        <v>-703.60000000000036</v>
      </c>
    </row>
    <row r="293" spans="1:14" x14ac:dyDescent="0.3">
      <c r="A293" s="8"/>
      <c r="B293" t="str">
        <f xml:space="preserve"> _xll.EPMOlapMemberO("[CLACO].[PARENTH1].[AMSAASESORIAS]","","Asesorías y Consulto","","000")</f>
        <v>Asesorías y Consulto</v>
      </c>
      <c r="C293" s="6">
        <v>7573.74</v>
      </c>
      <c r="D293" s="6">
        <v>5135.42</v>
      </c>
      <c r="E293" s="6">
        <f t="shared" si="16"/>
        <v>-2438.3199999999997</v>
      </c>
      <c r="F293" s="6">
        <v>71948.850000000006</v>
      </c>
      <c r="G293" s="6">
        <v>24999.99</v>
      </c>
      <c r="H293" s="6">
        <f t="shared" si="17"/>
        <v>-46948.86</v>
      </c>
      <c r="I293" s="6">
        <v>21980.560000000001</v>
      </c>
      <c r="J293" s="6">
        <v>13978.19</v>
      </c>
      <c r="K293" s="6">
        <f t="shared" si="18"/>
        <v>-8002.3700000000008</v>
      </c>
      <c r="L293" s="6">
        <v>12597.5</v>
      </c>
      <c r="M293" s="6">
        <v>10913.25</v>
      </c>
      <c r="N293" s="6">
        <f t="shared" si="19"/>
        <v>-1684.25</v>
      </c>
    </row>
    <row r="294" spans="1:14" x14ac:dyDescent="0.3">
      <c r="A294" s="8"/>
      <c r="B294" t="str">
        <f xml:space="preserve"> _xll.EPMOlapMemberO("[CLACO].[PARENTH1].[AMSASERVICIOS]","","Servicios","","000")</f>
        <v>Servicios</v>
      </c>
      <c r="C294" s="6">
        <v>73627.63</v>
      </c>
      <c r="D294" s="6">
        <v>77795.990000000005</v>
      </c>
      <c r="E294" s="6">
        <f t="shared" si="16"/>
        <v>4168.3600000000006</v>
      </c>
      <c r="F294" s="6">
        <v>105197.42</v>
      </c>
      <c r="G294" s="6">
        <v>71002.16</v>
      </c>
      <c r="H294" s="6">
        <f t="shared" si="17"/>
        <v>-34195.259999999995</v>
      </c>
      <c r="I294" s="6">
        <v>83772.98</v>
      </c>
      <c r="J294" s="6">
        <v>64150.41</v>
      </c>
      <c r="K294" s="6">
        <f t="shared" si="18"/>
        <v>-19622.569999999992</v>
      </c>
      <c r="L294" s="6">
        <v>71785.67</v>
      </c>
      <c r="M294" s="6">
        <v>87626.48</v>
      </c>
      <c r="N294" s="6">
        <f t="shared" si="19"/>
        <v>15840.809999999998</v>
      </c>
    </row>
    <row r="295" spans="1:14" x14ac:dyDescent="0.3">
      <c r="A295" s="8"/>
      <c r="B295" t="str">
        <f xml:space="preserve"> _xll.EPMOlapMemberO("[CLACO].[PARENTH1].[AMSASERMANTO.REPA]","","Servicios Mantenimie","","000")</f>
        <v>Servicios Mantenimie</v>
      </c>
      <c r="C295" s="6"/>
      <c r="D295" s="6"/>
      <c r="E295" s="6">
        <f t="shared" si="16"/>
        <v>0</v>
      </c>
      <c r="F295" s="6">
        <v>46.58</v>
      </c>
      <c r="G295" s="6"/>
      <c r="H295" s="6">
        <f t="shared" si="17"/>
        <v>-46.58</v>
      </c>
      <c r="I295" s="6"/>
      <c r="J295" s="6"/>
      <c r="K295" s="6">
        <f t="shared" si="18"/>
        <v>0</v>
      </c>
      <c r="L295" s="6"/>
      <c r="M295" s="6"/>
      <c r="N295" s="6">
        <f t="shared" si="19"/>
        <v>0</v>
      </c>
    </row>
    <row r="296" spans="1:14" x14ac:dyDescent="0.3">
      <c r="A296" s="8"/>
      <c r="B296" t="str">
        <f xml:space="preserve"> _xll.EPMOlapMemberO("[CLACO].[PARENTH1].[AMSAINFORMATIC]","","Informática y Comuni","","000")</f>
        <v>Informática y Comuni</v>
      </c>
      <c r="C296" s="6">
        <v>40021.379999999997</v>
      </c>
      <c r="D296" s="6">
        <v>62068.38</v>
      </c>
      <c r="E296" s="6">
        <f t="shared" si="16"/>
        <v>22047</v>
      </c>
      <c r="F296" s="6">
        <v>72565.52</v>
      </c>
      <c r="G296" s="6">
        <v>74512.240000000005</v>
      </c>
      <c r="H296" s="6">
        <f t="shared" si="17"/>
        <v>1946.7200000000012</v>
      </c>
      <c r="I296" s="6">
        <v>164262.03</v>
      </c>
      <c r="J296" s="6">
        <v>68716.97</v>
      </c>
      <c r="K296" s="6">
        <f t="shared" si="18"/>
        <v>-95545.06</v>
      </c>
      <c r="L296" s="6">
        <v>128462.46</v>
      </c>
      <c r="M296" s="6">
        <v>112430.56</v>
      </c>
      <c r="N296" s="6">
        <f t="shared" si="19"/>
        <v>-16031.900000000009</v>
      </c>
    </row>
    <row r="297" spans="1:14" x14ac:dyDescent="0.3">
      <c r="A297" s="8"/>
      <c r="B297" t="str">
        <f xml:space="preserve"> _xll.EPMOlapMemberO("[CLACO].[PARENTH1].[AMSAG_VIAJES]","","Gastos de Viajes","","000")</f>
        <v>Gastos de Viajes</v>
      </c>
      <c r="C297" s="6">
        <v>13208.69</v>
      </c>
      <c r="D297" s="6">
        <v>18451.82</v>
      </c>
      <c r="E297" s="6">
        <f t="shared" si="16"/>
        <v>5243.1299999999992</v>
      </c>
      <c r="F297" s="6">
        <v>14025.58</v>
      </c>
      <c r="G297" s="6">
        <v>18362.669999999998</v>
      </c>
      <c r="H297" s="6">
        <f t="shared" si="17"/>
        <v>4337.0899999999983</v>
      </c>
      <c r="I297" s="6">
        <v>12254.08</v>
      </c>
      <c r="J297" s="6">
        <v>20325.490000000002</v>
      </c>
      <c r="K297" s="6">
        <f t="shared" si="18"/>
        <v>8071.4100000000017</v>
      </c>
      <c r="L297" s="6">
        <v>2893.45</v>
      </c>
      <c r="M297" s="6">
        <v>14293.92</v>
      </c>
      <c r="N297" s="6">
        <f t="shared" si="19"/>
        <v>11400.470000000001</v>
      </c>
    </row>
    <row r="298" spans="1:14" x14ac:dyDescent="0.3">
      <c r="A298" s="8"/>
      <c r="B298" t="str">
        <f xml:space="preserve"> _xll.EPMOlapMemberO("[CLACO].[PARENTH1].[AMSAGGENERALES.2]","","Otros Gastos","","000")</f>
        <v>Otros Gastos</v>
      </c>
      <c r="C298" s="6">
        <v>3459.75</v>
      </c>
      <c r="D298" s="6">
        <v>3669.34</v>
      </c>
      <c r="E298" s="6">
        <f t="shared" si="16"/>
        <v>209.59000000000015</v>
      </c>
      <c r="F298" s="6">
        <v>3277.64</v>
      </c>
      <c r="G298" s="6">
        <v>4879.78</v>
      </c>
      <c r="H298" s="6">
        <f t="shared" si="17"/>
        <v>1602.1399999999999</v>
      </c>
      <c r="I298" s="6">
        <v>2204.67</v>
      </c>
      <c r="J298" s="6">
        <v>5341.29</v>
      </c>
      <c r="K298" s="6">
        <f t="shared" si="18"/>
        <v>3136.62</v>
      </c>
      <c r="L298" s="6">
        <v>3533.61</v>
      </c>
      <c r="M298" s="6">
        <v>4550.5</v>
      </c>
      <c r="N298" s="6">
        <f t="shared" si="19"/>
        <v>1016.8899999999999</v>
      </c>
    </row>
    <row r="299" spans="1:14" x14ac:dyDescent="0.3">
      <c r="A299" s="8" t="str">
        <f xml:space="preserve"> _xll.EPMOlapMemberO("[CECO].[PARENTH3].[AMSA1000AC3515]","","Gcia Planif Financie","","000")</f>
        <v>Gcia Planif Financie</v>
      </c>
      <c r="B299" t="str">
        <f xml:space="preserve"> _xll.EPMOlapMemberO("[CLACO].[PARENTH1].[AMSAREMUNERACI.SS]","","Remuneraciones Super","","000")</f>
        <v>Remuneraciones Super</v>
      </c>
      <c r="C299" s="6"/>
      <c r="D299" s="6">
        <v>572596.94999999995</v>
      </c>
      <c r="E299" s="6">
        <f t="shared" si="16"/>
        <v>572596.94999999995</v>
      </c>
      <c r="F299" s="6"/>
      <c r="G299" s="6"/>
      <c r="H299" s="6">
        <f t="shared" si="17"/>
        <v>0</v>
      </c>
      <c r="I299" s="6"/>
      <c r="J299" s="6"/>
      <c r="K299" s="6">
        <f t="shared" si="18"/>
        <v>0</v>
      </c>
      <c r="L299" s="6"/>
      <c r="M299" s="6">
        <v>566381.27</v>
      </c>
      <c r="N299" s="6">
        <f t="shared" si="19"/>
        <v>566381.27</v>
      </c>
    </row>
    <row r="300" spans="1:14" x14ac:dyDescent="0.3">
      <c r="A300" s="8"/>
      <c r="B300" t="str">
        <f xml:space="preserve"> _xll.EPMOlapMemberO("[CLACO].[PARENTH1].[AMSAADM_PERSON]","","Administración Perso","","000")</f>
        <v>Administración Perso</v>
      </c>
      <c r="C300" s="6">
        <v>198.3</v>
      </c>
      <c r="D300" s="6"/>
      <c r="E300" s="6">
        <f t="shared" si="16"/>
        <v>-198.3</v>
      </c>
      <c r="F300" s="6"/>
      <c r="G300" s="6"/>
      <c r="H300" s="6">
        <f t="shared" si="17"/>
        <v>0</v>
      </c>
      <c r="I300" s="6"/>
      <c r="J300" s="6"/>
      <c r="K300" s="6">
        <f t="shared" si="18"/>
        <v>0</v>
      </c>
      <c r="L300" s="6">
        <v>1039.51</v>
      </c>
      <c r="M300" s="6"/>
      <c r="N300" s="6">
        <f t="shared" si="19"/>
        <v>-1039.51</v>
      </c>
    </row>
    <row r="301" spans="1:14" x14ac:dyDescent="0.3">
      <c r="A301" s="8"/>
      <c r="B301" t="str">
        <f xml:space="preserve"> _xll.EPMOlapMemberO("[CLACO].[PARENTH1].[AMSAENTRENAMI]","","Entrenamiento","","000")</f>
        <v>Entrenamiento</v>
      </c>
      <c r="C301" s="6">
        <v>1988</v>
      </c>
      <c r="D301" s="6">
        <v>9034.25</v>
      </c>
      <c r="E301" s="6">
        <f t="shared" si="16"/>
        <v>7046.25</v>
      </c>
      <c r="F301" s="6">
        <v>2354.21</v>
      </c>
      <c r="G301" s="6">
        <v>18903.740000000002</v>
      </c>
      <c r="H301" s="6">
        <f t="shared" si="17"/>
        <v>16549.530000000002</v>
      </c>
      <c r="I301" s="6">
        <v>365.17</v>
      </c>
      <c r="J301" s="6">
        <v>3855.21</v>
      </c>
      <c r="K301" s="6">
        <f t="shared" si="18"/>
        <v>3490.04</v>
      </c>
      <c r="L301" s="6">
        <v>-312.06</v>
      </c>
      <c r="M301" s="6">
        <v>1700.66</v>
      </c>
      <c r="N301" s="6">
        <f t="shared" si="19"/>
        <v>2012.72</v>
      </c>
    </row>
    <row r="302" spans="1:14" x14ac:dyDescent="0.3">
      <c r="A302" s="8"/>
      <c r="B302" t="str">
        <f xml:space="preserve"> _xll.EPMOlapMemberO("[CLACO].[PARENTH1].[AMSAASESORIAS]","","Asesorías y Consulto","","000")</f>
        <v>Asesorías y Consulto</v>
      </c>
      <c r="C302" s="6">
        <v>8753.15</v>
      </c>
      <c r="D302" s="6"/>
      <c r="E302" s="6">
        <f t="shared" si="16"/>
        <v>-8753.15</v>
      </c>
      <c r="F302" s="6"/>
      <c r="G302" s="6"/>
      <c r="H302" s="6">
        <f t="shared" si="17"/>
        <v>0</v>
      </c>
      <c r="I302" s="6">
        <v>30000</v>
      </c>
      <c r="J302" s="6"/>
      <c r="K302" s="6">
        <f t="shared" si="18"/>
        <v>-30000</v>
      </c>
      <c r="L302" s="6"/>
      <c r="M302" s="6">
        <v>4023</v>
      </c>
      <c r="N302" s="6">
        <f t="shared" si="19"/>
        <v>4023</v>
      </c>
    </row>
    <row r="303" spans="1:14" x14ac:dyDescent="0.3">
      <c r="A303" s="8"/>
      <c r="B303" t="str">
        <f xml:space="preserve"> _xll.EPMOlapMemberO("[CLACO].[PARENTH1].[AMSASERVICIOS]","","Servicios","","000")</f>
        <v>Servicios</v>
      </c>
      <c r="C303" s="6">
        <v>10544.19</v>
      </c>
      <c r="D303" s="6">
        <v>24191.19</v>
      </c>
      <c r="E303" s="6">
        <f t="shared" si="16"/>
        <v>13646.999999999998</v>
      </c>
      <c r="F303" s="6">
        <v>33138.879999999997</v>
      </c>
      <c r="G303" s="6"/>
      <c r="H303" s="6">
        <f t="shared" si="17"/>
        <v>-33138.879999999997</v>
      </c>
      <c r="I303" s="6"/>
      <c r="J303" s="6"/>
      <c r="K303" s="6">
        <f t="shared" si="18"/>
        <v>0</v>
      </c>
      <c r="L303" s="6">
        <v>10367.379999999999</v>
      </c>
      <c r="M303" s="6"/>
      <c r="N303" s="6">
        <f t="shared" si="19"/>
        <v>-10367.379999999999</v>
      </c>
    </row>
    <row r="304" spans="1:14" x14ac:dyDescent="0.3">
      <c r="A304" s="8"/>
      <c r="B304" t="str">
        <f xml:space="preserve"> _xll.EPMOlapMemberO("[CLACO].[PARENTH1].[AMSASERMANTO.REPA]","","Servicios Mantenimie","","000")</f>
        <v>Servicios Mantenimie</v>
      </c>
      <c r="C304" s="6"/>
      <c r="D304" s="6"/>
      <c r="E304" s="6">
        <f t="shared" si="16"/>
        <v>0</v>
      </c>
      <c r="F304" s="6">
        <v>1119.06</v>
      </c>
      <c r="G304" s="6"/>
      <c r="H304" s="6">
        <f t="shared" si="17"/>
        <v>-1119.06</v>
      </c>
      <c r="I304" s="6"/>
      <c r="J304" s="6"/>
      <c r="K304" s="6">
        <f t="shared" si="18"/>
        <v>0</v>
      </c>
      <c r="L304" s="6"/>
      <c r="M304" s="6"/>
      <c r="N304" s="6">
        <f t="shared" si="19"/>
        <v>0</v>
      </c>
    </row>
    <row r="305" spans="1:14" x14ac:dyDescent="0.3">
      <c r="A305" s="8"/>
      <c r="B305" t="str">
        <f xml:space="preserve"> _xll.EPMOlapMemberO("[CLACO].[PARENTH1].[AMSAINFORMATIC]","","Informática y Comuni","","000")</f>
        <v>Informática y Comuni</v>
      </c>
      <c r="C305" s="6">
        <v>632.88</v>
      </c>
      <c r="D305" s="6">
        <v>539.38</v>
      </c>
      <c r="E305" s="6">
        <f t="shared" si="16"/>
        <v>-93.5</v>
      </c>
      <c r="F305" s="6">
        <v>8058.3</v>
      </c>
      <c r="G305" s="6">
        <v>437.8</v>
      </c>
      <c r="H305" s="6">
        <f t="shared" si="17"/>
        <v>-7620.5</v>
      </c>
      <c r="I305" s="6">
        <v>6098.39</v>
      </c>
      <c r="J305" s="6">
        <v>760.47</v>
      </c>
      <c r="K305" s="6">
        <f t="shared" si="18"/>
        <v>-5337.92</v>
      </c>
      <c r="L305" s="6">
        <v>12014.11</v>
      </c>
      <c r="M305" s="6">
        <v>12407.63</v>
      </c>
      <c r="N305" s="6">
        <f t="shared" si="19"/>
        <v>393.51999999999862</v>
      </c>
    </row>
    <row r="306" spans="1:14" x14ac:dyDescent="0.3">
      <c r="A306" s="8"/>
      <c r="B306" t="str">
        <f xml:space="preserve"> _xll.EPMOlapMemberO("[CLACO].[PARENTH1].[AMSAG_VIAJES]","","Gastos de Viajes","","000")</f>
        <v>Gastos de Viajes</v>
      </c>
      <c r="C306" s="6">
        <v>2346.59</v>
      </c>
      <c r="D306" s="6"/>
      <c r="E306" s="6">
        <f t="shared" si="16"/>
        <v>-2346.59</v>
      </c>
      <c r="F306" s="6">
        <v>6579.53</v>
      </c>
      <c r="G306" s="6"/>
      <c r="H306" s="6">
        <f t="shared" si="17"/>
        <v>-6579.53</v>
      </c>
      <c r="I306" s="6">
        <v>1133.5899999999999</v>
      </c>
      <c r="J306" s="6">
        <v>1697.69</v>
      </c>
      <c r="K306" s="6">
        <f t="shared" si="18"/>
        <v>564.10000000000014</v>
      </c>
      <c r="L306" s="6"/>
      <c r="M306" s="6">
        <v>908.62</v>
      </c>
      <c r="N306" s="6">
        <f t="shared" si="19"/>
        <v>908.62</v>
      </c>
    </row>
    <row r="307" spans="1:14" x14ac:dyDescent="0.3">
      <c r="A307" s="8"/>
      <c r="B307" t="str">
        <f xml:space="preserve"> _xll.EPMOlapMemberO("[CLACO].[PARENTH1].[AMSAGGENERALES.2]","","Otros Gastos","","000")</f>
        <v>Otros Gastos</v>
      </c>
      <c r="C307" s="6">
        <v>124.29</v>
      </c>
      <c r="D307" s="6">
        <v>1482.5</v>
      </c>
      <c r="E307" s="6">
        <f t="shared" si="16"/>
        <v>1358.21</v>
      </c>
      <c r="F307" s="6">
        <v>8287.99</v>
      </c>
      <c r="G307" s="6">
        <v>671.46</v>
      </c>
      <c r="H307" s="6">
        <f t="shared" si="17"/>
        <v>-7616.53</v>
      </c>
      <c r="I307" s="6">
        <v>160.82</v>
      </c>
      <c r="J307" s="6">
        <v>937.69</v>
      </c>
      <c r="K307" s="6">
        <f t="shared" si="18"/>
        <v>776.87000000000012</v>
      </c>
      <c r="L307" s="6">
        <v>225.56</v>
      </c>
      <c r="M307" s="6">
        <v>803.87</v>
      </c>
      <c r="N307" s="6">
        <f t="shared" si="19"/>
        <v>578.30999999999995</v>
      </c>
    </row>
    <row r="308" spans="1:14" x14ac:dyDescent="0.3">
      <c r="A308" s="8" t="str">
        <f xml:space="preserve"> _xll.EPMOlapMemberO("[CECO].[PARENTH3].[AMSA1000AC3516]","","Seguros Corp","","000")</f>
        <v>Seguros Corp</v>
      </c>
      <c r="B308" t="str">
        <f xml:space="preserve"> _xll.EPMOlapMemberO("[CLACO].[PARENTH1].[AMSAENTRENAMI]","","Entrenamiento","","000")</f>
        <v>Entrenamiento</v>
      </c>
      <c r="C308" s="6"/>
      <c r="D308" s="6"/>
      <c r="E308" s="6">
        <f t="shared" si="16"/>
        <v>0</v>
      </c>
      <c r="F308" s="6"/>
      <c r="G308" s="6"/>
      <c r="H308" s="6">
        <f t="shared" si="17"/>
        <v>0</v>
      </c>
      <c r="I308" s="6">
        <v>252</v>
      </c>
      <c r="J308" s="6">
        <v>251.57</v>
      </c>
      <c r="K308" s="6">
        <f t="shared" si="18"/>
        <v>-0.43000000000000682</v>
      </c>
      <c r="L308" s="6">
        <v>-252</v>
      </c>
      <c r="M308" s="6">
        <v>450</v>
      </c>
      <c r="N308" s="6">
        <f t="shared" si="19"/>
        <v>702</v>
      </c>
    </row>
    <row r="309" spans="1:14" x14ac:dyDescent="0.3">
      <c r="A309" s="8"/>
      <c r="B309" t="str">
        <f xml:space="preserve"> _xll.EPMOlapMemberO("[CLACO].[PARENTH1].[AMSAINFORMATIC]","","Informática y Comuni","","000")</f>
        <v>Informática y Comuni</v>
      </c>
      <c r="C309" s="6"/>
      <c r="D309" s="6"/>
      <c r="E309" s="6">
        <f t="shared" si="16"/>
        <v>0</v>
      </c>
      <c r="F309" s="6"/>
      <c r="G309" s="6"/>
      <c r="H309" s="6">
        <f t="shared" si="17"/>
        <v>0</v>
      </c>
      <c r="I309" s="6"/>
      <c r="J309" s="6"/>
      <c r="K309" s="6">
        <f t="shared" si="18"/>
        <v>0</v>
      </c>
      <c r="L309" s="6">
        <v>132.69</v>
      </c>
      <c r="M309" s="6"/>
      <c r="N309" s="6">
        <f t="shared" si="19"/>
        <v>-132.69</v>
      </c>
    </row>
    <row r="310" spans="1:14" x14ac:dyDescent="0.3">
      <c r="A310" s="8"/>
      <c r="B310" t="str">
        <f xml:space="preserve"> _xll.EPMOlapMemberO("[CLACO].[PARENTH1].[AMSAG_VIAJES]","","Gastos de Viajes","","000")</f>
        <v>Gastos de Viajes</v>
      </c>
      <c r="C310" s="6"/>
      <c r="D310" s="6"/>
      <c r="E310" s="6">
        <f t="shared" si="16"/>
        <v>0</v>
      </c>
      <c r="F310" s="6">
        <v>43.78</v>
      </c>
      <c r="G310" s="6"/>
      <c r="H310" s="6">
        <f t="shared" si="17"/>
        <v>-43.78</v>
      </c>
      <c r="I310" s="6">
        <v>14.87</v>
      </c>
      <c r="J310" s="6"/>
      <c r="K310" s="6">
        <f t="shared" si="18"/>
        <v>-14.87</v>
      </c>
      <c r="L310" s="6">
        <v>412.04</v>
      </c>
      <c r="M310" s="6"/>
      <c r="N310" s="6">
        <f t="shared" si="19"/>
        <v>-412.04</v>
      </c>
    </row>
    <row r="311" spans="1:14" x14ac:dyDescent="0.3">
      <c r="A311" s="8"/>
      <c r="B311" t="str">
        <f xml:space="preserve"> _xll.EPMOlapMemberO("[CLACO].[PARENTH1].[AMSASEGUROS]","","Seguros","","000")</f>
        <v>Seguros</v>
      </c>
      <c r="C311" s="6">
        <v>147737.60000000001</v>
      </c>
      <c r="D311" s="6">
        <v>149391.95000000001</v>
      </c>
      <c r="E311" s="6">
        <f t="shared" si="16"/>
        <v>1654.3500000000058</v>
      </c>
      <c r="F311" s="6">
        <v>167857.34</v>
      </c>
      <c r="G311" s="6">
        <v>165470.56</v>
      </c>
      <c r="H311" s="6">
        <f t="shared" si="17"/>
        <v>-2386.7799999999988</v>
      </c>
      <c r="I311" s="6">
        <v>203523.96</v>
      </c>
      <c r="J311" s="6">
        <v>194218.14</v>
      </c>
      <c r="K311" s="6">
        <f t="shared" si="18"/>
        <v>-9305.8199999999779</v>
      </c>
      <c r="L311" s="6">
        <v>171430.02</v>
      </c>
      <c r="M311" s="6">
        <v>221745.64</v>
      </c>
      <c r="N311" s="6">
        <f t="shared" si="19"/>
        <v>50315.620000000024</v>
      </c>
    </row>
    <row r="312" spans="1:14" x14ac:dyDescent="0.3">
      <c r="A312" s="8"/>
      <c r="B312" t="str">
        <f xml:space="preserve"> _xll.EPMOlapMemberO("[CLACO].[PARENTH1].[AMSAGGENERALES.2]","","Otros Gastos","","000")</f>
        <v>Otros Gastos</v>
      </c>
      <c r="C312" s="6">
        <v>0.24</v>
      </c>
      <c r="D312" s="6"/>
      <c r="E312" s="6">
        <f t="shared" si="16"/>
        <v>-0.24</v>
      </c>
      <c r="F312" s="6">
        <v>19.82</v>
      </c>
      <c r="G312" s="6"/>
      <c r="H312" s="6">
        <f t="shared" si="17"/>
        <v>-19.82</v>
      </c>
      <c r="I312" s="6">
        <v>12.64</v>
      </c>
      <c r="J312" s="6"/>
      <c r="K312" s="6">
        <f t="shared" si="18"/>
        <v>-12.64</v>
      </c>
      <c r="L312" s="6"/>
      <c r="M312" s="6"/>
      <c r="N312" s="6">
        <f t="shared" si="19"/>
        <v>0</v>
      </c>
    </row>
    <row r="313" spans="1:14" x14ac:dyDescent="0.3">
      <c r="A313" s="8" t="str">
        <f xml:space="preserve"> _xll.EPMOlapMemberO("[CECO].[PARENTH3].[AMSA1000AC3530]","","Gcia Competitividad","","000")</f>
        <v>Gcia Competitividad</v>
      </c>
      <c r="B313" t="str">
        <f xml:space="preserve"> _xll.EPMOlapMemberO("[CLACO].[PARENTH1].[AMSAENTRENAMI]","","Entrenamiento","","000")</f>
        <v>Entrenamiento</v>
      </c>
      <c r="C313" s="6"/>
      <c r="D313" s="6"/>
      <c r="E313" s="6">
        <f t="shared" si="16"/>
        <v>0</v>
      </c>
      <c r="F313" s="6"/>
      <c r="G313" s="6"/>
      <c r="H313" s="6">
        <f t="shared" si="17"/>
        <v>0</v>
      </c>
      <c r="I313" s="6">
        <v>0</v>
      </c>
      <c r="J313" s="6"/>
      <c r="K313" s="6">
        <f t="shared" si="18"/>
        <v>0</v>
      </c>
      <c r="L313" s="6"/>
      <c r="M313" s="6">
        <v>9103.5</v>
      </c>
      <c r="N313" s="6">
        <f t="shared" si="19"/>
        <v>9103.5</v>
      </c>
    </row>
    <row r="314" spans="1:14" x14ac:dyDescent="0.3">
      <c r="A314" s="8"/>
      <c r="B314" t="str">
        <f xml:space="preserve"> _xll.EPMOlapMemberO("[CLACO].[PARENTH1].[AMSAASESORIAS]","","Asesorías y Consulto","","000")</f>
        <v>Asesorías y Consulto</v>
      </c>
      <c r="C314" s="6"/>
      <c r="D314" s="6"/>
      <c r="E314" s="6">
        <f t="shared" si="16"/>
        <v>0</v>
      </c>
      <c r="F314" s="6"/>
      <c r="G314" s="6"/>
      <c r="H314" s="6">
        <f t="shared" si="17"/>
        <v>0</v>
      </c>
      <c r="I314" s="6">
        <v>153379.91</v>
      </c>
      <c r="J314" s="6">
        <v>5093.75</v>
      </c>
      <c r="K314" s="6">
        <f t="shared" si="18"/>
        <v>-148286.16</v>
      </c>
      <c r="L314" s="6">
        <v>29385.75</v>
      </c>
      <c r="M314" s="6">
        <v>15158.13</v>
      </c>
      <c r="N314" s="6">
        <f t="shared" si="19"/>
        <v>-14227.62</v>
      </c>
    </row>
    <row r="315" spans="1:14" x14ac:dyDescent="0.3">
      <c r="A315" s="8"/>
      <c r="B315" t="str">
        <f xml:space="preserve"> _xll.EPMOlapMemberO("[CLACO].[PARENTH1].[AMSASERVICIOS]","","Servicios","","000")</f>
        <v>Servicios</v>
      </c>
      <c r="C315" s="6"/>
      <c r="D315" s="6"/>
      <c r="E315" s="6">
        <f t="shared" si="16"/>
        <v>0</v>
      </c>
      <c r="F315" s="6"/>
      <c r="G315" s="6"/>
      <c r="H315" s="6">
        <f t="shared" si="17"/>
        <v>0</v>
      </c>
      <c r="I315" s="6">
        <v>5629.4</v>
      </c>
      <c r="J315" s="6">
        <v>129811.76</v>
      </c>
      <c r="K315" s="6">
        <f t="shared" si="18"/>
        <v>124182.36</v>
      </c>
      <c r="L315" s="6"/>
      <c r="M315" s="6">
        <v>66124.75</v>
      </c>
      <c r="N315" s="6">
        <f t="shared" si="19"/>
        <v>66124.75</v>
      </c>
    </row>
    <row r="316" spans="1:14" x14ac:dyDescent="0.3">
      <c r="A316" s="8"/>
      <c r="B316" t="str">
        <f xml:space="preserve"> _xll.EPMOlapMemberO("[CLACO].[PARENTH1].[AMSAINFORMATIC]","","Informática y Comuni","","000")</f>
        <v>Informática y Comuni</v>
      </c>
      <c r="C316" s="6"/>
      <c r="D316" s="6"/>
      <c r="E316" s="6">
        <f t="shared" si="16"/>
        <v>0</v>
      </c>
      <c r="F316" s="6"/>
      <c r="G316" s="6"/>
      <c r="H316" s="6">
        <f t="shared" si="17"/>
        <v>0</v>
      </c>
      <c r="I316" s="6">
        <v>1834.47</v>
      </c>
      <c r="J316" s="6">
        <v>3408.5</v>
      </c>
      <c r="K316" s="6">
        <f t="shared" si="18"/>
        <v>1574.03</v>
      </c>
      <c r="L316" s="6">
        <v>2418.59</v>
      </c>
      <c r="M316" s="6">
        <v>651.73</v>
      </c>
      <c r="N316" s="6">
        <f t="shared" si="19"/>
        <v>-1766.8600000000001</v>
      </c>
    </row>
    <row r="317" spans="1:14" x14ac:dyDescent="0.3">
      <c r="A317" s="8"/>
      <c r="B317" t="str">
        <f xml:space="preserve"> _xll.EPMOlapMemberO("[CLACO].[PARENTH1].[AMSAG_VIAJES]","","Gastos de Viajes","","000")</f>
        <v>Gastos de Viajes</v>
      </c>
      <c r="C317" s="6"/>
      <c r="D317" s="6"/>
      <c r="E317" s="6">
        <f t="shared" si="16"/>
        <v>0</v>
      </c>
      <c r="F317" s="6">
        <v>727.83</v>
      </c>
      <c r="G317" s="6"/>
      <c r="H317" s="6">
        <f t="shared" si="17"/>
        <v>-727.83</v>
      </c>
      <c r="I317" s="6">
        <v>5532.82</v>
      </c>
      <c r="J317" s="6">
        <v>13829.22</v>
      </c>
      <c r="K317" s="6">
        <f t="shared" si="18"/>
        <v>8296.4</v>
      </c>
      <c r="L317" s="6">
        <v>181.68</v>
      </c>
      <c r="M317" s="6">
        <v>8672.6299999999992</v>
      </c>
      <c r="N317" s="6">
        <f t="shared" si="19"/>
        <v>8490.9499999999989</v>
      </c>
    </row>
    <row r="318" spans="1:14" x14ac:dyDescent="0.3">
      <c r="A318" s="8"/>
      <c r="B318" t="str">
        <f xml:space="preserve"> _xll.EPMOlapMemberO("[CLACO].[PARENTH1].[AMSAGGENERALES.2]","","Otros Gastos","","000")</f>
        <v>Otros Gastos</v>
      </c>
      <c r="C318" s="6"/>
      <c r="D318" s="6"/>
      <c r="E318" s="6">
        <f t="shared" si="16"/>
        <v>0</v>
      </c>
      <c r="F318" s="6">
        <v>5028.28</v>
      </c>
      <c r="G318" s="6"/>
      <c r="H318" s="6">
        <f t="shared" si="17"/>
        <v>-5028.28</v>
      </c>
      <c r="I318" s="6">
        <v>295.41000000000003</v>
      </c>
      <c r="J318" s="6"/>
      <c r="K318" s="6">
        <f t="shared" si="18"/>
        <v>-295.41000000000003</v>
      </c>
      <c r="L318" s="6">
        <v>657.69</v>
      </c>
      <c r="M318" s="6"/>
      <c r="N318" s="6">
        <f t="shared" si="19"/>
        <v>-657.69</v>
      </c>
    </row>
    <row r="319" spans="1:14" x14ac:dyDescent="0.3">
      <c r="A319" s="8" t="str">
        <f xml:space="preserve"> _xll.EPMOlapMemberO("[CECO].[PARENTH3].[AMSA1000AC3531]","","Gcia Eng y Serv Estr","","000")</f>
        <v>Gcia Eng y Serv Estr</v>
      </c>
      <c r="B319" t="str">
        <f xml:space="preserve"> _xll.EPMOlapMemberO("[CLACO].[PARENTH1].[AMSAREMUNERACI.SS]","","Remuneraciones Super","","000")</f>
        <v>Remuneraciones Super</v>
      </c>
      <c r="C319" s="6"/>
      <c r="D319" s="6"/>
      <c r="E319" s="6">
        <f t="shared" si="16"/>
        <v>0</v>
      </c>
      <c r="F319" s="6"/>
      <c r="G319" s="6"/>
      <c r="H319" s="6">
        <f t="shared" si="17"/>
        <v>0</v>
      </c>
      <c r="I319" s="6">
        <v>751056.57</v>
      </c>
      <c r="J319" s="6"/>
      <c r="K319" s="6">
        <f t="shared" si="18"/>
        <v>-751056.57</v>
      </c>
      <c r="L319" s="6">
        <v>931691</v>
      </c>
      <c r="M319" s="6">
        <v>808409.97</v>
      </c>
      <c r="N319" s="6">
        <f t="shared" si="19"/>
        <v>-123281.03000000003</v>
      </c>
    </row>
    <row r="320" spans="1:14" x14ac:dyDescent="0.3">
      <c r="A320" s="8"/>
      <c r="B320" t="str">
        <f xml:space="preserve"> _xll.EPMOlapMemberO("[CLACO].[PARENTH1].[AMSAENTRENAMI]","","Entrenamiento","","000")</f>
        <v>Entrenamiento</v>
      </c>
      <c r="C320" s="6"/>
      <c r="D320" s="6"/>
      <c r="E320" s="6">
        <f t="shared" si="16"/>
        <v>0</v>
      </c>
      <c r="F320" s="6"/>
      <c r="G320" s="6"/>
      <c r="H320" s="6">
        <f t="shared" si="17"/>
        <v>0</v>
      </c>
      <c r="I320" s="6">
        <v>0</v>
      </c>
      <c r="J320" s="6"/>
      <c r="K320" s="6">
        <f t="shared" si="18"/>
        <v>0</v>
      </c>
      <c r="L320" s="6">
        <v>-2929.98</v>
      </c>
      <c r="M320" s="6"/>
      <c r="N320" s="6">
        <f t="shared" si="19"/>
        <v>2929.98</v>
      </c>
    </row>
    <row r="321" spans="1:14" x14ac:dyDescent="0.3">
      <c r="A321" s="8"/>
      <c r="B321" t="str">
        <f xml:space="preserve"> _xll.EPMOlapMemberO("[CLACO].[PARENTH1].[AMSAASESORIAS]","","Asesorías y Consulto","","000")</f>
        <v>Asesorías y Consulto</v>
      </c>
      <c r="C321" s="6"/>
      <c r="D321" s="6"/>
      <c r="E321" s="6">
        <f t="shared" si="16"/>
        <v>0</v>
      </c>
      <c r="F321" s="6"/>
      <c r="G321" s="6"/>
      <c r="H321" s="6">
        <f t="shared" si="17"/>
        <v>0</v>
      </c>
      <c r="I321" s="6">
        <v>14955.73</v>
      </c>
      <c r="J321" s="6">
        <v>15041.8</v>
      </c>
      <c r="K321" s="6">
        <f t="shared" si="18"/>
        <v>86.069999999999709</v>
      </c>
      <c r="L321" s="6">
        <v>2643.93</v>
      </c>
      <c r="M321" s="6">
        <v>18901.87</v>
      </c>
      <c r="N321" s="6">
        <f t="shared" si="19"/>
        <v>16257.939999999999</v>
      </c>
    </row>
    <row r="322" spans="1:14" x14ac:dyDescent="0.3">
      <c r="A322" s="8"/>
      <c r="B322" t="str">
        <f xml:space="preserve"> _xll.EPMOlapMemberO("[CLACO].[PARENTH1].[AMSASERVICIOS]","","Servicios","","000")</f>
        <v>Servicios</v>
      </c>
      <c r="C322" s="6"/>
      <c r="D322" s="6"/>
      <c r="E322" s="6">
        <f t="shared" si="16"/>
        <v>0</v>
      </c>
      <c r="F322" s="6"/>
      <c r="G322" s="6"/>
      <c r="H322" s="6">
        <f t="shared" si="17"/>
        <v>0</v>
      </c>
      <c r="I322" s="6">
        <v>210702.15</v>
      </c>
      <c r="J322" s="6">
        <v>430535.14</v>
      </c>
      <c r="K322" s="6">
        <f t="shared" si="18"/>
        <v>219832.99000000002</v>
      </c>
      <c r="L322" s="6">
        <v>147905.98000000001</v>
      </c>
      <c r="M322" s="6">
        <v>421881.55</v>
      </c>
      <c r="N322" s="6">
        <f t="shared" si="19"/>
        <v>273975.56999999995</v>
      </c>
    </row>
    <row r="323" spans="1:14" x14ac:dyDescent="0.3">
      <c r="A323" s="8"/>
      <c r="B323" t="str">
        <f xml:space="preserve"> _xll.EPMOlapMemberO("[CLACO].[PARENTH1].[AMSAINFORMATIC]","","Informática y Comuni","","000")</f>
        <v>Informática y Comuni</v>
      </c>
      <c r="C323" s="6"/>
      <c r="D323" s="6"/>
      <c r="E323" s="6">
        <f t="shared" si="16"/>
        <v>0</v>
      </c>
      <c r="F323" s="6"/>
      <c r="G323" s="6"/>
      <c r="H323" s="6">
        <f t="shared" si="17"/>
        <v>0</v>
      </c>
      <c r="I323" s="6">
        <v>7256.05</v>
      </c>
      <c r="J323" s="6">
        <v>1341.48</v>
      </c>
      <c r="K323" s="6">
        <f t="shared" si="18"/>
        <v>-5914.57</v>
      </c>
      <c r="L323" s="6">
        <v>4827.0600000000004</v>
      </c>
      <c r="M323" s="6">
        <v>2706.33</v>
      </c>
      <c r="N323" s="6">
        <f t="shared" si="19"/>
        <v>-2120.7300000000005</v>
      </c>
    </row>
    <row r="324" spans="1:14" x14ac:dyDescent="0.3">
      <c r="A324" s="8"/>
      <c r="B324" t="str">
        <f xml:space="preserve"> _xll.EPMOlapMemberO("[CLACO].[PARENTH1].[AMSAG_VIAJES]","","Gastos de Viajes","","000")</f>
        <v>Gastos de Viajes</v>
      </c>
      <c r="C324" s="6"/>
      <c r="D324" s="6"/>
      <c r="E324" s="6">
        <f t="shared" si="16"/>
        <v>0</v>
      </c>
      <c r="F324" s="6"/>
      <c r="G324" s="6"/>
      <c r="H324" s="6">
        <f t="shared" si="17"/>
        <v>0</v>
      </c>
      <c r="I324" s="6">
        <v>11410.31</v>
      </c>
      <c r="J324" s="6">
        <v>10662.51</v>
      </c>
      <c r="K324" s="6">
        <f t="shared" si="18"/>
        <v>-747.79999999999927</v>
      </c>
      <c r="L324" s="6">
        <v>6216.57</v>
      </c>
      <c r="M324" s="6">
        <v>7259.19</v>
      </c>
      <c r="N324" s="6">
        <f t="shared" si="19"/>
        <v>1042.6199999999999</v>
      </c>
    </row>
    <row r="325" spans="1:14" x14ac:dyDescent="0.3">
      <c r="A325" s="8"/>
      <c r="B325" t="str">
        <f xml:space="preserve"> _xll.EPMOlapMemberO("[CLACO].[PARENTH1].[AMSAGGENERALES.2]","","Otros Gastos","","000")</f>
        <v>Otros Gastos</v>
      </c>
      <c r="C325" s="6"/>
      <c r="D325" s="6"/>
      <c r="E325" s="6">
        <f t="shared" si="16"/>
        <v>0</v>
      </c>
      <c r="F325" s="6"/>
      <c r="G325" s="6"/>
      <c r="H325" s="6">
        <f t="shared" si="17"/>
        <v>0</v>
      </c>
      <c r="I325" s="6">
        <v>16670.47</v>
      </c>
      <c r="J325" s="6">
        <v>32113.91</v>
      </c>
      <c r="K325" s="6">
        <f t="shared" si="18"/>
        <v>15443.439999999999</v>
      </c>
      <c r="L325" s="6">
        <v>30462.83</v>
      </c>
      <c r="M325" s="6">
        <v>27107.1</v>
      </c>
      <c r="N325" s="6">
        <f t="shared" si="19"/>
        <v>-3355.7300000000032</v>
      </c>
    </row>
    <row r="326" spans="1:14" x14ac:dyDescent="0.3">
      <c r="A326" s="8" t="str">
        <f xml:space="preserve"> _xll.EPMOlapMemberO("[CECO].[PARENTH3].[AMSA1000AC3508]","","Depto Serv Generales","","000")</f>
        <v>Depto Serv Generales</v>
      </c>
      <c r="B326" t="str">
        <f xml:space="preserve"> _xll.EPMOlapMemberO("[CLACO].[PARENTH1].[AMSAMAT_Y_REP.2]","","Materiales y repuest","","000")</f>
        <v>Materiales y repuest</v>
      </c>
      <c r="C326" s="6"/>
      <c r="D326" s="6"/>
      <c r="E326" s="6">
        <f t="shared" si="16"/>
        <v>0</v>
      </c>
      <c r="F326" s="6">
        <v>0</v>
      </c>
      <c r="G326" s="6"/>
      <c r="H326" s="6">
        <f t="shared" si="17"/>
        <v>0</v>
      </c>
      <c r="I326" s="6"/>
      <c r="J326" s="6"/>
      <c r="K326" s="6">
        <f t="shared" si="18"/>
        <v>0</v>
      </c>
      <c r="L326" s="6"/>
      <c r="M326" s="6"/>
      <c r="N326" s="6">
        <f t="shared" si="19"/>
        <v>0</v>
      </c>
    </row>
    <row r="327" spans="1:14" x14ac:dyDescent="0.3">
      <c r="A327" s="8"/>
      <c r="B327" t="str">
        <f xml:space="preserve"> _xll.EPMOlapMemberO("[CLACO].[PARENTH1].[AMSAENERGIA]","","Energía","","000")</f>
        <v>Energía</v>
      </c>
      <c r="C327" s="6">
        <v>185421.71</v>
      </c>
      <c r="D327" s="6">
        <v>214210.6</v>
      </c>
      <c r="E327" s="6">
        <f t="shared" si="16"/>
        <v>28788.890000000014</v>
      </c>
      <c r="F327" s="6">
        <v>172460.65</v>
      </c>
      <c r="G327" s="6">
        <v>217582.44</v>
      </c>
      <c r="H327" s="6">
        <f t="shared" si="17"/>
        <v>45121.790000000008</v>
      </c>
      <c r="I327" s="6">
        <v>220436.43</v>
      </c>
      <c r="J327" s="6">
        <v>141176.51999999999</v>
      </c>
      <c r="K327" s="6">
        <f t="shared" si="18"/>
        <v>-79259.91</v>
      </c>
      <c r="L327" s="6">
        <v>216963.4</v>
      </c>
      <c r="M327" s="6">
        <v>243491.47</v>
      </c>
      <c r="N327" s="6">
        <f t="shared" si="19"/>
        <v>26528.070000000007</v>
      </c>
    </row>
    <row r="328" spans="1:14" x14ac:dyDescent="0.3">
      <c r="A328" s="8"/>
      <c r="B328" t="str">
        <f xml:space="preserve"> _xll.EPMOlapMemberO("[CLACO].[PARENTH1].[AMSAADM_PERSON]","","Administración Perso","","000")</f>
        <v>Administración Perso</v>
      </c>
      <c r="C328" s="6"/>
      <c r="D328" s="6"/>
      <c r="E328" s="6">
        <f t="shared" si="16"/>
        <v>0</v>
      </c>
      <c r="F328" s="6"/>
      <c r="G328" s="6"/>
      <c r="H328" s="6">
        <f t="shared" si="17"/>
        <v>0</v>
      </c>
      <c r="I328" s="6"/>
      <c r="J328" s="6"/>
      <c r="K328" s="6">
        <f t="shared" si="18"/>
        <v>0</v>
      </c>
      <c r="L328" s="6">
        <v>3.25</v>
      </c>
      <c r="M328" s="6"/>
      <c r="N328" s="6">
        <f t="shared" si="19"/>
        <v>-3.25</v>
      </c>
    </row>
    <row r="329" spans="1:14" x14ac:dyDescent="0.3">
      <c r="A329" s="8"/>
      <c r="B329" t="str">
        <f xml:space="preserve"> _xll.EPMOlapMemberO("[CLACO].[PARENTH1].[AMSAASESORIAS]","","Asesorías y Consulto","","000")</f>
        <v>Asesorías y Consulto</v>
      </c>
      <c r="C329" s="6">
        <v>-3039.02</v>
      </c>
      <c r="D329" s="6"/>
      <c r="E329" s="6">
        <f t="shared" si="16"/>
        <v>3039.02</v>
      </c>
      <c r="F329" s="6">
        <v>18738.57</v>
      </c>
      <c r="G329" s="6"/>
      <c r="H329" s="6">
        <f t="shared" si="17"/>
        <v>-18738.57</v>
      </c>
      <c r="I329" s="6"/>
      <c r="J329" s="6"/>
      <c r="K329" s="6">
        <f t="shared" si="18"/>
        <v>0</v>
      </c>
      <c r="L329" s="6"/>
      <c r="M329" s="6"/>
      <c r="N329" s="6">
        <f t="shared" si="19"/>
        <v>0</v>
      </c>
    </row>
    <row r="330" spans="1:14" x14ac:dyDescent="0.3">
      <c r="A330" s="8"/>
      <c r="B330" t="str">
        <f xml:space="preserve"> _xll.EPMOlapMemberO("[CLACO].[PARENTH1].[AMSAARRIENDOS]","","Arriendos","","000")</f>
        <v>Arriendos</v>
      </c>
      <c r="C330" s="6">
        <v>133708</v>
      </c>
      <c r="D330" s="6">
        <v>112739.25</v>
      </c>
      <c r="E330" s="6">
        <f t="shared" si="16"/>
        <v>-20968.75</v>
      </c>
      <c r="F330" s="6">
        <v>136813.75</v>
      </c>
      <c r="G330" s="6">
        <v>116331.82</v>
      </c>
      <c r="H330" s="6">
        <f t="shared" si="17"/>
        <v>-20481.929999999993</v>
      </c>
      <c r="I330" s="6">
        <v>133191.87</v>
      </c>
      <c r="J330" s="6">
        <v>148364.79</v>
      </c>
      <c r="K330" s="6">
        <f t="shared" si="18"/>
        <v>15172.920000000013</v>
      </c>
      <c r="L330" s="6">
        <v>259994.94</v>
      </c>
      <c r="M330" s="6">
        <v>334368.19</v>
      </c>
      <c r="N330" s="6">
        <f t="shared" si="19"/>
        <v>74373.25</v>
      </c>
    </row>
    <row r="331" spans="1:14" x14ac:dyDescent="0.3">
      <c r="A331" s="8"/>
      <c r="B331" t="str">
        <f xml:space="preserve"> _xll.EPMOlapMemberO("[CLACO].[PARENTH1].[AMSASERVICIOS]","","Servicios","","000")</f>
        <v>Servicios</v>
      </c>
      <c r="C331" s="6">
        <v>25733.16</v>
      </c>
      <c r="D331" s="6">
        <v>262751.01</v>
      </c>
      <c r="E331" s="6">
        <f t="shared" ref="E331:E394" si="20">+D331-C331</f>
        <v>237017.85</v>
      </c>
      <c r="F331" s="6">
        <v>1883.36</v>
      </c>
      <c r="G331" s="6"/>
      <c r="H331" s="6">
        <f t="shared" ref="H331:H394" si="21">+G331-F331</f>
        <v>-1883.36</v>
      </c>
      <c r="I331" s="6">
        <v>6449.26</v>
      </c>
      <c r="J331" s="6"/>
      <c r="K331" s="6">
        <f t="shared" ref="K331:K394" si="22">+J331-I331</f>
        <v>-6449.26</v>
      </c>
      <c r="L331" s="6">
        <v>3676.78</v>
      </c>
      <c r="M331" s="6"/>
      <c r="N331" s="6">
        <f t="shared" ref="N331:N394" si="23">+M331-L331</f>
        <v>-3676.78</v>
      </c>
    </row>
    <row r="332" spans="1:14" x14ac:dyDescent="0.3">
      <c r="A332" s="8"/>
      <c r="B332" t="str">
        <f xml:space="preserve"> _xll.EPMOlapMemberO("[CLACO].[PARENTH1].[AMSASERMANTO.REPA]","","Servicios Mantenimie","","000")</f>
        <v>Servicios Mantenimie</v>
      </c>
      <c r="C332" s="6">
        <v>541771.93999999994</v>
      </c>
      <c r="D332" s="6">
        <v>586768.73</v>
      </c>
      <c r="E332" s="6">
        <f t="shared" si="20"/>
        <v>44996.790000000037</v>
      </c>
      <c r="F332" s="6">
        <v>420634.32</v>
      </c>
      <c r="G332" s="6">
        <v>603676.12</v>
      </c>
      <c r="H332" s="6">
        <f t="shared" si="21"/>
        <v>183041.8</v>
      </c>
      <c r="I332" s="6">
        <v>513452.07</v>
      </c>
      <c r="J332" s="6">
        <v>641888.28</v>
      </c>
      <c r="K332" s="6">
        <f t="shared" si="22"/>
        <v>128436.21000000002</v>
      </c>
      <c r="L332" s="6">
        <v>686683.45</v>
      </c>
      <c r="M332" s="6">
        <v>610740.57999999996</v>
      </c>
      <c r="N332" s="6">
        <f t="shared" si="23"/>
        <v>-75942.87</v>
      </c>
    </row>
    <row r="333" spans="1:14" x14ac:dyDescent="0.3">
      <c r="A333" s="8"/>
      <c r="B333" t="str">
        <f xml:space="preserve"> _xll.EPMOlapMemberO("[CLACO].[PARENTH1].[AMSAINFORMATIC]","","Informática y Comuni","","000")</f>
        <v>Informática y Comuni</v>
      </c>
      <c r="C333" s="6">
        <v>9875.33</v>
      </c>
      <c r="D333" s="6"/>
      <c r="E333" s="6">
        <f t="shared" si="20"/>
        <v>-9875.33</v>
      </c>
      <c r="F333" s="6">
        <v>185.05</v>
      </c>
      <c r="G333" s="6"/>
      <c r="H333" s="6">
        <f t="shared" si="21"/>
        <v>-185.05</v>
      </c>
      <c r="I333" s="6"/>
      <c r="J333" s="6"/>
      <c r="K333" s="6">
        <f t="shared" si="22"/>
        <v>0</v>
      </c>
      <c r="L333" s="6">
        <v>4910.5600000000004</v>
      </c>
      <c r="M333" s="6"/>
      <c r="N333" s="6">
        <f t="shared" si="23"/>
        <v>-4910.5600000000004</v>
      </c>
    </row>
    <row r="334" spans="1:14" x14ac:dyDescent="0.3">
      <c r="A334" s="8"/>
      <c r="B334" t="str">
        <f xml:space="preserve"> _xll.EPMOlapMemberO("[CLACO].[PARENTH1].[AMSAG_VIAJES]","","Gastos de Viajes","","000")</f>
        <v>Gastos de Viajes</v>
      </c>
      <c r="C334" s="6"/>
      <c r="D334" s="6"/>
      <c r="E334" s="6">
        <f t="shared" si="20"/>
        <v>0</v>
      </c>
      <c r="F334" s="6"/>
      <c r="G334" s="6"/>
      <c r="H334" s="6">
        <f t="shared" si="21"/>
        <v>0</v>
      </c>
      <c r="I334" s="6">
        <v>-817.3</v>
      </c>
      <c r="J334" s="6"/>
      <c r="K334" s="6">
        <f t="shared" si="22"/>
        <v>817.3</v>
      </c>
      <c r="L334" s="6">
        <v>511.87</v>
      </c>
      <c r="M334" s="6"/>
      <c r="N334" s="6">
        <f t="shared" si="23"/>
        <v>-511.87</v>
      </c>
    </row>
    <row r="335" spans="1:14" x14ac:dyDescent="0.3">
      <c r="A335" s="8"/>
      <c r="B335" t="str">
        <f xml:space="preserve"> _xll.EPMOlapMemberO("[CLACO].[PARENTH1].[AMSASEGUROS]","","Seguros","","000")</f>
        <v>Seguros</v>
      </c>
      <c r="C335" s="6"/>
      <c r="D335" s="6"/>
      <c r="E335" s="6">
        <f t="shared" si="20"/>
        <v>0</v>
      </c>
      <c r="F335" s="6">
        <v>0.02</v>
      </c>
      <c r="G335" s="6"/>
      <c r="H335" s="6">
        <f t="shared" si="21"/>
        <v>-0.02</v>
      </c>
      <c r="I335" s="6"/>
      <c r="J335" s="6"/>
      <c r="K335" s="6">
        <f t="shared" si="22"/>
        <v>0</v>
      </c>
      <c r="L335" s="6"/>
      <c r="M335" s="6"/>
      <c r="N335" s="6">
        <f t="shared" si="23"/>
        <v>0</v>
      </c>
    </row>
    <row r="336" spans="1:14" x14ac:dyDescent="0.3">
      <c r="A336" s="8"/>
      <c r="B336" t="str">
        <f xml:space="preserve"> _xll.EPMOlapMemberO("[CLACO].[PARENTH1].[AMSAIMP_PATEN]","","Impuestos / Patentes","","000")</f>
        <v>Impuestos / Patentes</v>
      </c>
      <c r="C336" s="6"/>
      <c r="D336" s="6"/>
      <c r="E336" s="6">
        <f t="shared" si="20"/>
        <v>0</v>
      </c>
      <c r="F336" s="6">
        <v>-539.86</v>
      </c>
      <c r="G336" s="6"/>
      <c r="H336" s="6">
        <f t="shared" si="21"/>
        <v>539.86</v>
      </c>
      <c r="I336" s="6"/>
      <c r="J336" s="6"/>
      <c r="K336" s="6">
        <f t="shared" si="22"/>
        <v>0</v>
      </c>
      <c r="L336" s="6"/>
      <c r="M336" s="6"/>
      <c r="N336" s="6">
        <f t="shared" si="23"/>
        <v>0</v>
      </c>
    </row>
    <row r="337" spans="1:14" x14ac:dyDescent="0.3">
      <c r="A337" s="8"/>
      <c r="B337" t="str">
        <f xml:space="preserve"> _xll.EPMOlapMemberO("[CLACO].[PARENTH1].[AMSAGGENERALES.2]","","Otros Gastos","","000")</f>
        <v>Otros Gastos</v>
      </c>
      <c r="C337" s="6">
        <v>564743.26</v>
      </c>
      <c r="D337" s="6">
        <v>723016.78</v>
      </c>
      <c r="E337" s="6">
        <f t="shared" si="20"/>
        <v>158273.52000000002</v>
      </c>
      <c r="F337" s="6">
        <v>887819.81</v>
      </c>
      <c r="G337" s="6">
        <v>700530.65</v>
      </c>
      <c r="H337" s="6">
        <f t="shared" si="21"/>
        <v>-187289.16000000003</v>
      </c>
      <c r="I337" s="6">
        <v>798764.51</v>
      </c>
      <c r="J337" s="6">
        <v>926181.2</v>
      </c>
      <c r="K337" s="6">
        <f t="shared" si="22"/>
        <v>127416.68999999994</v>
      </c>
      <c r="L337" s="6">
        <v>748944.66</v>
      </c>
      <c r="M337" s="6">
        <v>877392.11</v>
      </c>
      <c r="N337" s="6">
        <f t="shared" si="23"/>
        <v>128447.44999999995</v>
      </c>
    </row>
    <row r="338" spans="1:14" x14ac:dyDescent="0.3">
      <c r="A338" s="8"/>
      <c r="B338" t="str">
        <f xml:space="preserve"> _xll.EPMOlapMemberO("[CLACO].[PARENTH1].[AMSASERV_CORP]","","Servicios Corporativ","","000")</f>
        <v>Servicios Corporativ</v>
      </c>
      <c r="C338" s="6"/>
      <c r="D338" s="6"/>
      <c r="E338" s="6">
        <f t="shared" si="20"/>
        <v>0</v>
      </c>
      <c r="F338" s="6"/>
      <c r="G338" s="6"/>
      <c r="H338" s="6">
        <f t="shared" si="21"/>
        <v>0</v>
      </c>
      <c r="I338" s="6"/>
      <c r="J338" s="6"/>
      <c r="K338" s="6">
        <f t="shared" si="22"/>
        <v>0</v>
      </c>
      <c r="L338" s="6">
        <v>147.37</v>
      </c>
      <c r="M338" s="6"/>
      <c r="N338" s="6">
        <f t="shared" si="23"/>
        <v>-147.37</v>
      </c>
    </row>
    <row r="339" spans="1:14" x14ac:dyDescent="0.3">
      <c r="A339" s="8" t="str">
        <f xml:space="preserve"> _xll.EPMOlapMemberO("[CECO].[PARENTH3].[AMSA1000AC4001]","","VP Recursos Humanos","","000")</f>
        <v>VP Recursos Humanos</v>
      </c>
      <c r="B339" t="str">
        <f xml:space="preserve"> _xll.EPMOlapMemberO("[CLACO].[PARENTH1].[AMSAREMUNERACI.SS]","","Remuneraciones Super","","000")</f>
        <v>Remuneraciones Super</v>
      </c>
      <c r="C339" s="6">
        <v>5785874.1900000004</v>
      </c>
      <c r="D339" s="6">
        <v>6151404.7199999997</v>
      </c>
      <c r="E339" s="6">
        <f t="shared" si="20"/>
        <v>365530.52999999933</v>
      </c>
      <c r="F339" s="6">
        <v>6328448.8899999997</v>
      </c>
      <c r="G339" s="6">
        <v>6030302.96</v>
      </c>
      <c r="H339" s="6">
        <f t="shared" si="21"/>
        <v>-298145.9299999997</v>
      </c>
      <c r="I339" s="6">
        <v>6170784.75</v>
      </c>
      <c r="J339" s="6">
        <v>6769773.1600000001</v>
      </c>
      <c r="K339" s="6">
        <f t="shared" si="22"/>
        <v>598988.41000000015</v>
      </c>
      <c r="L339" s="6">
        <v>6806711.4000000004</v>
      </c>
      <c r="M339" s="6">
        <v>6822292.9400000004</v>
      </c>
      <c r="N339" s="6">
        <f t="shared" si="23"/>
        <v>15581.540000000037</v>
      </c>
    </row>
    <row r="340" spans="1:14" x14ac:dyDescent="0.3">
      <c r="A340" s="8"/>
      <c r="B340" t="str">
        <f xml:space="preserve"> _xll.EPMOlapMemberO("[CLACO].[PARENTH1].[AMSAMAT_Y_REP.2]","","Materiales y repuest","","000")</f>
        <v>Materiales y repuest</v>
      </c>
      <c r="C340" s="6"/>
      <c r="D340" s="6"/>
      <c r="E340" s="6">
        <f t="shared" si="20"/>
        <v>0</v>
      </c>
      <c r="F340" s="6">
        <v>0</v>
      </c>
      <c r="G340" s="6"/>
      <c r="H340" s="6">
        <f t="shared" si="21"/>
        <v>0</v>
      </c>
      <c r="I340" s="6"/>
      <c r="J340" s="6"/>
      <c r="K340" s="6">
        <f t="shared" si="22"/>
        <v>0</v>
      </c>
      <c r="L340" s="6">
        <v>69.260000000000005</v>
      </c>
      <c r="M340" s="6"/>
      <c r="N340" s="6">
        <f t="shared" si="23"/>
        <v>-69.260000000000005</v>
      </c>
    </row>
    <row r="341" spans="1:14" x14ac:dyDescent="0.3">
      <c r="A341" s="8"/>
      <c r="B341" t="str">
        <f xml:space="preserve"> _xll.EPMOlapMemberO("[CLACO].[PARENTH1].[AMSAADM_PERSON]","","Administración Perso","","000")</f>
        <v>Administración Perso</v>
      </c>
      <c r="C341" s="6">
        <v>78750.990000000005</v>
      </c>
      <c r="D341" s="6"/>
      <c r="E341" s="6">
        <f t="shared" si="20"/>
        <v>-78750.990000000005</v>
      </c>
      <c r="F341" s="6">
        <v>287.07</v>
      </c>
      <c r="G341" s="6"/>
      <c r="H341" s="6">
        <f t="shared" si="21"/>
        <v>-287.07</v>
      </c>
      <c r="I341" s="6">
        <v>65403.17</v>
      </c>
      <c r="J341" s="6">
        <v>49876.55</v>
      </c>
      <c r="K341" s="6">
        <f t="shared" si="22"/>
        <v>-15526.619999999995</v>
      </c>
      <c r="L341" s="6">
        <v>163077.79999999999</v>
      </c>
      <c r="M341" s="6">
        <v>51050</v>
      </c>
      <c r="N341" s="6">
        <f t="shared" si="23"/>
        <v>-112027.79999999999</v>
      </c>
    </row>
    <row r="342" spans="1:14" x14ac:dyDescent="0.3">
      <c r="A342" s="8"/>
      <c r="B342" t="str">
        <f xml:space="preserve"> _xll.EPMOlapMemberO("[CLACO].[PARENTH1].[AMSAENTRENAMI]","","Entrenamiento","","000")</f>
        <v>Entrenamiento</v>
      </c>
      <c r="C342" s="6">
        <v>7328.22</v>
      </c>
      <c r="D342" s="6"/>
      <c r="E342" s="6">
        <f t="shared" si="20"/>
        <v>-7328.22</v>
      </c>
      <c r="F342" s="6">
        <v>1208.51</v>
      </c>
      <c r="G342" s="6">
        <v>40000</v>
      </c>
      <c r="H342" s="6">
        <f t="shared" si="21"/>
        <v>38791.49</v>
      </c>
      <c r="I342" s="6">
        <v>11675.79</v>
      </c>
      <c r="J342" s="6"/>
      <c r="K342" s="6">
        <f t="shared" si="22"/>
        <v>-11675.79</v>
      </c>
      <c r="L342" s="6">
        <v>2459.73</v>
      </c>
      <c r="M342" s="6"/>
      <c r="N342" s="6">
        <f t="shared" si="23"/>
        <v>-2459.73</v>
      </c>
    </row>
    <row r="343" spans="1:14" x14ac:dyDescent="0.3">
      <c r="A343" s="8"/>
      <c r="B343" t="str">
        <f xml:space="preserve"> _xll.EPMOlapMemberO("[CLACO].[PARENTH1].[AMSAASESORIAS]","","Asesorías y Consulto","","000")</f>
        <v>Asesorías y Consulto</v>
      </c>
      <c r="C343" s="6">
        <v>23189.07</v>
      </c>
      <c r="D343" s="6">
        <v>206373.18</v>
      </c>
      <c r="E343" s="6">
        <f t="shared" si="20"/>
        <v>183184.11</v>
      </c>
      <c r="F343" s="6">
        <v>49651.82</v>
      </c>
      <c r="G343" s="6">
        <v>50000</v>
      </c>
      <c r="H343" s="6">
        <f t="shared" si="21"/>
        <v>348.18000000000029</v>
      </c>
      <c r="I343" s="6"/>
      <c r="J343" s="6"/>
      <c r="K343" s="6">
        <f t="shared" si="22"/>
        <v>0</v>
      </c>
      <c r="L343" s="6"/>
      <c r="M343" s="6"/>
      <c r="N343" s="6">
        <f t="shared" si="23"/>
        <v>0</v>
      </c>
    </row>
    <row r="344" spans="1:14" x14ac:dyDescent="0.3">
      <c r="A344" s="8"/>
      <c r="B344" t="str">
        <f xml:space="preserve"> _xll.EPMOlapMemberO("[CLACO].[PARENTH1].[AMSASERVICIOS]","","Servicios","","000")</f>
        <v>Servicios</v>
      </c>
      <c r="C344" s="6">
        <v>55194.04</v>
      </c>
      <c r="D344" s="6"/>
      <c r="E344" s="6">
        <f t="shared" si="20"/>
        <v>-55194.04</v>
      </c>
      <c r="F344" s="6">
        <v>32016.81</v>
      </c>
      <c r="G344" s="6">
        <v>1933.53</v>
      </c>
      <c r="H344" s="6">
        <f t="shared" si="21"/>
        <v>-30083.280000000002</v>
      </c>
      <c r="I344" s="6"/>
      <c r="J344" s="6"/>
      <c r="K344" s="6">
        <f t="shared" si="22"/>
        <v>0</v>
      </c>
      <c r="L344" s="6"/>
      <c r="M344" s="6"/>
      <c r="N344" s="6">
        <f t="shared" si="23"/>
        <v>0</v>
      </c>
    </row>
    <row r="345" spans="1:14" x14ac:dyDescent="0.3">
      <c r="A345" s="8"/>
      <c r="B345" t="str">
        <f xml:space="preserve"> _xll.EPMOlapMemberO("[CLACO].[PARENTH1].[AMSASERMANTO.REPA]","","Servicios Mantenimie","","000")</f>
        <v>Servicios Mantenimie</v>
      </c>
      <c r="C345" s="6">
        <v>55.64</v>
      </c>
      <c r="D345" s="6"/>
      <c r="E345" s="6">
        <f t="shared" si="20"/>
        <v>-55.64</v>
      </c>
      <c r="F345" s="6"/>
      <c r="G345" s="6"/>
      <c r="H345" s="6">
        <f t="shared" si="21"/>
        <v>0</v>
      </c>
      <c r="I345" s="6"/>
      <c r="J345" s="6"/>
      <c r="K345" s="6">
        <f t="shared" si="22"/>
        <v>0</v>
      </c>
      <c r="L345" s="6">
        <v>77.430000000000007</v>
      </c>
      <c r="M345" s="6"/>
      <c r="N345" s="6">
        <f t="shared" si="23"/>
        <v>-77.430000000000007</v>
      </c>
    </row>
    <row r="346" spans="1:14" x14ac:dyDescent="0.3">
      <c r="A346" s="8"/>
      <c r="B346" t="str">
        <f xml:space="preserve"> _xll.EPMOlapMemberO("[CLACO].[PARENTH1].[AMSAINFORMATIC]","","Informática y Comuni","","000")</f>
        <v>Informática y Comuni</v>
      </c>
      <c r="C346" s="6">
        <v>11763.51</v>
      </c>
      <c r="D346" s="6">
        <v>1165.03</v>
      </c>
      <c r="E346" s="6">
        <f t="shared" si="20"/>
        <v>-10598.48</v>
      </c>
      <c r="F346" s="6">
        <v>22647.58</v>
      </c>
      <c r="G346" s="6">
        <v>996.84</v>
      </c>
      <c r="H346" s="6">
        <f t="shared" si="21"/>
        <v>-21650.74</v>
      </c>
      <c r="I346" s="6">
        <v>28807.13</v>
      </c>
      <c r="J346" s="6">
        <v>6879.48</v>
      </c>
      <c r="K346" s="6">
        <f t="shared" si="22"/>
        <v>-21927.65</v>
      </c>
      <c r="L346" s="6">
        <v>13315.11</v>
      </c>
      <c r="M346" s="6">
        <v>502.94</v>
      </c>
      <c r="N346" s="6">
        <f t="shared" si="23"/>
        <v>-12812.17</v>
      </c>
    </row>
    <row r="347" spans="1:14" x14ac:dyDescent="0.3">
      <c r="A347" s="8"/>
      <c r="B347" t="str">
        <f xml:space="preserve"> _xll.EPMOlapMemberO("[CLACO].[PARENTH1].[AMSAG_VIAJES]","","Gastos de Viajes","","000")</f>
        <v>Gastos de Viajes</v>
      </c>
      <c r="C347" s="6">
        <v>18345.11</v>
      </c>
      <c r="D347" s="6">
        <v>17664.189999999999</v>
      </c>
      <c r="E347" s="6">
        <f t="shared" si="20"/>
        <v>-680.92000000000189</v>
      </c>
      <c r="F347" s="6">
        <v>35648.19</v>
      </c>
      <c r="G347" s="6">
        <v>22681.439999999999</v>
      </c>
      <c r="H347" s="6">
        <f t="shared" si="21"/>
        <v>-12966.750000000004</v>
      </c>
      <c r="I347" s="6">
        <v>52700</v>
      </c>
      <c r="J347" s="6">
        <v>88973.88</v>
      </c>
      <c r="K347" s="6">
        <f t="shared" si="22"/>
        <v>36273.880000000005</v>
      </c>
      <c r="L347" s="6">
        <v>50233.89</v>
      </c>
      <c r="M347" s="6">
        <v>85387.41</v>
      </c>
      <c r="N347" s="6">
        <f t="shared" si="23"/>
        <v>35153.520000000004</v>
      </c>
    </row>
    <row r="348" spans="1:14" x14ac:dyDescent="0.3">
      <c r="A348" s="8"/>
      <c r="B348" t="str">
        <f xml:space="preserve"> _xll.EPMOlapMemberO("[CLACO].[PARENTH1].[AMSAIMP_PATEN]","","Impuestos / Patentes","","000")</f>
        <v>Impuestos / Patentes</v>
      </c>
      <c r="C348" s="6">
        <v>44.05</v>
      </c>
      <c r="D348" s="6"/>
      <c r="E348" s="6">
        <f t="shared" si="20"/>
        <v>-44.05</v>
      </c>
      <c r="F348" s="6">
        <v>7.51</v>
      </c>
      <c r="G348" s="6"/>
      <c r="H348" s="6">
        <f t="shared" si="21"/>
        <v>-7.51</v>
      </c>
      <c r="I348" s="6">
        <v>12.45</v>
      </c>
      <c r="J348" s="6"/>
      <c r="K348" s="6">
        <f t="shared" si="22"/>
        <v>-12.45</v>
      </c>
      <c r="L348" s="6"/>
      <c r="M348" s="6"/>
      <c r="N348" s="6">
        <f t="shared" si="23"/>
        <v>0</v>
      </c>
    </row>
    <row r="349" spans="1:14" x14ac:dyDescent="0.3">
      <c r="A349" s="8"/>
      <c r="B349" t="str">
        <f xml:space="preserve"> _xll.EPMOlapMemberO("[CLACO].[PARENTH1].[AMSAGGENERALES.2]","","Otros Gastos","","000")</f>
        <v>Otros Gastos</v>
      </c>
      <c r="C349" s="6">
        <v>-15681.04</v>
      </c>
      <c r="D349" s="6">
        <v>1060.1400000000001</v>
      </c>
      <c r="E349" s="6">
        <f t="shared" si="20"/>
        <v>16741.18</v>
      </c>
      <c r="F349" s="6">
        <v>6454.89</v>
      </c>
      <c r="G349" s="6">
        <v>907.08</v>
      </c>
      <c r="H349" s="6">
        <f t="shared" si="21"/>
        <v>-5547.81</v>
      </c>
      <c r="I349" s="6">
        <v>8632.2800000000007</v>
      </c>
      <c r="J349" s="6">
        <v>13761.39</v>
      </c>
      <c r="K349" s="6">
        <f t="shared" si="22"/>
        <v>5129.1099999999988</v>
      </c>
      <c r="L349" s="6">
        <v>20237.830000000002</v>
      </c>
      <c r="M349" s="6"/>
      <c r="N349" s="6">
        <f t="shared" si="23"/>
        <v>-20237.830000000002</v>
      </c>
    </row>
    <row r="350" spans="1:14" x14ac:dyDescent="0.3">
      <c r="A350" s="8" t="str">
        <f xml:space="preserve"> _xll.EPMOlapMemberO("[CECO].[PARENTH3].[AMSA1000AC4002]","","Administ de Personal","","000")</f>
        <v>Administ de Personal</v>
      </c>
      <c r="B350" t="str">
        <f xml:space="preserve"> _xll.EPMOlapMemberO("[CLACO].[PARENTH1].[AMSAADM_PERSON]","","Administración Perso","","000")</f>
        <v>Administración Perso</v>
      </c>
      <c r="C350" s="6">
        <v>188.06</v>
      </c>
      <c r="D350" s="6">
        <v>963.77</v>
      </c>
      <c r="E350" s="6">
        <f t="shared" si="20"/>
        <v>775.71</v>
      </c>
      <c r="F350" s="6"/>
      <c r="G350" s="6">
        <v>637.36</v>
      </c>
      <c r="H350" s="6">
        <f t="shared" si="21"/>
        <v>637.36</v>
      </c>
      <c r="I350" s="6">
        <v>291.83</v>
      </c>
      <c r="J350" s="6">
        <v>682.35</v>
      </c>
      <c r="K350" s="6">
        <f t="shared" si="22"/>
        <v>390.52000000000004</v>
      </c>
      <c r="L350" s="6"/>
      <c r="M350" s="6"/>
      <c r="N350" s="6">
        <f t="shared" si="23"/>
        <v>0</v>
      </c>
    </row>
    <row r="351" spans="1:14" x14ac:dyDescent="0.3">
      <c r="A351" s="8"/>
      <c r="B351" t="str">
        <f xml:space="preserve"> _xll.EPMOlapMemberO("[CLACO].[PARENTH1].[AMSAENTRENAMI]","","Entrenamiento","","000")</f>
        <v>Entrenamiento</v>
      </c>
      <c r="C351" s="6">
        <v>1974.07</v>
      </c>
      <c r="D351" s="6"/>
      <c r="E351" s="6">
        <f t="shared" si="20"/>
        <v>-1974.07</v>
      </c>
      <c r="F351" s="6">
        <v>-545.78</v>
      </c>
      <c r="G351" s="6"/>
      <c r="H351" s="6">
        <f t="shared" si="21"/>
        <v>545.78</v>
      </c>
      <c r="I351" s="6"/>
      <c r="J351" s="6"/>
      <c r="K351" s="6">
        <f t="shared" si="22"/>
        <v>0</v>
      </c>
      <c r="L351" s="6"/>
      <c r="M351" s="6"/>
      <c r="N351" s="6">
        <f t="shared" si="23"/>
        <v>0</v>
      </c>
    </row>
    <row r="352" spans="1:14" x14ac:dyDescent="0.3">
      <c r="A352" s="8"/>
      <c r="B352" t="str">
        <f xml:space="preserve"> _xll.EPMOlapMemberO("[CLACO].[PARENTH1].[AMSAASESORIAS]","","Asesorías y Consulto","","000")</f>
        <v>Asesorías y Consulto</v>
      </c>
      <c r="C352" s="6"/>
      <c r="D352" s="6"/>
      <c r="E352" s="6">
        <f t="shared" si="20"/>
        <v>0</v>
      </c>
      <c r="F352" s="6">
        <v>227.03</v>
      </c>
      <c r="G352" s="6"/>
      <c r="H352" s="6">
        <f t="shared" si="21"/>
        <v>-227.03</v>
      </c>
      <c r="I352" s="6"/>
      <c r="J352" s="6"/>
      <c r="K352" s="6">
        <f t="shared" si="22"/>
        <v>0</v>
      </c>
      <c r="L352" s="6"/>
      <c r="M352" s="6"/>
      <c r="N352" s="6">
        <f t="shared" si="23"/>
        <v>0</v>
      </c>
    </row>
    <row r="353" spans="1:14" x14ac:dyDescent="0.3">
      <c r="A353" s="8"/>
      <c r="B353" t="str">
        <f xml:space="preserve"> _xll.EPMOlapMemberO("[CLACO].[PARENTH1].[AMSASERVICIOS]","","Servicios","","000")</f>
        <v>Servicios</v>
      </c>
      <c r="C353" s="6">
        <v>35067.379999999997</v>
      </c>
      <c r="D353" s="6">
        <v>24657.89</v>
      </c>
      <c r="E353" s="6">
        <f t="shared" si="20"/>
        <v>-10409.489999999998</v>
      </c>
      <c r="F353" s="6">
        <v>9130.74</v>
      </c>
      <c r="G353" s="6">
        <v>19780.2</v>
      </c>
      <c r="H353" s="6">
        <f t="shared" si="21"/>
        <v>10649.460000000001</v>
      </c>
      <c r="I353" s="6">
        <v>8.26</v>
      </c>
      <c r="J353" s="6">
        <v>20723.46</v>
      </c>
      <c r="K353" s="6">
        <f t="shared" si="22"/>
        <v>20715.2</v>
      </c>
      <c r="L353" s="6">
        <v>21956.14</v>
      </c>
      <c r="M353" s="6"/>
      <c r="N353" s="6">
        <f t="shared" si="23"/>
        <v>-21956.14</v>
      </c>
    </row>
    <row r="354" spans="1:14" x14ac:dyDescent="0.3">
      <c r="A354" s="8"/>
      <c r="B354" t="str">
        <f xml:space="preserve"> _xll.EPMOlapMemberO("[CLACO].[PARENTH1].[AMSAINFORMATIC]","","Informática y Comuni","","000")</f>
        <v>Informática y Comuni</v>
      </c>
      <c r="C354" s="6">
        <v>884.8</v>
      </c>
      <c r="D354" s="6"/>
      <c r="E354" s="6">
        <f t="shared" si="20"/>
        <v>-884.8</v>
      </c>
      <c r="F354" s="6">
        <v>0.52</v>
      </c>
      <c r="G354" s="6"/>
      <c r="H354" s="6">
        <f t="shared" si="21"/>
        <v>-0.52</v>
      </c>
      <c r="I354" s="6"/>
      <c r="J354" s="6"/>
      <c r="K354" s="6">
        <f t="shared" si="22"/>
        <v>0</v>
      </c>
      <c r="L354" s="6">
        <v>326.63</v>
      </c>
      <c r="M354" s="6"/>
      <c r="N354" s="6">
        <f t="shared" si="23"/>
        <v>-326.63</v>
      </c>
    </row>
    <row r="355" spans="1:14" x14ac:dyDescent="0.3">
      <c r="A355" s="8"/>
      <c r="B355" t="str">
        <f xml:space="preserve"> _xll.EPMOlapMemberO("[CLACO].[PARENTH1].[AMSAG_VIAJES]","","Gastos de Viajes","","000")</f>
        <v>Gastos de Viajes</v>
      </c>
      <c r="C355" s="6">
        <v>7199.16</v>
      </c>
      <c r="D355" s="6">
        <v>19554.55</v>
      </c>
      <c r="E355" s="6">
        <f t="shared" si="20"/>
        <v>12355.39</v>
      </c>
      <c r="F355" s="6">
        <v>18418.759999999998</v>
      </c>
      <c r="G355" s="6">
        <v>15472.5</v>
      </c>
      <c r="H355" s="6">
        <f t="shared" si="21"/>
        <v>-2946.2599999999984</v>
      </c>
      <c r="I355" s="6">
        <v>4548.07</v>
      </c>
      <c r="J355" s="6"/>
      <c r="K355" s="6">
        <f t="shared" si="22"/>
        <v>-4548.07</v>
      </c>
      <c r="L355" s="6">
        <v>256.8</v>
      </c>
      <c r="M355" s="6"/>
      <c r="N355" s="6">
        <f t="shared" si="23"/>
        <v>-256.8</v>
      </c>
    </row>
    <row r="356" spans="1:14" x14ac:dyDescent="0.3">
      <c r="A356" s="8"/>
      <c r="B356" t="str">
        <f xml:space="preserve"> _xll.EPMOlapMemberO("[CLACO].[PARENTH1].[AMSAGGENERALES.2]","","Otros Gastos","","000")</f>
        <v>Otros Gastos</v>
      </c>
      <c r="C356" s="6"/>
      <c r="D356" s="6">
        <v>1793.45</v>
      </c>
      <c r="E356" s="6">
        <f t="shared" si="20"/>
        <v>1793.45</v>
      </c>
      <c r="F356" s="6">
        <v>15.82</v>
      </c>
      <c r="G356" s="6"/>
      <c r="H356" s="6">
        <f t="shared" si="21"/>
        <v>-15.82</v>
      </c>
      <c r="I356" s="6"/>
      <c r="J356" s="6"/>
      <c r="K356" s="6">
        <f t="shared" si="22"/>
        <v>0</v>
      </c>
      <c r="L356" s="6">
        <v>0.21</v>
      </c>
      <c r="M356" s="6"/>
      <c r="N356" s="6">
        <f t="shared" si="23"/>
        <v>-0.21</v>
      </c>
    </row>
    <row r="357" spans="1:14" x14ac:dyDescent="0.3">
      <c r="A357" s="8" t="str">
        <f xml:space="preserve"> _xll.EPMOlapMemberO("[CECO].[PARENTH3].[AMSA1000AC4003]","","G de Relaciones Lab","","000")</f>
        <v>G de Relaciones Lab</v>
      </c>
      <c r="B357" t="str">
        <f xml:space="preserve"> _xll.EPMOlapMemberO("[CLACO].[PARENTH1].[AMSAADM_PERSON]","","Administración Perso","","000")</f>
        <v>Administración Perso</v>
      </c>
      <c r="C357" s="6"/>
      <c r="D357" s="6"/>
      <c r="E357" s="6">
        <f t="shared" si="20"/>
        <v>0</v>
      </c>
      <c r="F357" s="6"/>
      <c r="G357" s="6"/>
      <c r="H357" s="6">
        <f t="shared" si="21"/>
        <v>0</v>
      </c>
      <c r="I357" s="6">
        <v>25058.58</v>
      </c>
      <c r="J357" s="6">
        <v>14117.64</v>
      </c>
      <c r="K357" s="6">
        <f t="shared" si="22"/>
        <v>-10940.940000000002</v>
      </c>
      <c r="L357" s="6">
        <v>14911.93</v>
      </c>
      <c r="M357" s="6">
        <v>6599.67</v>
      </c>
      <c r="N357" s="6">
        <f t="shared" si="23"/>
        <v>-8312.26</v>
      </c>
    </row>
    <row r="358" spans="1:14" x14ac:dyDescent="0.3">
      <c r="A358" s="8"/>
      <c r="B358" t="str">
        <f xml:space="preserve"> _xll.EPMOlapMemberO("[CLACO].[PARENTH1].[AMSAENTRENAMI]","","Entrenamiento","","000")</f>
        <v>Entrenamiento</v>
      </c>
      <c r="C358" s="6">
        <v>12358.08</v>
      </c>
      <c r="D358" s="6">
        <v>46027.98</v>
      </c>
      <c r="E358" s="6">
        <f t="shared" si="20"/>
        <v>33669.9</v>
      </c>
      <c r="F358" s="6">
        <v>15212.77</v>
      </c>
      <c r="G358" s="6">
        <v>28480.22</v>
      </c>
      <c r="H358" s="6">
        <f t="shared" si="21"/>
        <v>13267.45</v>
      </c>
      <c r="I358" s="6">
        <v>-41962.35</v>
      </c>
      <c r="J358" s="6">
        <v>14117.64</v>
      </c>
      <c r="K358" s="6">
        <f t="shared" si="22"/>
        <v>56079.99</v>
      </c>
      <c r="L358" s="6">
        <v>4582.1899999999996</v>
      </c>
      <c r="M358" s="6">
        <v>15182.09</v>
      </c>
      <c r="N358" s="6">
        <f t="shared" si="23"/>
        <v>10599.900000000001</v>
      </c>
    </row>
    <row r="359" spans="1:14" x14ac:dyDescent="0.3">
      <c r="A359" s="8"/>
      <c r="B359" t="str">
        <f xml:space="preserve"> _xll.EPMOlapMemberO("[CLACO].[PARENTH1].[AMSAASESORIAS]","","Asesorías y Consulto","","000")</f>
        <v>Asesorías y Consulto</v>
      </c>
      <c r="C359" s="6">
        <v>51004.21</v>
      </c>
      <c r="D359" s="6">
        <v>56605.69</v>
      </c>
      <c r="E359" s="6">
        <f t="shared" si="20"/>
        <v>5601.4800000000032</v>
      </c>
      <c r="F359" s="6">
        <v>83884.009999999995</v>
      </c>
      <c r="G359" s="6">
        <v>56546.34</v>
      </c>
      <c r="H359" s="6">
        <f t="shared" si="21"/>
        <v>-27337.67</v>
      </c>
      <c r="I359" s="6">
        <v>87699.74</v>
      </c>
      <c r="J359" s="6">
        <v>151381.57</v>
      </c>
      <c r="K359" s="6">
        <f t="shared" si="22"/>
        <v>63681.83</v>
      </c>
      <c r="L359" s="6">
        <v>136610.39000000001</v>
      </c>
      <c r="M359" s="6">
        <v>119645.83</v>
      </c>
      <c r="N359" s="6">
        <f t="shared" si="23"/>
        <v>-16964.560000000012</v>
      </c>
    </row>
    <row r="360" spans="1:14" x14ac:dyDescent="0.3">
      <c r="A360" s="8"/>
      <c r="B360" t="str">
        <f xml:space="preserve"> _xll.EPMOlapMemberO("[CLACO].[PARENTH1].[AMSASERVICIOS]","","Servicios","","000")</f>
        <v>Servicios</v>
      </c>
      <c r="C360" s="6">
        <v>33608.71</v>
      </c>
      <c r="D360" s="6"/>
      <c r="E360" s="6">
        <f t="shared" si="20"/>
        <v>-33608.71</v>
      </c>
      <c r="F360" s="6">
        <v>18622.11</v>
      </c>
      <c r="G360" s="6"/>
      <c r="H360" s="6">
        <f t="shared" si="21"/>
        <v>-18622.11</v>
      </c>
      <c r="I360" s="6">
        <v>390.4</v>
      </c>
      <c r="J360" s="6"/>
      <c r="K360" s="6">
        <f t="shared" si="22"/>
        <v>-390.4</v>
      </c>
      <c r="L360" s="6"/>
      <c r="M360" s="6"/>
      <c r="N360" s="6">
        <f t="shared" si="23"/>
        <v>0</v>
      </c>
    </row>
    <row r="361" spans="1:14" x14ac:dyDescent="0.3">
      <c r="A361" s="8"/>
      <c r="B361" t="str">
        <f xml:space="preserve"> _xll.EPMOlapMemberO("[CLACO].[PARENTH1].[AMSASERMANTO.REPA]","","Servicios Mantenimie","","000")</f>
        <v>Servicios Mantenimie</v>
      </c>
      <c r="C361" s="6"/>
      <c r="D361" s="6"/>
      <c r="E361" s="6">
        <f t="shared" si="20"/>
        <v>0</v>
      </c>
      <c r="F361" s="6"/>
      <c r="G361" s="6"/>
      <c r="H361" s="6">
        <f t="shared" si="21"/>
        <v>0</v>
      </c>
      <c r="I361" s="6">
        <v>235.77</v>
      </c>
      <c r="J361" s="6"/>
      <c r="K361" s="6">
        <f t="shared" si="22"/>
        <v>-235.77</v>
      </c>
      <c r="L361" s="6"/>
      <c r="M361" s="6"/>
      <c r="N361" s="6">
        <f t="shared" si="23"/>
        <v>0</v>
      </c>
    </row>
    <row r="362" spans="1:14" x14ac:dyDescent="0.3">
      <c r="A362" s="8"/>
      <c r="B362" t="str">
        <f xml:space="preserve"> _xll.EPMOlapMemberO("[CLACO].[PARENTH1].[AMSAINFORMATIC]","","Informática y Comuni","","000")</f>
        <v>Informática y Comuni</v>
      </c>
      <c r="C362" s="6">
        <v>15123.69</v>
      </c>
      <c r="D362" s="6"/>
      <c r="E362" s="6">
        <f t="shared" si="20"/>
        <v>-15123.69</v>
      </c>
      <c r="F362" s="6">
        <v>35118.06</v>
      </c>
      <c r="G362" s="6"/>
      <c r="H362" s="6">
        <f t="shared" si="21"/>
        <v>-35118.06</v>
      </c>
      <c r="I362" s="6">
        <v>20382.32</v>
      </c>
      <c r="J362" s="6"/>
      <c r="K362" s="6">
        <f t="shared" si="22"/>
        <v>-20382.32</v>
      </c>
      <c r="L362" s="6">
        <v>400.99</v>
      </c>
      <c r="M362" s="6"/>
      <c r="N362" s="6">
        <f t="shared" si="23"/>
        <v>-400.99</v>
      </c>
    </row>
    <row r="363" spans="1:14" x14ac:dyDescent="0.3">
      <c r="A363" s="8"/>
      <c r="B363" t="str">
        <f xml:space="preserve"> _xll.EPMOlapMemberO("[CLACO].[PARENTH1].[AMSAG_VIAJES]","","Gastos de Viajes","","000")</f>
        <v>Gastos de Viajes</v>
      </c>
      <c r="C363" s="6">
        <v>7913.85</v>
      </c>
      <c r="D363" s="6">
        <v>23333.31</v>
      </c>
      <c r="E363" s="6">
        <f t="shared" si="20"/>
        <v>15419.460000000001</v>
      </c>
      <c r="F363" s="6">
        <v>29324.71</v>
      </c>
      <c r="G363" s="6">
        <v>9450.6</v>
      </c>
      <c r="H363" s="6">
        <f t="shared" si="21"/>
        <v>-19874.11</v>
      </c>
      <c r="I363" s="6">
        <v>10656.66</v>
      </c>
      <c r="J363" s="6"/>
      <c r="K363" s="6">
        <f t="shared" si="22"/>
        <v>-10656.66</v>
      </c>
      <c r="L363" s="6">
        <v>9520.2000000000007</v>
      </c>
      <c r="M363" s="6"/>
      <c r="N363" s="6">
        <f t="shared" si="23"/>
        <v>-9520.2000000000007</v>
      </c>
    </row>
    <row r="364" spans="1:14" x14ac:dyDescent="0.3">
      <c r="A364" s="8"/>
      <c r="B364" t="str">
        <f xml:space="preserve"> _xll.EPMOlapMemberO("[CLACO].[PARENTH1].[AMSAGGENERALES.2]","","Otros Gastos","","000")</f>
        <v>Otros Gastos</v>
      </c>
      <c r="C364" s="6">
        <v>-154.02000000000001</v>
      </c>
      <c r="D364" s="6">
        <v>42705.29</v>
      </c>
      <c r="E364" s="6">
        <f t="shared" si="20"/>
        <v>42859.31</v>
      </c>
      <c r="F364" s="6">
        <v>46835.12</v>
      </c>
      <c r="G364" s="6">
        <v>38087.760000000002</v>
      </c>
      <c r="H364" s="6">
        <f t="shared" si="21"/>
        <v>-8747.36</v>
      </c>
      <c r="I364" s="6">
        <v>23439.35</v>
      </c>
      <c r="J364" s="6">
        <v>22362.16</v>
      </c>
      <c r="K364" s="6">
        <f t="shared" si="22"/>
        <v>-1077.1899999999987</v>
      </c>
      <c r="L364" s="6">
        <v>23301.74</v>
      </c>
      <c r="M364" s="6">
        <v>22790.61</v>
      </c>
      <c r="N364" s="6">
        <f t="shared" si="23"/>
        <v>-511.13000000000102</v>
      </c>
    </row>
    <row r="365" spans="1:14" x14ac:dyDescent="0.3">
      <c r="A365" s="8" t="str">
        <f xml:space="preserve"> _xll.EPMOlapMemberO("[CECO].[PARENTH3].[AMSA1000AC4004]","","Compensaciones","","000")</f>
        <v>Compensaciones</v>
      </c>
      <c r="B365" t="str">
        <f xml:space="preserve"> _xll.EPMOlapMemberO("[CLACO].[PARENTH1].[AMSAADM_PERSON]","","Administración Perso","","000")</f>
        <v>Administración Perso</v>
      </c>
      <c r="C365" s="6">
        <v>16947.189999999999</v>
      </c>
      <c r="D365" s="6"/>
      <c r="E365" s="6">
        <f t="shared" si="20"/>
        <v>-16947.189999999999</v>
      </c>
      <c r="F365" s="6">
        <v>-2873.47</v>
      </c>
      <c r="G365" s="6"/>
      <c r="H365" s="6">
        <f t="shared" si="21"/>
        <v>2873.47</v>
      </c>
      <c r="I365" s="6">
        <v>0</v>
      </c>
      <c r="J365" s="6"/>
      <c r="K365" s="6">
        <f t="shared" si="22"/>
        <v>0</v>
      </c>
      <c r="L365" s="6"/>
      <c r="M365" s="6"/>
      <c r="N365" s="6">
        <f t="shared" si="23"/>
        <v>0</v>
      </c>
    </row>
    <row r="366" spans="1:14" x14ac:dyDescent="0.3">
      <c r="A366" s="8"/>
      <c r="B366" t="str">
        <f xml:space="preserve"> _xll.EPMOlapMemberO("[CLACO].[PARENTH1].[AMSAENTRENAMI]","","Entrenamiento","","000")</f>
        <v>Entrenamiento</v>
      </c>
      <c r="C366" s="6">
        <v>23921.32</v>
      </c>
      <c r="D366" s="6"/>
      <c r="E366" s="6">
        <f t="shared" si="20"/>
        <v>-23921.32</v>
      </c>
      <c r="F366" s="6">
        <v>-3413.04</v>
      </c>
      <c r="G366" s="6"/>
      <c r="H366" s="6">
        <f t="shared" si="21"/>
        <v>3413.04</v>
      </c>
      <c r="I366" s="6"/>
      <c r="J366" s="6"/>
      <c r="K366" s="6">
        <f t="shared" si="22"/>
        <v>0</v>
      </c>
      <c r="L366" s="6">
        <v>4266.97</v>
      </c>
      <c r="M366" s="6"/>
      <c r="N366" s="6">
        <f t="shared" si="23"/>
        <v>-4266.97</v>
      </c>
    </row>
    <row r="367" spans="1:14" x14ac:dyDescent="0.3">
      <c r="A367" s="8"/>
      <c r="B367" t="str">
        <f xml:space="preserve"> _xll.EPMOlapMemberO("[CLACO].[PARENTH1].[AMSAASESORIAS]","","Asesorías y Consulto","","000")</f>
        <v>Asesorías y Consulto</v>
      </c>
      <c r="C367" s="6">
        <v>148912.79999999999</v>
      </c>
      <c r="D367" s="6">
        <v>255086.72</v>
      </c>
      <c r="E367" s="6">
        <f t="shared" si="20"/>
        <v>106173.92000000001</v>
      </c>
      <c r="F367" s="6">
        <v>136099.39000000001</v>
      </c>
      <c r="G367" s="6">
        <v>241441.99</v>
      </c>
      <c r="H367" s="6">
        <f t="shared" si="21"/>
        <v>105342.59999999998</v>
      </c>
      <c r="I367" s="6">
        <v>108878.63</v>
      </c>
      <c r="J367" s="6">
        <v>109757.03</v>
      </c>
      <c r="K367" s="6">
        <f t="shared" si="22"/>
        <v>878.39999999999418</v>
      </c>
      <c r="L367" s="6">
        <v>132720.19</v>
      </c>
      <c r="M367" s="6">
        <v>86949.8</v>
      </c>
      <c r="N367" s="6">
        <f t="shared" si="23"/>
        <v>-45770.39</v>
      </c>
    </row>
    <row r="368" spans="1:14" x14ac:dyDescent="0.3">
      <c r="A368" s="8"/>
      <c r="B368" t="str">
        <f xml:space="preserve"> _xll.EPMOlapMemberO("[CLACO].[PARENTH1].[AMSASERVICIOS]","","Servicios","","000")</f>
        <v>Servicios</v>
      </c>
      <c r="C368" s="6">
        <v>10945.8</v>
      </c>
      <c r="D368" s="6"/>
      <c r="E368" s="6">
        <f t="shared" si="20"/>
        <v>-10945.8</v>
      </c>
      <c r="F368" s="6">
        <v>8946.0499999999993</v>
      </c>
      <c r="G368" s="6"/>
      <c r="H368" s="6">
        <f t="shared" si="21"/>
        <v>-8946.0499999999993</v>
      </c>
      <c r="I368" s="6">
        <v>7462.36</v>
      </c>
      <c r="J368" s="6"/>
      <c r="K368" s="6">
        <f t="shared" si="22"/>
        <v>-7462.36</v>
      </c>
      <c r="L368" s="6">
        <v>2558.38</v>
      </c>
      <c r="M368" s="6"/>
      <c r="N368" s="6">
        <f t="shared" si="23"/>
        <v>-2558.38</v>
      </c>
    </row>
    <row r="369" spans="1:14" x14ac:dyDescent="0.3">
      <c r="A369" s="8"/>
      <c r="B369" t="str">
        <f xml:space="preserve"> _xll.EPMOlapMemberO("[CLACO].[PARENTH1].[AMSAINFORMATIC]","","Informática y Comuni","","000")</f>
        <v>Informática y Comuni</v>
      </c>
      <c r="C369" s="6">
        <v>-3488.45</v>
      </c>
      <c r="D369" s="6"/>
      <c r="E369" s="6">
        <f t="shared" si="20"/>
        <v>3488.45</v>
      </c>
      <c r="F369" s="6">
        <v>-15922.73</v>
      </c>
      <c r="G369" s="6"/>
      <c r="H369" s="6">
        <f t="shared" si="21"/>
        <v>15922.73</v>
      </c>
      <c r="I369" s="6">
        <v>1526.42</v>
      </c>
      <c r="J369" s="6"/>
      <c r="K369" s="6">
        <f t="shared" si="22"/>
        <v>-1526.42</v>
      </c>
      <c r="L369" s="6">
        <v>0</v>
      </c>
      <c r="M369" s="6"/>
      <c r="N369" s="6">
        <f t="shared" si="23"/>
        <v>0</v>
      </c>
    </row>
    <row r="370" spans="1:14" x14ac:dyDescent="0.3">
      <c r="A370" s="8"/>
      <c r="B370" t="str">
        <f xml:space="preserve"> _xll.EPMOlapMemberO("[CLACO].[PARENTH1].[AMSAG_VIAJES]","","Gastos de Viajes","","000")</f>
        <v>Gastos de Viajes</v>
      </c>
      <c r="C370" s="6"/>
      <c r="D370" s="6">
        <v>2538.2800000000002</v>
      </c>
      <c r="E370" s="6">
        <f t="shared" si="20"/>
        <v>2538.2800000000002</v>
      </c>
      <c r="F370" s="6"/>
      <c r="G370" s="6">
        <v>2197.8000000000002</v>
      </c>
      <c r="H370" s="6">
        <f t="shared" si="21"/>
        <v>2197.8000000000002</v>
      </c>
      <c r="I370" s="6"/>
      <c r="J370" s="6"/>
      <c r="K370" s="6">
        <f t="shared" si="22"/>
        <v>0</v>
      </c>
      <c r="L370" s="6">
        <v>2562.59</v>
      </c>
      <c r="M370" s="6"/>
      <c r="N370" s="6">
        <f t="shared" si="23"/>
        <v>-2562.59</v>
      </c>
    </row>
    <row r="371" spans="1:14" x14ac:dyDescent="0.3">
      <c r="A371" s="8"/>
      <c r="B371" t="str">
        <f xml:space="preserve"> _xll.EPMOlapMemberO("[CLACO].[PARENTH1].[AMSASEGUROS]","","Seguros","","000")</f>
        <v>Seguros</v>
      </c>
      <c r="C371" s="6">
        <v>42076.6</v>
      </c>
      <c r="D371" s="6">
        <v>90118.39</v>
      </c>
      <c r="E371" s="6">
        <f t="shared" si="20"/>
        <v>48041.79</v>
      </c>
      <c r="F371" s="6">
        <v>52533.77</v>
      </c>
      <c r="G371" s="6">
        <v>87435.16</v>
      </c>
      <c r="H371" s="6">
        <f t="shared" si="21"/>
        <v>34901.390000000007</v>
      </c>
      <c r="I371" s="6">
        <v>38945.93</v>
      </c>
      <c r="J371" s="6">
        <v>98172.44</v>
      </c>
      <c r="K371" s="6">
        <f t="shared" si="22"/>
        <v>59226.51</v>
      </c>
      <c r="L371" s="6">
        <v>39891.64</v>
      </c>
      <c r="M371" s="6">
        <v>107838.39999999999</v>
      </c>
      <c r="N371" s="6">
        <f t="shared" si="23"/>
        <v>67946.759999999995</v>
      </c>
    </row>
    <row r="372" spans="1:14" x14ac:dyDescent="0.3">
      <c r="A372" s="8"/>
      <c r="B372" t="str">
        <f xml:space="preserve"> _xll.EPMOlapMemberO("[CLACO].[PARENTH1].[AMSAGGENERALES.2]","","Otros Gastos","","000")</f>
        <v>Otros Gastos</v>
      </c>
      <c r="C372" s="6">
        <v>16750.16</v>
      </c>
      <c r="D372" s="6">
        <v>30313.87</v>
      </c>
      <c r="E372" s="6">
        <f t="shared" si="20"/>
        <v>13563.71</v>
      </c>
      <c r="F372" s="6">
        <v>30014.03</v>
      </c>
      <c r="G372" s="6">
        <v>29617.23</v>
      </c>
      <c r="H372" s="6">
        <f t="shared" si="21"/>
        <v>-396.79999999999927</v>
      </c>
      <c r="I372" s="6">
        <v>28611.43</v>
      </c>
      <c r="J372" s="6">
        <v>32405.46</v>
      </c>
      <c r="K372" s="6">
        <f t="shared" si="22"/>
        <v>3794.0299999999988</v>
      </c>
      <c r="L372" s="6">
        <v>27392.49</v>
      </c>
      <c r="M372" s="6">
        <v>23383.61</v>
      </c>
      <c r="N372" s="6">
        <f t="shared" si="23"/>
        <v>-4008.880000000001</v>
      </c>
    </row>
    <row r="373" spans="1:14" x14ac:dyDescent="0.3">
      <c r="A373" s="8" t="str">
        <f xml:space="preserve"> _xll.EPMOlapMemberO("[CECO].[PARENTH3].[AMSA1000AC4005]","","D° Organizacional","","000")</f>
        <v>D° Organizacional</v>
      </c>
      <c r="B373" t="str">
        <f xml:space="preserve"> _xll.EPMOlapMemberO("[CLACO].[PARENTH1].[AMSAMAT_Y_REP.2]","","Materiales y repuest","","000")</f>
        <v>Materiales y repuest</v>
      </c>
      <c r="C373" s="6"/>
      <c r="D373" s="6"/>
      <c r="E373" s="6">
        <f t="shared" si="20"/>
        <v>0</v>
      </c>
      <c r="F373" s="6">
        <v>0</v>
      </c>
      <c r="G373" s="6"/>
      <c r="H373" s="6">
        <f t="shared" si="21"/>
        <v>0</v>
      </c>
      <c r="I373" s="6"/>
      <c r="J373" s="6"/>
      <c r="K373" s="6">
        <f t="shared" si="22"/>
        <v>0</v>
      </c>
      <c r="L373" s="6"/>
      <c r="M373" s="6"/>
      <c r="N373" s="6">
        <f t="shared" si="23"/>
        <v>0</v>
      </c>
    </row>
    <row r="374" spans="1:14" x14ac:dyDescent="0.3">
      <c r="A374" s="8"/>
      <c r="B374" t="str">
        <f xml:space="preserve"> _xll.EPMOlapMemberO("[CLACO].[PARENTH1].[AMSAADM_PERSON]","","Administración Perso","","000")</f>
        <v>Administración Perso</v>
      </c>
      <c r="C374" s="6">
        <v>25748.38</v>
      </c>
      <c r="D374" s="6"/>
      <c r="E374" s="6">
        <f t="shared" si="20"/>
        <v>-25748.38</v>
      </c>
      <c r="F374" s="6">
        <v>140000</v>
      </c>
      <c r="G374" s="6"/>
      <c r="H374" s="6">
        <f t="shared" si="21"/>
        <v>-140000</v>
      </c>
      <c r="I374" s="6"/>
      <c r="J374" s="6"/>
      <c r="K374" s="6">
        <f t="shared" si="22"/>
        <v>0</v>
      </c>
      <c r="L374" s="6"/>
      <c r="M374" s="6"/>
      <c r="N374" s="6">
        <f t="shared" si="23"/>
        <v>0</v>
      </c>
    </row>
    <row r="375" spans="1:14" x14ac:dyDescent="0.3">
      <c r="A375" s="8"/>
      <c r="B375" t="str">
        <f xml:space="preserve"> _xll.EPMOlapMemberO("[CLACO].[PARENTH1].[AMSAENTRENAMI]","","Entrenamiento","","000")</f>
        <v>Entrenamiento</v>
      </c>
      <c r="C375" s="6">
        <v>39065.11</v>
      </c>
      <c r="D375" s="6">
        <v>82341.66</v>
      </c>
      <c r="E375" s="6">
        <f t="shared" si="20"/>
        <v>43276.55</v>
      </c>
      <c r="F375" s="6">
        <v>-17019.64</v>
      </c>
      <c r="G375" s="6">
        <v>31529.06</v>
      </c>
      <c r="H375" s="6">
        <f t="shared" si="21"/>
        <v>48548.7</v>
      </c>
      <c r="I375" s="6">
        <v>1742.25</v>
      </c>
      <c r="J375" s="6"/>
      <c r="K375" s="6">
        <f t="shared" si="22"/>
        <v>-1742.25</v>
      </c>
      <c r="L375" s="6">
        <v>15789.53</v>
      </c>
      <c r="M375" s="6">
        <v>12746.38</v>
      </c>
      <c r="N375" s="6">
        <f t="shared" si="23"/>
        <v>-3043.1500000000015</v>
      </c>
    </row>
    <row r="376" spans="1:14" x14ac:dyDescent="0.3">
      <c r="A376" s="8"/>
      <c r="B376" t="str">
        <f xml:space="preserve"> _xll.EPMOlapMemberO("[CLACO].[PARENTH1].[AMSAASESORIAS]","","Asesorías y Consulto","","000")</f>
        <v>Asesorías y Consulto</v>
      </c>
      <c r="C376" s="6">
        <v>118014.94</v>
      </c>
      <c r="D376" s="6">
        <v>115248.75</v>
      </c>
      <c r="E376" s="6">
        <f t="shared" si="20"/>
        <v>-2766.1900000000023</v>
      </c>
      <c r="F376" s="6">
        <v>63875.55</v>
      </c>
      <c r="G376" s="6">
        <v>75233.27</v>
      </c>
      <c r="H376" s="6">
        <f t="shared" si="21"/>
        <v>11357.720000000001</v>
      </c>
      <c r="I376" s="6">
        <v>48929.19</v>
      </c>
      <c r="J376" s="6">
        <v>50910.89</v>
      </c>
      <c r="K376" s="6">
        <f t="shared" si="22"/>
        <v>1981.6999999999971</v>
      </c>
      <c r="L376" s="6">
        <v>21663.11</v>
      </c>
      <c r="M376" s="6">
        <v>41550.269999999997</v>
      </c>
      <c r="N376" s="6">
        <f t="shared" si="23"/>
        <v>19887.159999999996</v>
      </c>
    </row>
    <row r="377" spans="1:14" x14ac:dyDescent="0.3">
      <c r="A377" s="8"/>
      <c r="B377" t="str">
        <f xml:space="preserve"> _xll.EPMOlapMemberO("[CLACO].[PARENTH1].[AMSASERVICIOS]","","Servicios","","000")</f>
        <v>Servicios</v>
      </c>
      <c r="C377" s="6">
        <v>-8559.51</v>
      </c>
      <c r="D377" s="6"/>
      <c r="E377" s="6">
        <f t="shared" si="20"/>
        <v>8559.51</v>
      </c>
      <c r="F377" s="6">
        <v>440.29</v>
      </c>
      <c r="G377" s="6"/>
      <c r="H377" s="6">
        <f t="shared" si="21"/>
        <v>-440.29</v>
      </c>
      <c r="I377" s="6">
        <v>0</v>
      </c>
      <c r="J377" s="6"/>
      <c r="K377" s="6">
        <f t="shared" si="22"/>
        <v>0</v>
      </c>
      <c r="L377" s="6">
        <v>41868.589999999997</v>
      </c>
      <c r="M377" s="6"/>
      <c r="N377" s="6">
        <f t="shared" si="23"/>
        <v>-41868.589999999997</v>
      </c>
    </row>
    <row r="378" spans="1:14" x14ac:dyDescent="0.3">
      <c r="A378" s="8"/>
      <c r="B378" t="str">
        <f xml:space="preserve"> _xll.EPMOlapMemberO("[CLACO].[PARENTH1].[AMSAINFORMATIC]","","Informática y Comuni","","000")</f>
        <v>Informática y Comuni</v>
      </c>
      <c r="C378" s="6">
        <v>537.1</v>
      </c>
      <c r="D378" s="6">
        <v>734.32</v>
      </c>
      <c r="E378" s="6">
        <f t="shared" si="20"/>
        <v>197.22000000000003</v>
      </c>
      <c r="F378" s="6">
        <v>0.34</v>
      </c>
      <c r="G378" s="6">
        <v>5605.34</v>
      </c>
      <c r="H378" s="6">
        <f t="shared" si="21"/>
        <v>5605</v>
      </c>
      <c r="I378" s="6">
        <v>2639.8</v>
      </c>
      <c r="J378" s="6">
        <v>4561.3</v>
      </c>
      <c r="K378" s="6">
        <f t="shared" si="22"/>
        <v>1921.5</v>
      </c>
      <c r="L378" s="6">
        <v>9604.67</v>
      </c>
      <c r="M378" s="6">
        <v>7224.82</v>
      </c>
      <c r="N378" s="6">
        <f t="shared" si="23"/>
        <v>-2379.8500000000004</v>
      </c>
    </row>
    <row r="379" spans="1:14" x14ac:dyDescent="0.3">
      <c r="A379" s="8"/>
      <c r="B379" t="str">
        <f xml:space="preserve"> _xll.EPMOlapMemberO("[CLACO].[PARENTH1].[AMSAG_VIAJES]","","Gastos de Viajes","","000")</f>
        <v>Gastos de Viajes</v>
      </c>
      <c r="C379" s="6">
        <v>4419.3</v>
      </c>
      <c r="D379" s="6">
        <v>12165.41</v>
      </c>
      <c r="E379" s="6">
        <f t="shared" si="20"/>
        <v>7746.11</v>
      </c>
      <c r="F379" s="6">
        <v>60.59</v>
      </c>
      <c r="G379" s="6">
        <v>4945.0600000000004</v>
      </c>
      <c r="H379" s="6">
        <f t="shared" si="21"/>
        <v>4884.47</v>
      </c>
      <c r="I379" s="6">
        <v>466.42</v>
      </c>
      <c r="J379" s="6"/>
      <c r="K379" s="6">
        <f t="shared" si="22"/>
        <v>-466.42</v>
      </c>
      <c r="L379" s="6">
        <v>2035.1</v>
      </c>
      <c r="M379" s="6"/>
      <c r="N379" s="6">
        <f t="shared" si="23"/>
        <v>-2035.1</v>
      </c>
    </row>
    <row r="380" spans="1:14" x14ac:dyDescent="0.3">
      <c r="A380" s="8"/>
      <c r="B380" t="str">
        <f xml:space="preserve"> _xll.EPMOlapMemberO("[CLACO].[PARENTH1].[AMSAGGENERALES.2]","","Otros Gastos","","000")</f>
        <v>Otros Gastos</v>
      </c>
      <c r="C380" s="6">
        <v>4732</v>
      </c>
      <c r="D380" s="6">
        <v>5080.3100000000004</v>
      </c>
      <c r="E380" s="6">
        <f t="shared" si="20"/>
        <v>348.3100000000004</v>
      </c>
      <c r="F380" s="6">
        <v>5252.32</v>
      </c>
      <c r="G380" s="6">
        <v>4928</v>
      </c>
      <c r="H380" s="6">
        <f t="shared" si="21"/>
        <v>-324.31999999999971</v>
      </c>
      <c r="I380" s="6">
        <v>5448.28</v>
      </c>
      <c r="J380" s="6">
        <v>5101.99</v>
      </c>
      <c r="K380" s="6">
        <f t="shared" si="22"/>
        <v>-346.28999999999996</v>
      </c>
      <c r="L380" s="6">
        <v>6633.26</v>
      </c>
      <c r="M380" s="6">
        <v>9406.17</v>
      </c>
      <c r="N380" s="6">
        <f t="shared" si="23"/>
        <v>2772.91</v>
      </c>
    </row>
    <row r="381" spans="1:14" x14ac:dyDescent="0.3">
      <c r="A381" s="8" t="str">
        <f xml:space="preserve"> _xll.EPMOlapMemberO("[CECO].[PARENTH3].[AMSA1000AC4006]","","Gercia Rem y Gestión","","000")</f>
        <v>Gercia Rem y Gestión</v>
      </c>
      <c r="B381" t="str">
        <f xml:space="preserve"> _xll.EPMOlapMemberO("[CLACO].[PARENTH1].[AMSAMAT_Y_REP.2]","","Materiales y repuest","","000")</f>
        <v>Materiales y repuest</v>
      </c>
      <c r="C381" s="6"/>
      <c r="D381" s="6">
        <v>1165.28</v>
      </c>
      <c r="E381" s="6">
        <f t="shared" si="20"/>
        <v>1165.28</v>
      </c>
      <c r="F381" s="6"/>
      <c r="G381" s="6"/>
      <c r="H381" s="6">
        <f t="shared" si="21"/>
        <v>0</v>
      </c>
      <c r="I381" s="6"/>
      <c r="J381" s="6"/>
      <c r="K381" s="6">
        <f t="shared" si="22"/>
        <v>0</v>
      </c>
      <c r="L381" s="6"/>
      <c r="M381" s="6"/>
      <c r="N381" s="6">
        <f t="shared" si="23"/>
        <v>0</v>
      </c>
    </row>
    <row r="382" spans="1:14" x14ac:dyDescent="0.3">
      <c r="A382" s="8"/>
      <c r="B382" t="str">
        <f xml:space="preserve"> _xll.EPMOlapMemberO("[CLACO].[PARENTH1].[AMSAADM_PERSON]","","Administración Perso","","000")</f>
        <v>Administración Perso</v>
      </c>
      <c r="C382" s="6">
        <v>-35788.35</v>
      </c>
      <c r="D382" s="6"/>
      <c r="E382" s="6">
        <f t="shared" si="20"/>
        <v>35788.35</v>
      </c>
      <c r="F382" s="6"/>
      <c r="G382" s="6"/>
      <c r="H382" s="6">
        <f t="shared" si="21"/>
        <v>0</v>
      </c>
      <c r="I382" s="6"/>
      <c r="J382" s="6"/>
      <c r="K382" s="6">
        <f t="shared" si="22"/>
        <v>0</v>
      </c>
      <c r="L382" s="6"/>
      <c r="M382" s="6"/>
      <c r="N382" s="6">
        <f t="shared" si="23"/>
        <v>0</v>
      </c>
    </row>
    <row r="383" spans="1:14" x14ac:dyDescent="0.3">
      <c r="A383" s="8"/>
      <c r="B383" t="str">
        <f xml:space="preserve"> _xll.EPMOlapMemberO("[CLACO].[PARENTH1].[AMSAENTRENAMI]","","Entrenamiento","","000")</f>
        <v>Entrenamiento</v>
      </c>
      <c r="C383" s="6">
        <v>-4042.31</v>
      </c>
      <c r="D383" s="6"/>
      <c r="E383" s="6">
        <f t="shared" si="20"/>
        <v>4042.31</v>
      </c>
      <c r="F383" s="6"/>
      <c r="G383" s="6"/>
      <c r="H383" s="6">
        <f t="shared" si="21"/>
        <v>0</v>
      </c>
      <c r="I383" s="6"/>
      <c r="J383" s="6"/>
      <c r="K383" s="6">
        <f t="shared" si="22"/>
        <v>0</v>
      </c>
      <c r="L383" s="6"/>
      <c r="M383" s="6"/>
      <c r="N383" s="6">
        <f t="shared" si="23"/>
        <v>0</v>
      </c>
    </row>
    <row r="384" spans="1:14" x14ac:dyDescent="0.3">
      <c r="A384" s="8"/>
      <c r="B384" t="str">
        <f xml:space="preserve"> _xll.EPMOlapMemberO("[CLACO].[PARENTH1].[AMSAASESORIAS]","","Asesorías y Consulto","","000")</f>
        <v>Asesorías y Consulto</v>
      </c>
      <c r="C384" s="6">
        <v>7201.95</v>
      </c>
      <c r="D384" s="6">
        <v>14937.69</v>
      </c>
      <c r="E384" s="6">
        <f t="shared" si="20"/>
        <v>7735.7400000000007</v>
      </c>
      <c r="F384" s="6">
        <v>802.17</v>
      </c>
      <c r="G384" s="6"/>
      <c r="H384" s="6">
        <f t="shared" si="21"/>
        <v>-802.17</v>
      </c>
      <c r="I384" s="6"/>
      <c r="J384" s="6"/>
      <c r="K384" s="6">
        <f t="shared" si="22"/>
        <v>0</v>
      </c>
      <c r="L384" s="6"/>
      <c r="M384" s="6"/>
      <c r="N384" s="6">
        <f t="shared" si="23"/>
        <v>0</v>
      </c>
    </row>
    <row r="385" spans="1:14" x14ac:dyDescent="0.3">
      <c r="A385" s="8"/>
      <c r="B385" t="str">
        <f xml:space="preserve"> _xll.EPMOlapMemberO("[CLACO].[PARENTH1].[AMSASERVICIOS]","","Servicios","","000")</f>
        <v>Servicios</v>
      </c>
      <c r="C385" s="6"/>
      <c r="D385" s="6">
        <v>4480.47</v>
      </c>
      <c r="E385" s="6">
        <f t="shared" si="20"/>
        <v>4480.47</v>
      </c>
      <c r="F385" s="6"/>
      <c r="G385" s="6"/>
      <c r="H385" s="6">
        <f t="shared" si="21"/>
        <v>0</v>
      </c>
      <c r="I385" s="6"/>
      <c r="J385" s="6"/>
      <c r="K385" s="6">
        <f t="shared" si="22"/>
        <v>0</v>
      </c>
      <c r="L385" s="6"/>
      <c r="M385" s="6"/>
      <c r="N385" s="6">
        <f t="shared" si="23"/>
        <v>0</v>
      </c>
    </row>
    <row r="386" spans="1:14" x14ac:dyDescent="0.3">
      <c r="A386" s="8"/>
      <c r="B386" t="str">
        <f xml:space="preserve"> _xll.EPMOlapMemberO("[CLACO].[PARENTH1].[AMSAINFORMATIC]","","Informática y Comuni","","000")</f>
        <v>Informática y Comuni</v>
      </c>
      <c r="C386" s="6">
        <v>-4752.9399999999996</v>
      </c>
      <c r="D386" s="6">
        <v>1886.32</v>
      </c>
      <c r="E386" s="6">
        <f t="shared" si="20"/>
        <v>6639.2599999999993</v>
      </c>
      <c r="F386" s="6">
        <v>1468.78</v>
      </c>
      <c r="G386" s="6"/>
      <c r="H386" s="6">
        <f t="shared" si="21"/>
        <v>-1468.78</v>
      </c>
      <c r="I386" s="6"/>
      <c r="J386" s="6"/>
      <c r="K386" s="6">
        <f t="shared" si="22"/>
        <v>0</v>
      </c>
      <c r="L386" s="6"/>
      <c r="M386" s="6"/>
      <c r="N386" s="6">
        <f t="shared" si="23"/>
        <v>0</v>
      </c>
    </row>
    <row r="387" spans="1:14" x14ac:dyDescent="0.3">
      <c r="A387" s="8"/>
      <c r="B387" t="str">
        <f xml:space="preserve"> _xll.EPMOlapMemberO("[CLACO].[PARENTH1].[AMSAG_VIAJES]","","Gastos de Viajes","","000")</f>
        <v>Gastos de Viajes</v>
      </c>
      <c r="C387" s="6">
        <v>650.22</v>
      </c>
      <c r="D387" s="6">
        <v>4414.8</v>
      </c>
      <c r="E387" s="6">
        <f t="shared" si="20"/>
        <v>3764.58</v>
      </c>
      <c r="F387" s="6"/>
      <c r="G387" s="6"/>
      <c r="H387" s="6">
        <f t="shared" si="21"/>
        <v>0</v>
      </c>
      <c r="I387" s="6"/>
      <c r="J387" s="6"/>
      <c r="K387" s="6">
        <f t="shared" si="22"/>
        <v>0</v>
      </c>
      <c r="L387" s="6"/>
      <c r="M387" s="6"/>
      <c r="N387" s="6">
        <f t="shared" si="23"/>
        <v>0</v>
      </c>
    </row>
    <row r="388" spans="1:14" x14ac:dyDescent="0.3">
      <c r="A388" s="8"/>
      <c r="B388" t="str">
        <f xml:space="preserve"> _xll.EPMOlapMemberO("[CLACO].[PARENTH1].[AMSAGGENERALES.2]","","Otros Gastos","","000")</f>
        <v>Otros Gastos</v>
      </c>
      <c r="C388" s="6">
        <v>3105.73</v>
      </c>
      <c r="D388" s="6">
        <v>14036.64</v>
      </c>
      <c r="E388" s="6">
        <f t="shared" si="20"/>
        <v>10930.91</v>
      </c>
      <c r="F388" s="6"/>
      <c r="G388" s="6"/>
      <c r="H388" s="6">
        <f t="shared" si="21"/>
        <v>0</v>
      </c>
      <c r="I388" s="6"/>
      <c r="J388" s="6"/>
      <c r="K388" s="6">
        <f t="shared" si="22"/>
        <v>0</v>
      </c>
      <c r="L388" s="6"/>
      <c r="M388" s="6"/>
      <c r="N388" s="6">
        <f t="shared" si="23"/>
        <v>0</v>
      </c>
    </row>
    <row r="389" spans="1:14" x14ac:dyDescent="0.3">
      <c r="A389" s="8" t="str">
        <f xml:space="preserve"> _xll.EPMOlapMemberO("[CECO].[PARENTH3].[AMSA1000AC4007]","","Sistemas RH","","000")</f>
        <v>Sistemas RH</v>
      </c>
      <c r="B389" t="str">
        <f xml:space="preserve"> _xll.EPMOlapMemberO("[CLACO].[PARENTH1].[AMSAADM_PERSON]","","Administración Perso","","000")</f>
        <v>Administración Perso</v>
      </c>
      <c r="C389" s="6">
        <v>-7876.24</v>
      </c>
      <c r="D389" s="6"/>
      <c r="E389" s="6">
        <f t="shared" si="20"/>
        <v>7876.24</v>
      </c>
      <c r="F389" s="6"/>
      <c r="G389" s="6"/>
      <c r="H389" s="6">
        <f t="shared" si="21"/>
        <v>0</v>
      </c>
      <c r="I389" s="6"/>
      <c r="J389" s="6"/>
      <c r="K389" s="6">
        <f t="shared" si="22"/>
        <v>0</v>
      </c>
      <c r="L389" s="6"/>
      <c r="M389" s="6"/>
      <c r="N389" s="6">
        <f t="shared" si="23"/>
        <v>0</v>
      </c>
    </row>
    <row r="390" spans="1:14" x14ac:dyDescent="0.3">
      <c r="A390" s="8"/>
      <c r="B390" t="str">
        <f xml:space="preserve"> _xll.EPMOlapMemberO("[CLACO].[PARENTH1].[AMSAASESORIAS]","","Asesorías y Consulto","","000")</f>
        <v>Asesorías y Consulto</v>
      </c>
      <c r="C390" s="6">
        <v>36357.83</v>
      </c>
      <c r="D390" s="6"/>
      <c r="E390" s="6">
        <f t="shared" si="20"/>
        <v>-36357.83</v>
      </c>
      <c r="F390" s="6">
        <v>16095.76</v>
      </c>
      <c r="G390" s="6"/>
      <c r="H390" s="6">
        <f t="shared" si="21"/>
        <v>-16095.76</v>
      </c>
      <c r="I390" s="6">
        <v>9417.2099999999991</v>
      </c>
      <c r="J390" s="6"/>
      <c r="K390" s="6">
        <f t="shared" si="22"/>
        <v>-9417.2099999999991</v>
      </c>
      <c r="L390" s="6">
        <v>-50320.2</v>
      </c>
      <c r="M390" s="6"/>
      <c r="N390" s="6">
        <f t="shared" si="23"/>
        <v>50320.2</v>
      </c>
    </row>
    <row r="391" spans="1:14" x14ac:dyDescent="0.3">
      <c r="A391" s="8"/>
      <c r="B391" t="str">
        <f xml:space="preserve"> _xll.EPMOlapMemberO("[CLACO].[PARENTH1].[AMSASERVICIOS]","","Servicios","","000")</f>
        <v>Servicios</v>
      </c>
      <c r="C391" s="6">
        <v>28976.14</v>
      </c>
      <c r="D391" s="6">
        <v>21575.65</v>
      </c>
      <c r="E391" s="6">
        <f t="shared" si="20"/>
        <v>-7400.489999999998</v>
      </c>
      <c r="F391" s="6">
        <v>3639.4</v>
      </c>
      <c r="G391" s="6"/>
      <c r="H391" s="6">
        <f t="shared" si="21"/>
        <v>-3639.4</v>
      </c>
      <c r="I391" s="6"/>
      <c r="J391" s="6"/>
      <c r="K391" s="6">
        <f t="shared" si="22"/>
        <v>0</v>
      </c>
      <c r="L391" s="6"/>
      <c r="M391" s="6"/>
      <c r="N391" s="6">
        <f t="shared" si="23"/>
        <v>0</v>
      </c>
    </row>
    <row r="392" spans="1:14" x14ac:dyDescent="0.3">
      <c r="A392" s="8"/>
      <c r="B392" t="str">
        <f xml:space="preserve"> _xll.EPMOlapMemberO("[CLACO].[PARENTH1].[AMSAINFORMATIC]","","Informática y Comuni","","000")</f>
        <v>Informática y Comuni</v>
      </c>
      <c r="C392" s="6">
        <v>315311.48</v>
      </c>
      <c r="D392" s="6">
        <v>291325.06</v>
      </c>
      <c r="E392" s="6">
        <f t="shared" si="20"/>
        <v>-23986.419999999984</v>
      </c>
      <c r="F392" s="6">
        <v>288589.65999999997</v>
      </c>
      <c r="G392" s="6">
        <v>325776.96000000002</v>
      </c>
      <c r="H392" s="6">
        <f t="shared" si="21"/>
        <v>37187.300000000047</v>
      </c>
      <c r="I392" s="6">
        <v>274530.59999999998</v>
      </c>
      <c r="J392" s="6">
        <v>334024.62</v>
      </c>
      <c r="K392" s="6">
        <f t="shared" si="22"/>
        <v>59494.020000000019</v>
      </c>
      <c r="L392" s="6">
        <v>377110.71</v>
      </c>
      <c r="M392" s="6">
        <v>296264.43</v>
      </c>
      <c r="N392" s="6">
        <f t="shared" si="23"/>
        <v>-80846.280000000028</v>
      </c>
    </row>
    <row r="393" spans="1:14" x14ac:dyDescent="0.3">
      <c r="A393" s="8"/>
      <c r="B393" t="str">
        <f xml:space="preserve"> _xll.EPMOlapMemberO("[CLACO].[PARENTH1].[AMSAGGENERALES.2]","","Otros Gastos","","000")</f>
        <v>Otros Gastos</v>
      </c>
      <c r="C393" s="6">
        <v>89.89</v>
      </c>
      <c r="D393" s="6"/>
      <c r="E393" s="6">
        <f t="shared" si="20"/>
        <v>-89.89</v>
      </c>
      <c r="F393" s="6"/>
      <c r="G393" s="6"/>
      <c r="H393" s="6">
        <f t="shared" si="21"/>
        <v>0</v>
      </c>
      <c r="I393" s="6"/>
      <c r="J393" s="6"/>
      <c r="K393" s="6">
        <f t="shared" si="22"/>
        <v>0</v>
      </c>
      <c r="L393" s="6"/>
      <c r="M393" s="6"/>
      <c r="N393" s="6">
        <f t="shared" si="23"/>
        <v>0</v>
      </c>
    </row>
    <row r="394" spans="1:14" x14ac:dyDescent="0.3">
      <c r="A394" s="8" t="str">
        <f xml:space="preserve"> _xll.EPMOlapMemberO("[CECO].[PARENTH3].[AMSA1000AC4008]","","Calidad de Vida","","000")</f>
        <v>Calidad de Vida</v>
      </c>
      <c r="B394" t="str">
        <f xml:space="preserve"> _xll.EPMOlapMemberO("[CLACO].[PARENTH1].[AMSAMAT_Y_REP.2]","","Materiales y repuest","","000")</f>
        <v>Materiales y repuest</v>
      </c>
      <c r="C394" s="6">
        <v>6829.99</v>
      </c>
      <c r="D394" s="6">
        <v>7727.63</v>
      </c>
      <c r="E394" s="6">
        <f t="shared" si="20"/>
        <v>897.64000000000033</v>
      </c>
      <c r="F394" s="6">
        <v>3820.87</v>
      </c>
      <c r="G394" s="6">
        <v>6593.4</v>
      </c>
      <c r="H394" s="6">
        <f t="shared" si="21"/>
        <v>2772.5299999999997</v>
      </c>
      <c r="I394" s="6">
        <v>6396.91</v>
      </c>
      <c r="J394" s="6">
        <v>7152.94</v>
      </c>
      <c r="K394" s="6">
        <f t="shared" si="22"/>
        <v>756.02999999999975</v>
      </c>
      <c r="L394" s="6"/>
      <c r="M394" s="6"/>
      <c r="N394" s="6">
        <f t="shared" si="23"/>
        <v>0</v>
      </c>
    </row>
    <row r="395" spans="1:14" x14ac:dyDescent="0.3">
      <c r="A395" s="8"/>
      <c r="B395" t="str">
        <f xml:space="preserve"> _xll.EPMOlapMemberO("[CLACO].[PARENTH1].[AMSAADM_PERSON]","","Administración Perso","","000")</f>
        <v>Administración Perso</v>
      </c>
      <c r="C395" s="6">
        <v>582056.73</v>
      </c>
      <c r="D395" s="6">
        <v>563965.18000000005</v>
      </c>
      <c r="E395" s="6">
        <f t="shared" ref="E395:E458" si="24">+D395-C395</f>
        <v>-18091.54999999993</v>
      </c>
      <c r="F395" s="6">
        <v>692281.95</v>
      </c>
      <c r="G395" s="6">
        <v>706751.02</v>
      </c>
      <c r="H395" s="6">
        <f t="shared" ref="H395:H458" si="25">+G395-F395</f>
        <v>14469.070000000065</v>
      </c>
      <c r="I395" s="6">
        <v>614953.04</v>
      </c>
      <c r="J395" s="6">
        <v>701390.52</v>
      </c>
      <c r="K395" s="6">
        <f t="shared" ref="K395:K458" si="26">+J395-I395</f>
        <v>86437.479999999981</v>
      </c>
      <c r="L395" s="6">
        <v>638400.79</v>
      </c>
      <c r="M395" s="6">
        <v>693949.71</v>
      </c>
      <c r="N395" s="6">
        <f t="shared" ref="N395:N458" si="27">+M395-L395</f>
        <v>55548.919999999925</v>
      </c>
    </row>
    <row r="396" spans="1:14" x14ac:dyDescent="0.3">
      <c r="A396" s="8"/>
      <c r="B396" t="str">
        <f xml:space="preserve"> _xll.EPMOlapMemberO("[CLACO].[PARENTH1].[AMSAENTRENAMI]","","Entrenamiento","","000")</f>
        <v>Entrenamiento</v>
      </c>
      <c r="C396" s="6">
        <v>-77255.61</v>
      </c>
      <c r="D396" s="6">
        <v>44319.98</v>
      </c>
      <c r="E396" s="6">
        <f t="shared" si="24"/>
        <v>121575.59</v>
      </c>
      <c r="F396" s="6">
        <v>12987.72</v>
      </c>
      <c r="G396" s="6">
        <v>38645.24</v>
      </c>
      <c r="H396" s="6">
        <f t="shared" si="25"/>
        <v>25657.519999999997</v>
      </c>
      <c r="I396" s="6">
        <v>-8325.92</v>
      </c>
      <c r="J396" s="6">
        <v>15492.62</v>
      </c>
      <c r="K396" s="6">
        <f t="shared" si="26"/>
        <v>23818.54</v>
      </c>
      <c r="L396" s="6">
        <v>30000</v>
      </c>
      <c r="M396" s="6"/>
      <c r="N396" s="6">
        <f t="shared" si="27"/>
        <v>-30000</v>
      </c>
    </row>
    <row r="397" spans="1:14" x14ac:dyDescent="0.3">
      <c r="A397" s="8"/>
      <c r="B397" t="str">
        <f xml:space="preserve"> _xll.EPMOlapMemberO("[CLACO].[PARENTH1].[AMSAASESORIAS]","","Asesorías y Consulto","","000")</f>
        <v>Asesorías y Consulto</v>
      </c>
      <c r="C397" s="6">
        <v>23904.32</v>
      </c>
      <c r="D397" s="6">
        <v>25992.080000000002</v>
      </c>
      <c r="E397" s="6">
        <f t="shared" si="24"/>
        <v>2087.760000000002</v>
      </c>
      <c r="F397" s="6">
        <v>29945.919999999998</v>
      </c>
      <c r="G397" s="6">
        <v>25068.97</v>
      </c>
      <c r="H397" s="6">
        <f t="shared" si="25"/>
        <v>-4876.9499999999971</v>
      </c>
      <c r="I397" s="6">
        <v>41240.75</v>
      </c>
      <c r="J397" s="6">
        <v>19062.099999999999</v>
      </c>
      <c r="K397" s="6">
        <f t="shared" si="26"/>
        <v>-22178.65</v>
      </c>
      <c r="L397" s="6">
        <v>43636.65</v>
      </c>
      <c r="M397" s="6">
        <v>54419.76</v>
      </c>
      <c r="N397" s="6">
        <f t="shared" si="27"/>
        <v>10783.11</v>
      </c>
    </row>
    <row r="398" spans="1:14" x14ac:dyDescent="0.3">
      <c r="A398" s="8"/>
      <c r="B398" t="str">
        <f xml:space="preserve"> _xll.EPMOlapMemberO("[CLACO].[PARENTH1].[AMSASERVICIOS]","","Servicios","","000")</f>
        <v>Servicios</v>
      </c>
      <c r="C398" s="6">
        <v>35942.94</v>
      </c>
      <c r="D398" s="6">
        <v>24193.93</v>
      </c>
      <c r="E398" s="6">
        <f t="shared" si="24"/>
        <v>-11749.010000000002</v>
      </c>
      <c r="F398" s="6">
        <v>22550.74</v>
      </c>
      <c r="G398" s="6">
        <v>23272.45</v>
      </c>
      <c r="H398" s="6">
        <f t="shared" si="25"/>
        <v>721.70999999999913</v>
      </c>
      <c r="I398" s="6">
        <v>19249.47</v>
      </c>
      <c r="J398" s="6">
        <v>24083.08</v>
      </c>
      <c r="K398" s="6">
        <f t="shared" si="26"/>
        <v>4833.6100000000006</v>
      </c>
      <c r="L398" s="6">
        <v>22839.78</v>
      </c>
      <c r="M398" s="6">
        <v>27494.93</v>
      </c>
      <c r="N398" s="6">
        <f t="shared" si="27"/>
        <v>4655.1500000000015</v>
      </c>
    </row>
    <row r="399" spans="1:14" x14ac:dyDescent="0.3">
      <c r="A399" s="8"/>
      <c r="B399" t="str">
        <f xml:space="preserve"> _xll.EPMOlapMemberO("[CLACO].[PARENTH1].[AMSASERMANTO.REPA]","","Servicios Mantenimie","","000")</f>
        <v>Servicios Mantenimie</v>
      </c>
      <c r="C399" s="6"/>
      <c r="D399" s="6"/>
      <c r="E399" s="6">
        <f t="shared" si="24"/>
        <v>0</v>
      </c>
      <c r="F399" s="6"/>
      <c r="G399" s="6"/>
      <c r="H399" s="6">
        <f t="shared" si="25"/>
        <v>0</v>
      </c>
      <c r="I399" s="6"/>
      <c r="J399" s="6"/>
      <c r="K399" s="6">
        <f t="shared" si="26"/>
        <v>0</v>
      </c>
      <c r="L399" s="6">
        <v>5645</v>
      </c>
      <c r="M399" s="6"/>
      <c r="N399" s="6">
        <f t="shared" si="27"/>
        <v>-5645</v>
      </c>
    </row>
    <row r="400" spans="1:14" x14ac:dyDescent="0.3">
      <c r="A400" s="8"/>
      <c r="B400" t="str">
        <f xml:space="preserve"> _xll.EPMOlapMemberO("[CLACO].[PARENTH1].[AMSAINFORMATIC]","","Informática y Comuni","","000")</f>
        <v>Informática y Comuni</v>
      </c>
      <c r="C400" s="6">
        <v>0.2</v>
      </c>
      <c r="D400" s="6">
        <v>30848.98</v>
      </c>
      <c r="E400" s="6">
        <f t="shared" si="24"/>
        <v>30848.78</v>
      </c>
      <c r="F400" s="6"/>
      <c r="G400" s="6">
        <v>50000</v>
      </c>
      <c r="H400" s="6">
        <f t="shared" si="25"/>
        <v>50000</v>
      </c>
      <c r="I400" s="6">
        <v>16346.13</v>
      </c>
      <c r="J400" s="6">
        <v>26010</v>
      </c>
      <c r="K400" s="6">
        <f t="shared" si="26"/>
        <v>9663.8700000000008</v>
      </c>
      <c r="L400" s="6">
        <v>25781.65</v>
      </c>
      <c r="M400" s="6"/>
      <c r="N400" s="6">
        <f t="shared" si="27"/>
        <v>-25781.65</v>
      </c>
    </row>
    <row r="401" spans="1:14" x14ac:dyDescent="0.3">
      <c r="A401" s="8"/>
      <c r="B401" t="str">
        <f xml:space="preserve"> _xll.EPMOlapMemberO("[CLACO].[PARENTH1].[AMSAG_VIAJES]","","Gastos de Viajes","","000")</f>
        <v>Gastos de Viajes</v>
      </c>
      <c r="C401" s="6">
        <v>81.12</v>
      </c>
      <c r="D401" s="6"/>
      <c r="E401" s="6">
        <f t="shared" si="24"/>
        <v>-81.12</v>
      </c>
      <c r="F401" s="6">
        <v>79.86</v>
      </c>
      <c r="G401" s="6"/>
      <c r="H401" s="6">
        <f t="shared" si="25"/>
        <v>-79.86</v>
      </c>
      <c r="I401" s="6">
        <v>1549.28</v>
      </c>
      <c r="J401" s="6"/>
      <c r="K401" s="6">
        <f t="shared" si="26"/>
        <v>-1549.28</v>
      </c>
      <c r="L401" s="6">
        <v>576.27</v>
      </c>
      <c r="M401" s="6"/>
      <c r="N401" s="6">
        <f t="shared" si="27"/>
        <v>-576.27</v>
      </c>
    </row>
    <row r="402" spans="1:14" x14ac:dyDescent="0.3">
      <c r="A402" s="8"/>
      <c r="B402" t="str">
        <f xml:space="preserve"> _xll.EPMOlapMemberO("[CLACO].[PARENTH1].[AMSASEGUROS]","","Seguros","","000")</f>
        <v>Seguros</v>
      </c>
      <c r="C402" s="6">
        <v>7405.93</v>
      </c>
      <c r="D402" s="6"/>
      <c r="E402" s="6">
        <f t="shared" si="24"/>
        <v>-7405.93</v>
      </c>
      <c r="F402" s="6"/>
      <c r="G402" s="6"/>
      <c r="H402" s="6">
        <f t="shared" si="25"/>
        <v>0</v>
      </c>
      <c r="I402" s="6"/>
      <c r="J402" s="6"/>
      <c r="K402" s="6">
        <f t="shared" si="26"/>
        <v>0</v>
      </c>
      <c r="L402" s="6"/>
      <c r="M402" s="6"/>
      <c r="N402" s="6">
        <f t="shared" si="27"/>
        <v>0</v>
      </c>
    </row>
    <row r="403" spans="1:14" x14ac:dyDescent="0.3">
      <c r="A403" s="8"/>
      <c r="B403" t="str">
        <f xml:space="preserve"> _xll.EPMOlapMemberO("[CLACO].[PARENTH1].[AMSAIMP_PATEN]","","Impuestos / Patentes","","000")</f>
        <v>Impuestos / Patentes</v>
      </c>
      <c r="C403" s="6"/>
      <c r="D403" s="6"/>
      <c r="E403" s="6">
        <f t="shared" si="24"/>
        <v>0</v>
      </c>
      <c r="F403" s="6"/>
      <c r="G403" s="6"/>
      <c r="H403" s="6">
        <f t="shared" si="25"/>
        <v>0</v>
      </c>
      <c r="I403" s="6"/>
      <c r="J403" s="6"/>
      <c r="K403" s="6">
        <f t="shared" si="26"/>
        <v>0</v>
      </c>
      <c r="L403" s="6">
        <v>2.4300000000000002</v>
      </c>
      <c r="M403" s="6"/>
      <c r="N403" s="6">
        <f t="shared" si="27"/>
        <v>-2.4300000000000002</v>
      </c>
    </row>
    <row r="404" spans="1:14" x14ac:dyDescent="0.3">
      <c r="A404" s="8"/>
      <c r="B404" t="str">
        <f xml:space="preserve"> _xll.EPMOlapMemberO("[CLACO].[PARENTH1].[AMSAGGENERALES.2]","","Otros Gastos","","000")</f>
        <v>Otros Gastos</v>
      </c>
      <c r="C404" s="6">
        <v>11226.55</v>
      </c>
      <c r="D404" s="6"/>
      <c r="E404" s="6">
        <f t="shared" si="24"/>
        <v>-11226.55</v>
      </c>
      <c r="F404" s="6">
        <v>9898.81</v>
      </c>
      <c r="G404" s="6"/>
      <c r="H404" s="6">
        <f t="shared" si="25"/>
        <v>-9898.81</v>
      </c>
      <c r="I404" s="6">
        <v>20969.82</v>
      </c>
      <c r="J404" s="6"/>
      <c r="K404" s="6">
        <f t="shared" si="26"/>
        <v>-20969.82</v>
      </c>
      <c r="L404" s="6">
        <v>329.79</v>
      </c>
      <c r="M404" s="6"/>
      <c r="N404" s="6">
        <f t="shared" si="27"/>
        <v>-329.79</v>
      </c>
    </row>
    <row r="405" spans="1:14" x14ac:dyDescent="0.3">
      <c r="A405" s="8" t="str">
        <f xml:space="preserve"> _xll.EPMOlapMemberO("[CECO].[PARENTH3].[AMSA1000AC4009]","","Admin San Lorenzo","","000")</f>
        <v>Admin San Lorenzo</v>
      </c>
      <c r="B405" t="str">
        <f xml:space="preserve"> _xll.EPMOlapMemberO("[CLACO].[PARENTH1].[AMSAADM_PERSON]","","Administración Perso","","000")</f>
        <v>Administración Perso</v>
      </c>
      <c r="C405" s="6">
        <v>22796.18</v>
      </c>
      <c r="D405" s="6">
        <v>23389.88</v>
      </c>
      <c r="E405" s="6">
        <f t="shared" si="24"/>
        <v>593.70000000000073</v>
      </c>
      <c r="F405" s="6">
        <v>24774.02</v>
      </c>
      <c r="G405" s="6">
        <v>22720.7</v>
      </c>
      <c r="H405" s="6">
        <f t="shared" si="25"/>
        <v>-2053.3199999999997</v>
      </c>
      <c r="I405" s="6">
        <v>24943.3</v>
      </c>
      <c r="J405" s="6">
        <v>26531.62</v>
      </c>
      <c r="K405" s="6">
        <f t="shared" si="26"/>
        <v>1588.3199999999997</v>
      </c>
      <c r="L405" s="6">
        <v>25020.23</v>
      </c>
      <c r="M405" s="6">
        <v>27013.74</v>
      </c>
      <c r="N405" s="6">
        <f t="shared" si="27"/>
        <v>1993.510000000002</v>
      </c>
    </row>
    <row r="406" spans="1:14" x14ac:dyDescent="0.3">
      <c r="A406" s="8"/>
      <c r="B406" t="str">
        <f xml:space="preserve"> _xll.EPMOlapMemberO("[CLACO].[PARENTH1].[AMSAASESORIAS]","","Asesorías y Consulto","","000")</f>
        <v>Asesorías y Consulto</v>
      </c>
      <c r="C406" s="6"/>
      <c r="D406" s="6"/>
      <c r="E406" s="6">
        <f t="shared" si="24"/>
        <v>0</v>
      </c>
      <c r="F406" s="6"/>
      <c r="G406" s="6">
        <v>5250.86</v>
      </c>
      <c r="H406" s="6">
        <f t="shared" si="25"/>
        <v>5250.86</v>
      </c>
      <c r="I406" s="6">
        <v>23.94</v>
      </c>
      <c r="J406" s="6">
        <v>5329.48</v>
      </c>
      <c r="K406" s="6">
        <f t="shared" si="26"/>
        <v>5305.54</v>
      </c>
      <c r="L406" s="6"/>
      <c r="M406" s="6"/>
      <c r="N406" s="6">
        <f t="shared" si="27"/>
        <v>0</v>
      </c>
    </row>
    <row r="407" spans="1:14" x14ac:dyDescent="0.3">
      <c r="A407" s="8"/>
      <c r="B407" t="str">
        <f xml:space="preserve"> _xll.EPMOlapMemberO("[CLACO].[PARENTH1].[AMSAGGENERALES.2]","","Otros Gastos","","000")</f>
        <v>Otros Gastos</v>
      </c>
      <c r="C407" s="6"/>
      <c r="D407" s="6"/>
      <c r="E407" s="6">
        <f t="shared" si="24"/>
        <v>0</v>
      </c>
      <c r="F407" s="6"/>
      <c r="G407" s="6"/>
      <c r="H407" s="6">
        <f t="shared" si="25"/>
        <v>0</v>
      </c>
      <c r="I407" s="6">
        <v>47.33</v>
      </c>
      <c r="J407" s="6"/>
      <c r="K407" s="6">
        <f t="shared" si="26"/>
        <v>-47.33</v>
      </c>
      <c r="L407" s="6"/>
      <c r="M407" s="6"/>
      <c r="N407" s="6">
        <f t="shared" si="27"/>
        <v>0</v>
      </c>
    </row>
    <row r="408" spans="1:14" x14ac:dyDescent="0.3">
      <c r="A408" s="8" t="str">
        <f xml:space="preserve"> _xll.EPMOlapMemberO("[CECO].[PARENTH3].[AMSA1000AC4010]","","Admin Programa JP","","000")</f>
        <v>Admin Programa JP</v>
      </c>
      <c r="B408" t="str">
        <f xml:space="preserve"> _xll.EPMOlapMemberO("[CLACO].[PARENTH1].[AMSAENTRENAMI]","","Entrenamiento","","000")</f>
        <v>Entrenamiento</v>
      </c>
      <c r="C408" s="6">
        <v>41310.07</v>
      </c>
      <c r="D408" s="6">
        <v>38952.720000000001</v>
      </c>
      <c r="E408" s="6">
        <f t="shared" si="24"/>
        <v>-2357.3499999999985</v>
      </c>
      <c r="F408" s="6">
        <v>50355.77</v>
      </c>
      <c r="G408" s="6">
        <v>42333.06</v>
      </c>
      <c r="H408" s="6">
        <f t="shared" si="25"/>
        <v>-8022.7099999999991</v>
      </c>
      <c r="I408" s="6">
        <v>42796.26</v>
      </c>
      <c r="J408" s="6">
        <v>46278.85</v>
      </c>
      <c r="K408" s="6">
        <f t="shared" si="26"/>
        <v>3482.5899999999965</v>
      </c>
      <c r="L408" s="6">
        <v>41231.919999999998</v>
      </c>
      <c r="M408" s="6">
        <v>38637.07</v>
      </c>
      <c r="N408" s="6">
        <f t="shared" si="27"/>
        <v>-2594.8499999999985</v>
      </c>
    </row>
    <row r="409" spans="1:14" x14ac:dyDescent="0.3">
      <c r="A409" s="8"/>
      <c r="B409" t="str">
        <f xml:space="preserve"> _xll.EPMOlapMemberO("[CLACO].[PARENTH1].[AMSAASESORIAS]","","Asesorías y Consulto","","000")</f>
        <v>Asesorías y Consulto</v>
      </c>
      <c r="C409" s="6">
        <v>3225.88</v>
      </c>
      <c r="D409" s="6"/>
      <c r="E409" s="6">
        <f t="shared" si="24"/>
        <v>-3225.88</v>
      </c>
      <c r="F409" s="6">
        <v>367.8</v>
      </c>
      <c r="G409" s="6"/>
      <c r="H409" s="6">
        <f t="shared" si="25"/>
        <v>-367.8</v>
      </c>
      <c r="I409" s="6">
        <v>667.08</v>
      </c>
      <c r="J409" s="6"/>
      <c r="K409" s="6">
        <f t="shared" si="26"/>
        <v>-667.08</v>
      </c>
      <c r="L409" s="6">
        <v>10039.299999999999</v>
      </c>
      <c r="M409" s="6"/>
      <c r="N409" s="6">
        <f t="shared" si="27"/>
        <v>-10039.299999999999</v>
      </c>
    </row>
    <row r="410" spans="1:14" x14ac:dyDescent="0.3">
      <c r="A410" s="8"/>
      <c r="B410" t="str">
        <f xml:space="preserve"> _xll.EPMOlapMemberO("[CLACO].[PARENTH1].[AMSASERMANTO.REPA]","","Servicios Mantenimie","","000")</f>
        <v>Servicios Mantenimie</v>
      </c>
      <c r="C410" s="6"/>
      <c r="D410" s="6"/>
      <c r="E410" s="6">
        <f t="shared" si="24"/>
        <v>0</v>
      </c>
      <c r="F410" s="6"/>
      <c r="G410" s="6"/>
      <c r="H410" s="6">
        <f t="shared" si="25"/>
        <v>0</v>
      </c>
      <c r="I410" s="6"/>
      <c r="J410" s="6"/>
      <c r="K410" s="6">
        <f t="shared" si="26"/>
        <v>0</v>
      </c>
      <c r="L410" s="6">
        <v>41.43</v>
      </c>
      <c r="M410" s="6"/>
      <c r="N410" s="6">
        <f t="shared" si="27"/>
        <v>-41.43</v>
      </c>
    </row>
    <row r="411" spans="1:14" x14ac:dyDescent="0.3">
      <c r="A411" s="8"/>
      <c r="B411" t="str">
        <f xml:space="preserve"> _xll.EPMOlapMemberO("[CLACO].[PARENTH1].[AMSAG_VIAJES]","","Gastos de Viajes","","000")</f>
        <v>Gastos de Viajes</v>
      </c>
      <c r="C411" s="6">
        <v>-551.57000000000005</v>
      </c>
      <c r="D411" s="6"/>
      <c r="E411" s="6">
        <f t="shared" si="24"/>
        <v>551.57000000000005</v>
      </c>
      <c r="F411" s="6"/>
      <c r="G411" s="6">
        <v>659.34</v>
      </c>
      <c r="H411" s="6">
        <f t="shared" si="25"/>
        <v>659.34</v>
      </c>
      <c r="I411" s="6">
        <v>236.62</v>
      </c>
      <c r="J411" s="6"/>
      <c r="K411" s="6">
        <f t="shared" si="26"/>
        <v>-236.62</v>
      </c>
      <c r="L411" s="6">
        <v>1163.26</v>
      </c>
      <c r="M411" s="6"/>
      <c r="N411" s="6">
        <f t="shared" si="27"/>
        <v>-1163.26</v>
      </c>
    </row>
    <row r="412" spans="1:14" x14ac:dyDescent="0.3">
      <c r="A412" s="8"/>
      <c r="B412" t="str">
        <f xml:space="preserve"> _xll.EPMOlapMemberO("[CLACO].[PARENTH1].[AMSAGGENERALES.2]","","Otros Gastos","","000")</f>
        <v>Otros Gastos</v>
      </c>
      <c r="C412" s="6"/>
      <c r="D412" s="6">
        <v>4435.68</v>
      </c>
      <c r="E412" s="6">
        <f t="shared" si="24"/>
        <v>4435.68</v>
      </c>
      <c r="F412" s="6"/>
      <c r="G412" s="6">
        <v>7403.04</v>
      </c>
      <c r="H412" s="6">
        <f t="shared" si="25"/>
        <v>7403.04</v>
      </c>
      <c r="I412" s="6">
        <v>4203.76</v>
      </c>
      <c r="J412" s="6">
        <v>10635.56</v>
      </c>
      <c r="K412" s="6">
        <f t="shared" si="26"/>
        <v>6431.7999999999993</v>
      </c>
      <c r="L412" s="6">
        <v>5601.73</v>
      </c>
      <c r="M412" s="6">
        <v>19574.28</v>
      </c>
      <c r="N412" s="6">
        <f t="shared" si="27"/>
        <v>13972.55</v>
      </c>
    </row>
    <row r="413" spans="1:14" x14ac:dyDescent="0.3">
      <c r="A413" s="8" t="str">
        <f xml:space="preserve"> _xll.EPMOlapMemberO("[CECO].[PARENTH3].[AMSA1000AC4011]","","SubGn Remuneraciones","","000")</f>
        <v>SubGn Remuneraciones</v>
      </c>
      <c r="B413" t="str">
        <f xml:space="preserve"> _xll.EPMOlapMemberO("[CLACO].[PARENTH1].[AMSAADM_PERSON]","","Administración Perso","","000")</f>
        <v>Administración Perso</v>
      </c>
      <c r="C413" s="6"/>
      <c r="D413" s="6"/>
      <c r="E413" s="6">
        <f t="shared" si="24"/>
        <v>0</v>
      </c>
      <c r="F413" s="6"/>
      <c r="G413" s="6"/>
      <c r="H413" s="6">
        <f t="shared" si="25"/>
        <v>0</v>
      </c>
      <c r="I413" s="6">
        <v>2562.0100000000002</v>
      </c>
      <c r="J413" s="6"/>
      <c r="K413" s="6">
        <f t="shared" si="26"/>
        <v>-2562.0100000000002</v>
      </c>
      <c r="L413" s="6"/>
      <c r="M413" s="6"/>
      <c r="N413" s="6">
        <f t="shared" si="27"/>
        <v>0</v>
      </c>
    </row>
    <row r="414" spans="1:14" x14ac:dyDescent="0.3">
      <c r="A414" s="8"/>
      <c r="B414" t="str">
        <f xml:space="preserve"> _xll.EPMOlapMemberO("[CLACO].[PARENTH1].[AMSAASESORIAS]","","Asesorías y Consulto","","000")</f>
        <v>Asesorías y Consulto</v>
      </c>
      <c r="C414" s="6">
        <v>1892.37</v>
      </c>
      <c r="D414" s="6"/>
      <c r="E414" s="6">
        <f t="shared" si="24"/>
        <v>-1892.37</v>
      </c>
      <c r="F414" s="6"/>
      <c r="G414" s="6"/>
      <c r="H414" s="6">
        <f t="shared" si="25"/>
        <v>0</v>
      </c>
      <c r="I414" s="6"/>
      <c r="J414" s="6"/>
      <c r="K414" s="6">
        <f t="shared" si="26"/>
        <v>0</v>
      </c>
      <c r="L414" s="6"/>
      <c r="M414" s="6"/>
      <c r="N414" s="6">
        <f t="shared" si="27"/>
        <v>0</v>
      </c>
    </row>
    <row r="415" spans="1:14" x14ac:dyDescent="0.3">
      <c r="A415" s="8"/>
      <c r="B415" t="str">
        <f xml:space="preserve"> _xll.EPMOlapMemberO("[CLACO].[PARENTH1].[AMSASERVICIOS]","","Servicios","","000")</f>
        <v>Servicios</v>
      </c>
      <c r="C415" s="6"/>
      <c r="D415" s="6"/>
      <c r="E415" s="6">
        <f t="shared" si="24"/>
        <v>0</v>
      </c>
      <c r="F415" s="6"/>
      <c r="G415" s="6"/>
      <c r="H415" s="6">
        <f t="shared" si="25"/>
        <v>0</v>
      </c>
      <c r="I415" s="6">
        <v>235.76</v>
      </c>
      <c r="J415" s="6"/>
      <c r="K415" s="6">
        <f t="shared" si="26"/>
        <v>-235.76</v>
      </c>
      <c r="L415" s="6">
        <v>1185.6199999999999</v>
      </c>
      <c r="M415" s="6"/>
      <c r="N415" s="6">
        <f t="shared" si="27"/>
        <v>-1185.6199999999999</v>
      </c>
    </row>
    <row r="416" spans="1:14" x14ac:dyDescent="0.3">
      <c r="A416" s="8"/>
      <c r="B416" t="str">
        <f xml:space="preserve"> _xll.EPMOlapMemberO("[CLACO].[PARENTH1].[AMSAINFORMATIC]","","Informática y Comuni","","000")</f>
        <v>Informática y Comuni</v>
      </c>
      <c r="C416" s="6">
        <v>399.61</v>
      </c>
      <c r="D416" s="6">
        <v>747.28</v>
      </c>
      <c r="E416" s="6">
        <f t="shared" si="24"/>
        <v>347.66999999999996</v>
      </c>
      <c r="F416" s="6">
        <v>0.52</v>
      </c>
      <c r="G416" s="6">
        <v>660</v>
      </c>
      <c r="H416" s="6">
        <f t="shared" si="25"/>
        <v>659.48</v>
      </c>
      <c r="I416" s="6"/>
      <c r="J416" s="6"/>
      <c r="K416" s="6">
        <f t="shared" si="26"/>
        <v>0</v>
      </c>
      <c r="L416" s="6"/>
      <c r="M416" s="6"/>
      <c r="N416" s="6">
        <f t="shared" si="27"/>
        <v>0</v>
      </c>
    </row>
    <row r="417" spans="1:14" x14ac:dyDescent="0.3">
      <c r="A417" s="8"/>
      <c r="B417" t="str">
        <f xml:space="preserve"> _xll.EPMOlapMemberO("[CLACO].[PARENTH1].[AMSAIMP_PATEN]","","Impuestos / Patentes","","000")</f>
        <v>Impuestos / Patentes</v>
      </c>
      <c r="C417" s="6"/>
      <c r="D417" s="6"/>
      <c r="E417" s="6">
        <f t="shared" si="24"/>
        <v>0</v>
      </c>
      <c r="F417" s="6"/>
      <c r="G417" s="6"/>
      <c r="H417" s="6">
        <f t="shared" si="25"/>
        <v>0</v>
      </c>
      <c r="I417" s="6"/>
      <c r="J417" s="6"/>
      <c r="K417" s="6">
        <f t="shared" si="26"/>
        <v>0</v>
      </c>
      <c r="L417" s="6">
        <v>35.75</v>
      </c>
      <c r="M417" s="6"/>
      <c r="N417" s="6">
        <f t="shared" si="27"/>
        <v>-35.75</v>
      </c>
    </row>
    <row r="418" spans="1:14" x14ac:dyDescent="0.3">
      <c r="A418" s="8"/>
      <c r="B418" t="str">
        <f xml:space="preserve"> _xll.EPMOlapMemberO("[CLACO].[PARENTH1].[AMSAGGENERALES.2]","","Otros Gastos","","000")</f>
        <v>Otros Gastos</v>
      </c>
      <c r="C418" s="6">
        <v>5094.38</v>
      </c>
      <c r="D418" s="6">
        <v>13245.53</v>
      </c>
      <c r="E418" s="6">
        <f t="shared" si="24"/>
        <v>8151.1500000000005</v>
      </c>
      <c r="F418" s="6">
        <v>2926.19</v>
      </c>
      <c r="G418" s="6">
        <v>12600</v>
      </c>
      <c r="H418" s="6">
        <f t="shared" si="25"/>
        <v>9673.81</v>
      </c>
      <c r="I418" s="6">
        <v>722.54</v>
      </c>
      <c r="J418" s="6">
        <v>12019.75</v>
      </c>
      <c r="K418" s="6">
        <f t="shared" si="26"/>
        <v>11297.21</v>
      </c>
      <c r="L418" s="6">
        <v>184.85</v>
      </c>
      <c r="M418" s="6">
        <v>6588.7</v>
      </c>
      <c r="N418" s="6">
        <f t="shared" si="27"/>
        <v>6403.8499999999995</v>
      </c>
    </row>
    <row r="419" spans="1:14" x14ac:dyDescent="0.3">
      <c r="A419" s="8" t="str">
        <f xml:space="preserve"> _xll.EPMOlapMemberO("[CECO].[PARENTH3].[AMSA1000AC4012]","","Progr.Diver e Inclus","","000")</f>
        <v>Progr.Diver e Inclus</v>
      </c>
      <c r="B419" t="str">
        <f xml:space="preserve"> _xll.EPMOlapMemberO("[CLACO].[PARENTH1].[AMSAADM_PERSON]","","Administración Perso","","000")</f>
        <v>Administración Perso</v>
      </c>
      <c r="C419" s="6">
        <v>9300.2800000000007</v>
      </c>
      <c r="D419" s="6"/>
      <c r="E419" s="6">
        <f t="shared" si="24"/>
        <v>-9300.2800000000007</v>
      </c>
      <c r="F419" s="6">
        <v>35421.01</v>
      </c>
      <c r="G419" s="6">
        <v>15000</v>
      </c>
      <c r="H419" s="6">
        <f t="shared" si="25"/>
        <v>-20421.010000000002</v>
      </c>
      <c r="I419" s="6">
        <v>20301.330000000002</v>
      </c>
      <c r="J419" s="6">
        <v>44117.64</v>
      </c>
      <c r="K419" s="6">
        <f t="shared" si="26"/>
        <v>23816.309999999998</v>
      </c>
      <c r="L419" s="6">
        <v>72335.399999999994</v>
      </c>
      <c r="M419" s="6">
        <v>61193.32</v>
      </c>
      <c r="N419" s="6">
        <f t="shared" si="27"/>
        <v>-11142.079999999994</v>
      </c>
    </row>
    <row r="420" spans="1:14" x14ac:dyDescent="0.3">
      <c r="A420" s="8"/>
      <c r="B420" t="str">
        <f xml:space="preserve"> _xll.EPMOlapMemberO("[CLACO].[PARENTH1].[AMSAENTRENAMI]","","Entrenamiento","","000")</f>
        <v>Entrenamiento</v>
      </c>
      <c r="C420" s="6">
        <v>69944.899999999994</v>
      </c>
      <c r="D420" s="6">
        <v>71964.42</v>
      </c>
      <c r="E420" s="6">
        <f t="shared" si="24"/>
        <v>2019.5200000000041</v>
      </c>
      <c r="F420" s="6">
        <v>84438.9</v>
      </c>
      <c r="G420" s="6">
        <v>33721</v>
      </c>
      <c r="H420" s="6">
        <f t="shared" si="25"/>
        <v>-50717.899999999994</v>
      </c>
      <c r="I420" s="6">
        <v>44997.39</v>
      </c>
      <c r="J420" s="6"/>
      <c r="K420" s="6">
        <f t="shared" si="26"/>
        <v>-44997.39</v>
      </c>
      <c r="L420" s="6">
        <v>449.5</v>
      </c>
      <c r="M420" s="6"/>
      <c r="N420" s="6">
        <f t="shared" si="27"/>
        <v>-449.5</v>
      </c>
    </row>
    <row r="421" spans="1:14" x14ac:dyDescent="0.3">
      <c r="A421" s="8"/>
      <c r="B421" t="str">
        <f xml:space="preserve"> _xll.EPMOlapMemberO("[CLACO].[PARENTH1].[AMSAASESORIAS]","","Asesorías y Consulto","","000")</f>
        <v>Asesorías y Consulto</v>
      </c>
      <c r="C421" s="6">
        <v>71367.81</v>
      </c>
      <c r="D421" s="6">
        <v>126184.85</v>
      </c>
      <c r="E421" s="6">
        <f t="shared" si="24"/>
        <v>54817.040000000008</v>
      </c>
      <c r="F421" s="6">
        <v>102926.93</v>
      </c>
      <c r="G421" s="6">
        <v>64853.68</v>
      </c>
      <c r="H421" s="6">
        <f t="shared" si="25"/>
        <v>-38073.249999999993</v>
      </c>
      <c r="I421" s="6">
        <v>24963.279999999999</v>
      </c>
      <c r="J421" s="6">
        <v>29499.919999999998</v>
      </c>
      <c r="K421" s="6">
        <f t="shared" si="26"/>
        <v>4536.6399999999994</v>
      </c>
      <c r="L421" s="6">
        <v>27753.8</v>
      </c>
      <c r="M421" s="6">
        <v>23983.67</v>
      </c>
      <c r="N421" s="6">
        <f t="shared" si="27"/>
        <v>-3770.130000000001</v>
      </c>
    </row>
    <row r="422" spans="1:14" x14ac:dyDescent="0.3">
      <c r="A422" s="8"/>
      <c r="B422" t="str">
        <f xml:space="preserve"> _xll.EPMOlapMemberO("[CLACO].[PARENTH1].[AMSASERVICIOS]","","Servicios","","000")</f>
        <v>Servicios</v>
      </c>
      <c r="C422" s="6">
        <v>11180.69</v>
      </c>
      <c r="D422" s="6"/>
      <c r="E422" s="6">
        <f t="shared" si="24"/>
        <v>-11180.69</v>
      </c>
      <c r="F422" s="6">
        <v>31181.94</v>
      </c>
      <c r="G422" s="6">
        <v>22720.83</v>
      </c>
      <c r="H422" s="6">
        <f t="shared" si="25"/>
        <v>-8461.1099999999969</v>
      </c>
      <c r="I422" s="6">
        <v>14083.72</v>
      </c>
      <c r="J422" s="6"/>
      <c r="K422" s="6">
        <f t="shared" si="26"/>
        <v>-14083.72</v>
      </c>
      <c r="L422" s="6">
        <v>-2188.66</v>
      </c>
      <c r="M422" s="6"/>
      <c r="N422" s="6">
        <f t="shared" si="27"/>
        <v>2188.66</v>
      </c>
    </row>
    <row r="423" spans="1:14" x14ac:dyDescent="0.3">
      <c r="A423" s="8"/>
      <c r="B423" t="str">
        <f xml:space="preserve"> _xll.EPMOlapMemberO("[CLACO].[PARENTH1].[AMSASERMANTO.REPA]","","Servicios Mantenimie","","000")</f>
        <v>Servicios Mantenimie</v>
      </c>
      <c r="C423" s="6">
        <v>-7707.45</v>
      </c>
      <c r="D423" s="6">
        <v>10342.24</v>
      </c>
      <c r="E423" s="6">
        <f t="shared" si="24"/>
        <v>18049.689999999999</v>
      </c>
      <c r="F423" s="6"/>
      <c r="G423" s="6"/>
      <c r="H423" s="6">
        <f t="shared" si="25"/>
        <v>0</v>
      </c>
      <c r="I423" s="6"/>
      <c r="J423" s="6"/>
      <c r="K423" s="6">
        <f t="shared" si="26"/>
        <v>0</v>
      </c>
      <c r="L423" s="6">
        <v>9754.17</v>
      </c>
      <c r="M423" s="6"/>
      <c r="N423" s="6">
        <f t="shared" si="27"/>
        <v>-9754.17</v>
      </c>
    </row>
    <row r="424" spans="1:14" x14ac:dyDescent="0.3">
      <c r="A424" s="8"/>
      <c r="B424" t="str">
        <f xml:space="preserve"> _xll.EPMOlapMemberO("[CLACO].[PARENTH1].[AMSAINFORMATIC]","","Informática y Comuni","","000")</f>
        <v>Informática y Comuni</v>
      </c>
      <c r="C424" s="6">
        <v>-4848.09</v>
      </c>
      <c r="D424" s="6"/>
      <c r="E424" s="6">
        <f t="shared" si="24"/>
        <v>4848.09</v>
      </c>
      <c r="F424" s="6">
        <v>5984.84</v>
      </c>
      <c r="G424" s="6"/>
      <c r="H424" s="6">
        <f t="shared" si="25"/>
        <v>-5984.84</v>
      </c>
      <c r="I424" s="6">
        <v>162.65</v>
      </c>
      <c r="J424" s="6"/>
      <c r="K424" s="6">
        <f t="shared" si="26"/>
        <v>-162.65</v>
      </c>
      <c r="L424" s="6"/>
      <c r="M424" s="6"/>
      <c r="N424" s="6">
        <f t="shared" si="27"/>
        <v>0</v>
      </c>
    </row>
    <row r="425" spans="1:14" x14ac:dyDescent="0.3">
      <c r="A425" s="8"/>
      <c r="B425" t="str">
        <f xml:space="preserve"> _xll.EPMOlapMemberO("[CLACO].[PARENTH1].[AMSAG_VIAJES]","","Gastos de Viajes","","000")</f>
        <v>Gastos de Viajes</v>
      </c>
      <c r="C425" s="6">
        <v>6363.58</v>
      </c>
      <c r="D425" s="6"/>
      <c r="E425" s="6">
        <f t="shared" si="24"/>
        <v>-6363.58</v>
      </c>
      <c r="F425" s="6">
        <v>7669.99</v>
      </c>
      <c r="G425" s="6">
        <v>2857.14</v>
      </c>
      <c r="H425" s="6">
        <f t="shared" si="25"/>
        <v>-4812.8500000000004</v>
      </c>
      <c r="I425" s="6">
        <v>2451.08</v>
      </c>
      <c r="J425" s="6"/>
      <c r="K425" s="6">
        <f t="shared" si="26"/>
        <v>-2451.08</v>
      </c>
      <c r="L425" s="6">
        <v>5776.01</v>
      </c>
      <c r="M425" s="6"/>
      <c r="N425" s="6">
        <f t="shared" si="27"/>
        <v>-5776.01</v>
      </c>
    </row>
    <row r="426" spans="1:14" x14ac:dyDescent="0.3">
      <c r="A426" s="8"/>
      <c r="B426" t="str">
        <f xml:space="preserve"> _xll.EPMOlapMemberO("[CLACO].[PARENTH1].[AMSAGGENERALES.2]","","Otros Gastos","","000")</f>
        <v>Otros Gastos</v>
      </c>
      <c r="C426" s="6"/>
      <c r="D426" s="6"/>
      <c r="E426" s="6">
        <f t="shared" si="24"/>
        <v>0</v>
      </c>
      <c r="F426" s="6">
        <v>2553.5100000000002</v>
      </c>
      <c r="G426" s="6"/>
      <c r="H426" s="6">
        <f t="shared" si="25"/>
        <v>-2553.5100000000002</v>
      </c>
      <c r="I426" s="6">
        <v>4695.99</v>
      </c>
      <c r="J426" s="6">
        <v>8872.7199999999993</v>
      </c>
      <c r="K426" s="6">
        <f t="shared" si="26"/>
        <v>4176.7299999999996</v>
      </c>
      <c r="L426" s="6">
        <v>44387.03</v>
      </c>
      <c r="M426" s="6">
        <v>45755.17</v>
      </c>
      <c r="N426" s="6">
        <f t="shared" si="27"/>
        <v>1368.1399999999994</v>
      </c>
    </row>
    <row r="427" spans="1:14" x14ac:dyDescent="0.3">
      <c r="A427" s="8" t="str">
        <f xml:space="preserve"> _xll.EPMOlapMemberO("[CECO].[PARENTH3].[AMSA1000AC4013]","","Efect.Organizacional","","000")</f>
        <v>Efect.Organizacional</v>
      </c>
      <c r="B427" t="str">
        <f xml:space="preserve"> _xll.EPMOlapMemberO("[CLACO].[PARENTH1].[AMSAMAT_Y_REP.2]","","Materiales y repuest","","000")</f>
        <v>Materiales y repuest</v>
      </c>
      <c r="C427" s="6"/>
      <c r="D427" s="6"/>
      <c r="E427" s="6">
        <f t="shared" si="24"/>
        <v>0</v>
      </c>
      <c r="F427" s="6"/>
      <c r="G427" s="6">
        <v>1107.72</v>
      </c>
      <c r="H427" s="6">
        <f t="shared" si="25"/>
        <v>1107.72</v>
      </c>
      <c r="I427" s="6"/>
      <c r="J427" s="6"/>
      <c r="K427" s="6">
        <f t="shared" si="26"/>
        <v>0</v>
      </c>
      <c r="L427" s="6"/>
      <c r="M427" s="6"/>
      <c r="N427" s="6">
        <f t="shared" si="27"/>
        <v>0</v>
      </c>
    </row>
    <row r="428" spans="1:14" x14ac:dyDescent="0.3">
      <c r="A428" s="8"/>
      <c r="B428" t="str">
        <f xml:space="preserve"> _xll.EPMOlapMemberO("[CLACO].[PARENTH1].[AMSAADM_PERSON]","","Administración Perso","","000")</f>
        <v>Administración Perso</v>
      </c>
      <c r="C428" s="6"/>
      <c r="D428" s="6"/>
      <c r="E428" s="6">
        <f t="shared" si="24"/>
        <v>0</v>
      </c>
      <c r="F428" s="6"/>
      <c r="G428" s="6"/>
      <c r="H428" s="6">
        <f t="shared" si="25"/>
        <v>0</v>
      </c>
      <c r="I428" s="6">
        <v>13988.88</v>
      </c>
      <c r="J428" s="6"/>
      <c r="K428" s="6">
        <f t="shared" si="26"/>
        <v>-13988.88</v>
      </c>
      <c r="L428" s="6">
        <v>53.83</v>
      </c>
      <c r="M428" s="6"/>
      <c r="N428" s="6">
        <f t="shared" si="27"/>
        <v>-53.83</v>
      </c>
    </row>
    <row r="429" spans="1:14" x14ac:dyDescent="0.3">
      <c r="A429" s="8"/>
      <c r="B429" t="str">
        <f xml:space="preserve"> _xll.EPMOlapMemberO("[CLACO].[PARENTH1].[AMSAENTRENAMI]","","Entrenamiento","","000")</f>
        <v>Entrenamiento</v>
      </c>
      <c r="C429" s="6">
        <v>0</v>
      </c>
      <c r="D429" s="6"/>
      <c r="E429" s="6">
        <f t="shared" si="24"/>
        <v>0</v>
      </c>
      <c r="F429" s="6">
        <v>5056.22</v>
      </c>
      <c r="G429" s="6"/>
      <c r="H429" s="6">
        <f t="shared" si="25"/>
        <v>-5056.22</v>
      </c>
      <c r="I429" s="6">
        <v>5519.19</v>
      </c>
      <c r="J429" s="6"/>
      <c r="K429" s="6">
        <f t="shared" si="26"/>
        <v>-5519.19</v>
      </c>
      <c r="L429" s="6">
        <v>9394.3799999999992</v>
      </c>
      <c r="M429" s="6"/>
      <c r="N429" s="6">
        <f t="shared" si="27"/>
        <v>-9394.3799999999992</v>
      </c>
    </row>
    <row r="430" spans="1:14" x14ac:dyDescent="0.3">
      <c r="A430" s="8"/>
      <c r="B430" t="str">
        <f xml:space="preserve"> _xll.EPMOlapMemberO("[CLACO].[PARENTH1].[AMSAASESORIAS]","","Asesorías y Consulto","","000")</f>
        <v>Asesorías y Consulto</v>
      </c>
      <c r="C430" s="6"/>
      <c r="D430" s="6"/>
      <c r="E430" s="6">
        <f t="shared" si="24"/>
        <v>0</v>
      </c>
      <c r="F430" s="6">
        <v>145877.98000000001</v>
      </c>
      <c r="G430" s="6">
        <v>253901.08</v>
      </c>
      <c r="H430" s="6">
        <f t="shared" si="25"/>
        <v>108023.09999999998</v>
      </c>
      <c r="I430" s="6">
        <v>26151.73</v>
      </c>
      <c r="J430" s="6">
        <v>115276.37</v>
      </c>
      <c r="K430" s="6">
        <f t="shared" si="26"/>
        <v>89124.64</v>
      </c>
      <c r="L430" s="6">
        <v>8942.51</v>
      </c>
      <c r="M430" s="6">
        <v>9087.44</v>
      </c>
      <c r="N430" s="6">
        <f t="shared" si="27"/>
        <v>144.93000000000029</v>
      </c>
    </row>
    <row r="431" spans="1:14" x14ac:dyDescent="0.3">
      <c r="A431" s="8"/>
      <c r="B431" t="str">
        <f xml:space="preserve"> _xll.EPMOlapMemberO("[CLACO].[PARENTH1].[AMSASERVICIOS]","","Servicios","","000")</f>
        <v>Servicios</v>
      </c>
      <c r="C431" s="6"/>
      <c r="D431" s="6"/>
      <c r="E431" s="6">
        <f t="shared" si="24"/>
        <v>0</v>
      </c>
      <c r="F431" s="6">
        <v>39380.68</v>
      </c>
      <c r="G431" s="6">
        <v>32967</v>
      </c>
      <c r="H431" s="6">
        <f t="shared" si="25"/>
        <v>-6413.68</v>
      </c>
      <c r="I431" s="6">
        <v>75223.13</v>
      </c>
      <c r="J431" s="6">
        <v>30299.64</v>
      </c>
      <c r="K431" s="6">
        <f t="shared" si="26"/>
        <v>-44923.490000000005</v>
      </c>
      <c r="L431" s="6">
        <v>-5965.9</v>
      </c>
      <c r="M431" s="6"/>
      <c r="N431" s="6">
        <f t="shared" si="27"/>
        <v>5965.9</v>
      </c>
    </row>
    <row r="432" spans="1:14" x14ac:dyDescent="0.3">
      <c r="A432" s="8"/>
      <c r="B432" t="str">
        <f xml:space="preserve"> _xll.EPMOlapMemberO("[CLACO].[PARENTH1].[AMSASERMANTO.REPA]","","Servicios Mantenimie","","000")</f>
        <v>Servicios Mantenimie</v>
      </c>
      <c r="C432" s="6"/>
      <c r="D432" s="6"/>
      <c r="E432" s="6">
        <f t="shared" si="24"/>
        <v>0</v>
      </c>
      <c r="F432" s="6">
        <v>839.3</v>
      </c>
      <c r="G432" s="6"/>
      <c r="H432" s="6">
        <f t="shared" si="25"/>
        <v>-839.3</v>
      </c>
      <c r="I432" s="6">
        <v>903.37</v>
      </c>
      <c r="J432" s="6"/>
      <c r="K432" s="6">
        <f t="shared" si="26"/>
        <v>-903.37</v>
      </c>
      <c r="L432" s="6">
        <v>251.83</v>
      </c>
      <c r="M432" s="6"/>
      <c r="N432" s="6">
        <f t="shared" si="27"/>
        <v>-251.83</v>
      </c>
    </row>
    <row r="433" spans="1:14" x14ac:dyDescent="0.3">
      <c r="A433" s="8"/>
      <c r="B433" t="str">
        <f xml:space="preserve"> _xll.EPMOlapMemberO("[CLACO].[PARENTH1].[AMSAINFORMATIC]","","Informática y Comuni","","000")</f>
        <v>Informática y Comuni</v>
      </c>
      <c r="C433" s="6"/>
      <c r="D433" s="6"/>
      <c r="E433" s="6">
        <f t="shared" si="24"/>
        <v>0</v>
      </c>
      <c r="F433" s="6">
        <v>65384.68</v>
      </c>
      <c r="G433" s="6">
        <v>55385.29</v>
      </c>
      <c r="H433" s="6">
        <f t="shared" si="25"/>
        <v>-9999.39</v>
      </c>
      <c r="I433" s="6">
        <v>-20497.88</v>
      </c>
      <c r="J433" s="6">
        <v>59294.16</v>
      </c>
      <c r="K433" s="6">
        <f t="shared" si="26"/>
        <v>79792.040000000008</v>
      </c>
      <c r="L433" s="6">
        <v>989.79</v>
      </c>
      <c r="M433" s="6"/>
      <c r="N433" s="6">
        <f t="shared" si="27"/>
        <v>-989.79</v>
      </c>
    </row>
    <row r="434" spans="1:14" x14ac:dyDescent="0.3">
      <c r="A434" s="8"/>
      <c r="B434" t="str">
        <f xml:space="preserve"> _xll.EPMOlapMemberO("[CLACO].[PARENTH1].[AMSAG_VIAJES]","","Gastos de Viajes","","000")</f>
        <v>Gastos de Viajes</v>
      </c>
      <c r="C434" s="6"/>
      <c r="D434" s="6"/>
      <c r="E434" s="6">
        <f t="shared" si="24"/>
        <v>0</v>
      </c>
      <c r="F434" s="6">
        <v>2252.86</v>
      </c>
      <c r="G434" s="6">
        <v>5142.88</v>
      </c>
      <c r="H434" s="6">
        <f t="shared" si="25"/>
        <v>2890.02</v>
      </c>
      <c r="I434" s="6">
        <v>710.3</v>
      </c>
      <c r="J434" s="6"/>
      <c r="K434" s="6">
        <f t="shared" si="26"/>
        <v>-710.3</v>
      </c>
      <c r="L434" s="6">
        <v>848.45</v>
      </c>
      <c r="M434" s="6"/>
      <c r="N434" s="6">
        <f t="shared" si="27"/>
        <v>-848.45</v>
      </c>
    </row>
    <row r="435" spans="1:14" x14ac:dyDescent="0.3">
      <c r="A435" s="8"/>
      <c r="B435" t="str">
        <f xml:space="preserve"> _xll.EPMOlapMemberO("[CLACO].[PARENTH1].[AMSAGGENERALES.2]","","Otros Gastos","","000")</f>
        <v>Otros Gastos</v>
      </c>
      <c r="C435" s="6"/>
      <c r="D435" s="6"/>
      <c r="E435" s="6">
        <f t="shared" si="24"/>
        <v>0</v>
      </c>
      <c r="F435" s="6">
        <v>5695.38</v>
      </c>
      <c r="G435" s="6">
        <v>14285.8</v>
      </c>
      <c r="H435" s="6">
        <f t="shared" si="25"/>
        <v>8590.4199999999983</v>
      </c>
      <c r="I435" s="6">
        <v>9294.67</v>
      </c>
      <c r="J435" s="6">
        <v>2588.25</v>
      </c>
      <c r="K435" s="6">
        <f t="shared" si="26"/>
        <v>-6706.42</v>
      </c>
      <c r="L435" s="6">
        <v>5722.16</v>
      </c>
      <c r="M435" s="6">
        <v>4539.76</v>
      </c>
      <c r="N435" s="6">
        <f t="shared" si="27"/>
        <v>-1182.3999999999996</v>
      </c>
    </row>
    <row r="436" spans="1:14" x14ac:dyDescent="0.3">
      <c r="A436" s="8" t="str">
        <f xml:space="preserve"> _xll.EPMOlapMemberO("[CECO].[PARENTH3].[AMSA1000AC4014]","","Generalistas AMSA","","000")</f>
        <v>Generalistas AMSA</v>
      </c>
      <c r="B436" t="str">
        <f xml:space="preserve"> _xll.EPMOlapMemberO("[CLACO].[PARENTH1].[AMSAADM_PERSON]","","Administración Perso","","000")</f>
        <v>Administración Perso</v>
      </c>
      <c r="C436" s="6">
        <v>151.15</v>
      </c>
      <c r="D436" s="6"/>
      <c r="E436" s="6">
        <f t="shared" si="24"/>
        <v>-151.15</v>
      </c>
      <c r="F436" s="6"/>
      <c r="G436" s="6"/>
      <c r="H436" s="6">
        <f t="shared" si="25"/>
        <v>0</v>
      </c>
      <c r="I436" s="6"/>
      <c r="J436" s="6"/>
      <c r="K436" s="6">
        <f t="shared" si="26"/>
        <v>0</v>
      </c>
      <c r="L436" s="6">
        <v>13823.59</v>
      </c>
      <c r="M436" s="6">
        <v>37082</v>
      </c>
      <c r="N436" s="6">
        <f t="shared" si="27"/>
        <v>23258.41</v>
      </c>
    </row>
    <row r="437" spans="1:14" x14ac:dyDescent="0.3">
      <c r="A437" s="8"/>
      <c r="B437" t="str">
        <f xml:space="preserve"> _xll.EPMOlapMemberO("[CLACO].[PARENTH1].[AMSAENTRENAMI]","","Entrenamiento","","000")</f>
        <v>Entrenamiento</v>
      </c>
      <c r="C437" s="6">
        <v>423641.7</v>
      </c>
      <c r="D437" s="6">
        <v>371426.04</v>
      </c>
      <c r="E437" s="6">
        <f t="shared" si="24"/>
        <v>-52215.660000000033</v>
      </c>
      <c r="F437" s="6">
        <v>230959.51</v>
      </c>
      <c r="G437" s="6">
        <v>354249.69</v>
      </c>
      <c r="H437" s="6">
        <f t="shared" si="25"/>
        <v>123290.18</v>
      </c>
      <c r="I437" s="6">
        <v>-18414.7</v>
      </c>
      <c r="J437" s="6"/>
      <c r="K437" s="6">
        <f t="shared" si="26"/>
        <v>18414.7</v>
      </c>
      <c r="L437" s="6"/>
      <c r="M437" s="6"/>
      <c r="N437" s="6">
        <f t="shared" si="27"/>
        <v>0</v>
      </c>
    </row>
    <row r="438" spans="1:14" x14ac:dyDescent="0.3">
      <c r="A438" s="8"/>
      <c r="B438" t="str">
        <f xml:space="preserve"> _xll.EPMOlapMemberO("[CLACO].[PARENTH1].[AMSAASESORIAS]","","Asesorías y Consulto","","000")</f>
        <v>Asesorías y Consulto</v>
      </c>
      <c r="C438" s="6">
        <v>17780.55</v>
      </c>
      <c r="D438" s="6">
        <v>50032.63</v>
      </c>
      <c r="E438" s="6">
        <f t="shared" si="24"/>
        <v>32252.079999999998</v>
      </c>
      <c r="F438" s="6"/>
      <c r="G438" s="6">
        <v>52716.480000000003</v>
      </c>
      <c r="H438" s="6">
        <f t="shared" si="25"/>
        <v>52716.480000000003</v>
      </c>
      <c r="I438" s="6">
        <v>21518.1</v>
      </c>
      <c r="J438" s="6"/>
      <c r="K438" s="6">
        <f t="shared" si="26"/>
        <v>-21518.1</v>
      </c>
      <c r="L438" s="6"/>
      <c r="M438" s="6"/>
      <c r="N438" s="6">
        <f t="shared" si="27"/>
        <v>0</v>
      </c>
    </row>
    <row r="439" spans="1:14" x14ac:dyDescent="0.3">
      <c r="A439" s="8"/>
      <c r="B439" t="str">
        <f xml:space="preserve"> _xll.EPMOlapMemberO("[CLACO].[PARENTH1].[AMSASERVICIOS]","","Servicios","","000")</f>
        <v>Servicios</v>
      </c>
      <c r="C439" s="6">
        <v>45740.7</v>
      </c>
      <c r="D439" s="6">
        <v>63092.32</v>
      </c>
      <c r="E439" s="6">
        <f t="shared" si="24"/>
        <v>17351.620000000003</v>
      </c>
      <c r="F439" s="6">
        <v>60622.78</v>
      </c>
      <c r="G439" s="6">
        <v>62934.080000000002</v>
      </c>
      <c r="H439" s="6">
        <f t="shared" si="25"/>
        <v>2311.3000000000029</v>
      </c>
      <c r="I439" s="6">
        <v>54849.32</v>
      </c>
      <c r="J439" s="6">
        <v>81114.149999999994</v>
      </c>
      <c r="K439" s="6">
        <f t="shared" si="26"/>
        <v>26264.829999999994</v>
      </c>
      <c r="L439" s="6"/>
      <c r="M439" s="6"/>
      <c r="N439" s="6">
        <f t="shared" si="27"/>
        <v>0</v>
      </c>
    </row>
    <row r="440" spans="1:14" x14ac:dyDescent="0.3">
      <c r="A440" s="8"/>
      <c r="B440" t="str">
        <f xml:space="preserve"> _xll.EPMOlapMemberO("[CLACO].[PARENTH1].[AMSAINFORMATIC]","","Informática y Comuni","","000")</f>
        <v>Informática y Comuni</v>
      </c>
      <c r="C440" s="6"/>
      <c r="D440" s="6"/>
      <c r="E440" s="6">
        <f t="shared" si="24"/>
        <v>0</v>
      </c>
      <c r="F440" s="6">
        <v>5976.66</v>
      </c>
      <c r="G440" s="6"/>
      <c r="H440" s="6">
        <f t="shared" si="25"/>
        <v>-5976.66</v>
      </c>
      <c r="I440" s="6"/>
      <c r="J440" s="6"/>
      <c r="K440" s="6">
        <f t="shared" si="26"/>
        <v>0</v>
      </c>
      <c r="L440" s="6"/>
      <c r="M440" s="6"/>
      <c r="N440" s="6">
        <f t="shared" si="27"/>
        <v>0</v>
      </c>
    </row>
    <row r="441" spans="1:14" x14ac:dyDescent="0.3">
      <c r="A441" s="8"/>
      <c r="B441" t="str">
        <f xml:space="preserve"> _xll.EPMOlapMemberO("[CLACO].[PARENTH1].[AMSAG_VIAJES]","","Gastos de Viajes","","000")</f>
        <v>Gastos de Viajes</v>
      </c>
      <c r="C441" s="6"/>
      <c r="D441" s="6">
        <v>8197.5</v>
      </c>
      <c r="E441" s="6">
        <f t="shared" si="24"/>
        <v>8197.5</v>
      </c>
      <c r="F441" s="6"/>
      <c r="G441" s="6"/>
      <c r="H441" s="6">
        <f t="shared" si="25"/>
        <v>0</v>
      </c>
      <c r="I441" s="6"/>
      <c r="J441" s="6"/>
      <c r="K441" s="6">
        <f t="shared" si="26"/>
        <v>0</v>
      </c>
      <c r="L441" s="6">
        <v>22883.51</v>
      </c>
      <c r="M441" s="6"/>
      <c r="N441" s="6">
        <f t="shared" si="27"/>
        <v>-22883.51</v>
      </c>
    </row>
    <row r="442" spans="1:14" x14ac:dyDescent="0.3">
      <c r="A442" s="8"/>
      <c r="B442" t="str">
        <f xml:space="preserve"> _xll.EPMOlapMemberO("[CLACO].[PARENTH1].[AMSAGGENERALES.2]","","Otros Gastos","","000")</f>
        <v>Otros Gastos</v>
      </c>
      <c r="C442" s="6"/>
      <c r="D442" s="6"/>
      <c r="E442" s="6">
        <f t="shared" si="24"/>
        <v>0</v>
      </c>
      <c r="F442" s="6">
        <v>7.78</v>
      </c>
      <c r="G442" s="6"/>
      <c r="H442" s="6">
        <f t="shared" si="25"/>
        <v>-7.78</v>
      </c>
      <c r="I442" s="6">
        <v>20.6</v>
      </c>
      <c r="J442" s="6"/>
      <c r="K442" s="6">
        <f t="shared" si="26"/>
        <v>-20.6</v>
      </c>
      <c r="L442" s="6">
        <v>730.69</v>
      </c>
      <c r="M442" s="6"/>
      <c r="N442" s="6">
        <f t="shared" si="27"/>
        <v>-730.69</v>
      </c>
    </row>
    <row r="443" spans="1:14" x14ac:dyDescent="0.3">
      <c r="A443" s="8" t="str">
        <f xml:space="preserve"> _xll.EPMOlapMemberO("[CECO].[PARENTH3].[AMSA1000AC4015]","","Reclutam y Selección","","000")</f>
        <v>Reclutam y Selección</v>
      </c>
      <c r="B443" t="str">
        <f xml:space="preserve"> _xll.EPMOlapMemberO("[CLACO].[PARENTH1].[AMSAADM_PERSON]","","Administración Perso","","000")</f>
        <v>Administración Perso</v>
      </c>
      <c r="C443" s="6">
        <v>258012.09</v>
      </c>
      <c r="D443" s="6">
        <v>194066.88</v>
      </c>
      <c r="E443" s="6">
        <f t="shared" si="24"/>
        <v>-63945.209999999992</v>
      </c>
      <c r="F443" s="6">
        <v>302216.28999999998</v>
      </c>
      <c r="G443" s="6">
        <v>279224.03000000003</v>
      </c>
      <c r="H443" s="6">
        <f t="shared" si="25"/>
        <v>-22992.259999999951</v>
      </c>
      <c r="I443" s="6">
        <v>215242.52</v>
      </c>
      <c r="J443" s="6">
        <v>250151.36</v>
      </c>
      <c r="K443" s="6">
        <f t="shared" si="26"/>
        <v>34908.839999999997</v>
      </c>
      <c r="L443" s="6">
        <v>223600.01</v>
      </c>
      <c r="M443" s="6">
        <v>280066.17</v>
      </c>
      <c r="N443" s="6">
        <f t="shared" si="27"/>
        <v>56466.159999999974</v>
      </c>
    </row>
    <row r="444" spans="1:14" x14ac:dyDescent="0.3">
      <c r="A444" s="8"/>
      <c r="B444" t="str">
        <f xml:space="preserve"> _xll.EPMOlapMemberO("[CLACO].[PARENTH1].[AMSAASESORIAS]","","Asesorías y Consulto","","000")</f>
        <v>Asesorías y Consulto</v>
      </c>
      <c r="C444" s="6">
        <v>9545.66</v>
      </c>
      <c r="D444" s="6">
        <v>6334.38</v>
      </c>
      <c r="E444" s="6">
        <f t="shared" si="24"/>
        <v>-3211.2799999999997</v>
      </c>
      <c r="F444" s="6">
        <v>13004.03</v>
      </c>
      <c r="G444" s="6">
        <v>105898.29</v>
      </c>
      <c r="H444" s="6">
        <f t="shared" si="25"/>
        <v>92894.26</v>
      </c>
      <c r="I444" s="6">
        <v>7342.8</v>
      </c>
      <c r="J444" s="6">
        <v>1591.9</v>
      </c>
      <c r="K444" s="6">
        <f t="shared" si="26"/>
        <v>-5750.9</v>
      </c>
      <c r="L444" s="6">
        <v>5506.28</v>
      </c>
      <c r="M444" s="6">
        <v>953.05</v>
      </c>
      <c r="N444" s="6">
        <f t="shared" si="27"/>
        <v>-4553.2299999999996</v>
      </c>
    </row>
    <row r="445" spans="1:14" x14ac:dyDescent="0.3">
      <c r="A445" s="8"/>
      <c r="B445" t="str">
        <f xml:space="preserve"> _xll.EPMOlapMemberO("[CLACO].[PARENTH1].[AMSASERVICIOS]","","Servicios","","000")</f>
        <v>Servicios</v>
      </c>
      <c r="C445" s="6">
        <v>103981.74</v>
      </c>
      <c r="D445" s="6">
        <v>21612.23</v>
      </c>
      <c r="E445" s="6">
        <f t="shared" si="24"/>
        <v>-82369.510000000009</v>
      </c>
      <c r="F445" s="6">
        <v>3981.29</v>
      </c>
      <c r="G445" s="6"/>
      <c r="H445" s="6">
        <f t="shared" si="25"/>
        <v>-3981.29</v>
      </c>
      <c r="I445" s="6">
        <v>11835.59</v>
      </c>
      <c r="J445" s="6"/>
      <c r="K445" s="6">
        <f t="shared" si="26"/>
        <v>-11835.59</v>
      </c>
      <c r="L445" s="6">
        <v>22833.25</v>
      </c>
      <c r="M445" s="6"/>
      <c r="N445" s="6">
        <f t="shared" si="27"/>
        <v>-22833.25</v>
      </c>
    </row>
    <row r="446" spans="1:14" x14ac:dyDescent="0.3">
      <c r="A446" s="8"/>
      <c r="B446" t="str">
        <f xml:space="preserve"> _xll.EPMOlapMemberO("[CLACO].[PARENTH1].[AMSAINFORMATIC]","","Informática y Comuni","","000")</f>
        <v>Informática y Comuni</v>
      </c>
      <c r="C446" s="6">
        <v>8070.07</v>
      </c>
      <c r="D446" s="6">
        <v>11151.44</v>
      </c>
      <c r="E446" s="6">
        <f t="shared" si="24"/>
        <v>3081.3700000000008</v>
      </c>
      <c r="F446" s="6">
        <v>26432.98</v>
      </c>
      <c r="G446" s="6">
        <v>24363.75</v>
      </c>
      <c r="H446" s="6">
        <f t="shared" si="25"/>
        <v>-2069.2299999999996</v>
      </c>
      <c r="I446" s="6">
        <v>25548.27</v>
      </c>
      <c r="J446" s="6">
        <v>22428.32</v>
      </c>
      <c r="K446" s="6">
        <f t="shared" si="26"/>
        <v>-3119.9500000000007</v>
      </c>
      <c r="L446" s="6">
        <v>3544.6</v>
      </c>
      <c r="M446" s="6"/>
      <c r="N446" s="6">
        <f t="shared" si="27"/>
        <v>-3544.6</v>
      </c>
    </row>
    <row r="447" spans="1:14" x14ac:dyDescent="0.3">
      <c r="A447" s="8"/>
      <c r="B447" t="str">
        <f xml:space="preserve"> _xll.EPMOlapMemberO("[CLACO].[PARENTH1].[AMSAG_VIAJES]","","Gastos de Viajes","","000")</f>
        <v>Gastos de Viajes</v>
      </c>
      <c r="C447" s="6"/>
      <c r="D447" s="6"/>
      <c r="E447" s="6">
        <f t="shared" si="24"/>
        <v>0</v>
      </c>
      <c r="F447" s="6">
        <v>380.3</v>
      </c>
      <c r="G447" s="6"/>
      <c r="H447" s="6">
        <f t="shared" si="25"/>
        <v>-380.3</v>
      </c>
      <c r="I447" s="6"/>
      <c r="J447" s="6"/>
      <c r="K447" s="6">
        <f t="shared" si="26"/>
        <v>0</v>
      </c>
      <c r="L447" s="6">
        <v>30.69</v>
      </c>
      <c r="M447" s="6"/>
      <c r="N447" s="6">
        <f t="shared" si="27"/>
        <v>-30.69</v>
      </c>
    </row>
    <row r="448" spans="1:14" x14ac:dyDescent="0.3">
      <c r="A448" s="8"/>
      <c r="B448" t="str">
        <f xml:space="preserve"> _xll.EPMOlapMemberO("[CLACO].[PARENTH1].[AMSAGGENERALES.2]","","Otros Gastos","","000")</f>
        <v>Otros Gastos</v>
      </c>
      <c r="C448" s="6">
        <v>14.36</v>
      </c>
      <c r="D448" s="6"/>
      <c r="E448" s="6">
        <f t="shared" si="24"/>
        <v>-14.36</v>
      </c>
      <c r="F448" s="6"/>
      <c r="G448" s="6"/>
      <c r="H448" s="6">
        <f t="shared" si="25"/>
        <v>0</v>
      </c>
      <c r="I448" s="6"/>
      <c r="J448" s="6"/>
      <c r="K448" s="6">
        <f t="shared" si="26"/>
        <v>0</v>
      </c>
      <c r="L448" s="6"/>
      <c r="M448" s="6"/>
      <c r="N448" s="6">
        <f t="shared" si="27"/>
        <v>0</v>
      </c>
    </row>
    <row r="449" spans="1:14" x14ac:dyDescent="0.3">
      <c r="A449" s="8" t="str">
        <f xml:space="preserve"> _xll.EPMOlapMemberO("[CECO].[PARENTH3].[AMSA1000AC4017]","","Gcia.Pr.nva form tra","","000")</f>
        <v>Gcia.Pr.nva form tra</v>
      </c>
      <c r="B449" t="str">
        <f xml:space="preserve"> _xll.EPMOlapMemberO("[CLACO].[PARENTH1].[AMSAENTRENAMI]","","Entrenamiento","","000")</f>
        <v>Entrenamiento</v>
      </c>
      <c r="C449" s="6">
        <v>95.47</v>
      </c>
      <c r="D449" s="6"/>
      <c r="E449" s="6">
        <f t="shared" si="24"/>
        <v>-95.47</v>
      </c>
      <c r="F449" s="6"/>
      <c r="G449" s="6"/>
      <c r="H449" s="6">
        <f t="shared" si="25"/>
        <v>0</v>
      </c>
      <c r="I449" s="6"/>
      <c r="J449" s="6"/>
      <c r="K449" s="6">
        <f t="shared" si="26"/>
        <v>0</v>
      </c>
      <c r="L449" s="6"/>
      <c r="M449" s="6"/>
      <c r="N449" s="6">
        <f t="shared" si="27"/>
        <v>0</v>
      </c>
    </row>
    <row r="450" spans="1:14" x14ac:dyDescent="0.3">
      <c r="A450" s="8"/>
      <c r="B450" t="str">
        <f xml:space="preserve"> _xll.EPMOlapMemberO("[CLACO].[PARENTH1].[AMSAASESORIAS]","","Asesorías y Consulto","","000")</f>
        <v>Asesorías y Consulto</v>
      </c>
      <c r="C450" s="6">
        <v>-37395.769999999997</v>
      </c>
      <c r="D450" s="6">
        <v>103422.39999999999</v>
      </c>
      <c r="E450" s="6">
        <f t="shared" si="24"/>
        <v>140818.16999999998</v>
      </c>
      <c r="F450" s="6"/>
      <c r="G450" s="6"/>
      <c r="H450" s="6">
        <f t="shared" si="25"/>
        <v>0</v>
      </c>
      <c r="I450" s="6"/>
      <c r="J450" s="6"/>
      <c r="K450" s="6">
        <f t="shared" si="26"/>
        <v>0</v>
      </c>
      <c r="L450" s="6"/>
      <c r="M450" s="6"/>
      <c r="N450" s="6">
        <f t="shared" si="27"/>
        <v>0</v>
      </c>
    </row>
    <row r="451" spans="1:14" x14ac:dyDescent="0.3">
      <c r="A451" s="8"/>
      <c r="B451" t="str">
        <f xml:space="preserve"> _xll.EPMOlapMemberO("[CLACO].[PARENTH1].[AMSAINFORMATIC]","","Informática y Comuni","","000")</f>
        <v>Informática y Comuni</v>
      </c>
      <c r="C451" s="6">
        <v>84333.3</v>
      </c>
      <c r="D451" s="6"/>
      <c r="E451" s="6">
        <f t="shared" si="24"/>
        <v>-84333.3</v>
      </c>
      <c r="F451" s="6">
        <v>-90832.58</v>
      </c>
      <c r="G451" s="6"/>
      <c r="H451" s="6">
        <f t="shared" si="25"/>
        <v>90832.58</v>
      </c>
      <c r="I451" s="6">
        <v>0</v>
      </c>
      <c r="J451" s="6"/>
      <c r="K451" s="6">
        <f t="shared" si="26"/>
        <v>0</v>
      </c>
      <c r="L451" s="6"/>
      <c r="M451" s="6"/>
      <c r="N451" s="6">
        <f t="shared" si="27"/>
        <v>0</v>
      </c>
    </row>
    <row r="452" spans="1:14" x14ac:dyDescent="0.3">
      <c r="A452" s="8"/>
      <c r="B452" t="str">
        <f xml:space="preserve"> _xll.EPMOlapMemberO("[CLACO].[PARENTH1].[AMSAG_VIAJES]","","Gastos de Viajes","","000")</f>
        <v>Gastos de Viajes</v>
      </c>
      <c r="C452" s="6">
        <v>567.53</v>
      </c>
      <c r="D452" s="6"/>
      <c r="E452" s="6">
        <f t="shared" si="24"/>
        <v>-567.53</v>
      </c>
      <c r="F452" s="6"/>
      <c r="G452" s="6"/>
      <c r="H452" s="6">
        <f t="shared" si="25"/>
        <v>0</v>
      </c>
      <c r="I452" s="6"/>
      <c r="J452" s="6"/>
      <c r="K452" s="6">
        <f t="shared" si="26"/>
        <v>0</v>
      </c>
      <c r="L452" s="6"/>
      <c r="M452" s="6"/>
      <c r="N452" s="6">
        <f t="shared" si="27"/>
        <v>0</v>
      </c>
    </row>
    <row r="453" spans="1:14" x14ac:dyDescent="0.3">
      <c r="A453" s="8"/>
      <c r="B453" t="str">
        <f xml:space="preserve"> _xll.EPMOlapMemberO("[CLACO].[PARENTH1].[AMSAGGENERALES.2]","","Otros Gastos","","000")</f>
        <v>Otros Gastos</v>
      </c>
      <c r="C453" s="6">
        <v>5.33</v>
      </c>
      <c r="D453" s="6"/>
      <c r="E453" s="6">
        <f t="shared" si="24"/>
        <v>-5.33</v>
      </c>
      <c r="F453" s="6"/>
      <c r="G453" s="6"/>
      <c r="H453" s="6">
        <f t="shared" si="25"/>
        <v>0</v>
      </c>
      <c r="I453" s="6"/>
      <c r="J453" s="6"/>
      <c r="K453" s="6">
        <f t="shared" si="26"/>
        <v>0</v>
      </c>
      <c r="L453" s="6"/>
      <c r="M453" s="6"/>
      <c r="N453" s="6">
        <f t="shared" si="27"/>
        <v>0</v>
      </c>
    </row>
    <row r="454" spans="1:14" x14ac:dyDescent="0.3">
      <c r="A454" s="8" t="str">
        <f xml:space="preserve"> _xll.EPMOlapMemberO("[CECO].[PARENTH3].[AMSA1000AC4018]","","Aprendizaje RH","","000")</f>
        <v>Aprendizaje RH</v>
      </c>
      <c r="B454" t="str">
        <f xml:space="preserve"> _xll.EPMOlapMemberO("[CLACO].[PARENTH1].[AMSAADM_PERSON]","","Administración Perso","","000")</f>
        <v>Administración Perso</v>
      </c>
      <c r="C454" s="6"/>
      <c r="D454" s="6"/>
      <c r="E454" s="6">
        <f t="shared" si="24"/>
        <v>0</v>
      </c>
      <c r="F454" s="6"/>
      <c r="G454" s="6"/>
      <c r="H454" s="6">
        <f t="shared" si="25"/>
        <v>0</v>
      </c>
      <c r="I454" s="6">
        <v>175.18</v>
      </c>
      <c r="J454" s="6">
        <v>35085.99</v>
      </c>
      <c r="K454" s="6">
        <f t="shared" si="26"/>
        <v>34910.81</v>
      </c>
      <c r="L454" s="6">
        <v>358.5</v>
      </c>
      <c r="M454" s="6"/>
      <c r="N454" s="6">
        <f t="shared" si="27"/>
        <v>-358.5</v>
      </c>
    </row>
    <row r="455" spans="1:14" x14ac:dyDescent="0.3">
      <c r="A455" s="8"/>
      <c r="B455" t="str">
        <f xml:space="preserve"> _xll.EPMOlapMemberO("[CLACO].[PARENTH1].[AMSAENTRENAMI]","","Entrenamiento","","000")</f>
        <v>Entrenamiento</v>
      </c>
      <c r="C455" s="6">
        <v>42639.65</v>
      </c>
      <c r="D455" s="6">
        <v>50735.78</v>
      </c>
      <c r="E455" s="6">
        <f t="shared" si="24"/>
        <v>8096.1299999999974</v>
      </c>
      <c r="F455" s="6">
        <v>156992.20000000001</v>
      </c>
      <c r="G455" s="6">
        <v>100453.86</v>
      </c>
      <c r="H455" s="6">
        <f t="shared" si="25"/>
        <v>-56538.340000000011</v>
      </c>
      <c r="I455" s="6">
        <v>201650.82</v>
      </c>
      <c r="J455" s="6">
        <v>398862.72</v>
      </c>
      <c r="K455" s="6">
        <f t="shared" si="26"/>
        <v>197211.89999999997</v>
      </c>
      <c r="L455" s="6">
        <v>261052.51</v>
      </c>
      <c r="M455" s="6">
        <v>269164.25</v>
      </c>
      <c r="N455" s="6">
        <f t="shared" si="27"/>
        <v>8111.7399999999907</v>
      </c>
    </row>
    <row r="456" spans="1:14" x14ac:dyDescent="0.3">
      <c r="A456" s="8"/>
      <c r="B456" t="str">
        <f xml:space="preserve"> _xll.EPMOlapMemberO("[CLACO].[PARENTH1].[AMSAASESORIAS]","","Asesorías y Consulto","","000")</f>
        <v>Asesorías y Consulto</v>
      </c>
      <c r="C456" s="6">
        <v>121895.4</v>
      </c>
      <c r="D456" s="6">
        <v>128406.73</v>
      </c>
      <c r="E456" s="6">
        <f t="shared" si="24"/>
        <v>6511.3300000000017</v>
      </c>
      <c r="F456" s="6">
        <v>16780.11</v>
      </c>
      <c r="G456" s="6">
        <v>108035.5</v>
      </c>
      <c r="H456" s="6">
        <f t="shared" si="25"/>
        <v>91255.39</v>
      </c>
      <c r="I456" s="6">
        <v>11355.95</v>
      </c>
      <c r="J456" s="6">
        <v>2488.66</v>
      </c>
      <c r="K456" s="6">
        <f t="shared" si="26"/>
        <v>-8867.2900000000009</v>
      </c>
      <c r="L456" s="6">
        <v>17995.16</v>
      </c>
      <c r="M456" s="6">
        <v>4163.7299999999996</v>
      </c>
      <c r="N456" s="6">
        <f t="shared" si="27"/>
        <v>-13831.43</v>
      </c>
    </row>
    <row r="457" spans="1:14" x14ac:dyDescent="0.3">
      <c r="A457" s="8"/>
      <c r="B457" t="str">
        <f xml:space="preserve"> _xll.EPMOlapMemberO("[CLACO].[PARENTH1].[AMSASERVICIOS]","","Servicios","","000")</f>
        <v>Servicios</v>
      </c>
      <c r="C457" s="6"/>
      <c r="D457" s="6"/>
      <c r="E457" s="6">
        <f t="shared" si="24"/>
        <v>0</v>
      </c>
      <c r="F457" s="6">
        <v>-455.67</v>
      </c>
      <c r="G457" s="6"/>
      <c r="H457" s="6">
        <f t="shared" si="25"/>
        <v>455.67</v>
      </c>
      <c r="I457" s="6">
        <v>-702.25</v>
      </c>
      <c r="J457" s="6"/>
      <c r="K457" s="6">
        <f t="shared" si="26"/>
        <v>702.25</v>
      </c>
      <c r="L457" s="6">
        <v>36319.47</v>
      </c>
      <c r="M457" s="6">
        <v>34632.9</v>
      </c>
      <c r="N457" s="6">
        <f t="shared" si="27"/>
        <v>-1686.5699999999997</v>
      </c>
    </row>
    <row r="458" spans="1:14" x14ac:dyDescent="0.3">
      <c r="A458" s="8"/>
      <c r="B458" t="str">
        <f xml:space="preserve"> _xll.EPMOlapMemberO("[CLACO].[PARENTH1].[AMSASERMANTO.REPA]","","Servicios Mantenimie","","000")</f>
        <v>Servicios Mantenimie</v>
      </c>
      <c r="C458" s="6"/>
      <c r="D458" s="6"/>
      <c r="E458" s="6">
        <f t="shared" si="24"/>
        <v>0</v>
      </c>
      <c r="F458" s="6"/>
      <c r="G458" s="6"/>
      <c r="H458" s="6">
        <f t="shared" si="25"/>
        <v>0</v>
      </c>
      <c r="I458" s="6">
        <v>1031.25</v>
      </c>
      <c r="J458" s="6"/>
      <c r="K458" s="6">
        <f t="shared" si="26"/>
        <v>-1031.25</v>
      </c>
      <c r="L458" s="6">
        <v>1666.07</v>
      </c>
      <c r="M458" s="6"/>
      <c r="N458" s="6">
        <f t="shared" si="27"/>
        <v>-1666.07</v>
      </c>
    </row>
    <row r="459" spans="1:14" x14ac:dyDescent="0.3">
      <c r="A459" s="8"/>
      <c r="B459" t="str">
        <f xml:space="preserve"> _xll.EPMOlapMemberO("[CLACO].[PARENTH1].[AMSAINFORMATIC]","","Informática y Comuni","","000")</f>
        <v>Informática y Comuni</v>
      </c>
      <c r="C459" s="6">
        <v>25661.96</v>
      </c>
      <c r="D459" s="6">
        <v>59048.04</v>
      </c>
      <c r="E459" s="6">
        <f t="shared" ref="E459:E522" si="28">+D459-C459</f>
        <v>33386.080000000002</v>
      </c>
      <c r="F459" s="6">
        <v>22016.33</v>
      </c>
      <c r="G459" s="6">
        <v>54420</v>
      </c>
      <c r="H459" s="6">
        <f t="shared" ref="H459:H522" si="29">+G459-F459</f>
        <v>32403.67</v>
      </c>
      <c r="I459" s="6">
        <v>35511.07</v>
      </c>
      <c r="J459" s="6">
        <v>49675.63</v>
      </c>
      <c r="K459" s="6">
        <f t="shared" ref="K459:K522" si="30">+J459-I459</f>
        <v>14164.559999999998</v>
      </c>
      <c r="L459" s="6">
        <v>1390.69</v>
      </c>
      <c r="M459" s="6"/>
      <c r="N459" s="6">
        <f t="shared" ref="N459:N522" si="31">+M459-L459</f>
        <v>-1390.69</v>
      </c>
    </row>
    <row r="460" spans="1:14" x14ac:dyDescent="0.3">
      <c r="A460" s="8"/>
      <c r="B460" t="str">
        <f xml:space="preserve"> _xll.EPMOlapMemberO("[CLACO].[PARENTH1].[AMSAG_VIAJES]","","Gastos de Viajes","","000")</f>
        <v>Gastos de Viajes</v>
      </c>
      <c r="C460" s="6"/>
      <c r="D460" s="6">
        <v>5130.87</v>
      </c>
      <c r="E460" s="6">
        <f t="shared" si="28"/>
        <v>5130.87</v>
      </c>
      <c r="F460" s="6">
        <v>1399.51</v>
      </c>
      <c r="G460" s="6">
        <v>6065.96</v>
      </c>
      <c r="H460" s="6">
        <f t="shared" si="29"/>
        <v>4666.45</v>
      </c>
      <c r="I460" s="6">
        <v>0.01</v>
      </c>
      <c r="J460" s="6"/>
      <c r="K460" s="6">
        <f t="shared" si="30"/>
        <v>-0.01</v>
      </c>
      <c r="L460" s="6">
        <v>96.99</v>
      </c>
      <c r="M460" s="6"/>
      <c r="N460" s="6">
        <f t="shared" si="31"/>
        <v>-96.99</v>
      </c>
    </row>
    <row r="461" spans="1:14" x14ac:dyDescent="0.3">
      <c r="A461" s="8"/>
      <c r="B461" t="str">
        <f xml:space="preserve"> _xll.EPMOlapMemberO("[CLACO].[PARENTH1].[AMSAGGENERALES.2]","","Otros Gastos","","000")</f>
        <v>Otros Gastos</v>
      </c>
      <c r="C461" s="6"/>
      <c r="D461" s="6"/>
      <c r="E461" s="6">
        <f t="shared" si="28"/>
        <v>0</v>
      </c>
      <c r="F461" s="6">
        <v>2544.9499999999998</v>
      </c>
      <c r="G461" s="6"/>
      <c r="H461" s="6">
        <f t="shared" si="29"/>
        <v>-2544.9499999999998</v>
      </c>
      <c r="I461" s="6"/>
      <c r="J461" s="6"/>
      <c r="K461" s="6">
        <f t="shared" si="30"/>
        <v>0</v>
      </c>
      <c r="L461" s="6">
        <v>-40984.94</v>
      </c>
      <c r="M461" s="6"/>
      <c r="N461" s="6">
        <f t="shared" si="31"/>
        <v>40984.94</v>
      </c>
    </row>
    <row r="462" spans="1:14" x14ac:dyDescent="0.3">
      <c r="A462" s="8"/>
      <c r="B462" t="str">
        <f xml:space="preserve"> _xll.EPMOlapMemberO("[CLACO].[PARENTH1].[AMSACOMERCIALI]","","Comercial","","000")</f>
        <v>Comercial</v>
      </c>
      <c r="C462" s="6"/>
      <c r="D462" s="6"/>
      <c r="E462" s="6">
        <f t="shared" si="28"/>
        <v>0</v>
      </c>
      <c r="F462" s="6"/>
      <c r="G462" s="6"/>
      <c r="H462" s="6">
        <f t="shared" si="29"/>
        <v>0</v>
      </c>
      <c r="I462" s="6"/>
      <c r="J462" s="6"/>
      <c r="K462" s="6">
        <f t="shared" si="30"/>
        <v>0</v>
      </c>
      <c r="L462" s="6">
        <v>78.89</v>
      </c>
      <c r="M462" s="6"/>
      <c r="N462" s="6">
        <f t="shared" si="31"/>
        <v>-78.89</v>
      </c>
    </row>
    <row r="463" spans="1:14" x14ac:dyDescent="0.3">
      <c r="A463" s="8" t="str">
        <f xml:space="preserve"> _xll.EPMOlapMemberO("[CECO].[PARENTH3].[AMSA1000AC4501]","","VPAC","","000")</f>
        <v>VPAC</v>
      </c>
      <c r="B463" t="str">
        <f xml:space="preserve"> _xll.EPMOlapMemberO("[CLACO].[PARENTH1].[AMSAREMUNERACI.SS]","","Remuneraciones Super","","000")</f>
        <v>Remuneraciones Super</v>
      </c>
      <c r="C463" s="6">
        <v>2083088.63</v>
      </c>
      <c r="D463" s="6">
        <v>1727852.37</v>
      </c>
      <c r="E463" s="6">
        <f t="shared" si="28"/>
        <v>-355236.25999999978</v>
      </c>
      <c r="F463" s="6">
        <v>2674875.13</v>
      </c>
      <c r="G463" s="6">
        <v>1741329.03</v>
      </c>
      <c r="H463" s="6">
        <f t="shared" si="29"/>
        <v>-933546.09999999986</v>
      </c>
      <c r="I463" s="6">
        <v>2487394.2200000002</v>
      </c>
      <c r="J463" s="6">
        <v>2407231.09</v>
      </c>
      <c r="K463" s="6">
        <f t="shared" si="30"/>
        <v>-80163.130000000354</v>
      </c>
      <c r="L463" s="6">
        <v>2685167.5</v>
      </c>
      <c r="M463" s="6">
        <v>1094485.27</v>
      </c>
      <c r="N463" s="6">
        <f t="shared" si="31"/>
        <v>-1590682.23</v>
      </c>
    </row>
    <row r="464" spans="1:14" x14ac:dyDescent="0.3">
      <c r="A464" s="8"/>
      <c r="B464" t="str">
        <f xml:space="preserve"> _xll.EPMOlapMemberO("[CLACO].[PARENTH1].[AMSAMAT_Y_REP.2]","","Materiales y repuest","","000")</f>
        <v>Materiales y repuest</v>
      </c>
      <c r="C464" s="6"/>
      <c r="D464" s="6"/>
      <c r="E464" s="6">
        <f t="shared" si="28"/>
        <v>0</v>
      </c>
      <c r="F464" s="6">
        <v>0</v>
      </c>
      <c r="G464" s="6"/>
      <c r="H464" s="6">
        <f t="shared" si="29"/>
        <v>0</v>
      </c>
      <c r="I464" s="6">
        <v>0</v>
      </c>
      <c r="J464" s="6"/>
      <c r="K464" s="6">
        <f t="shared" si="30"/>
        <v>0</v>
      </c>
      <c r="L464" s="6"/>
      <c r="M464" s="6"/>
      <c r="N464" s="6">
        <f t="shared" si="31"/>
        <v>0</v>
      </c>
    </row>
    <row r="465" spans="1:14" x14ac:dyDescent="0.3">
      <c r="A465" s="8"/>
      <c r="B465" t="str">
        <f xml:space="preserve"> _xll.EPMOlapMemberO("[CLACO].[PARENTH1].[AMSAADM_PERSON]","","Administración Perso","","000")</f>
        <v>Administración Perso</v>
      </c>
      <c r="C465" s="6"/>
      <c r="D465" s="6"/>
      <c r="E465" s="6">
        <f t="shared" si="28"/>
        <v>0</v>
      </c>
      <c r="F465" s="6"/>
      <c r="G465" s="6"/>
      <c r="H465" s="6">
        <f t="shared" si="29"/>
        <v>0</v>
      </c>
      <c r="I465" s="6">
        <v>0</v>
      </c>
      <c r="J465" s="6"/>
      <c r="K465" s="6">
        <f t="shared" si="30"/>
        <v>0</v>
      </c>
      <c r="L465" s="6">
        <v>0</v>
      </c>
      <c r="M465" s="6"/>
      <c r="N465" s="6">
        <f t="shared" si="31"/>
        <v>0</v>
      </c>
    </row>
    <row r="466" spans="1:14" x14ac:dyDescent="0.3">
      <c r="A466" s="8"/>
      <c r="B466" t="str">
        <f xml:space="preserve"> _xll.EPMOlapMemberO("[CLACO].[PARENTH1].[AMSAENTRENAMI]","","Entrenamiento","","000")</f>
        <v>Entrenamiento</v>
      </c>
      <c r="C466" s="6"/>
      <c r="D466" s="6"/>
      <c r="E466" s="6">
        <f t="shared" si="28"/>
        <v>0</v>
      </c>
      <c r="F466" s="6"/>
      <c r="G466" s="6"/>
      <c r="H466" s="6">
        <f t="shared" si="29"/>
        <v>0</v>
      </c>
      <c r="I466" s="6">
        <v>22881.06</v>
      </c>
      <c r="J466" s="6"/>
      <c r="K466" s="6">
        <f t="shared" si="30"/>
        <v>-22881.06</v>
      </c>
      <c r="L466" s="6">
        <v>3750.79</v>
      </c>
      <c r="M466" s="6"/>
      <c r="N466" s="6">
        <f t="shared" si="31"/>
        <v>-3750.79</v>
      </c>
    </row>
    <row r="467" spans="1:14" x14ac:dyDescent="0.3">
      <c r="A467" s="8"/>
      <c r="B467" t="str">
        <f xml:space="preserve"> _xll.EPMOlapMemberO("[CLACO].[PARENTH1].[AMSAASESORIAS]","","Asesorías y Consulto","","000")</f>
        <v>Asesorías y Consulto</v>
      </c>
      <c r="C467" s="6">
        <v>111877.75</v>
      </c>
      <c r="D467" s="6">
        <v>115631.27</v>
      </c>
      <c r="E467" s="6">
        <f t="shared" si="28"/>
        <v>3753.5200000000041</v>
      </c>
      <c r="F467" s="6">
        <v>97605.48</v>
      </c>
      <c r="G467" s="6">
        <v>111921.84</v>
      </c>
      <c r="H467" s="6">
        <f t="shared" si="29"/>
        <v>14316.36</v>
      </c>
      <c r="I467" s="6">
        <v>106421.62</v>
      </c>
      <c r="J467" s="6">
        <v>107533.45</v>
      </c>
      <c r="K467" s="6">
        <f t="shared" si="30"/>
        <v>1111.8300000000017</v>
      </c>
      <c r="L467" s="6">
        <v>71106.28</v>
      </c>
      <c r="M467" s="6">
        <v>83438.81</v>
      </c>
      <c r="N467" s="6">
        <f t="shared" si="31"/>
        <v>12332.529999999999</v>
      </c>
    </row>
    <row r="468" spans="1:14" x14ac:dyDescent="0.3">
      <c r="A468" s="8"/>
      <c r="B468" t="str">
        <f xml:space="preserve"> _xll.EPMOlapMemberO("[CLACO].[PARENTH1].[AMSASERVICIOS]","","Servicios","","000")</f>
        <v>Servicios</v>
      </c>
      <c r="C468" s="6"/>
      <c r="D468" s="6"/>
      <c r="E468" s="6">
        <f t="shared" si="28"/>
        <v>0</v>
      </c>
      <c r="F468" s="6">
        <v>31863.46</v>
      </c>
      <c r="G468" s="6"/>
      <c r="H468" s="6">
        <f t="shared" si="29"/>
        <v>-31863.46</v>
      </c>
      <c r="I468" s="6">
        <v>1412.17</v>
      </c>
      <c r="J468" s="6"/>
      <c r="K468" s="6">
        <f t="shared" si="30"/>
        <v>-1412.17</v>
      </c>
      <c r="L468" s="6">
        <v>2332.5300000000002</v>
      </c>
      <c r="M468" s="6"/>
      <c r="N468" s="6">
        <f t="shared" si="31"/>
        <v>-2332.5300000000002</v>
      </c>
    </row>
    <row r="469" spans="1:14" x14ac:dyDescent="0.3">
      <c r="A469" s="8"/>
      <c r="B469" t="str">
        <f xml:space="preserve"> _xll.EPMOlapMemberO("[CLACO].[PARENTH1].[AMSASERMANTO.REPA]","","Servicios Mantenimie","","000")</f>
        <v>Servicios Mantenimie</v>
      </c>
      <c r="C469" s="6"/>
      <c r="D469" s="6"/>
      <c r="E469" s="6">
        <f t="shared" si="28"/>
        <v>0</v>
      </c>
      <c r="F469" s="6">
        <v>0</v>
      </c>
      <c r="G469" s="6"/>
      <c r="H469" s="6">
        <f t="shared" si="29"/>
        <v>0</v>
      </c>
      <c r="I469" s="6"/>
      <c r="J469" s="6"/>
      <c r="K469" s="6">
        <f t="shared" si="30"/>
        <v>0</v>
      </c>
      <c r="L469" s="6">
        <v>0</v>
      </c>
      <c r="M469" s="6"/>
      <c r="N469" s="6">
        <f t="shared" si="31"/>
        <v>0</v>
      </c>
    </row>
    <row r="470" spans="1:14" x14ac:dyDescent="0.3">
      <c r="A470" s="8"/>
      <c r="B470" t="str">
        <f xml:space="preserve"> _xll.EPMOlapMemberO("[CLACO].[PARENTH1].[AMSAINFORMATIC]","","Informática y Comuni","","000")</f>
        <v>Informática y Comuni</v>
      </c>
      <c r="C470" s="6">
        <v>1916.25</v>
      </c>
      <c r="D470" s="6">
        <v>3091.48</v>
      </c>
      <c r="E470" s="6">
        <f t="shared" si="28"/>
        <v>1175.23</v>
      </c>
      <c r="F470" s="6">
        <v>5215.63</v>
      </c>
      <c r="G470" s="6">
        <v>3094.58</v>
      </c>
      <c r="H470" s="6">
        <f t="shared" si="29"/>
        <v>-2121.0500000000002</v>
      </c>
      <c r="I470" s="6">
        <v>6316.2</v>
      </c>
      <c r="J470" s="6">
        <v>4214.0600000000004</v>
      </c>
      <c r="K470" s="6">
        <f t="shared" si="30"/>
        <v>-2102.1399999999994</v>
      </c>
      <c r="L470" s="6">
        <v>12615.15</v>
      </c>
      <c r="M470" s="6">
        <v>2466.54</v>
      </c>
      <c r="N470" s="6">
        <f t="shared" si="31"/>
        <v>-10148.61</v>
      </c>
    </row>
    <row r="471" spans="1:14" x14ac:dyDescent="0.3">
      <c r="A471" s="8"/>
      <c r="B471" t="str">
        <f xml:space="preserve"> _xll.EPMOlapMemberO("[CLACO].[PARENTH1].[AMSAG_VIAJES]","","Gastos de Viajes","","000")</f>
        <v>Gastos de Viajes</v>
      </c>
      <c r="C471" s="6">
        <v>112887</v>
      </c>
      <c r="D471" s="6">
        <v>41629.040000000001</v>
      </c>
      <c r="E471" s="6">
        <f t="shared" si="28"/>
        <v>-71257.959999999992</v>
      </c>
      <c r="F471" s="6">
        <v>85673.78</v>
      </c>
      <c r="G471" s="6">
        <v>73483.520000000004</v>
      </c>
      <c r="H471" s="6">
        <f t="shared" si="29"/>
        <v>-12190.259999999995</v>
      </c>
      <c r="I471" s="6">
        <v>91676.59</v>
      </c>
      <c r="J471" s="6">
        <v>99528</v>
      </c>
      <c r="K471" s="6">
        <f t="shared" si="30"/>
        <v>7851.4100000000035</v>
      </c>
      <c r="L471" s="6">
        <v>62605.64</v>
      </c>
      <c r="M471" s="6">
        <v>78331.199999999997</v>
      </c>
      <c r="N471" s="6">
        <f t="shared" si="31"/>
        <v>15725.559999999998</v>
      </c>
    </row>
    <row r="472" spans="1:14" x14ac:dyDescent="0.3">
      <c r="A472" s="8"/>
      <c r="B472" t="str">
        <f xml:space="preserve"> _xll.EPMOlapMemberO("[CLACO].[PARENTH1].[AMSASEGUROS]","","Seguros","","000")</f>
        <v>Seguros</v>
      </c>
      <c r="C472" s="6"/>
      <c r="D472" s="6"/>
      <c r="E472" s="6">
        <f t="shared" si="28"/>
        <v>0</v>
      </c>
      <c r="F472" s="6">
        <v>0</v>
      </c>
      <c r="G472" s="6"/>
      <c r="H472" s="6">
        <f t="shared" si="29"/>
        <v>0</v>
      </c>
      <c r="I472" s="6"/>
      <c r="J472" s="6"/>
      <c r="K472" s="6">
        <f t="shared" si="30"/>
        <v>0</v>
      </c>
      <c r="L472" s="6"/>
      <c r="M472" s="6"/>
      <c r="N472" s="6">
        <f t="shared" si="31"/>
        <v>0</v>
      </c>
    </row>
    <row r="473" spans="1:14" x14ac:dyDescent="0.3">
      <c r="A473" s="8"/>
      <c r="B473" t="str">
        <f xml:space="preserve"> _xll.EPMOlapMemberO("[CLACO].[PARENTH1].[AMSAGGENERALES.2]","","Otros Gastos","","000")</f>
        <v>Otros Gastos</v>
      </c>
      <c r="C473" s="6">
        <v>85276.98</v>
      </c>
      <c r="D473" s="6">
        <v>4193.75</v>
      </c>
      <c r="E473" s="6">
        <f t="shared" si="28"/>
        <v>-81083.23</v>
      </c>
      <c r="F473" s="6">
        <v>2182.25</v>
      </c>
      <c r="G473" s="6">
        <v>4172.05</v>
      </c>
      <c r="H473" s="6">
        <f t="shared" si="29"/>
        <v>1989.8000000000002</v>
      </c>
      <c r="I473" s="6">
        <v>10886.75</v>
      </c>
      <c r="J473" s="6">
        <v>3052.89</v>
      </c>
      <c r="K473" s="6">
        <f t="shared" si="30"/>
        <v>-7833.8600000000006</v>
      </c>
      <c r="L473" s="6">
        <v>19731.02</v>
      </c>
      <c r="M473" s="6">
        <v>7961.99</v>
      </c>
      <c r="N473" s="6">
        <f t="shared" si="31"/>
        <v>-11769.03</v>
      </c>
    </row>
    <row r="474" spans="1:14" x14ac:dyDescent="0.3">
      <c r="A474" s="8" t="str">
        <f xml:space="preserve"> _xll.EPMOlapMemberO("[CECO].[PARENTH3].[AMSA1000AC4502]","","Gcia de Asuntos Públ","","000")</f>
        <v>Gcia de Asuntos Públ</v>
      </c>
      <c r="B474" t="str">
        <f xml:space="preserve"> _xll.EPMOlapMemberO("[CLACO].[PARENTH1].[AMSAREMUNERACI.SS]","","Remuneraciones Super","","000")</f>
        <v>Remuneraciones Super</v>
      </c>
      <c r="C474" s="6">
        <v>1249305.73</v>
      </c>
      <c r="D474" s="6">
        <v>1268892.7</v>
      </c>
      <c r="E474" s="6">
        <f t="shared" si="28"/>
        <v>19586.969999999972</v>
      </c>
      <c r="F474" s="6">
        <v>1711675.76</v>
      </c>
      <c r="G474" s="6">
        <v>1197081.7</v>
      </c>
      <c r="H474" s="6">
        <f t="shared" si="29"/>
        <v>-514594.06000000006</v>
      </c>
      <c r="I474" s="6">
        <v>1383975.75</v>
      </c>
      <c r="J474" s="6">
        <v>1866690.46</v>
      </c>
      <c r="K474" s="6">
        <f t="shared" si="30"/>
        <v>482714.70999999996</v>
      </c>
      <c r="L474" s="6">
        <v>881227.37</v>
      </c>
      <c r="M474" s="6">
        <v>1408938.14</v>
      </c>
      <c r="N474" s="6">
        <f t="shared" si="31"/>
        <v>527710.7699999999</v>
      </c>
    </row>
    <row r="475" spans="1:14" x14ac:dyDescent="0.3">
      <c r="A475" s="8"/>
      <c r="B475" t="str">
        <f xml:space="preserve"> _xll.EPMOlapMemberO("[CLACO].[PARENTH1].[AMSAMAT_Y_REP.2]","","Materiales y repuest","","000")</f>
        <v>Materiales y repuest</v>
      </c>
      <c r="C475" s="6"/>
      <c r="D475" s="6"/>
      <c r="E475" s="6">
        <f t="shared" si="28"/>
        <v>0</v>
      </c>
      <c r="F475" s="6">
        <v>0</v>
      </c>
      <c r="G475" s="6"/>
      <c r="H475" s="6">
        <f t="shared" si="29"/>
        <v>0</v>
      </c>
      <c r="I475" s="6"/>
      <c r="J475" s="6"/>
      <c r="K475" s="6">
        <f t="shared" si="30"/>
        <v>0</v>
      </c>
      <c r="L475" s="6"/>
      <c r="M475" s="6"/>
      <c r="N475" s="6">
        <f t="shared" si="31"/>
        <v>0</v>
      </c>
    </row>
    <row r="476" spans="1:14" x14ac:dyDescent="0.3">
      <c r="A476" s="8"/>
      <c r="B476" t="str">
        <f xml:space="preserve"> _xll.EPMOlapMemberO("[CLACO].[PARENTH1].[AMSAADM_PERSON]","","Administración Perso","","000")</f>
        <v>Administración Perso</v>
      </c>
      <c r="C476" s="6"/>
      <c r="D476" s="6"/>
      <c r="E476" s="6">
        <f t="shared" si="28"/>
        <v>0</v>
      </c>
      <c r="F476" s="6"/>
      <c r="G476" s="6"/>
      <c r="H476" s="6">
        <f t="shared" si="29"/>
        <v>0</v>
      </c>
      <c r="I476" s="6"/>
      <c r="J476" s="6"/>
      <c r="K476" s="6">
        <f t="shared" si="30"/>
        <v>0</v>
      </c>
      <c r="L476" s="6">
        <v>0</v>
      </c>
      <c r="M476" s="6"/>
      <c r="N476" s="6">
        <f t="shared" si="31"/>
        <v>0</v>
      </c>
    </row>
    <row r="477" spans="1:14" x14ac:dyDescent="0.3">
      <c r="A477" s="8"/>
      <c r="B477" t="str">
        <f xml:space="preserve"> _xll.EPMOlapMemberO("[CLACO].[PARENTH1].[AMSAENTRENAMI]","","Entrenamiento","","000")</f>
        <v>Entrenamiento</v>
      </c>
      <c r="C477" s="6">
        <v>5548.41</v>
      </c>
      <c r="D477" s="6">
        <v>3858.98</v>
      </c>
      <c r="E477" s="6">
        <f t="shared" si="28"/>
        <v>-1689.4299999999998</v>
      </c>
      <c r="F477" s="6"/>
      <c r="G477" s="6">
        <v>1789.73</v>
      </c>
      <c r="H477" s="6">
        <f t="shared" si="29"/>
        <v>1789.73</v>
      </c>
      <c r="I477" s="6">
        <v>4872.6499999999996</v>
      </c>
      <c r="J477" s="6">
        <v>9158.75</v>
      </c>
      <c r="K477" s="6">
        <f t="shared" si="30"/>
        <v>4286.1000000000004</v>
      </c>
      <c r="L477" s="6">
        <v>3670.88</v>
      </c>
      <c r="M477" s="6">
        <v>9095.83</v>
      </c>
      <c r="N477" s="6">
        <f t="shared" si="31"/>
        <v>5424.95</v>
      </c>
    </row>
    <row r="478" spans="1:14" x14ac:dyDescent="0.3">
      <c r="A478" s="8"/>
      <c r="B478" t="str">
        <f xml:space="preserve"> _xll.EPMOlapMemberO("[CLACO].[PARENTH1].[AMSAASESORIAS]","","Asesorías y Consulto","","000")</f>
        <v>Asesorías y Consulto</v>
      </c>
      <c r="C478" s="6">
        <v>65823.31</v>
      </c>
      <c r="D478" s="6">
        <v>73269.05</v>
      </c>
      <c r="E478" s="6">
        <f t="shared" si="28"/>
        <v>7445.7400000000052</v>
      </c>
      <c r="F478" s="6">
        <v>110840.71</v>
      </c>
      <c r="G478" s="6">
        <v>82738.570000000007</v>
      </c>
      <c r="H478" s="6">
        <f t="shared" si="29"/>
        <v>-28102.14</v>
      </c>
      <c r="I478" s="6">
        <v>64387.8</v>
      </c>
      <c r="J478" s="6">
        <v>106795.86</v>
      </c>
      <c r="K478" s="6">
        <f t="shared" si="30"/>
        <v>42408.06</v>
      </c>
      <c r="L478" s="6">
        <v>114504</v>
      </c>
      <c r="M478" s="6">
        <v>100345.88</v>
      </c>
      <c r="N478" s="6">
        <f t="shared" si="31"/>
        <v>-14158.119999999995</v>
      </c>
    </row>
    <row r="479" spans="1:14" x14ac:dyDescent="0.3">
      <c r="A479" s="8"/>
      <c r="B479" t="str">
        <f xml:space="preserve"> _xll.EPMOlapMemberO("[CLACO].[PARENTH1].[AMSASERVICIOS]","","Servicios","","000")</f>
        <v>Servicios</v>
      </c>
      <c r="C479" s="6">
        <v>0</v>
      </c>
      <c r="D479" s="6"/>
      <c r="E479" s="6">
        <f t="shared" si="28"/>
        <v>0</v>
      </c>
      <c r="F479" s="6"/>
      <c r="G479" s="6"/>
      <c r="H479" s="6">
        <f t="shared" si="29"/>
        <v>0</v>
      </c>
      <c r="I479" s="6">
        <v>0</v>
      </c>
      <c r="J479" s="6">
        <v>1268.28</v>
      </c>
      <c r="K479" s="6">
        <f t="shared" si="30"/>
        <v>1268.28</v>
      </c>
      <c r="L479" s="6">
        <v>-7.82</v>
      </c>
      <c r="M479" s="6"/>
      <c r="N479" s="6">
        <f t="shared" si="31"/>
        <v>7.82</v>
      </c>
    </row>
    <row r="480" spans="1:14" x14ac:dyDescent="0.3">
      <c r="A480" s="8"/>
      <c r="B480" t="str">
        <f xml:space="preserve"> _xll.EPMOlapMemberO("[CLACO].[PARENTH1].[AMSASERMANTO.REPA]","","Servicios Mantenimie","","000")</f>
        <v>Servicios Mantenimie</v>
      </c>
      <c r="C480" s="6"/>
      <c r="D480" s="6"/>
      <c r="E480" s="6">
        <f t="shared" si="28"/>
        <v>0</v>
      </c>
      <c r="F480" s="6">
        <v>279.76</v>
      </c>
      <c r="G480" s="6"/>
      <c r="H480" s="6">
        <f t="shared" si="29"/>
        <v>-279.76</v>
      </c>
      <c r="I480" s="6"/>
      <c r="J480" s="6"/>
      <c r="K480" s="6">
        <f t="shared" si="30"/>
        <v>0</v>
      </c>
      <c r="L480" s="6"/>
      <c r="M480" s="6"/>
      <c r="N480" s="6">
        <f t="shared" si="31"/>
        <v>0</v>
      </c>
    </row>
    <row r="481" spans="1:14" x14ac:dyDescent="0.3">
      <c r="A481" s="8"/>
      <c r="B481" t="str">
        <f xml:space="preserve"> _xll.EPMOlapMemberO("[CLACO].[PARENTH1].[AMSAINFORMATIC]","","Informática y Comuni","","000")</f>
        <v>Informática y Comuni</v>
      </c>
      <c r="C481" s="6">
        <v>2046.5</v>
      </c>
      <c r="D481" s="6">
        <v>2936.34</v>
      </c>
      <c r="E481" s="6">
        <f t="shared" si="28"/>
        <v>889.84000000000015</v>
      </c>
      <c r="F481" s="6">
        <v>2440.71</v>
      </c>
      <c r="G481" s="6">
        <v>2068.54</v>
      </c>
      <c r="H481" s="6">
        <f t="shared" si="29"/>
        <v>-372.17000000000007</v>
      </c>
      <c r="I481" s="6">
        <v>1805.66</v>
      </c>
      <c r="J481" s="6">
        <v>1280.49</v>
      </c>
      <c r="K481" s="6">
        <f t="shared" si="30"/>
        <v>-525.17000000000007</v>
      </c>
      <c r="L481" s="6">
        <v>2127.71</v>
      </c>
      <c r="M481" s="6">
        <v>1275.68</v>
      </c>
      <c r="N481" s="6">
        <f t="shared" si="31"/>
        <v>-852.03</v>
      </c>
    </row>
    <row r="482" spans="1:14" x14ac:dyDescent="0.3">
      <c r="A482" s="8"/>
      <c r="B482" t="str">
        <f xml:space="preserve"> _xll.EPMOlapMemberO("[CLACO].[PARENTH1].[AMSAG_VIAJES]","","Gastos de Viajes","","000")</f>
        <v>Gastos de Viajes</v>
      </c>
      <c r="C482" s="6">
        <v>35463.03</v>
      </c>
      <c r="D482" s="6">
        <v>58001.22</v>
      </c>
      <c r="E482" s="6">
        <f t="shared" si="28"/>
        <v>22538.190000000002</v>
      </c>
      <c r="F482" s="6">
        <v>73962.02</v>
      </c>
      <c r="G482" s="6">
        <v>68561.56</v>
      </c>
      <c r="H482" s="6">
        <f t="shared" si="29"/>
        <v>-5400.4600000000064</v>
      </c>
      <c r="I482" s="6">
        <v>46461.04</v>
      </c>
      <c r="J482" s="6">
        <v>29625.23</v>
      </c>
      <c r="K482" s="6">
        <f t="shared" si="30"/>
        <v>-16835.810000000001</v>
      </c>
      <c r="L482" s="6">
        <v>20822.95</v>
      </c>
      <c r="M482" s="6">
        <v>39827.67</v>
      </c>
      <c r="N482" s="6">
        <f t="shared" si="31"/>
        <v>19004.719999999998</v>
      </c>
    </row>
    <row r="483" spans="1:14" x14ac:dyDescent="0.3">
      <c r="A483" s="8"/>
      <c r="B483" t="str">
        <f xml:space="preserve"> _xll.EPMOlapMemberO("[CLACO].[PARENTH1].[AMSAGGENERALES.2]","","Otros Gastos","","000")</f>
        <v>Otros Gastos</v>
      </c>
      <c r="C483" s="6">
        <v>134989.26</v>
      </c>
      <c r="D483" s="6">
        <v>142726.42000000001</v>
      </c>
      <c r="E483" s="6">
        <f t="shared" si="28"/>
        <v>7737.1600000000035</v>
      </c>
      <c r="F483" s="6">
        <v>126112.08</v>
      </c>
      <c r="G483" s="6">
        <v>133997.5</v>
      </c>
      <c r="H483" s="6">
        <f t="shared" si="29"/>
        <v>7885.4199999999983</v>
      </c>
      <c r="I483" s="6">
        <v>126567.09</v>
      </c>
      <c r="J483" s="6">
        <v>153752.35999999999</v>
      </c>
      <c r="K483" s="6">
        <f t="shared" si="30"/>
        <v>27185.26999999999</v>
      </c>
      <c r="L483" s="6">
        <v>63654.879999999997</v>
      </c>
      <c r="M483" s="6">
        <v>57714.15</v>
      </c>
      <c r="N483" s="6">
        <f t="shared" si="31"/>
        <v>-5940.7299999999959</v>
      </c>
    </row>
    <row r="484" spans="1:14" x14ac:dyDescent="0.3">
      <c r="A484" s="8"/>
      <c r="B484" t="str">
        <f xml:space="preserve"> _xll.EPMOlapMemberO("[CLACO].[PARENTH1].[AMSASERV_CORP]","","Servicios Corporativ","","000")</f>
        <v>Servicios Corporativ</v>
      </c>
      <c r="C484" s="6">
        <v>4264</v>
      </c>
      <c r="D484" s="6"/>
      <c r="E484" s="6">
        <f t="shared" si="28"/>
        <v>-4264</v>
      </c>
      <c r="F484" s="6"/>
      <c r="G484" s="6"/>
      <c r="H484" s="6">
        <f t="shared" si="29"/>
        <v>0</v>
      </c>
      <c r="I484" s="6"/>
      <c r="J484" s="6"/>
      <c r="K484" s="6">
        <f t="shared" si="30"/>
        <v>0</v>
      </c>
      <c r="L484" s="6"/>
      <c r="M484" s="6"/>
      <c r="N484" s="6">
        <f t="shared" si="31"/>
        <v>0</v>
      </c>
    </row>
    <row r="485" spans="1:14" x14ac:dyDescent="0.3">
      <c r="A485" s="8" t="str">
        <f xml:space="preserve"> _xll.EPMOlapMemberO("[CECO].[PARENTH3].[AMSA1000AC4503]","","Gcia de Comunicaci","","000")</f>
        <v>Gcia de Comunicaci</v>
      </c>
      <c r="B485" t="str">
        <f xml:space="preserve"> _xll.EPMOlapMemberO("[CLACO].[PARENTH1].[AMSAREMUNERACI.SS]","","Remuneraciones Super","","000")</f>
        <v>Remuneraciones Super</v>
      </c>
      <c r="C485" s="6">
        <v>769386</v>
      </c>
      <c r="D485" s="6">
        <v>1098968.25</v>
      </c>
      <c r="E485" s="6">
        <f t="shared" si="28"/>
        <v>329582.25</v>
      </c>
      <c r="F485" s="6">
        <v>1183286.2</v>
      </c>
      <c r="G485" s="6">
        <v>1126799.18</v>
      </c>
      <c r="H485" s="6">
        <f t="shared" si="29"/>
        <v>-56487.020000000019</v>
      </c>
      <c r="I485" s="6">
        <v>1114294.5</v>
      </c>
      <c r="J485" s="6">
        <v>1203001.8400000001</v>
      </c>
      <c r="K485" s="6">
        <f t="shared" si="30"/>
        <v>88707.340000000084</v>
      </c>
      <c r="L485" s="6">
        <v>1199302.78</v>
      </c>
      <c r="M485" s="6">
        <v>1290803.3799999999</v>
      </c>
      <c r="N485" s="6">
        <f t="shared" si="31"/>
        <v>91500.59999999986</v>
      </c>
    </row>
    <row r="486" spans="1:14" x14ac:dyDescent="0.3">
      <c r="A486" s="8"/>
      <c r="B486" t="str">
        <f xml:space="preserve"> _xll.EPMOlapMemberO("[CLACO].[PARENTH1].[AMSAMAT_Y_REP.2]","","Materiales y repuest","","000")</f>
        <v>Materiales y repuest</v>
      </c>
      <c r="C486" s="6"/>
      <c r="D486" s="6"/>
      <c r="E486" s="6">
        <f t="shared" si="28"/>
        <v>0</v>
      </c>
      <c r="F486" s="6">
        <v>0</v>
      </c>
      <c r="G486" s="6"/>
      <c r="H486" s="6">
        <f t="shared" si="29"/>
        <v>0</v>
      </c>
      <c r="I486" s="6"/>
      <c r="J486" s="6"/>
      <c r="K486" s="6">
        <f t="shared" si="30"/>
        <v>0</v>
      </c>
      <c r="L486" s="6"/>
      <c r="M486" s="6"/>
      <c r="N486" s="6">
        <f t="shared" si="31"/>
        <v>0</v>
      </c>
    </row>
    <row r="487" spans="1:14" x14ac:dyDescent="0.3">
      <c r="A487" s="8"/>
      <c r="B487" t="str">
        <f xml:space="preserve"> _xll.EPMOlapMemberO("[CLACO].[PARENTH1].[AMSAENTRENAMI]","","Entrenamiento","","000")</f>
        <v>Entrenamiento</v>
      </c>
      <c r="C487" s="6"/>
      <c r="D487" s="6"/>
      <c r="E487" s="6">
        <f t="shared" si="28"/>
        <v>0</v>
      </c>
      <c r="F487" s="6">
        <v>1880.73</v>
      </c>
      <c r="G487" s="6"/>
      <c r="H487" s="6">
        <f t="shared" si="29"/>
        <v>-1880.73</v>
      </c>
      <c r="I487" s="6">
        <v>0</v>
      </c>
      <c r="J487" s="6"/>
      <c r="K487" s="6">
        <f t="shared" si="30"/>
        <v>0</v>
      </c>
      <c r="L487" s="6">
        <v>216.95</v>
      </c>
      <c r="M487" s="6"/>
      <c r="N487" s="6">
        <f t="shared" si="31"/>
        <v>-216.95</v>
      </c>
    </row>
    <row r="488" spans="1:14" x14ac:dyDescent="0.3">
      <c r="A488" s="8"/>
      <c r="B488" t="str">
        <f xml:space="preserve"> _xll.EPMOlapMemberO("[CLACO].[PARENTH1].[AMSAASESORIAS]","","Asesorías y Consulto","","000")</f>
        <v>Asesorías y Consulto</v>
      </c>
      <c r="C488" s="6">
        <v>340024.06</v>
      </c>
      <c r="D488" s="6">
        <v>318049.06</v>
      </c>
      <c r="E488" s="6">
        <f t="shared" si="28"/>
        <v>-21975</v>
      </c>
      <c r="F488" s="6">
        <v>223480.9</v>
      </c>
      <c r="G488" s="6">
        <v>205832.59</v>
      </c>
      <c r="H488" s="6">
        <f t="shared" si="29"/>
        <v>-17648.309999999998</v>
      </c>
      <c r="I488" s="6">
        <v>257903.47</v>
      </c>
      <c r="J488" s="6">
        <v>151551.41</v>
      </c>
      <c r="K488" s="6">
        <f t="shared" si="30"/>
        <v>-106352.06</v>
      </c>
      <c r="L488" s="6">
        <v>79342.13</v>
      </c>
      <c r="M488" s="6">
        <v>40779.96</v>
      </c>
      <c r="N488" s="6">
        <f t="shared" si="31"/>
        <v>-38562.170000000006</v>
      </c>
    </row>
    <row r="489" spans="1:14" x14ac:dyDescent="0.3">
      <c r="A489" s="8"/>
      <c r="B489" t="str">
        <f xml:space="preserve"> _xll.EPMOlapMemberO("[CLACO].[PARENTH1].[AMSASERVICIOS]","","Servicios","","000")</f>
        <v>Servicios</v>
      </c>
      <c r="C489" s="6">
        <v>453.79</v>
      </c>
      <c r="D489" s="6">
        <v>381.41</v>
      </c>
      <c r="E489" s="6">
        <f t="shared" si="28"/>
        <v>-72.38</v>
      </c>
      <c r="F489" s="6">
        <v>146.77000000000001</v>
      </c>
      <c r="G489" s="6">
        <v>447.06</v>
      </c>
      <c r="H489" s="6">
        <f t="shared" si="29"/>
        <v>300.28999999999996</v>
      </c>
      <c r="I489" s="6">
        <v>434.63</v>
      </c>
      <c r="J489" s="6">
        <v>472.16</v>
      </c>
      <c r="K489" s="6">
        <f t="shared" si="30"/>
        <v>37.53000000000003</v>
      </c>
      <c r="L489" s="6">
        <v>21841.26</v>
      </c>
      <c r="M489" s="6">
        <v>445.78</v>
      </c>
      <c r="N489" s="6">
        <f t="shared" si="31"/>
        <v>-21395.48</v>
      </c>
    </row>
    <row r="490" spans="1:14" x14ac:dyDescent="0.3">
      <c r="A490" s="8"/>
      <c r="B490" t="str">
        <f xml:space="preserve"> _xll.EPMOlapMemberO("[CLACO].[PARENTH1].[AMSAINFORMATIC]","","Informática y Comuni","","000")</f>
        <v>Informática y Comuni</v>
      </c>
      <c r="C490" s="6">
        <v>1640.41</v>
      </c>
      <c r="D490" s="6">
        <v>3913.79</v>
      </c>
      <c r="E490" s="6">
        <f t="shared" si="28"/>
        <v>2273.38</v>
      </c>
      <c r="F490" s="6">
        <v>5755.6</v>
      </c>
      <c r="G490" s="6">
        <v>71463.06</v>
      </c>
      <c r="H490" s="6">
        <f t="shared" si="29"/>
        <v>65707.459999999992</v>
      </c>
      <c r="I490" s="6">
        <v>8169.14</v>
      </c>
      <c r="J490" s="6">
        <v>31417.49</v>
      </c>
      <c r="K490" s="6">
        <f t="shared" si="30"/>
        <v>23248.350000000002</v>
      </c>
      <c r="L490" s="6">
        <v>119372.77</v>
      </c>
      <c r="M490" s="6">
        <v>167511.69</v>
      </c>
      <c r="N490" s="6">
        <f t="shared" si="31"/>
        <v>48138.92</v>
      </c>
    </row>
    <row r="491" spans="1:14" x14ac:dyDescent="0.3">
      <c r="A491" s="8"/>
      <c r="B491" t="str">
        <f xml:space="preserve"> _xll.EPMOlapMemberO("[CLACO].[PARENTH1].[AMSAG_VIAJES]","","Gastos de Viajes","","000")</f>
        <v>Gastos de Viajes</v>
      </c>
      <c r="C491" s="6">
        <v>17486.29</v>
      </c>
      <c r="D491" s="6">
        <v>6064.19</v>
      </c>
      <c r="E491" s="6">
        <f t="shared" si="28"/>
        <v>-11422.100000000002</v>
      </c>
      <c r="F491" s="6">
        <v>7732.22</v>
      </c>
      <c r="G491" s="6">
        <v>7439.59</v>
      </c>
      <c r="H491" s="6">
        <f t="shared" si="29"/>
        <v>-292.63000000000011</v>
      </c>
      <c r="I491" s="6">
        <v>33832.6</v>
      </c>
      <c r="J491" s="6">
        <v>7754.38</v>
      </c>
      <c r="K491" s="6">
        <f t="shared" si="30"/>
        <v>-26078.219999999998</v>
      </c>
      <c r="L491" s="6">
        <v>19142.830000000002</v>
      </c>
      <c r="M491" s="6">
        <v>7577.55</v>
      </c>
      <c r="N491" s="6">
        <f t="shared" si="31"/>
        <v>-11565.280000000002</v>
      </c>
    </row>
    <row r="492" spans="1:14" x14ac:dyDescent="0.3">
      <c r="A492" s="8"/>
      <c r="B492" t="str">
        <f xml:space="preserve"> _xll.EPMOlapMemberO("[CLACO].[PARENTH1].[AMSAIMP_PATEN]","","Impuestos / Patentes","","000")</f>
        <v>Impuestos / Patentes</v>
      </c>
      <c r="C492" s="6">
        <v>23125.5</v>
      </c>
      <c r="D492" s="6">
        <v>69350.320000000007</v>
      </c>
      <c r="E492" s="6">
        <f t="shared" si="28"/>
        <v>46224.820000000007</v>
      </c>
      <c r="F492" s="6">
        <v>14572.1</v>
      </c>
      <c r="G492" s="6">
        <v>61567.41</v>
      </c>
      <c r="H492" s="6">
        <f t="shared" si="29"/>
        <v>46995.310000000005</v>
      </c>
      <c r="I492" s="6">
        <v>35699.67</v>
      </c>
      <c r="J492" s="6">
        <v>54877.5</v>
      </c>
      <c r="K492" s="6">
        <f t="shared" si="30"/>
        <v>19177.830000000002</v>
      </c>
      <c r="L492" s="6">
        <v>65267.87</v>
      </c>
      <c r="M492" s="6">
        <v>40494.28</v>
      </c>
      <c r="N492" s="6">
        <f t="shared" si="31"/>
        <v>-24773.590000000004</v>
      </c>
    </row>
    <row r="493" spans="1:14" x14ac:dyDescent="0.3">
      <c r="A493" s="8"/>
      <c r="B493" t="str">
        <f xml:space="preserve"> _xll.EPMOlapMemberO("[CLACO].[PARENTH1].[AMSAGGENERALES.2]","","Otros Gastos","","000")</f>
        <v>Otros Gastos</v>
      </c>
      <c r="C493" s="6">
        <v>242533.17</v>
      </c>
      <c r="D493" s="6">
        <v>266003.84999999998</v>
      </c>
      <c r="E493" s="6">
        <f t="shared" si="28"/>
        <v>23470.679999999964</v>
      </c>
      <c r="F493" s="6">
        <v>4269799.88</v>
      </c>
      <c r="G493" s="6">
        <v>3917537.85</v>
      </c>
      <c r="H493" s="6">
        <f t="shared" si="29"/>
        <v>-352262.0299999998</v>
      </c>
      <c r="I493" s="6">
        <v>171407.33</v>
      </c>
      <c r="J493" s="6">
        <v>202041.54</v>
      </c>
      <c r="K493" s="6">
        <f t="shared" si="30"/>
        <v>30634.210000000021</v>
      </c>
      <c r="L493" s="6">
        <v>281524.15999999997</v>
      </c>
      <c r="M493" s="6">
        <v>329989.78999999998</v>
      </c>
      <c r="N493" s="6">
        <f t="shared" si="31"/>
        <v>48465.630000000005</v>
      </c>
    </row>
    <row r="494" spans="1:14" x14ac:dyDescent="0.3">
      <c r="A494" s="8" t="str">
        <f xml:space="preserve"> _xll.EPMOlapMemberO("[CECO].[PARENTH3].[AMSA1000AC4505]","","Subg Protección Indu","","000")</f>
        <v>Subg Protección Indu</v>
      </c>
      <c r="B494" t="str">
        <f xml:space="preserve"> _xll.EPMOlapMemberO("[CLACO].[PARENTH1].[AMSAENTRENAMI]","","Entrenamiento","","000")</f>
        <v>Entrenamiento</v>
      </c>
      <c r="C494" s="6"/>
      <c r="D494" s="6"/>
      <c r="E494" s="6">
        <f t="shared" si="28"/>
        <v>0</v>
      </c>
      <c r="F494" s="6"/>
      <c r="G494" s="6">
        <v>3051.87</v>
      </c>
      <c r="H494" s="6">
        <f t="shared" si="29"/>
        <v>3051.87</v>
      </c>
      <c r="I494" s="6"/>
      <c r="J494" s="6">
        <v>3857</v>
      </c>
      <c r="K494" s="6">
        <f t="shared" si="30"/>
        <v>3857</v>
      </c>
      <c r="L494" s="6">
        <v>1616.1</v>
      </c>
      <c r="M494" s="6">
        <v>3843.7</v>
      </c>
      <c r="N494" s="6">
        <f t="shared" si="31"/>
        <v>2227.6</v>
      </c>
    </row>
    <row r="495" spans="1:14" x14ac:dyDescent="0.3">
      <c r="A495" s="8"/>
      <c r="B495" t="str">
        <f xml:space="preserve"> _xll.EPMOlapMemberO("[CLACO].[PARENTH1].[AMSAASESORIAS]","","Asesorías y Consulto","","000")</f>
        <v>Asesorías y Consulto</v>
      </c>
      <c r="C495" s="6"/>
      <c r="D495" s="6"/>
      <c r="E495" s="6">
        <f t="shared" si="28"/>
        <v>0</v>
      </c>
      <c r="F495" s="6">
        <v>34565.870000000003</v>
      </c>
      <c r="G495" s="6">
        <v>68408.22</v>
      </c>
      <c r="H495" s="6">
        <f t="shared" si="29"/>
        <v>33842.35</v>
      </c>
      <c r="I495" s="6">
        <v>73678.31</v>
      </c>
      <c r="J495" s="6">
        <v>88440.5</v>
      </c>
      <c r="K495" s="6">
        <f t="shared" si="30"/>
        <v>14762.190000000002</v>
      </c>
      <c r="L495" s="6">
        <v>94794.58</v>
      </c>
      <c r="M495" s="6">
        <v>85861.86</v>
      </c>
      <c r="N495" s="6">
        <f t="shared" si="31"/>
        <v>-8932.7200000000012</v>
      </c>
    </row>
    <row r="496" spans="1:14" x14ac:dyDescent="0.3">
      <c r="A496" s="8"/>
      <c r="B496" t="str">
        <f xml:space="preserve"> _xll.EPMOlapMemberO("[CLACO].[PARENTH1].[AMSAINFORMATIC]","","Informática y Comuni","","000")</f>
        <v>Informática y Comuni</v>
      </c>
      <c r="C496" s="6"/>
      <c r="D496" s="6"/>
      <c r="E496" s="6">
        <f t="shared" si="28"/>
        <v>0</v>
      </c>
      <c r="F496" s="6">
        <v>174.25</v>
      </c>
      <c r="G496" s="6"/>
      <c r="H496" s="6">
        <f t="shared" si="29"/>
        <v>-174.25</v>
      </c>
      <c r="I496" s="6">
        <v>562.15</v>
      </c>
      <c r="J496" s="6">
        <v>432.71</v>
      </c>
      <c r="K496" s="6">
        <f t="shared" si="30"/>
        <v>-129.44</v>
      </c>
      <c r="L496" s="6">
        <v>475.1</v>
      </c>
      <c r="M496" s="6">
        <v>502.94</v>
      </c>
      <c r="N496" s="6">
        <f t="shared" si="31"/>
        <v>27.839999999999975</v>
      </c>
    </row>
    <row r="497" spans="1:14" x14ac:dyDescent="0.3">
      <c r="A497" s="8"/>
      <c r="B497" t="str">
        <f xml:space="preserve"> _xll.EPMOlapMemberO("[CLACO].[PARENTH1].[AMSAG_VIAJES]","","Gastos de Viajes","","000")</f>
        <v>Gastos de Viajes</v>
      </c>
      <c r="C497" s="6"/>
      <c r="D497" s="6"/>
      <c r="E497" s="6">
        <f t="shared" si="28"/>
        <v>0</v>
      </c>
      <c r="F497" s="6">
        <v>6301.28</v>
      </c>
      <c r="G497" s="6">
        <v>27494.639999999999</v>
      </c>
      <c r="H497" s="6">
        <f t="shared" si="29"/>
        <v>21193.360000000001</v>
      </c>
      <c r="I497" s="6">
        <v>8190.12</v>
      </c>
      <c r="J497" s="6">
        <v>12332.85</v>
      </c>
      <c r="K497" s="6">
        <f t="shared" si="30"/>
        <v>4142.7300000000005</v>
      </c>
      <c r="L497" s="6">
        <v>10339.85</v>
      </c>
      <c r="M497" s="6">
        <v>16816.98</v>
      </c>
      <c r="N497" s="6">
        <f t="shared" si="31"/>
        <v>6477.1299999999992</v>
      </c>
    </row>
    <row r="498" spans="1:14" x14ac:dyDescent="0.3">
      <c r="A498" s="8"/>
      <c r="B498" t="str">
        <f xml:space="preserve"> _xll.EPMOlapMemberO("[CLACO].[PARENTH1].[AMSAGGENERALES.2]","","Otros Gastos","","000")</f>
        <v>Otros Gastos</v>
      </c>
      <c r="C498" s="6"/>
      <c r="D498" s="6"/>
      <c r="E498" s="6">
        <f t="shared" si="28"/>
        <v>0</v>
      </c>
      <c r="F498" s="6"/>
      <c r="G498" s="6">
        <v>2325.87</v>
      </c>
      <c r="H498" s="6">
        <f t="shared" si="29"/>
        <v>2325.87</v>
      </c>
      <c r="I498" s="6">
        <v>214.36</v>
      </c>
      <c r="J498" s="6">
        <v>2884.71</v>
      </c>
      <c r="K498" s="6">
        <f t="shared" si="30"/>
        <v>2670.35</v>
      </c>
      <c r="L498" s="6">
        <v>433.51</v>
      </c>
      <c r="M498" s="6">
        <v>2718.68</v>
      </c>
      <c r="N498" s="6">
        <f t="shared" si="31"/>
        <v>2285.17</v>
      </c>
    </row>
    <row r="499" spans="1:14" x14ac:dyDescent="0.3">
      <c r="A499" s="8" t="str">
        <f xml:space="preserve"> _xll.EPMOlapMemberO("[CECO].[PARENTH3].[AMSA1000AC4507]","","Asuntos Corp. Norte","","000")</f>
        <v>Asuntos Corp. Norte</v>
      </c>
      <c r="B499" t="str">
        <f xml:space="preserve"> _xll.EPMOlapMemberO("[CLACO].[PARENTH1].[AMSAREMUNERACI.EE]","","Remuneraciones emple","","000")</f>
        <v>Remuneraciones emple</v>
      </c>
      <c r="C499" s="6"/>
      <c r="D499" s="6"/>
      <c r="E499" s="6">
        <f t="shared" si="28"/>
        <v>0</v>
      </c>
      <c r="F499" s="6"/>
      <c r="G499" s="6"/>
      <c r="H499" s="6">
        <f t="shared" si="29"/>
        <v>0</v>
      </c>
      <c r="I499" s="6">
        <v>-43.53</v>
      </c>
      <c r="J499" s="6"/>
      <c r="K499" s="6">
        <f t="shared" si="30"/>
        <v>43.53</v>
      </c>
      <c r="L499" s="6">
        <v>2491.09</v>
      </c>
      <c r="M499" s="6"/>
      <c r="N499" s="6">
        <f t="shared" si="31"/>
        <v>-2491.09</v>
      </c>
    </row>
    <row r="500" spans="1:14" x14ac:dyDescent="0.3">
      <c r="A500" s="8"/>
      <c r="B500" t="str">
        <f xml:space="preserve"> _xll.EPMOlapMemberO("[CLACO].[PARENTH1].[AMSAREMUNERACI.SS]","","Remuneraciones Super","","000")</f>
        <v>Remuneraciones Super</v>
      </c>
      <c r="C500" s="6">
        <v>1791793.61</v>
      </c>
      <c r="D500" s="6">
        <v>2088440.88</v>
      </c>
      <c r="E500" s="6">
        <f t="shared" si="28"/>
        <v>296647.26999999979</v>
      </c>
      <c r="F500" s="6">
        <v>2103773.4700000002</v>
      </c>
      <c r="G500" s="6">
        <v>2042223.62</v>
      </c>
      <c r="H500" s="6">
        <f t="shared" si="29"/>
        <v>-61549.850000000093</v>
      </c>
      <c r="I500" s="6">
        <v>1912414.03</v>
      </c>
      <c r="J500" s="6">
        <v>2236911.62</v>
      </c>
      <c r="K500" s="6">
        <f t="shared" si="30"/>
        <v>324497.59000000008</v>
      </c>
      <c r="L500" s="6">
        <v>2070998.56</v>
      </c>
      <c r="M500" s="6">
        <v>2225553.64</v>
      </c>
      <c r="N500" s="6">
        <f t="shared" si="31"/>
        <v>154555.08000000007</v>
      </c>
    </row>
    <row r="501" spans="1:14" x14ac:dyDescent="0.3">
      <c r="A501" s="8"/>
      <c r="B501" t="str">
        <f xml:space="preserve"> _xll.EPMOlapMemberO("[CLACO].[PARENTH1].[AMSAINFORMATIC]","","Informática y Comuni","","000")</f>
        <v>Informática y Comuni</v>
      </c>
      <c r="C501" s="6">
        <v>0</v>
      </c>
      <c r="D501" s="6"/>
      <c r="E501" s="6">
        <f t="shared" si="28"/>
        <v>0</v>
      </c>
      <c r="F501" s="6">
        <v>0</v>
      </c>
      <c r="G501" s="6"/>
      <c r="H501" s="6">
        <f t="shared" si="29"/>
        <v>0</v>
      </c>
      <c r="I501" s="6">
        <v>0</v>
      </c>
      <c r="J501" s="6"/>
      <c r="K501" s="6">
        <f t="shared" si="30"/>
        <v>0</v>
      </c>
      <c r="L501" s="6">
        <v>-71.69</v>
      </c>
      <c r="M501" s="6"/>
      <c r="N501" s="6">
        <f t="shared" si="31"/>
        <v>71.69</v>
      </c>
    </row>
    <row r="502" spans="1:14" x14ac:dyDescent="0.3">
      <c r="A502" s="8"/>
      <c r="B502" t="str">
        <f xml:space="preserve"> _xll.EPMOlapMemberO("[CLACO].[PARENTH1].[AMSAG_VIAJES]","","Gastos de Viajes","","000")</f>
        <v>Gastos de Viajes</v>
      </c>
      <c r="C502" s="6">
        <v>0</v>
      </c>
      <c r="D502" s="6"/>
      <c r="E502" s="6">
        <f t="shared" si="28"/>
        <v>0</v>
      </c>
      <c r="F502" s="6">
        <v>0</v>
      </c>
      <c r="G502" s="6"/>
      <c r="H502" s="6">
        <f t="shared" si="29"/>
        <v>0</v>
      </c>
      <c r="I502" s="6">
        <v>0</v>
      </c>
      <c r="J502" s="6"/>
      <c r="K502" s="6">
        <f t="shared" si="30"/>
        <v>0</v>
      </c>
      <c r="L502" s="6">
        <v>0</v>
      </c>
      <c r="M502" s="6"/>
      <c r="N502" s="6">
        <f t="shared" si="31"/>
        <v>0</v>
      </c>
    </row>
    <row r="503" spans="1:14" x14ac:dyDescent="0.3">
      <c r="A503" s="8"/>
      <c r="B503" t="str">
        <f xml:space="preserve"> _xll.EPMOlapMemberO("[CLACO].[PARENTH1].[AMSAGGENERALES.2]","","Otros Gastos","","000")</f>
        <v>Otros Gastos</v>
      </c>
      <c r="C503" s="6">
        <v>0</v>
      </c>
      <c r="D503" s="6"/>
      <c r="E503" s="6">
        <f t="shared" si="28"/>
        <v>0</v>
      </c>
      <c r="F503" s="6">
        <v>0.12</v>
      </c>
      <c r="G503" s="6"/>
      <c r="H503" s="6">
        <f t="shared" si="29"/>
        <v>-0.12</v>
      </c>
      <c r="I503" s="6">
        <v>0</v>
      </c>
      <c r="J503" s="6"/>
      <c r="K503" s="6">
        <f t="shared" si="30"/>
        <v>0</v>
      </c>
      <c r="L503" s="6">
        <v>0</v>
      </c>
      <c r="M503" s="6"/>
      <c r="N503" s="6">
        <f t="shared" si="31"/>
        <v>0</v>
      </c>
    </row>
    <row r="504" spans="1:14" x14ac:dyDescent="0.3">
      <c r="A504" s="8"/>
      <c r="B504" t="str">
        <f xml:space="preserve"> _xll.EPMOlapMemberO("[CLACO].[PARENTH1].[AMSAIFRS16]","","Arriendo por derecho","","000")</f>
        <v>Arriendo por derecho</v>
      </c>
      <c r="C504" s="6"/>
      <c r="D504" s="6"/>
      <c r="E504" s="6">
        <f t="shared" si="28"/>
        <v>0</v>
      </c>
      <c r="F504" s="6"/>
      <c r="G504" s="6"/>
      <c r="H504" s="6">
        <f t="shared" si="29"/>
        <v>0</v>
      </c>
      <c r="I504" s="6"/>
      <c r="J504" s="6"/>
      <c r="K504" s="6">
        <f t="shared" si="30"/>
        <v>0</v>
      </c>
      <c r="L504" s="6">
        <v>-23885.53</v>
      </c>
      <c r="M504" s="6"/>
      <c r="N504" s="6">
        <f t="shared" si="31"/>
        <v>23885.53</v>
      </c>
    </row>
    <row r="505" spans="1:14" x14ac:dyDescent="0.3">
      <c r="A505" s="8" t="str">
        <f xml:space="preserve"> _xll.EPMOlapMemberO("[CECO].[PARENTH3].[AMSA1000AC4508]","","Asuntos Corp. MLP","","000")</f>
        <v>Asuntos Corp. MLP</v>
      </c>
      <c r="B505" t="str">
        <f xml:space="preserve"> _xll.EPMOlapMemberO("[CLACO].[PARENTH1].[AMSAREMUNERACI.SS]","","Remuneraciones Super","","000")</f>
        <v>Remuneraciones Super</v>
      </c>
      <c r="C505" s="6">
        <v>2853092.36</v>
      </c>
      <c r="D505" s="6">
        <v>2914963.54</v>
      </c>
      <c r="E505" s="6">
        <f t="shared" si="28"/>
        <v>61871.180000000168</v>
      </c>
      <c r="F505" s="6">
        <v>3051100.11</v>
      </c>
      <c r="G505" s="6">
        <v>3062692.52</v>
      </c>
      <c r="H505" s="6">
        <f t="shared" si="29"/>
        <v>11592.410000000149</v>
      </c>
      <c r="I505" s="6">
        <v>2400416.42</v>
      </c>
      <c r="J505" s="6">
        <v>2998155.47</v>
      </c>
      <c r="K505" s="6">
        <f t="shared" si="30"/>
        <v>597739.05000000028</v>
      </c>
      <c r="L505" s="6">
        <v>2520556.2999999998</v>
      </c>
      <c r="M505" s="6">
        <v>2846572</v>
      </c>
      <c r="N505" s="6">
        <f t="shared" si="31"/>
        <v>326015.70000000019</v>
      </c>
    </row>
    <row r="506" spans="1:14" x14ac:dyDescent="0.3">
      <c r="A506" s="8"/>
      <c r="B506" t="str">
        <f xml:space="preserve"> _xll.EPMOlapMemberO("[CLACO].[PARENTH1].[AMSAMAT_Y_REP.2]","","Materiales y repuest","","000")</f>
        <v>Materiales y repuest</v>
      </c>
      <c r="C506" s="6"/>
      <c r="D506" s="6"/>
      <c r="E506" s="6">
        <f t="shared" si="28"/>
        <v>0</v>
      </c>
      <c r="F506" s="6">
        <v>0</v>
      </c>
      <c r="G506" s="6"/>
      <c r="H506" s="6">
        <f t="shared" si="29"/>
        <v>0</v>
      </c>
      <c r="I506" s="6"/>
      <c r="J506" s="6"/>
      <c r="K506" s="6">
        <f t="shared" si="30"/>
        <v>0</v>
      </c>
      <c r="L506" s="6"/>
      <c r="M506" s="6"/>
      <c r="N506" s="6">
        <f t="shared" si="31"/>
        <v>0</v>
      </c>
    </row>
    <row r="507" spans="1:14" x14ac:dyDescent="0.3">
      <c r="A507" s="8"/>
      <c r="B507" t="str">
        <f xml:space="preserve"> _xll.EPMOlapMemberO("[CLACO].[PARENTH1].[AMSAENTRENAMI]","","Entrenamiento","","000")</f>
        <v>Entrenamiento</v>
      </c>
      <c r="C507" s="6">
        <v>0</v>
      </c>
      <c r="D507" s="6"/>
      <c r="E507" s="6">
        <f t="shared" si="28"/>
        <v>0</v>
      </c>
      <c r="F507" s="6"/>
      <c r="G507" s="6"/>
      <c r="H507" s="6">
        <f t="shared" si="29"/>
        <v>0</v>
      </c>
      <c r="I507" s="6"/>
      <c r="J507" s="6"/>
      <c r="K507" s="6">
        <f t="shared" si="30"/>
        <v>0</v>
      </c>
      <c r="L507" s="6"/>
      <c r="M507" s="6"/>
      <c r="N507" s="6">
        <f t="shared" si="31"/>
        <v>0</v>
      </c>
    </row>
    <row r="508" spans="1:14" x14ac:dyDescent="0.3">
      <c r="A508" s="8"/>
      <c r="B508" t="str">
        <f xml:space="preserve"> _xll.EPMOlapMemberO("[CLACO].[PARENTH1].[AMSASERVICIOS]","","Servicios","","000")</f>
        <v>Servicios</v>
      </c>
      <c r="C508" s="6"/>
      <c r="D508" s="6"/>
      <c r="E508" s="6">
        <f t="shared" si="28"/>
        <v>0</v>
      </c>
      <c r="F508" s="6">
        <v>0</v>
      </c>
      <c r="G508" s="6"/>
      <c r="H508" s="6">
        <f t="shared" si="29"/>
        <v>0</v>
      </c>
      <c r="I508" s="6">
        <v>0</v>
      </c>
      <c r="J508" s="6"/>
      <c r="K508" s="6">
        <f t="shared" si="30"/>
        <v>0</v>
      </c>
      <c r="L508" s="6">
        <v>0</v>
      </c>
      <c r="M508" s="6"/>
      <c r="N508" s="6">
        <f t="shared" si="31"/>
        <v>0</v>
      </c>
    </row>
    <row r="509" spans="1:14" x14ac:dyDescent="0.3">
      <c r="A509" s="8"/>
      <c r="B509" t="str">
        <f xml:space="preserve"> _xll.EPMOlapMemberO("[CLACO].[PARENTH1].[AMSAINFORMATIC]","","Informática y Comuni","","000")</f>
        <v>Informática y Comuni</v>
      </c>
      <c r="C509" s="6">
        <v>0</v>
      </c>
      <c r="D509" s="6"/>
      <c r="E509" s="6">
        <f t="shared" si="28"/>
        <v>0</v>
      </c>
      <c r="F509" s="6">
        <v>0</v>
      </c>
      <c r="G509" s="6"/>
      <c r="H509" s="6">
        <f t="shared" si="29"/>
        <v>0</v>
      </c>
      <c r="I509" s="6">
        <v>0</v>
      </c>
      <c r="J509" s="6"/>
      <c r="K509" s="6">
        <f t="shared" si="30"/>
        <v>0</v>
      </c>
      <c r="L509" s="6">
        <v>0</v>
      </c>
      <c r="M509" s="6"/>
      <c r="N509" s="6">
        <f t="shared" si="31"/>
        <v>0</v>
      </c>
    </row>
    <row r="510" spans="1:14" x14ac:dyDescent="0.3">
      <c r="A510" s="8"/>
      <c r="B510" t="str">
        <f xml:space="preserve"> _xll.EPMOlapMemberO("[CLACO].[PARENTH1].[AMSAG_VIAJES]","","Gastos de Viajes","","000")</f>
        <v>Gastos de Viajes</v>
      </c>
      <c r="C510" s="6">
        <v>1397.86</v>
      </c>
      <c r="D510" s="6"/>
      <c r="E510" s="6">
        <f t="shared" si="28"/>
        <v>-1397.86</v>
      </c>
      <c r="F510" s="6">
        <v>0</v>
      </c>
      <c r="G510" s="6"/>
      <c r="H510" s="6">
        <f t="shared" si="29"/>
        <v>0</v>
      </c>
      <c r="I510" s="6">
        <v>0</v>
      </c>
      <c r="J510" s="6"/>
      <c r="K510" s="6">
        <f t="shared" si="30"/>
        <v>0</v>
      </c>
      <c r="L510" s="6">
        <v>0</v>
      </c>
      <c r="M510" s="6"/>
      <c r="N510" s="6">
        <f t="shared" si="31"/>
        <v>0</v>
      </c>
    </row>
    <row r="511" spans="1:14" x14ac:dyDescent="0.3">
      <c r="A511" s="8"/>
      <c r="B511" t="str">
        <f xml:space="preserve"> _xll.EPMOlapMemberO("[CLACO].[PARENTH1].[AMSAIMP_PATEN]","","Impuestos / Patentes","","000")</f>
        <v>Impuestos / Patentes</v>
      </c>
      <c r="C511" s="6"/>
      <c r="D511" s="6"/>
      <c r="E511" s="6">
        <f t="shared" si="28"/>
        <v>0</v>
      </c>
      <c r="F511" s="6"/>
      <c r="G511" s="6"/>
      <c r="H511" s="6">
        <f t="shared" si="29"/>
        <v>0</v>
      </c>
      <c r="I511" s="6">
        <v>0</v>
      </c>
      <c r="J511" s="6"/>
      <c r="K511" s="6">
        <f t="shared" si="30"/>
        <v>0</v>
      </c>
      <c r="L511" s="6"/>
      <c r="M511" s="6"/>
      <c r="N511" s="6">
        <f t="shared" si="31"/>
        <v>0</v>
      </c>
    </row>
    <row r="512" spans="1:14" x14ac:dyDescent="0.3">
      <c r="A512" s="8"/>
      <c r="B512" t="str">
        <f xml:space="preserve"> _xll.EPMOlapMemberO("[CLACO].[PARENTH1].[AMSAGGENERALES.2]","","Otros Gastos","","000")</f>
        <v>Otros Gastos</v>
      </c>
      <c r="C512" s="6">
        <v>0</v>
      </c>
      <c r="D512" s="6"/>
      <c r="E512" s="6">
        <f t="shared" si="28"/>
        <v>0</v>
      </c>
      <c r="F512" s="6">
        <v>0.03</v>
      </c>
      <c r="G512" s="6"/>
      <c r="H512" s="6">
        <f t="shared" si="29"/>
        <v>-0.03</v>
      </c>
      <c r="I512" s="6">
        <v>0</v>
      </c>
      <c r="J512" s="6"/>
      <c r="K512" s="6">
        <f t="shared" si="30"/>
        <v>0</v>
      </c>
      <c r="L512" s="6">
        <v>0</v>
      </c>
      <c r="M512" s="6"/>
      <c r="N512" s="6">
        <f t="shared" si="31"/>
        <v>0</v>
      </c>
    </row>
    <row r="513" spans="1:14" x14ac:dyDescent="0.3">
      <c r="A513" s="8" t="str">
        <f xml:space="preserve"> _xll.EPMOlapMemberO("[CECO].[PARENTH3].[AMSA1000AC5501]","","VPL","","000")</f>
        <v>VPL</v>
      </c>
      <c r="B513" t="str">
        <f xml:space="preserve"> _xll.EPMOlapMemberO("[CLACO].[PARENTH1].[AMSAREMUNERACI.SS]","","Remuneraciones Super","","000")</f>
        <v>Remuneraciones Super</v>
      </c>
      <c r="C513" s="6">
        <v>3836973.27</v>
      </c>
      <c r="D513" s="6">
        <v>3570348.95</v>
      </c>
      <c r="E513" s="6">
        <f t="shared" si="28"/>
        <v>-266624.31999999983</v>
      </c>
      <c r="F513" s="6">
        <v>4259234.38</v>
      </c>
      <c r="G513" s="6">
        <v>3836299.16</v>
      </c>
      <c r="H513" s="6">
        <f t="shared" si="29"/>
        <v>-422935.21999999974</v>
      </c>
      <c r="I513" s="6">
        <v>4192366.26</v>
      </c>
      <c r="J513" s="6">
        <v>4129022.34</v>
      </c>
      <c r="K513" s="6">
        <f t="shared" si="30"/>
        <v>-63343.919999999925</v>
      </c>
      <c r="L513" s="6">
        <v>5306507.82</v>
      </c>
      <c r="M513" s="6">
        <v>4128016.56</v>
      </c>
      <c r="N513" s="6">
        <f t="shared" si="31"/>
        <v>-1178491.2600000002</v>
      </c>
    </row>
    <row r="514" spans="1:14" x14ac:dyDescent="0.3">
      <c r="A514" s="8"/>
      <c r="B514" t="str">
        <f xml:space="preserve"> _xll.EPMOlapMemberO("[CLACO].[PARENTH1].[AMSAA_DESGASTE]","","Aceros de desgaste","","000")</f>
        <v>Aceros de desgaste</v>
      </c>
      <c r="C514" s="6"/>
      <c r="D514" s="6"/>
      <c r="E514" s="6">
        <f t="shared" si="28"/>
        <v>0</v>
      </c>
      <c r="F514" s="6">
        <v>0</v>
      </c>
      <c r="G514" s="6"/>
      <c r="H514" s="6">
        <f t="shared" si="29"/>
        <v>0</v>
      </c>
      <c r="I514" s="6"/>
      <c r="J514" s="6"/>
      <c r="K514" s="6">
        <f t="shared" si="30"/>
        <v>0</v>
      </c>
      <c r="L514" s="6"/>
      <c r="M514" s="6"/>
      <c r="N514" s="6">
        <f t="shared" si="31"/>
        <v>0</v>
      </c>
    </row>
    <row r="515" spans="1:14" x14ac:dyDescent="0.3">
      <c r="A515" s="8"/>
      <c r="B515" t="str">
        <f xml:space="preserve"> _xll.EPMOlapMemberO("[CLACO].[PARENTH1].[AMSAMAT_Y_REP.2]","","Materiales y repuest","","000")</f>
        <v>Materiales y repuest</v>
      </c>
      <c r="C515" s="6"/>
      <c r="D515" s="6"/>
      <c r="E515" s="6">
        <f t="shared" si="28"/>
        <v>0</v>
      </c>
      <c r="F515" s="6">
        <v>0</v>
      </c>
      <c r="G515" s="6"/>
      <c r="H515" s="6">
        <f t="shared" si="29"/>
        <v>0</v>
      </c>
      <c r="I515" s="6"/>
      <c r="J515" s="6"/>
      <c r="K515" s="6">
        <f t="shared" si="30"/>
        <v>0</v>
      </c>
      <c r="L515" s="6"/>
      <c r="M515" s="6"/>
      <c r="N515" s="6">
        <f t="shared" si="31"/>
        <v>0</v>
      </c>
    </row>
    <row r="516" spans="1:14" x14ac:dyDescent="0.3">
      <c r="A516" s="8"/>
      <c r="B516" t="str">
        <f xml:space="preserve"> _xll.EPMOlapMemberO("[CLACO].[PARENTH1].[AMSAADM_PERSON]","","Administración Perso","","000")</f>
        <v>Administración Perso</v>
      </c>
      <c r="C516" s="6">
        <v>-417.63</v>
      </c>
      <c r="D516" s="6"/>
      <c r="E516" s="6">
        <f t="shared" si="28"/>
        <v>417.63</v>
      </c>
      <c r="F516" s="6">
        <v>2040.97</v>
      </c>
      <c r="G516" s="6"/>
      <c r="H516" s="6">
        <f t="shared" si="29"/>
        <v>-2040.97</v>
      </c>
      <c r="I516" s="6">
        <v>74.52</v>
      </c>
      <c r="J516" s="6"/>
      <c r="K516" s="6">
        <f t="shared" si="30"/>
        <v>-74.52</v>
      </c>
      <c r="L516" s="6">
        <v>4380.3599999999997</v>
      </c>
      <c r="M516" s="6"/>
      <c r="N516" s="6">
        <f t="shared" si="31"/>
        <v>-4380.3599999999997</v>
      </c>
    </row>
    <row r="517" spans="1:14" x14ac:dyDescent="0.3">
      <c r="A517" s="8"/>
      <c r="B517" t="str">
        <f xml:space="preserve"> _xll.EPMOlapMemberO("[CLACO].[PARENTH1].[AMSAENTRENAMI]","","Entrenamiento","","000")</f>
        <v>Entrenamiento</v>
      </c>
      <c r="C517" s="6">
        <v>6844.67</v>
      </c>
      <c r="D517" s="6">
        <v>3792.34</v>
      </c>
      <c r="E517" s="6">
        <f t="shared" si="28"/>
        <v>-3052.33</v>
      </c>
      <c r="F517" s="6">
        <v>10896.37</v>
      </c>
      <c r="G517" s="6">
        <v>3315.34</v>
      </c>
      <c r="H517" s="6">
        <f t="shared" si="29"/>
        <v>-7581.0300000000007</v>
      </c>
      <c r="I517" s="6">
        <v>10767.07</v>
      </c>
      <c r="J517" s="6">
        <v>3541.18</v>
      </c>
      <c r="K517" s="6">
        <f t="shared" si="30"/>
        <v>-7225.8899999999994</v>
      </c>
      <c r="L517" s="6">
        <v>9990.93</v>
      </c>
      <c r="M517" s="6">
        <v>3343.33</v>
      </c>
      <c r="N517" s="6">
        <f t="shared" si="31"/>
        <v>-6647.6</v>
      </c>
    </row>
    <row r="518" spans="1:14" x14ac:dyDescent="0.3">
      <c r="A518" s="8"/>
      <c r="B518" t="str">
        <f xml:space="preserve"> _xll.EPMOlapMemberO("[CLACO].[PARENTH1].[AMSAASESORIAS]","","Asesorías y Consulto","","000")</f>
        <v>Asesorías y Consulto</v>
      </c>
      <c r="C518" s="6">
        <v>147663.44</v>
      </c>
      <c r="D518" s="6">
        <v>167126.6</v>
      </c>
      <c r="E518" s="6">
        <f t="shared" si="28"/>
        <v>19463.160000000003</v>
      </c>
      <c r="F518" s="6">
        <v>210129.82</v>
      </c>
      <c r="G518" s="6">
        <v>163615.31</v>
      </c>
      <c r="H518" s="6">
        <f t="shared" si="29"/>
        <v>-46514.510000000009</v>
      </c>
      <c r="I518" s="6">
        <v>287163.32</v>
      </c>
      <c r="J518" s="6">
        <v>252050.36</v>
      </c>
      <c r="K518" s="6">
        <f t="shared" si="30"/>
        <v>-35112.960000000021</v>
      </c>
      <c r="L518" s="6">
        <v>275803.02</v>
      </c>
      <c r="M518" s="6">
        <v>329305.45</v>
      </c>
      <c r="N518" s="6">
        <f t="shared" si="31"/>
        <v>53502.429999999993</v>
      </c>
    </row>
    <row r="519" spans="1:14" x14ac:dyDescent="0.3">
      <c r="A519" s="8"/>
      <c r="B519" t="str">
        <f xml:space="preserve"> _xll.EPMOlapMemberO("[CLACO].[PARENTH1].[AMSAARRIENDOS]","","Arriendos","","000")</f>
        <v>Arriendos</v>
      </c>
      <c r="C519" s="6"/>
      <c r="D519" s="6">
        <v>174.4</v>
      </c>
      <c r="E519" s="6">
        <f t="shared" si="28"/>
        <v>174.4</v>
      </c>
      <c r="F519" s="6"/>
      <c r="G519" s="6">
        <v>154.61000000000001</v>
      </c>
      <c r="H519" s="6">
        <f t="shared" si="29"/>
        <v>154.61000000000001</v>
      </c>
      <c r="I519" s="6"/>
      <c r="J519" s="6"/>
      <c r="K519" s="6">
        <f t="shared" si="30"/>
        <v>0</v>
      </c>
      <c r="L519" s="6"/>
      <c r="M519" s="6"/>
      <c r="N519" s="6">
        <f t="shared" si="31"/>
        <v>0</v>
      </c>
    </row>
    <row r="520" spans="1:14" x14ac:dyDescent="0.3">
      <c r="A520" s="8"/>
      <c r="B520" t="str">
        <f xml:space="preserve"> _xll.EPMOlapMemberO("[CLACO].[PARENTH1].[AMSASERVICIOS]","","Servicios","","000")</f>
        <v>Servicios</v>
      </c>
      <c r="C520" s="6">
        <v>3426.32</v>
      </c>
      <c r="D520" s="6">
        <v>10677.33</v>
      </c>
      <c r="E520" s="6">
        <f t="shared" si="28"/>
        <v>7251.01</v>
      </c>
      <c r="F520" s="6">
        <v>2157.94</v>
      </c>
      <c r="G520" s="6">
        <v>10513.86</v>
      </c>
      <c r="H520" s="6">
        <f t="shared" si="29"/>
        <v>8355.92</v>
      </c>
      <c r="I520" s="6"/>
      <c r="J520" s="6">
        <v>10515.4</v>
      </c>
      <c r="K520" s="6">
        <f t="shared" si="30"/>
        <v>10515.4</v>
      </c>
      <c r="L520" s="6">
        <v>5371.56</v>
      </c>
      <c r="M520" s="6">
        <v>10481.33</v>
      </c>
      <c r="N520" s="6">
        <f t="shared" si="31"/>
        <v>5109.7699999999995</v>
      </c>
    </row>
    <row r="521" spans="1:14" x14ac:dyDescent="0.3">
      <c r="A521" s="8"/>
      <c r="B521" t="str">
        <f xml:space="preserve"> _xll.EPMOlapMemberO("[CLACO].[PARENTH1].[AMSASERMANTO.REPA]","","Servicios Mantenimie","","000")</f>
        <v>Servicios Mantenimie</v>
      </c>
      <c r="C521" s="6"/>
      <c r="D521" s="6"/>
      <c r="E521" s="6">
        <f t="shared" si="28"/>
        <v>0</v>
      </c>
      <c r="F521" s="6">
        <v>46.58</v>
      </c>
      <c r="G521" s="6"/>
      <c r="H521" s="6">
        <f t="shared" si="29"/>
        <v>-46.58</v>
      </c>
      <c r="I521" s="6"/>
      <c r="J521" s="6"/>
      <c r="K521" s="6">
        <f t="shared" si="30"/>
        <v>0</v>
      </c>
      <c r="L521" s="6"/>
      <c r="M521" s="6"/>
      <c r="N521" s="6">
        <f t="shared" si="31"/>
        <v>0</v>
      </c>
    </row>
    <row r="522" spans="1:14" x14ac:dyDescent="0.3">
      <c r="A522" s="8"/>
      <c r="B522" t="str">
        <f xml:space="preserve"> _xll.EPMOlapMemberO("[CLACO].[PARENTH1].[AMSAINFORMATIC]","","Informática y Comuni","","000")</f>
        <v>Informática y Comuni</v>
      </c>
      <c r="C522" s="6">
        <v>56247.03</v>
      </c>
      <c r="D522" s="6">
        <v>17058.39</v>
      </c>
      <c r="E522" s="6">
        <f t="shared" si="28"/>
        <v>-39188.639999999999</v>
      </c>
      <c r="F522" s="6">
        <v>29466.03</v>
      </c>
      <c r="G522" s="6">
        <v>27253.74</v>
      </c>
      <c r="H522" s="6">
        <f t="shared" si="29"/>
        <v>-2212.2899999999972</v>
      </c>
      <c r="I522" s="6">
        <v>67299.64</v>
      </c>
      <c r="J522" s="6">
        <v>103657.3</v>
      </c>
      <c r="K522" s="6">
        <f t="shared" si="30"/>
        <v>36357.660000000003</v>
      </c>
      <c r="L522" s="6">
        <v>9572.11</v>
      </c>
      <c r="M522" s="6">
        <v>53774.42</v>
      </c>
      <c r="N522" s="6">
        <f t="shared" si="31"/>
        <v>44202.31</v>
      </c>
    </row>
    <row r="523" spans="1:14" x14ac:dyDescent="0.3">
      <c r="A523" s="8"/>
      <c r="B523" t="str">
        <f xml:space="preserve"> _xll.EPMOlapMemberO("[CLACO].[PARENTH1].[AMSAG_VIAJES]","","Gastos de Viajes","","000")</f>
        <v>Gastos de Viajes</v>
      </c>
      <c r="C523" s="6">
        <v>20968.98</v>
      </c>
      <c r="D523" s="6">
        <v>32826.79</v>
      </c>
      <c r="E523" s="6">
        <f t="shared" ref="E523:E586" si="32">+D523-C523</f>
        <v>11857.810000000001</v>
      </c>
      <c r="F523" s="6">
        <v>45216.5</v>
      </c>
      <c r="G523" s="6">
        <v>55259.09</v>
      </c>
      <c r="H523" s="6">
        <f t="shared" ref="H523:H586" si="33">+G523-F523</f>
        <v>10042.589999999997</v>
      </c>
      <c r="I523" s="6">
        <v>25267.31</v>
      </c>
      <c r="J523" s="6">
        <v>55315.07</v>
      </c>
      <c r="K523" s="6">
        <f t="shared" ref="K523:K586" si="34">+J523-I523</f>
        <v>30047.759999999998</v>
      </c>
      <c r="L523" s="6">
        <v>18053.759999999998</v>
      </c>
      <c r="M523" s="6">
        <v>55745.46</v>
      </c>
      <c r="N523" s="6">
        <f t="shared" ref="N523:N586" si="35">+M523-L523</f>
        <v>37691.699999999997</v>
      </c>
    </row>
    <row r="524" spans="1:14" x14ac:dyDescent="0.3">
      <c r="A524" s="8"/>
      <c r="B524" t="str">
        <f xml:space="preserve"> _xll.EPMOlapMemberO("[CLACO].[PARENTH1].[AMSAIMP_PATEN]","","Impuestos / Patentes","","000")</f>
        <v>Impuestos / Patentes</v>
      </c>
      <c r="C524" s="6">
        <v>2282.0500000000002</v>
      </c>
      <c r="D524" s="6">
        <v>3852.8</v>
      </c>
      <c r="E524" s="6">
        <f t="shared" si="32"/>
        <v>1570.75</v>
      </c>
      <c r="F524" s="6">
        <v>2205.7199999999998</v>
      </c>
      <c r="G524" s="6">
        <v>3420.41</v>
      </c>
      <c r="H524" s="6">
        <f t="shared" si="33"/>
        <v>1214.69</v>
      </c>
      <c r="I524" s="6">
        <v>5914.68</v>
      </c>
      <c r="J524" s="6">
        <v>3605.88</v>
      </c>
      <c r="K524" s="6">
        <f t="shared" si="34"/>
        <v>-2308.8000000000002</v>
      </c>
      <c r="L524" s="6">
        <v>13252.27</v>
      </c>
      <c r="M524" s="6">
        <v>3398.32</v>
      </c>
      <c r="N524" s="6">
        <f t="shared" si="35"/>
        <v>-9853.9500000000007</v>
      </c>
    </row>
    <row r="525" spans="1:14" x14ac:dyDescent="0.3">
      <c r="A525" s="8"/>
      <c r="B525" t="str">
        <f xml:space="preserve"> _xll.EPMOlapMemberO("[CLACO].[PARENTH1].[AMSAGGENERALES.2]","","Otros Gastos","","000")</f>
        <v>Otros Gastos</v>
      </c>
      <c r="C525" s="6">
        <v>21185.46</v>
      </c>
      <c r="D525" s="6">
        <v>19333.650000000001</v>
      </c>
      <c r="E525" s="6">
        <f t="shared" si="32"/>
        <v>-1851.8099999999977</v>
      </c>
      <c r="F525" s="6">
        <v>41779.599999999999</v>
      </c>
      <c r="G525" s="6">
        <v>22563.89</v>
      </c>
      <c r="H525" s="6">
        <f t="shared" si="33"/>
        <v>-19215.71</v>
      </c>
      <c r="I525" s="6">
        <v>51279.39</v>
      </c>
      <c r="J525" s="6">
        <v>63724.62</v>
      </c>
      <c r="K525" s="6">
        <f t="shared" si="34"/>
        <v>12445.230000000003</v>
      </c>
      <c r="L525" s="6">
        <v>17731.080000000002</v>
      </c>
      <c r="M525" s="6">
        <v>27902.9</v>
      </c>
      <c r="N525" s="6">
        <f t="shared" si="35"/>
        <v>10171.82</v>
      </c>
    </row>
    <row r="526" spans="1:14" x14ac:dyDescent="0.3">
      <c r="A526" s="8" t="str">
        <f xml:space="preserve"> _xll.EPMOlapMemberO("[CECO].[PARENTH3].[AMSA1000AC5502]","","Prop Minera","","000")</f>
        <v>Prop Minera</v>
      </c>
      <c r="B526" t="str">
        <f xml:space="preserve"> _xll.EPMOlapMemberO("[CLACO].[PARENTH1].[AMSAREMUNERACI.SS]","","Remuneraciones Super","","000")</f>
        <v>Remuneraciones Super</v>
      </c>
      <c r="C526" s="6">
        <v>649054.76</v>
      </c>
      <c r="D526" s="6">
        <v>789810.31</v>
      </c>
      <c r="E526" s="6">
        <f t="shared" si="32"/>
        <v>140755.55000000005</v>
      </c>
      <c r="F526" s="6">
        <v>893186.4</v>
      </c>
      <c r="G526" s="6">
        <v>896453.18</v>
      </c>
      <c r="H526" s="6">
        <f t="shared" si="33"/>
        <v>3266.7800000000279</v>
      </c>
      <c r="I526" s="6">
        <v>785615.99</v>
      </c>
      <c r="J526" s="6">
        <v>900096.23</v>
      </c>
      <c r="K526" s="6">
        <f t="shared" si="34"/>
        <v>114480.23999999999</v>
      </c>
      <c r="L526" s="6">
        <v>831988.72</v>
      </c>
      <c r="M526" s="6">
        <v>921774.49</v>
      </c>
      <c r="N526" s="6">
        <f t="shared" si="35"/>
        <v>89785.770000000019</v>
      </c>
    </row>
    <row r="527" spans="1:14" x14ac:dyDescent="0.3">
      <c r="A527" s="8"/>
      <c r="B527" t="str">
        <f xml:space="preserve"> _xll.EPMOlapMemberO("[CLACO].[PARENTH1].[AMSAMAT_Y_REP.2]","","Materiales y repuest","","000")</f>
        <v>Materiales y repuest</v>
      </c>
      <c r="C527" s="6"/>
      <c r="D527" s="6"/>
      <c r="E527" s="6">
        <f t="shared" si="32"/>
        <v>0</v>
      </c>
      <c r="F527" s="6">
        <v>0</v>
      </c>
      <c r="G527" s="6"/>
      <c r="H527" s="6">
        <f t="shared" si="33"/>
        <v>0</v>
      </c>
      <c r="I527" s="6"/>
      <c r="J527" s="6"/>
      <c r="K527" s="6">
        <f t="shared" si="34"/>
        <v>0</v>
      </c>
      <c r="L527" s="6"/>
      <c r="M527" s="6"/>
      <c r="N527" s="6">
        <f t="shared" si="35"/>
        <v>0</v>
      </c>
    </row>
    <row r="528" spans="1:14" x14ac:dyDescent="0.3">
      <c r="A528" s="8"/>
      <c r="B528" t="str">
        <f xml:space="preserve"> _xll.EPMOlapMemberO("[CLACO].[PARENTH1].[AMSAADM_PERSON]","","Administración Perso","","000")</f>
        <v>Administración Perso</v>
      </c>
      <c r="C528" s="6">
        <v>6.6</v>
      </c>
      <c r="D528" s="6"/>
      <c r="E528" s="6">
        <f t="shared" si="32"/>
        <v>-6.6</v>
      </c>
      <c r="F528" s="6"/>
      <c r="G528" s="6"/>
      <c r="H528" s="6">
        <f t="shared" si="33"/>
        <v>0</v>
      </c>
      <c r="I528" s="6"/>
      <c r="J528" s="6"/>
      <c r="K528" s="6">
        <f t="shared" si="34"/>
        <v>0</v>
      </c>
      <c r="L528" s="6"/>
      <c r="M528" s="6"/>
      <c r="N528" s="6">
        <f t="shared" si="35"/>
        <v>0</v>
      </c>
    </row>
    <row r="529" spans="1:14" x14ac:dyDescent="0.3">
      <c r="A529" s="8"/>
      <c r="B529" t="str">
        <f xml:space="preserve"> _xll.EPMOlapMemberO("[CLACO].[PARENTH1].[AMSAENTRENAMI]","","Entrenamiento","","000")</f>
        <v>Entrenamiento</v>
      </c>
      <c r="C529" s="6">
        <v>65.349999999999994</v>
      </c>
      <c r="D529" s="6"/>
      <c r="E529" s="6">
        <f t="shared" si="32"/>
        <v>-65.349999999999994</v>
      </c>
      <c r="F529" s="6">
        <v>247.41</v>
      </c>
      <c r="G529" s="6"/>
      <c r="H529" s="6">
        <f t="shared" si="33"/>
        <v>-247.41</v>
      </c>
      <c r="I529" s="6">
        <v>5635.94</v>
      </c>
      <c r="J529" s="6"/>
      <c r="K529" s="6">
        <f t="shared" si="34"/>
        <v>-5635.94</v>
      </c>
      <c r="L529" s="6">
        <v>2200.04</v>
      </c>
      <c r="M529" s="6"/>
      <c r="N529" s="6">
        <f t="shared" si="35"/>
        <v>-2200.04</v>
      </c>
    </row>
    <row r="530" spans="1:14" x14ac:dyDescent="0.3">
      <c r="A530" s="8"/>
      <c r="B530" t="str">
        <f xml:space="preserve"> _xll.EPMOlapMemberO("[CLACO].[PARENTH1].[AMSAASESORIAS]","","Asesorías y Consulto","","000")</f>
        <v>Asesorías y Consulto</v>
      </c>
      <c r="C530" s="6">
        <v>2402.33</v>
      </c>
      <c r="D530" s="6"/>
      <c r="E530" s="6">
        <f t="shared" si="32"/>
        <v>-2402.33</v>
      </c>
      <c r="F530" s="6">
        <v>2478.0300000000002</v>
      </c>
      <c r="G530" s="6">
        <v>18752.939999999999</v>
      </c>
      <c r="H530" s="6">
        <f t="shared" si="33"/>
        <v>16274.909999999998</v>
      </c>
      <c r="I530" s="6">
        <v>15398.96</v>
      </c>
      <c r="J530" s="6">
        <v>21225.29</v>
      </c>
      <c r="K530" s="6">
        <f t="shared" si="34"/>
        <v>5826.3300000000017</v>
      </c>
      <c r="L530" s="6">
        <v>17338.64</v>
      </c>
      <c r="M530" s="6">
        <v>20606.43</v>
      </c>
      <c r="N530" s="6">
        <f t="shared" si="35"/>
        <v>3267.7900000000009</v>
      </c>
    </row>
    <row r="531" spans="1:14" x14ac:dyDescent="0.3">
      <c r="A531" s="8"/>
      <c r="B531" t="str">
        <f xml:space="preserve"> _xll.EPMOlapMemberO("[CLACO].[PARENTH1].[AMSASERVICIOS]","","Servicios","","000")</f>
        <v>Servicios</v>
      </c>
      <c r="C531" s="6">
        <v>58902.239999999998</v>
      </c>
      <c r="D531" s="6">
        <v>62496.76</v>
      </c>
      <c r="E531" s="6">
        <f t="shared" si="32"/>
        <v>3594.5200000000041</v>
      </c>
      <c r="F531" s="6">
        <v>59714.400000000001</v>
      </c>
      <c r="G531" s="6">
        <v>66723.75</v>
      </c>
      <c r="H531" s="6">
        <f t="shared" si="33"/>
        <v>7009.3499999999985</v>
      </c>
      <c r="I531" s="6">
        <v>86710.86</v>
      </c>
      <c r="J531" s="6">
        <v>91671.74</v>
      </c>
      <c r="K531" s="6">
        <f t="shared" si="34"/>
        <v>4960.8800000000047</v>
      </c>
      <c r="L531" s="6">
        <v>63903.16</v>
      </c>
      <c r="M531" s="6">
        <v>106045.32</v>
      </c>
      <c r="N531" s="6">
        <f t="shared" si="35"/>
        <v>42142.16</v>
      </c>
    </row>
    <row r="532" spans="1:14" x14ac:dyDescent="0.3">
      <c r="A532" s="8"/>
      <c r="B532" t="str">
        <f xml:space="preserve"> _xll.EPMOlapMemberO("[CLACO].[PARENTH1].[AMSASERMANTO.REPA]","","Servicios Mantenimie","","000")</f>
        <v>Servicios Mantenimie</v>
      </c>
      <c r="C532" s="6">
        <v>-21.5</v>
      </c>
      <c r="D532" s="6">
        <v>306.70999999999998</v>
      </c>
      <c r="E532" s="6">
        <f t="shared" si="32"/>
        <v>328.21</v>
      </c>
      <c r="F532" s="6"/>
      <c r="G532" s="6"/>
      <c r="H532" s="6">
        <f t="shared" si="33"/>
        <v>0</v>
      </c>
      <c r="I532" s="6"/>
      <c r="J532" s="6"/>
      <c r="K532" s="6">
        <f t="shared" si="34"/>
        <v>0</v>
      </c>
      <c r="L532" s="6"/>
      <c r="M532" s="6"/>
      <c r="N532" s="6">
        <f t="shared" si="35"/>
        <v>0</v>
      </c>
    </row>
    <row r="533" spans="1:14" x14ac:dyDescent="0.3">
      <c r="A533" s="8"/>
      <c r="B533" t="str">
        <f xml:space="preserve"> _xll.EPMOlapMemberO("[CLACO].[PARENTH1].[AMSAINFORMATIC]","","Informática y Comuni","","000")</f>
        <v>Informática y Comuni</v>
      </c>
      <c r="C533" s="6">
        <v>272889.99</v>
      </c>
      <c r="D533" s="6">
        <v>341874.44</v>
      </c>
      <c r="E533" s="6">
        <f t="shared" si="32"/>
        <v>68984.450000000012</v>
      </c>
      <c r="F533" s="6">
        <v>304429.27</v>
      </c>
      <c r="G533" s="6">
        <v>346251.7</v>
      </c>
      <c r="H533" s="6">
        <f t="shared" si="33"/>
        <v>41822.429999999993</v>
      </c>
      <c r="I533" s="6">
        <v>281063.96999999997</v>
      </c>
      <c r="J533" s="6">
        <v>355261.64</v>
      </c>
      <c r="K533" s="6">
        <f t="shared" si="34"/>
        <v>74197.670000000042</v>
      </c>
      <c r="L533" s="6">
        <v>353866.82</v>
      </c>
      <c r="M533" s="6">
        <v>400580.75</v>
      </c>
      <c r="N533" s="6">
        <f t="shared" si="35"/>
        <v>46713.929999999993</v>
      </c>
    </row>
    <row r="534" spans="1:14" x14ac:dyDescent="0.3">
      <c r="A534" s="8"/>
      <c r="B534" t="str">
        <f xml:space="preserve"> _xll.EPMOlapMemberO("[CLACO].[PARENTH1].[AMSAG_VIAJES]","","Gastos de Viajes","","000")</f>
        <v>Gastos de Viajes</v>
      </c>
      <c r="C534" s="6">
        <v>330.85</v>
      </c>
      <c r="D534" s="6">
        <v>2851.14</v>
      </c>
      <c r="E534" s="6">
        <f t="shared" si="32"/>
        <v>2520.29</v>
      </c>
      <c r="F534" s="6">
        <v>665.85</v>
      </c>
      <c r="G534" s="6">
        <v>6237.85</v>
      </c>
      <c r="H534" s="6">
        <f t="shared" si="33"/>
        <v>5572</v>
      </c>
      <c r="I534" s="6">
        <v>187.69</v>
      </c>
      <c r="J534" s="6">
        <v>6079.67</v>
      </c>
      <c r="K534" s="6">
        <f t="shared" si="34"/>
        <v>5891.9800000000005</v>
      </c>
      <c r="L534" s="6">
        <v>1652.77</v>
      </c>
      <c r="M534" s="6">
        <v>8053.63</v>
      </c>
      <c r="N534" s="6">
        <f t="shared" si="35"/>
        <v>6400.8600000000006</v>
      </c>
    </row>
    <row r="535" spans="1:14" x14ac:dyDescent="0.3">
      <c r="A535" s="8"/>
      <c r="B535" t="str">
        <f xml:space="preserve"> _xll.EPMOlapMemberO("[CLACO].[PARENTH1].[AMSAIMP_PATEN]","","Impuestos / Patentes","","000")</f>
        <v>Impuestos / Patentes</v>
      </c>
      <c r="C535" s="6">
        <v>10441.36</v>
      </c>
      <c r="D535" s="6">
        <v>8012.27</v>
      </c>
      <c r="E535" s="6">
        <f t="shared" si="32"/>
        <v>-2429.09</v>
      </c>
      <c r="F535" s="6">
        <v>9630</v>
      </c>
      <c r="G535" s="6">
        <v>204568.94</v>
      </c>
      <c r="H535" s="6">
        <f t="shared" si="33"/>
        <v>194938.94</v>
      </c>
      <c r="I535" s="6">
        <v>16600.580000000002</v>
      </c>
      <c r="J535" s="6">
        <v>8783.15</v>
      </c>
      <c r="K535" s="6">
        <f t="shared" si="34"/>
        <v>-7817.4300000000021</v>
      </c>
      <c r="L535" s="6">
        <v>16699.349999999999</v>
      </c>
      <c r="M535" s="6">
        <v>8276.7800000000007</v>
      </c>
      <c r="N535" s="6">
        <f t="shared" si="35"/>
        <v>-8422.5699999999979</v>
      </c>
    </row>
    <row r="536" spans="1:14" x14ac:dyDescent="0.3">
      <c r="A536" s="8"/>
      <c r="B536" t="str">
        <f xml:space="preserve"> _xll.EPMOlapMemberO("[CLACO].[PARENTH1].[AMSAGGENERALES.2]","","Otros Gastos","","000")</f>
        <v>Otros Gastos</v>
      </c>
      <c r="C536" s="6">
        <v>15553.45</v>
      </c>
      <c r="D536" s="6">
        <v>15775.55</v>
      </c>
      <c r="E536" s="6">
        <f t="shared" si="32"/>
        <v>222.09999999999854</v>
      </c>
      <c r="F536" s="6">
        <v>29640.29</v>
      </c>
      <c r="G536" s="6">
        <v>16304.2</v>
      </c>
      <c r="H536" s="6">
        <f t="shared" si="33"/>
        <v>-13336.09</v>
      </c>
      <c r="I536" s="6">
        <v>19772.189999999999</v>
      </c>
      <c r="J536" s="6">
        <v>26732.45</v>
      </c>
      <c r="K536" s="6">
        <f t="shared" si="34"/>
        <v>6960.260000000002</v>
      </c>
      <c r="L536" s="6">
        <v>13001.89</v>
      </c>
      <c r="M536" s="6">
        <v>26512.2</v>
      </c>
      <c r="N536" s="6">
        <f t="shared" si="35"/>
        <v>13510.310000000001</v>
      </c>
    </row>
    <row r="537" spans="1:14" x14ac:dyDescent="0.3">
      <c r="A537" s="8" t="str">
        <f xml:space="preserve"> _xll.EPMOlapMemberO("[CECO].[PARENTH3].[AMSA1000AC5503]","","Mant Prop Minera","","000")</f>
        <v>Mant Prop Minera</v>
      </c>
      <c r="B537" t="str">
        <f xml:space="preserve"> _xll.EPMOlapMemberO("[CLACO].[PARENTH1].[AMSAASESORIAS]","","Asesorías y Consulto","","000")</f>
        <v>Asesorías y Consulto</v>
      </c>
      <c r="C537" s="6">
        <v>10866.31</v>
      </c>
      <c r="D537" s="6"/>
      <c r="E537" s="6">
        <f t="shared" si="32"/>
        <v>-10866.31</v>
      </c>
      <c r="F537" s="6"/>
      <c r="G537" s="6"/>
      <c r="H537" s="6">
        <f t="shared" si="33"/>
        <v>0</v>
      </c>
      <c r="I537" s="6">
        <v>-4995.99</v>
      </c>
      <c r="J537" s="6"/>
      <c r="K537" s="6">
        <f t="shared" si="34"/>
        <v>4995.99</v>
      </c>
      <c r="L537" s="6"/>
      <c r="M537" s="6"/>
      <c r="N537" s="6">
        <f t="shared" si="35"/>
        <v>0</v>
      </c>
    </row>
    <row r="538" spans="1:14" x14ac:dyDescent="0.3">
      <c r="A538" s="8"/>
      <c r="B538" t="str">
        <f xml:space="preserve"> _xll.EPMOlapMemberO("[CLACO].[PARENTH1].[AMSAIMP_PATEN]","","Impuestos / Patentes","","000")</f>
        <v>Impuestos / Patentes</v>
      </c>
      <c r="C538" s="6">
        <v>3872121.47</v>
      </c>
      <c r="D538" s="6">
        <v>3992443.96</v>
      </c>
      <c r="E538" s="6">
        <f t="shared" si="32"/>
        <v>120322.48999999976</v>
      </c>
      <c r="F538" s="6">
        <v>4138126.02</v>
      </c>
      <c r="G538" s="6">
        <v>4499917.6500000004</v>
      </c>
      <c r="H538" s="6">
        <f t="shared" si="33"/>
        <v>361791.63000000035</v>
      </c>
      <c r="I538" s="6">
        <v>4862803.25</v>
      </c>
      <c r="J538" s="6">
        <v>6757031.2800000003</v>
      </c>
      <c r="K538" s="6">
        <f t="shared" si="34"/>
        <v>1894228.0300000003</v>
      </c>
      <c r="L538" s="6">
        <v>12543093.18</v>
      </c>
      <c r="M538" s="6">
        <v>14274356.67</v>
      </c>
      <c r="N538" s="6">
        <f t="shared" si="35"/>
        <v>1731263.4900000002</v>
      </c>
    </row>
    <row r="539" spans="1:14" x14ac:dyDescent="0.3">
      <c r="A539" s="8" t="str">
        <f xml:space="preserve"> _xll.EPMOlapMemberO("[CECO].[PARENTH3].[AMSA1000AC5504]","","Const Prop Minera","","000")</f>
        <v>Const Prop Minera</v>
      </c>
      <c r="B539" t="str">
        <f xml:space="preserve"> _xll.EPMOlapMemberO("[CLACO].[PARENTH1].[AMSAMAT_Y_REP.2]","","Materiales y repuest","","000")</f>
        <v>Materiales y repuest</v>
      </c>
      <c r="C539" s="6"/>
      <c r="D539" s="6"/>
      <c r="E539" s="6">
        <f t="shared" si="32"/>
        <v>0</v>
      </c>
      <c r="F539" s="6">
        <v>0</v>
      </c>
      <c r="G539" s="6"/>
      <c r="H539" s="6">
        <f t="shared" si="33"/>
        <v>0</v>
      </c>
      <c r="I539" s="6"/>
      <c r="J539" s="6"/>
      <c r="K539" s="6">
        <f t="shared" si="34"/>
        <v>0</v>
      </c>
      <c r="L539" s="6"/>
      <c r="M539" s="6"/>
      <c r="N539" s="6">
        <f t="shared" si="35"/>
        <v>0</v>
      </c>
    </row>
    <row r="540" spans="1:14" x14ac:dyDescent="0.3">
      <c r="A540" s="8"/>
      <c r="B540" t="str">
        <f xml:space="preserve"> _xll.EPMOlapMemberO("[CLACO].[PARENTH1].[AMSAASESORIAS]","","Asesorías y Consulto","","000")</f>
        <v>Asesorías y Consulto</v>
      </c>
      <c r="C540" s="6">
        <v>119511.66</v>
      </c>
      <c r="D540" s="6">
        <v>131236.98000000001</v>
      </c>
      <c r="E540" s="6">
        <f t="shared" si="32"/>
        <v>11725.320000000007</v>
      </c>
      <c r="F540" s="6">
        <v>136309.87</v>
      </c>
      <c r="G540" s="6">
        <v>115071.41</v>
      </c>
      <c r="H540" s="6">
        <f t="shared" si="33"/>
        <v>-21238.459999999992</v>
      </c>
      <c r="I540" s="6">
        <v>105180.19</v>
      </c>
      <c r="J540" s="6">
        <v>149213.63</v>
      </c>
      <c r="K540" s="6">
        <f t="shared" si="34"/>
        <v>44033.440000000002</v>
      </c>
      <c r="L540" s="6">
        <v>10231.719999999999</v>
      </c>
      <c r="M540" s="6">
        <v>73202.2</v>
      </c>
      <c r="N540" s="6">
        <f t="shared" si="35"/>
        <v>62970.479999999996</v>
      </c>
    </row>
    <row r="541" spans="1:14" x14ac:dyDescent="0.3">
      <c r="A541" s="8"/>
      <c r="B541" t="str">
        <f xml:space="preserve"> _xll.EPMOlapMemberO("[CLACO].[PARENTH1].[AMSASERVICIOS]","","Servicios","","000")</f>
        <v>Servicios</v>
      </c>
      <c r="C541" s="6">
        <v>96048.74</v>
      </c>
      <c r="D541" s="6">
        <v>241789.31</v>
      </c>
      <c r="E541" s="6">
        <f t="shared" si="32"/>
        <v>145740.57</v>
      </c>
      <c r="F541" s="6">
        <v>69505.7</v>
      </c>
      <c r="G541" s="6">
        <v>45941.26</v>
      </c>
      <c r="H541" s="6">
        <f t="shared" si="33"/>
        <v>-23564.439999999995</v>
      </c>
      <c r="I541" s="6">
        <v>24949.08</v>
      </c>
      <c r="J541" s="6">
        <v>70211.47</v>
      </c>
      <c r="K541" s="6">
        <f t="shared" si="34"/>
        <v>45262.39</v>
      </c>
      <c r="L541" s="6">
        <v>4518.8</v>
      </c>
      <c r="M541" s="6">
        <v>60967.81</v>
      </c>
      <c r="N541" s="6">
        <f t="shared" si="35"/>
        <v>56449.009999999995</v>
      </c>
    </row>
    <row r="542" spans="1:14" x14ac:dyDescent="0.3">
      <c r="A542" s="8"/>
      <c r="B542" t="str">
        <f xml:space="preserve"> _xll.EPMOlapMemberO("[CLACO].[PARENTH1].[AMSAINFORMATIC]","","Informática y Comuni","","000")</f>
        <v>Informática y Comuni</v>
      </c>
      <c r="C542" s="6">
        <v>4776.87</v>
      </c>
      <c r="D542" s="6"/>
      <c r="E542" s="6">
        <f t="shared" si="32"/>
        <v>-4776.87</v>
      </c>
      <c r="F542" s="6">
        <v>244.58</v>
      </c>
      <c r="G542" s="6"/>
      <c r="H542" s="6">
        <f t="shared" si="33"/>
        <v>-244.58</v>
      </c>
      <c r="I542" s="6"/>
      <c r="J542" s="6"/>
      <c r="K542" s="6">
        <f t="shared" si="34"/>
        <v>0</v>
      </c>
      <c r="L542" s="6"/>
      <c r="M542" s="6"/>
      <c r="N542" s="6">
        <f t="shared" si="35"/>
        <v>0</v>
      </c>
    </row>
    <row r="543" spans="1:14" x14ac:dyDescent="0.3">
      <c r="A543" s="8"/>
      <c r="B543" t="str">
        <f xml:space="preserve"> _xll.EPMOlapMemberO("[CLACO].[PARENTH1].[AMSAG_VIAJES]","","Gastos de Viajes","","000")</f>
        <v>Gastos de Viajes</v>
      </c>
      <c r="C543" s="6"/>
      <c r="D543" s="6">
        <v>2851.14</v>
      </c>
      <c r="E543" s="6">
        <f t="shared" si="32"/>
        <v>2851.14</v>
      </c>
      <c r="F543" s="6"/>
      <c r="G543" s="6">
        <v>6237.85</v>
      </c>
      <c r="H543" s="6">
        <f t="shared" si="33"/>
        <v>6237.85</v>
      </c>
      <c r="I543" s="6"/>
      <c r="J543" s="6">
        <v>6079.67</v>
      </c>
      <c r="K543" s="6">
        <f t="shared" si="34"/>
        <v>6079.67</v>
      </c>
      <c r="L543" s="6"/>
      <c r="M543" s="6">
        <v>8053.63</v>
      </c>
      <c r="N543" s="6">
        <f t="shared" si="35"/>
        <v>8053.63</v>
      </c>
    </row>
    <row r="544" spans="1:14" x14ac:dyDescent="0.3">
      <c r="A544" s="8"/>
      <c r="B544" t="str">
        <f xml:space="preserve"> _xll.EPMOlapMemberO("[CLACO].[PARENTH1].[AMSAIMP_PATEN]","","Impuestos / Patentes","","000")</f>
        <v>Impuestos / Patentes</v>
      </c>
      <c r="C544" s="6">
        <v>231517.13</v>
      </c>
      <c r="D544" s="6">
        <v>523180.2</v>
      </c>
      <c r="E544" s="6">
        <f t="shared" si="32"/>
        <v>291663.07</v>
      </c>
      <c r="F544" s="6">
        <v>562731.86</v>
      </c>
      <c r="G544" s="6">
        <v>498946.1</v>
      </c>
      <c r="H544" s="6">
        <f t="shared" si="33"/>
        <v>-63785.760000000009</v>
      </c>
      <c r="I544" s="6">
        <v>202278.08</v>
      </c>
      <c r="J544" s="6">
        <v>407170.78</v>
      </c>
      <c r="K544" s="6">
        <f t="shared" si="34"/>
        <v>204892.70000000004</v>
      </c>
      <c r="L544" s="6">
        <v>79866.05</v>
      </c>
      <c r="M544" s="6">
        <v>384068.96</v>
      </c>
      <c r="N544" s="6">
        <f t="shared" si="35"/>
        <v>304202.91000000003</v>
      </c>
    </row>
    <row r="545" spans="1:14" x14ac:dyDescent="0.3">
      <c r="A545" s="8"/>
      <c r="B545" t="str">
        <f xml:space="preserve"> _xll.EPMOlapMemberO("[CLACO].[PARENTH1].[AMSAGGENERALES.2]","","Otros Gastos","","000")</f>
        <v>Otros Gastos</v>
      </c>
      <c r="C545" s="6">
        <v>26351.54</v>
      </c>
      <c r="D545" s="6">
        <v>70890.14</v>
      </c>
      <c r="E545" s="6">
        <f t="shared" si="32"/>
        <v>44538.6</v>
      </c>
      <c r="F545" s="6">
        <v>77806.09</v>
      </c>
      <c r="G545" s="6">
        <v>26512.04</v>
      </c>
      <c r="H545" s="6">
        <f t="shared" si="33"/>
        <v>-51294.049999999996</v>
      </c>
      <c r="I545" s="6">
        <v>15019.93</v>
      </c>
      <c r="J545" s="6">
        <v>44872.03</v>
      </c>
      <c r="K545" s="6">
        <f t="shared" si="34"/>
        <v>29852.1</v>
      </c>
      <c r="L545" s="6">
        <v>4436.09</v>
      </c>
      <c r="M545" s="6">
        <v>42311.4</v>
      </c>
      <c r="N545" s="6">
        <f t="shared" si="35"/>
        <v>37875.31</v>
      </c>
    </row>
    <row r="546" spans="1:14" x14ac:dyDescent="0.3">
      <c r="A546" s="8" t="str">
        <f xml:space="preserve"> _xll.EPMOlapMemberO("[CECO].[PARENTH3].[AMSA1000AC6001]","","VPC","","000")</f>
        <v>VPC</v>
      </c>
      <c r="B546" t="str">
        <f xml:space="preserve"> _xll.EPMOlapMemberO("[CLACO].[PARENTH1].[AMSAREMUNERACI.SS]","","Remuneraciones Super","","000")</f>
        <v>Remuneraciones Super</v>
      </c>
      <c r="C546" s="6">
        <v>3640488.12</v>
      </c>
      <c r="D546" s="6">
        <v>3439482.08</v>
      </c>
      <c r="E546" s="6">
        <f t="shared" si="32"/>
        <v>-201006.04000000004</v>
      </c>
      <c r="F546" s="6">
        <v>4116310.86</v>
      </c>
      <c r="G546" s="6">
        <v>4089978.41</v>
      </c>
      <c r="H546" s="6">
        <f t="shared" si="33"/>
        <v>-26332.449999999721</v>
      </c>
      <c r="I546" s="6">
        <v>4082114.57</v>
      </c>
      <c r="J546" s="6">
        <v>4085147.06</v>
      </c>
      <c r="K546" s="6">
        <f t="shared" si="34"/>
        <v>3032.4900000002235</v>
      </c>
      <c r="L546" s="6">
        <v>4026109.3</v>
      </c>
      <c r="M546" s="6">
        <v>4297811.3</v>
      </c>
      <c r="N546" s="6">
        <f t="shared" si="35"/>
        <v>271702</v>
      </c>
    </row>
    <row r="547" spans="1:14" x14ac:dyDescent="0.3">
      <c r="A547" s="8"/>
      <c r="B547" t="str">
        <f xml:space="preserve"> _xll.EPMOlapMemberO("[CLACO].[PARENTH1].[AMSAMAT_Y_REP.2]","","Materiales y repuest","","000")</f>
        <v>Materiales y repuest</v>
      </c>
      <c r="C547" s="6"/>
      <c r="D547" s="6"/>
      <c r="E547" s="6">
        <f t="shared" si="32"/>
        <v>0</v>
      </c>
      <c r="F547" s="6">
        <v>0</v>
      </c>
      <c r="G547" s="6"/>
      <c r="H547" s="6">
        <f t="shared" si="33"/>
        <v>0</v>
      </c>
      <c r="I547" s="6"/>
      <c r="J547" s="6"/>
      <c r="K547" s="6">
        <f t="shared" si="34"/>
        <v>0</v>
      </c>
      <c r="L547" s="6"/>
      <c r="M547" s="6"/>
      <c r="N547" s="6">
        <f t="shared" si="35"/>
        <v>0</v>
      </c>
    </row>
    <row r="548" spans="1:14" x14ac:dyDescent="0.3">
      <c r="A548" s="8"/>
      <c r="B548" t="str">
        <f xml:space="preserve"> _xll.EPMOlapMemberO("[CLACO].[PARENTH1].[AMSAADM_PERSON]","","Administración Perso","","000")</f>
        <v>Administración Perso</v>
      </c>
      <c r="C548" s="6"/>
      <c r="D548" s="6">
        <v>28891.15</v>
      </c>
      <c r="E548" s="6">
        <f t="shared" si="32"/>
        <v>28891.15</v>
      </c>
      <c r="F548" s="6">
        <v>303.2</v>
      </c>
      <c r="G548" s="6">
        <v>38000</v>
      </c>
      <c r="H548" s="6">
        <f t="shared" si="33"/>
        <v>37696.800000000003</v>
      </c>
      <c r="I548" s="6">
        <v>30747.7</v>
      </c>
      <c r="J548" s="6">
        <v>2943.4</v>
      </c>
      <c r="K548" s="6">
        <f t="shared" si="34"/>
        <v>-27804.3</v>
      </c>
      <c r="L548" s="6">
        <v>56288.47</v>
      </c>
      <c r="M548" s="6">
        <v>103158.37</v>
      </c>
      <c r="N548" s="6">
        <f t="shared" si="35"/>
        <v>46869.899999999994</v>
      </c>
    </row>
    <row r="549" spans="1:14" x14ac:dyDescent="0.3">
      <c r="A549" s="8"/>
      <c r="B549" t="str">
        <f xml:space="preserve"> _xll.EPMOlapMemberO("[CLACO].[PARENTH1].[AMSAENTRENAMI]","","Entrenamiento","","000")</f>
        <v>Entrenamiento</v>
      </c>
      <c r="C549" s="6"/>
      <c r="D549" s="6">
        <v>7650.35</v>
      </c>
      <c r="E549" s="6">
        <f t="shared" si="32"/>
        <v>7650.35</v>
      </c>
      <c r="F549" s="6">
        <v>93.32</v>
      </c>
      <c r="G549" s="6">
        <v>7440</v>
      </c>
      <c r="H549" s="6">
        <f t="shared" si="33"/>
        <v>7346.68</v>
      </c>
      <c r="I549" s="6">
        <v>4140.99</v>
      </c>
      <c r="J549" s="6">
        <v>7325.98</v>
      </c>
      <c r="K549" s="6">
        <f t="shared" si="34"/>
        <v>3184.99</v>
      </c>
      <c r="L549" s="6"/>
      <c r="M549" s="6">
        <v>7485.1</v>
      </c>
      <c r="N549" s="6">
        <f t="shared" si="35"/>
        <v>7485.1</v>
      </c>
    </row>
    <row r="550" spans="1:14" x14ac:dyDescent="0.3">
      <c r="A550" s="8"/>
      <c r="B550" t="str">
        <f xml:space="preserve"> _xll.EPMOlapMemberO("[CLACO].[PARENTH1].[AMSAASESORIAS]","","Asesorías y Consulto","","000")</f>
        <v>Asesorías y Consulto</v>
      </c>
      <c r="C550" s="6"/>
      <c r="D550" s="6"/>
      <c r="E550" s="6">
        <f t="shared" si="32"/>
        <v>0</v>
      </c>
      <c r="F550" s="6"/>
      <c r="G550" s="6"/>
      <c r="H550" s="6">
        <f t="shared" si="33"/>
        <v>0</v>
      </c>
      <c r="I550" s="6"/>
      <c r="J550" s="6"/>
      <c r="K550" s="6">
        <f t="shared" si="34"/>
        <v>0</v>
      </c>
      <c r="L550" s="6">
        <v>386.23</v>
      </c>
      <c r="M550" s="6"/>
      <c r="N550" s="6">
        <f t="shared" si="35"/>
        <v>-386.23</v>
      </c>
    </row>
    <row r="551" spans="1:14" x14ac:dyDescent="0.3">
      <c r="A551" s="8"/>
      <c r="B551" t="str">
        <f xml:space="preserve"> _xll.EPMOlapMemberO("[CLACO].[PARENTH1].[AMSASERVICIOS]","","Servicios","","000")</f>
        <v>Servicios</v>
      </c>
      <c r="C551" s="6">
        <v>-29.25</v>
      </c>
      <c r="D551" s="6">
        <v>5634.97</v>
      </c>
      <c r="E551" s="6">
        <f t="shared" si="32"/>
        <v>5664.22</v>
      </c>
      <c r="F551" s="6">
        <v>146.77000000000001</v>
      </c>
      <c r="G551" s="6">
        <v>5500</v>
      </c>
      <c r="H551" s="6">
        <f t="shared" si="33"/>
        <v>5353.23</v>
      </c>
      <c r="I551" s="6">
        <v>1431.22</v>
      </c>
      <c r="J551" s="6">
        <v>2482.3200000000002</v>
      </c>
      <c r="K551" s="6">
        <f t="shared" si="34"/>
        <v>1051.1000000000001</v>
      </c>
      <c r="L551" s="6">
        <v>94.8</v>
      </c>
      <c r="M551" s="6">
        <v>8067.08</v>
      </c>
      <c r="N551" s="6">
        <f t="shared" si="35"/>
        <v>7972.28</v>
      </c>
    </row>
    <row r="552" spans="1:14" x14ac:dyDescent="0.3">
      <c r="A552" s="8"/>
      <c r="B552" t="str">
        <f xml:space="preserve"> _xll.EPMOlapMemberO("[CLACO].[PARENTH1].[AMSAINFORMATIC]","","Informática y Comuni","","000")</f>
        <v>Informática y Comuni</v>
      </c>
      <c r="C552" s="6">
        <v>73862.48</v>
      </c>
      <c r="D552" s="6">
        <v>704436.65</v>
      </c>
      <c r="E552" s="6">
        <f t="shared" si="32"/>
        <v>630574.17000000004</v>
      </c>
      <c r="F552" s="6">
        <v>167954.5</v>
      </c>
      <c r="G552" s="6">
        <v>188077.47</v>
      </c>
      <c r="H552" s="6">
        <f t="shared" si="33"/>
        <v>20122.97</v>
      </c>
      <c r="I552" s="6">
        <v>187811.47</v>
      </c>
      <c r="J552" s="6">
        <v>422865.35</v>
      </c>
      <c r="K552" s="6">
        <f t="shared" si="34"/>
        <v>235053.87999999998</v>
      </c>
      <c r="L552" s="6">
        <v>434591.45</v>
      </c>
      <c r="M552" s="6">
        <v>427172.68</v>
      </c>
      <c r="N552" s="6">
        <f t="shared" si="35"/>
        <v>-7418.7700000000186</v>
      </c>
    </row>
    <row r="553" spans="1:14" x14ac:dyDescent="0.3">
      <c r="A553" s="8"/>
      <c r="B553" t="str">
        <f xml:space="preserve"> _xll.EPMOlapMemberO("[CLACO].[PARENTH1].[AMSAG_VIAJES]","","Gastos de Viajes","","000")</f>
        <v>Gastos de Viajes</v>
      </c>
      <c r="C553" s="6">
        <v>14911.97</v>
      </c>
      <c r="D553" s="6">
        <v>1028.28</v>
      </c>
      <c r="E553" s="6">
        <f t="shared" si="32"/>
        <v>-13883.689999999999</v>
      </c>
      <c r="F553" s="6">
        <v>8764.2099999999991</v>
      </c>
      <c r="G553" s="6">
        <v>1000</v>
      </c>
      <c r="H553" s="6">
        <f t="shared" si="33"/>
        <v>-7764.2099999999991</v>
      </c>
      <c r="I553" s="6">
        <v>12180.07</v>
      </c>
      <c r="J553" s="6">
        <v>984.67</v>
      </c>
      <c r="K553" s="6">
        <f t="shared" si="34"/>
        <v>-11195.4</v>
      </c>
      <c r="L553" s="6">
        <v>2696.91</v>
      </c>
      <c r="M553" s="6">
        <v>981.02</v>
      </c>
      <c r="N553" s="6">
        <f t="shared" si="35"/>
        <v>-1715.8899999999999</v>
      </c>
    </row>
    <row r="554" spans="1:14" x14ac:dyDescent="0.3">
      <c r="A554" s="8"/>
      <c r="B554" t="str">
        <f xml:space="preserve"> _xll.EPMOlapMemberO("[CLACO].[PARENTH1].[AMSAIMP_PATEN]","","Impuestos / Patentes","","000")</f>
        <v>Impuestos / Patentes</v>
      </c>
      <c r="C554" s="6">
        <v>13.06</v>
      </c>
      <c r="D554" s="6"/>
      <c r="E554" s="6">
        <f t="shared" si="32"/>
        <v>-13.06</v>
      </c>
      <c r="F554" s="6"/>
      <c r="G554" s="6"/>
      <c r="H554" s="6">
        <f t="shared" si="33"/>
        <v>0</v>
      </c>
      <c r="I554" s="6">
        <v>118.66</v>
      </c>
      <c r="J554" s="6"/>
      <c r="K554" s="6">
        <f t="shared" si="34"/>
        <v>-118.66</v>
      </c>
      <c r="L554" s="6"/>
      <c r="M554" s="6"/>
      <c r="N554" s="6">
        <f t="shared" si="35"/>
        <v>0</v>
      </c>
    </row>
    <row r="555" spans="1:14" x14ac:dyDescent="0.3">
      <c r="A555" s="8"/>
      <c r="B555" t="str">
        <f xml:space="preserve"> _xll.EPMOlapMemberO("[CLACO].[PARENTH1].[AMSAGGENERALES.2]","","Otros Gastos","","000")</f>
        <v>Otros Gastos</v>
      </c>
      <c r="C555" s="6">
        <v>34195.910000000003</v>
      </c>
      <c r="D555" s="6">
        <v>76768.37</v>
      </c>
      <c r="E555" s="6">
        <f t="shared" si="32"/>
        <v>42572.459999999992</v>
      </c>
      <c r="F555" s="6">
        <v>24336.98</v>
      </c>
      <c r="G555" s="6">
        <v>64824</v>
      </c>
      <c r="H555" s="6">
        <f t="shared" si="33"/>
        <v>40487.020000000004</v>
      </c>
      <c r="I555" s="6">
        <v>18854.13</v>
      </c>
      <c r="J555" s="6">
        <v>25861.45</v>
      </c>
      <c r="K555" s="6">
        <f t="shared" si="34"/>
        <v>7007.32</v>
      </c>
      <c r="L555" s="6">
        <v>216677.1</v>
      </c>
      <c r="M555" s="6">
        <v>25778.47</v>
      </c>
      <c r="N555" s="6">
        <f t="shared" si="35"/>
        <v>-190898.63</v>
      </c>
    </row>
    <row r="556" spans="1:14" x14ac:dyDescent="0.3">
      <c r="A556" s="8" t="str">
        <f xml:space="preserve"> _xll.EPMOlapMemberO("[CECO].[PARENTH3].[AMSA1000AC0520]","","VP Rel institucional","","000")</f>
        <v>VP Rel institucional</v>
      </c>
      <c r="B556" t="str">
        <f xml:space="preserve"> _xll.EPMOlapMemberO("[CLACO].[PARENTH1].[AMSAREMUNERACI.SS]","","Remuneraciones Super","","000")</f>
        <v>Remuneraciones Super</v>
      </c>
      <c r="C556" s="6">
        <v>24425.08</v>
      </c>
      <c r="D556" s="6">
        <v>20152.48</v>
      </c>
      <c r="E556" s="6">
        <f t="shared" si="32"/>
        <v>-4272.6000000000022</v>
      </c>
      <c r="F556" s="6">
        <v>29997.9</v>
      </c>
      <c r="G556" s="6">
        <v>20704.14</v>
      </c>
      <c r="H556" s="6">
        <f t="shared" si="33"/>
        <v>-9293.760000000002</v>
      </c>
      <c r="I556" s="6">
        <v>24410.94</v>
      </c>
      <c r="J556" s="6">
        <v>37817.14</v>
      </c>
      <c r="K556" s="6">
        <f t="shared" si="34"/>
        <v>13406.2</v>
      </c>
      <c r="L556" s="6">
        <v>28689.65</v>
      </c>
      <c r="M556" s="6"/>
      <c r="N556" s="6">
        <f t="shared" si="35"/>
        <v>-28689.65</v>
      </c>
    </row>
    <row r="557" spans="1:14" x14ac:dyDescent="0.3">
      <c r="A557" s="8"/>
      <c r="B557" t="str">
        <f xml:space="preserve"> _xll.EPMOlapMemberO("[CLACO].[PARENTH1].[AMSAINFORMATIC]","","Informática y Comuni","","000")</f>
        <v>Informática y Comuni</v>
      </c>
      <c r="C557" s="6">
        <v>292.81</v>
      </c>
      <c r="D557" s="6"/>
      <c r="E557" s="6">
        <f t="shared" si="32"/>
        <v>-292.81</v>
      </c>
      <c r="F557" s="6">
        <v>185.13</v>
      </c>
      <c r="G557" s="6"/>
      <c r="H557" s="6">
        <f t="shared" si="33"/>
        <v>-185.13</v>
      </c>
      <c r="I557" s="6"/>
      <c r="J557" s="6"/>
      <c r="K557" s="6">
        <f t="shared" si="34"/>
        <v>0</v>
      </c>
      <c r="L557" s="6">
        <v>216.5</v>
      </c>
      <c r="M557" s="6"/>
      <c r="N557" s="6">
        <f t="shared" si="35"/>
        <v>-216.5</v>
      </c>
    </row>
    <row r="558" spans="1:14" x14ac:dyDescent="0.3">
      <c r="A558" s="8"/>
      <c r="B558" t="str">
        <f xml:space="preserve"> _xll.EPMOlapMemberO("[CLACO].[PARENTH1].[AMSAG_VIAJES]","","Gastos de Viajes","","000")</f>
        <v>Gastos de Viajes</v>
      </c>
      <c r="C558" s="6"/>
      <c r="D558" s="6"/>
      <c r="E558" s="6">
        <f t="shared" si="32"/>
        <v>0</v>
      </c>
      <c r="F558" s="6">
        <v>37.369999999999997</v>
      </c>
      <c r="G558" s="6"/>
      <c r="H558" s="6">
        <f t="shared" si="33"/>
        <v>-37.369999999999997</v>
      </c>
      <c r="I558" s="6"/>
      <c r="J558" s="6"/>
      <c r="K558" s="6">
        <f t="shared" si="34"/>
        <v>0</v>
      </c>
      <c r="L558" s="6"/>
      <c r="M558" s="6"/>
      <c r="N558" s="6">
        <f t="shared" si="35"/>
        <v>0</v>
      </c>
    </row>
    <row r="559" spans="1:14" x14ac:dyDescent="0.3">
      <c r="A559" s="8"/>
      <c r="B559" t="str">
        <f xml:space="preserve"> _xll.EPMOlapMemberO("[CLACO].[PARENTH1].[AMSAGGENERALES.2]","","Otros Gastos","","000")</f>
        <v>Otros Gastos</v>
      </c>
      <c r="C559" s="6">
        <v>1.8</v>
      </c>
      <c r="D559" s="6"/>
      <c r="E559" s="6">
        <f t="shared" si="32"/>
        <v>-1.8</v>
      </c>
      <c r="F559" s="6">
        <v>18.350000000000001</v>
      </c>
      <c r="G559" s="6"/>
      <c r="H559" s="6">
        <f t="shared" si="33"/>
        <v>-18.350000000000001</v>
      </c>
      <c r="I559" s="6">
        <v>49.35</v>
      </c>
      <c r="J559" s="6"/>
      <c r="K559" s="6">
        <f t="shared" si="34"/>
        <v>-49.35</v>
      </c>
      <c r="L559" s="6">
        <v>163.49</v>
      </c>
      <c r="M559" s="6"/>
      <c r="N559" s="6">
        <f t="shared" si="35"/>
        <v>-163.49</v>
      </c>
    </row>
    <row r="560" spans="1:14" x14ac:dyDescent="0.3">
      <c r="A560" s="8" t="str">
        <f xml:space="preserve"> _xll.EPMOlapMemberO("[CECO].[PARENTH3].[AMSA1000AC0510]","","Energía","","000")</f>
        <v>Energía</v>
      </c>
      <c r="B560" t="str">
        <f xml:space="preserve"> _xll.EPMOlapMemberO("[CLACO].[PARENTH1].[AMSAREMUNERACI.SS]","","Remuneraciones Super","","000")</f>
        <v>Remuneraciones Super</v>
      </c>
      <c r="C560" s="6">
        <v>1118583.1299999999</v>
      </c>
      <c r="D560" s="6">
        <v>1265432.77</v>
      </c>
      <c r="E560" s="6">
        <f t="shared" si="32"/>
        <v>146849.64000000013</v>
      </c>
      <c r="F560" s="6">
        <v>1136005.73</v>
      </c>
      <c r="G560" s="6">
        <v>1425978.63</v>
      </c>
      <c r="H560" s="6">
        <f t="shared" si="33"/>
        <v>289972.89999999991</v>
      </c>
      <c r="I560" s="6">
        <v>0</v>
      </c>
      <c r="J560" s="6">
        <v>713094.88</v>
      </c>
      <c r="K560" s="6">
        <f t="shared" si="34"/>
        <v>713094.88</v>
      </c>
      <c r="L560" s="6"/>
      <c r="M560" s="6"/>
      <c r="N560" s="6">
        <f t="shared" si="35"/>
        <v>0</v>
      </c>
    </row>
    <row r="561" spans="1:14" x14ac:dyDescent="0.3">
      <c r="A561" s="8"/>
      <c r="B561" t="str">
        <f xml:space="preserve"> _xll.EPMOlapMemberO("[CLACO].[PARENTH1].[AMSAMAT_Y_REP.2]","","Materiales y repuest","","000")</f>
        <v>Materiales y repuest</v>
      </c>
      <c r="C561" s="6"/>
      <c r="D561" s="6"/>
      <c r="E561" s="6">
        <f t="shared" si="32"/>
        <v>0</v>
      </c>
      <c r="F561" s="6">
        <v>0</v>
      </c>
      <c r="G561" s="6"/>
      <c r="H561" s="6">
        <f t="shared" si="33"/>
        <v>0</v>
      </c>
      <c r="I561" s="6"/>
      <c r="J561" s="6"/>
      <c r="K561" s="6">
        <f t="shared" si="34"/>
        <v>0</v>
      </c>
      <c r="L561" s="6"/>
      <c r="M561" s="6"/>
      <c r="N561" s="6">
        <f t="shared" si="35"/>
        <v>0</v>
      </c>
    </row>
    <row r="562" spans="1:14" x14ac:dyDescent="0.3">
      <c r="A562" s="8"/>
      <c r="B562" t="str">
        <f xml:space="preserve"> _xll.EPMOlapMemberO("[CLACO].[PARENTH1].[AMSAENTRENAMI]","","Entrenamiento","","000")</f>
        <v>Entrenamiento</v>
      </c>
      <c r="C562" s="6">
        <v>545.82000000000005</v>
      </c>
      <c r="D562" s="6">
        <v>12270.52</v>
      </c>
      <c r="E562" s="6">
        <f t="shared" si="32"/>
        <v>11724.7</v>
      </c>
      <c r="F562" s="6">
        <v>6369.82</v>
      </c>
      <c r="G562" s="6">
        <v>12315.86</v>
      </c>
      <c r="H562" s="6">
        <f t="shared" si="33"/>
        <v>5946.0400000000009</v>
      </c>
      <c r="I562" s="6"/>
      <c r="J562" s="6"/>
      <c r="K562" s="6">
        <f t="shared" si="34"/>
        <v>0</v>
      </c>
      <c r="L562" s="6"/>
      <c r="M562" s="6"/>
      <c r="N562" s="6">
        <f t="shared" si="35"/>
        <v>0</v>
      </c>
    </row>
    <row r="563" spans="1:14" x14ac:dyDescent="0.3">
      <c r="A563" s="8"/>
      <c r="B563" t="str">
        <f xml:space="preserve"> _xll.EPMOlapMemberO("[CLACO].[PARENTH1].[AMSAASESORIAS]","","Asesorías y Consulto","","000")</f>
        <v>Asesorías y Consulto</v>
      </c>
      <c r="C563" s="6">
        <v>371297.68</v>
      </c>
      <c r="D563" s="6">
        <v>261096.75</v>
      </c>
      <c r="E563" s="6">
        <f t="shared" si="32"/>
        <v>-110200.93</v>
      </c>
      <c r="F563" s="6">
        <v>215821.82</v>
      </c>
      <c r="G563" s="6">
        <v>483276.17</v>
      </c>
      <c r="H563" s="6">
        <f t="shared" si="33"/>
        <v>267454.34999999998</v>
      </c>
      <c r="I563" s="6">
        <v>0</v>
      </c>
      <c r="J563" s="6"/>
      <c r="K563" s="6">
        <f t="shared" si="34"/>
        <v>0</v>
      </c>
      <c r="L563" s="6"/>
      <c r="M563" s="6"/>
      <c r="N563" s="6">
        <f t="shared" si="35"/>
        <v>0</v>
      </c>
    </row>
    <row r="564" spans="1:14" x14ac:dyDescent="0.3">
      <c r="A564" s="8"/>
      <c r="B564" t="str">
        <f xml:space="preserve"> _xll.EPMOlapMemberO("[CLACO].[PARENTH1].[AMSAARRIENDOS]","","Arriendos","","000")</f>
        <v>Arriendos</v>
      </c>
      <c r="C564" s="6">
        <v>123.56</v>
      </c>
      <c r="D564" s="6">
        <v>195.49</v>
      </c>
      <c r="E564" s="6">
        <f t="shared" si="32"/>
        <v>71.930000000000007</v>
      </c>
      <c r="F564" s="6"/>
      <c r="G564" s="6"/>
      <c r="H564" s="6">
        <f t="shared" si="33"/>
        <v>0</v>
      </c>
      <c r="I564" s="6"/>
      <c r="J564" s="6"/>
      <c r="K564" s="6">
        <f t="shared" si="34"/>
        <v>0</v>
      </c>
      <c r="L564" s="6"/>
      <c r="M564" s="6"/>
      <c r="N564" s="6">
        <f t="shared" si="35"/>
        <v>0</v>
      </c>
    </row>
    <row r="565" spans="1:14" x14ac:dyDescent="0.3">
      <c r="A565" s="8"/>
      <c r="B565" t="str">
        <f xml:space="preserve"> _xll.EPMOlapMemberO("[CLACO].[PARENTH1].[AMSASERVICIOS]","","Servicios","","000")</f>
        <v>Servicios</v>
      </c>
      <c r="C565" s="6"/>
      <c r="D565" s="6"/>
      <c r="E565" s="6">
        <f t="shared" si="32"/>
        <v>0</v>
      </c>
      <c r="F565" s="6">
        <v>125247.05</v>
      </c>
      <c r="G565" s="6">
        <v>69087.53</v>
      </c>
      <c r="H565" s="6">
        <f t="shared" si="33"/>
        <v>-56159.520000000004</v>
      </c>
      <c r="I565" s="6">
        <v>-81.13</v>
      </c>
      <c r="J565" s="6"/>
      <c r="K565" s="6">
        <f t="shared" si="34"/>
        <v>81.13</v>
      </c>
      <c r="L565" s="6"/>
      <c r="M565" s="6"/>
      <c r="N565" s="6">
        <f t="shared" si="35"/>
        <v>0</v>
      </c>
    </row>
    <row r="566" spans="1:14" x14ac:dyDescent="0.3">
      <c r="A566" s="8"/>
      <c r="B566" t="str">
        <f xml:space="preserve"> _xll.EPMOlapMemberO("[CLACO].[PARENTH1].[AMSAINFORMATIC]","","Informática y Comuni","","000")</f>
        <v>Informática y Comuni</v>
      </c>
      <c r="C566" s="6">
        <v>1531.28</v>
      </c>
      <c r="D566" s="6">
        <v>2561.25</v>
      </c>
      <c r="E566" s="6">
        <f t="shared" si="32"/>
        <v>1029.97</v>
      </c>
      <c r="F566" s="6">
        <v>4720.8500000000004</v>
      </c>
      <c r="G566" s="6">
        <v>5842.08</v>
      </c>
      <c r="H566" s="6">
        <f t="shared" si="33"/>
        <v>1121.2299999999996</v>
      </c>
      <c r="I566" s="6">
        <v>-802.31</v>
      </c>
      <c r="J566" s="6"/>
      <c r="K566" s="6">
        <f t="shared" si="34"/>
        <v>802.31</v>
      </c>
      <c r="L566" s="6"/>
      <c r="M566" s="6"/>
      <c r="N566" s="6">
        <f t="shared" si="35"/>
        <v>0</v>
      </c>
    </row>
    <row r="567" spans="1:14" x14ac:dyDescent="0.3">
      <c r="A567" s="8"/>
      <c r="B567" t="str">
        <f xml:space="preserve"> _xll.EPMOlapMemberO("[CLACO].[PARENTH1].[AMSAG_VIAJES]","","Gastos de Viajes","","000")</f>
        <v>Gastos de Viajes</v>
      </c>
      <c r="C567" s="6">
        <v>20189.240000000002</v>
      </c>
      <c r="D567" s="6">
        <v>8378.4599999999991</v>
      </c>
      <c r="E567" s="6">
        <f t="shared" si="32"/>
        <v>-11810.780000000002</v>
      </c>
      <c r="F567" s="6">
        <v>2805.11</v>
      </c>
      <c r="G567" s="6">
        <v>9956.0400000000009</v>
      </c>
      <c r="H567" s="6">
        <f t="shared" si="33"/>
        <v>7150.93</v>
      </c>
      <c r="I567" s="6">
        <v>884.8</v>
      </c>
      <c r="J567" s="6"/>
      <c r="K567" s="6">
        <f t="shared" si="34"/>
        <v>-884.8</v>
      </c>
      <c r="L567" s="6"/>
      <c r="M567" s="6"/>
      <c r="N567" s="6">
        <f t="shared" si="35"/>
        <v>0</v>
      </c>
    </row>
    <row r="568" spans="1:14" x14ac:dyDescent="0.3">
      <c r="A568" s="8"/>
      <c r="B568" t="str">
        <f xml:space="preserve"> _xll.EPMOlapMemberO("[CLACO].[PARENTH1].[AMSAGGENERALES.2]","","Otros Gastos","","000")</f>
        <v>Otros Gastos</v>
      </c>
      <c r="C568" s="6">
        <v>30813.42</v>
      </c>
      <c r="D568" s="6">
        <v>50873.27</v>
      </c>
      <c r="E568" s="6">
        <f t="shared" si="32"/>
        <v>20059.849999999999</v>
      </c>
      <c r="F568" s="6">
        <v>47782.66</v>
      </c>
      <c r="G568" s="6">
        <v>51351.39</v>
      </c>
      <c r="H568" s="6">
        <f t="shared" si="33"/>
        <v>3568.7299999999959</v>
      </c>
      <c r="I568" s="6">
        <v>-1.36</v>
      </c>
      <c r="J568" s="6"/>
      <c r="K568" s="6">
        <f t="shared" si="34"/>
        <v>1.36</v>
      </c>
      <c r="L568" s="6"/>
      <c r="M568" s="6"/>
      <c r="N568" s="6">
        <f t="shared" si="35"/>
        <v>0</v>
      </c>
    </row>
    <row r="569" spans="1:14" x14ac:dyDescent="0.3">
      <c r="A569" s="8" t="str">
        <f xml:space="preserve"> _xll.EPMOlapMemberO("[CECO].[PARENTH3].[AMSA1000AC0514]","","Innovación","","000")</f>
        <v>Innovación</v>
      </c>
      <c r="B569" t="str">
        <f xml:space="preserve"> _xll.EPMOlapMemberO("[CLACO].[PARENTH1].[AMSAREMUNERACI.SS]","","Remuneraciones Super","","000")</f>
        <v>Remuneraciones Super</v>
      </c>
      <c r="C569" s="6">
        <v>1011081.84</v>
      </c>
      <c r="D569" s="6">
        <v>1053631.1499999999</v>
      </c>
      <c r="E569" s="6">
        <f t="shared" si="32"/>
        <v>42549.309999999939</v>
      </c>
      <c r="F569" s="6">
        <v>1301492.1299999999</v>
      </c>
      <c r="G569" s="6">
        <v>1333950.77</v>
      </c>
      <c r="H569" s="6">
        <f t="shared" si="33"/>
        <v>32458.64000000013</v>
      </c>
      <c r="I569" s="6">
        <v>1242074.31</v>
      </c>
      <c r="J569" s="6">
        <v>1345385.82</v>
      </c>
      <c r="K569" s="6">
        <f t="shared" si="34"/>
        <v>103311.51000000001</v>
      </c>
      <c r="L569" s="6">
        <v>1243232.74</v>
      </c>
      <c r="M569" s="6">
        <v>1299196.81</v>
      </c>
      <c r="N569" s="6">
        <f t="shared" si="35"/>
        <v>55964.070000000065</v>
      </c>
    </row>
    <row r="570" spans="1:14" x14ac:dyDescent="0.3">
      <c r="A570" s="8"/>
      <c r="B570" t="str">
        <f xml:space="preserve"> _xll.EPMOlapMemberO("[CLACO].[PARENTH1].[AMSAMAT_Y_REP.2]","","Materiales y repuest","","000")</f>
        <v>Materiales y repuest</v>
      </c>
      <c r="C570" s="6"/>
      <c r="D570" s="6"/>
      <c r="E570" s="6">
        <f t="shared" si="32"/>
        <v>0</v>
      </c>
      <c r="F570" s="6">
        <v>0</v>
      </c>
      <c r="G570" s="6"/>
      <c r="H570" s="6">
        <f t="shared" si="33"/>
        <v>0</v>
      </c>
      <c r="I570" s="6"/>
      <c r="J570" s="6"/>
      <c r="K570" s="6">
        <f t="shared" si="34"/>
        <v>0</v>
      </c>
      <c r="L570" s="6">
        <v>258.45</v>
      </c>
      <c r="M570" s="6"/>
      <c r="N570" s="6">
        <f t="shared" si="35"/>
        <v>-258.45</v>
      </c>
    </row>
    <row r="571" spans="1:14" x14ac:dyDescent="0.3">
      <c r="A571" s="8"/>
      <c r="B571" t="str">
        <f xml:space="preserve"> _xll.EPMOlapMemberO("[CLACO].[PARENTH1].[AMSAADM_PERSON]","","Administración Perso","","000")</f>
        <v>Administración Perso</v>
      </c>
      <c r="C571" s="6">
        <v>139.44999999999999</v>
      </c>
      <c r="D571" s="6"/>
      <c r="E571" s="6">
        <f t="shared" si="32"/>
        <v>-139.44999999999999</v>
      </c>
      <c r="F571" s="6"/>
      <c r="G571" s="6"/>
      <c r="H571" s="6">
        <f t="shared" si="33"/>
        <v>0</v>
      </c>
      <c r="I571" s="6"/>
      <c r="J571" s="6"/>
      <c r="K571" s="6">
        <f t="shared" si="34"/>
        <v>0</v>
      </c>
      <c r="L571" s="6"/>
      <c r="M571" s="6"/>
      <c r="N571" s="6">
        <f t="shared" si="35"/>
        <v>0</v>
      </c>
    </row>
    <row r="572" spans="1:14" x14ac:dyDescent="0.3">
      <c r="A572" s="8"/>
      <c r="B572" t="str">
        <f xml:space="preserve"> _xll.EPMOlapMemberO("[CLACO].[PARENTH1].[AMSAENTRENAMI]","","Entrenamiento","","000")</f>
        <v>Entrenamiento</v>
      </c>
      <c r="C572" s="6">
        <v>13529.42</v>
      </c>
      <c r="D572" s="6"/>
      <c r="E572" s="6">
        <f t="shared" si="32"/>
        <v>-13529.42</v>
      </c>
      <c r="F572" s="6"/>
      <c r="G572" s="6"/>
      <c r="H572" s="6">
        <f t="shared" si="33"/>
        <v>0</v>
      </c>
      <c r="I572" s="6">
        <v>4712.16</v>
      </c>
      <c r="J572" s="6"/>
      <c r="K572" s="6">
        <f t="shared" si="34"/>
        <v>-4712.16</v>
      </c>
      <c r="L572" s="6">
        <v>3610.09</v>
      </c>
      <c r="M572" s="6"/>
      <c r="N572" s="6">
        <f t="shared" si="35"/>
        <v>-3610.09</v>
      </c>
    </row>
    <row r="573" spans="1:14" x14ac:dyDescent="0.3">
      <c r="A573" s="8"/>
      <c r="B573" t="str">
        <f xml:space="preserve"> _xll.EPMOlapMemberO("[CLACO].[PARENTH1].[AMSAASESORIAS]","","Asesorías y Consulto","","000")</f>
        <v>Asesorías y Consulto</v>
      </c>
      <c r="C573" s="6">
        <v>365374.62</v>
      </c>
      <c r="D573" s="6">
        <v>327993.39</v>
      </c>
      <c r="E573" s="6">
        <f t="shared" si="32"/>
        <v>-37381.229999999981</v>
      </c>
      <c r="F573" s="6">
        <v>133664.48000000001</v>
      </c>
      <c r="G573" s="6">
        <v>130359.78</v>
      </c>
      <c r="H573" s="6">
        <f t="shared" si="33"/>
        <v>-3304.7000000000116</v>
      </c>
      <c r="I573" s="6">
        <v>43826.47</v>
      </c>
      <c r="J573" s="6"/>
      <c r="K573" s="6">
        <f t="shared" si="34"/>
        <v>-43826.47</v>
      </c>
      <c r="L573" s="6">
        <v>125134.03</v>
      </c>
      <c r="M573" s="6">
        <v>152012.64000000001</v>
      </c>
      <c r="N573" s="6">
        <f t="shared" si="35"/>
        <v>26878.610000000015</v>
      </c>
    </row>
    <row r="574" spans="1:14" x14ac:dyDescent="0.3">
      <c r="A574" s="8"/>
      <c r="B574" t="str">
        <f xml:space="preserve"> _xll.EPMOlapMemberO("[CLACO].[PARENTH1].[AMSASERVICIOS]","","Servicios","","000")</f>
        <v>Servicios</v>
      </c>
      <c r="C574" s="6">
        <v>62251.58</v>
      </c>
      <c r="D574" s="6">
        <v>106063.67</v>
      </c>
      <c r="E574" s="6">
        <f t="shared" si="32"/>
        <v>43812.09</v>
      </c>
      <c r="F574" s="6">
        <v>168473.47</v>
      </c>
      <c r="G574" s="6"/>
      <c r="H574" s="6">
        <f t="shared" si="33"/>
        <v>-168473.47</v>
      </c>
      <c r="I574" s="6">
        <v>223779.98</v>
      </c>
      <c r="J574" s="6">
        <v>207300</v>
      </c>
      <c r="K574" s="6">
        <f t="shared" si="34"/>
        <v>-16479.98000000001</v>
      </c>
      <c r="L574" s="6">
        <v>1867766.94</v>
      </c>
      <c r="M574" s="6">
        <v>1522508.6</v>
      </c>
      <c r="N574" s="6">
        <f t="shared" si="35"/>
        <v>-345258.33999999985</v>
      </c>
    </row>
    <row r="575" spans="1:14" x14ac:dyDescent="0.3">
      <c r="A575" s="8"/>
      <c r="B575" t="str">
        <f xml:space="preserve"> _xll.EPMOlapMemberO("[CLACO].[PARENTH1].[AMSASERMANTO.REPA]","","Servicios Mantenimie","","000")</f>
        <v>Servicios Mantenimie</v>
      </c>
      <c r="C575" s="6"/>
      <c r="D575" s="6"/>
      <c r="E575" s="6">
        <f t="shared" si="32"/>
        <v>0</v>
      </c>
      <c r="F575" s="6"/>
      <c r="G575" s="6"/>
      <c r="H575" s="6">
        <f t="shared" si="33"/>
        <v>0</v>
      </c>
      <c r="I575" s="6"/>
      <c r="J575" s="6"/>
      <c r="K575" s="6">
        <f t="shared" si="34"/>
        <v>0</v>
      </c>
      <c r="L575" s="6">
        <v>23.8</v>
      </c>
      <c r="M575" s="6"/>
      <c r="N575" s="6">
        <f t="shared" si="35"/>
        <v>-23.8</v>
      </c>
    </row>
    <row r="576" spans="1:14" x14ac:dyDescent="0.3">
      <c r="A576" s="8"/>
      <c r="B576" t="str">
        <f xml:space="preserve"> _xll.EPMOlapMemberO("[CLACO].[PARENTH1].[AMSAINFORMATIC]","","Informática y Comuni","","000")</f>
        <v>Informática y Comuni</v>
      </c>
      <c r="C576" s="6">
        <v>51096.93</v>
      </c>
      <c r="D576" s="6">
        <v>91830.55</v>
      </c>
      <c r="E576" s="6">
        <f t="shared" si="32"/>
        <v>40733.620000000003</v>
      </c>
      <c r="F576" s="6">
        <v>109044.87</v>
      </c>
      <c r="G576" s="6">
        <v>91745.31</v>
      </c>
      <c r="H576" s="6">
        <f t="shared" si="33"/>
        <v>-17299.559999999998</v>
      </c>
      <c r="I576" s="6">
        <v>147550.79</v>
      </c>
      <c r="J576" s="6">
        <v>143575.9</v>
      </c>
      <c r="K576" s="6">
        <f t="shared" si="34"/>
        <v>-3974.890000000014</v>
      </c>
      <c r="L576" s="6">
        <v>153049.56</v>
      </c>
      <c r="M576" s="6">
        <v>134827.51</v>
      </c>
      <c r="N576" s="6">
        <f t="shared" si="35"/>
        <v>-18222.049999999988</v>
      </c>
    </row>
    <row r="577" spans="1:14" x14ac:dyDescent="0.3">
      <c r="A577" s="8"/>
      <c r="B577" t="str">
        <f xml:space="preserve"> _xll.EPMOlapMemberO("[CLACO].[PARENTH1].[AMSAG_VIAJES]","","Gastos de Viajes","","000")</f>
        <v>Gastos de Viajes</v>
      </c>
      <c r="C577" s="6">
        <v>11840.45</v>
      </c>
      <c r="D577" s="6">
        <v>7129.14</v>
      </c>
      <c r="E577" s="6">
        <f t="shared" si="32"/>
        <v>-4711.3100000000004</v>
      </c>
      <c r="F577" s="6">
        <v>47842.48</v>
      </c>
      <c r="G577" s="6">
        <v>19934.07</v>
      </c>
      <c r="H577" s="6">
        <f t="shared" si="33"/>
        <v>-27908.410000000003</v>
      </c>
      <c r="I577" s="6">
        <v>55481.17</v>
      </c>
      <c r="J577" s="6">
        <v>53114.44</v>
      </c>
      <c r="K577" s="6">
        <f t="shared" si="34"/>
        <v>-2366.7299999999959</v>
      </c>
      <c r="L577" s="6">
        <v>45965.41</v>
      </c>
      <c r="M577" s="6">
        <v>17721.23</v>
      </c>
      <c r="N577" s="6">
        <f t="shared" si="35"/>
        <v>-28244.180000000004</v>
      </c>
    </row>
    <row r="578" spans="1:14" x14ac:dyDescent="0.3">
      <c r="A578" s="8"/>
      <c r="B578" t="str">
        <f xml:space="preserve"> _xll.EPMOlapMemberO("[CLACO].[PARENTH1].[AMSAIMP_PATEN]","","Impuestos / Patentes","","000")</f>
        <v>Impuestos / Patentes</v>
      </c>
      <c r="C578" s="6"/>
      <c r="D578" s="6"/>
      <c r="E578" s="6">
        <f t="shared" si="32"/>
        <v>0</v>
      </c>
      <c r="F578" s="6">
        <v>12707.24</v>
      </c>
      <c r="G578" s="6">
        <v>102279.56</v>
      </c>
      <c r="H578" s="6">
        <f t="shared" si="33"/>
        <v>89572.319999999992</v>
      </c>
      <c r="I578" s="6">
        <v>16995.21</v>
      </c>
      <c r="J578" s="6">
        <v>121950</v>
      </c>
      <c r="K578" s="6">
        <f t="shared" si="34"/>
        <v>104954.79000000001</v>
      </c>
      <c r="L578" s="6">
        <v>-117.53</v>
      </c>
      <c r="M578" s="6">
        <v>60989</v>
      </c>
      <c r="N578" s="6">
        <f t="shared" si="35"/>
        <v>61106.53</v>
      </c>
    </row>
    <row r="579" spans="1:14" x14ac:dyDescent="0.3">
      <c r="A579" s="8"/>
      <c r="B579" t="str">
        <f xml:space="preserve"> _xll.EPMOlapMemberO("[CLACO].[PARENTH1].[AMSAGGENERALES.2]","","Otros Gastos","","000")</f>
        <v>Otros Gastos</v>
      </c>
      <c r="C579" s="6">
        <v>15231.96</v>
      </c>
      <c r="D579" s="6">
        <v>16696.650000000001</v>
      </c>
      <c r="E579" s="6">
        <f t="shared" si="32"/>
        <v>1464.6900000000023</v>
      </c>
      <c r="F579" s="6">
        <v>7115.6</v>
      </c>
      <c r="G579" s="6">
        <v>16782.03</v>
      </c>
      <c r="H579" s="6">
        <f t="shared" si="33"/>
        <v>9666.4299999999985</v>
      </c>
      <c r="I579" s="6">
        <v>126700.64</v>
      </c>
      <c r="J579" s="6">
        <v>94748.33</v>
      </c>
      <c r="K579" s="6">
        <f t="shared" si="34"/>
        <v>-31952.309999999998</v>
      </c>
      <c r="L579" s="6">
        <v>180776.25</v>
      </c>
      <c r="M579" s="6">
        <v>151676.57999999999</v>
      </c>
      <c r="N579" s="6">
        <f t="shared" si="35"/>
        <v>-29099.670000000013</v>
      </c>
    </row>
    <row r="580" spans="1:14" x14ac:dyDescent="0.3">
      <c r="A580" s="8" t="str">
        <f xml:space="preserve"> _xll.EPMOlapMemberO("[CECO].[PARENTH3].[AMSA1000AC3505]","","Gcia TICA","","000")</f>
        <v>Gcia TICA</v>
      </c>
      <c r="B580" t="str">
        <f xml:space="preserve"> _xll.EPMOlapMemberO("[CLACO].[PARENTH1].[AMSAREMUNERACI.EE]","","Remuneraciones emple","","000")</f>
        <v>Remuneraciones emple</v>
      </c>
      <c r="C580" s="6">
        <v>325.11</v>
      </c>
      <c r="D580" s="6"/>
      <c r="E580" s="6">
        <f t="shared" si="32"/>
        <v>-325.11</v>
      </c>
      <c r="F580" s="6"/>
      <c r="G580" s="6"/>
      <c r="H580" s="6">
        <f t="shared" si="33"/>
        <v>0</v>
      </c>
      <c r="I580" s="6"/>
      <c r="J580" s="6"/>
      <c r="K580" s="6">
        <f t="shared" si="34"/>
        <v>0</v>
      </c>
      <c r="L580" s="6"/>
      <c r="M580" s="6"/>
      <c r="N580" s="6">
        <f t="shared" si="35"/>
        <v>0</v>
      </c>
    </row>
    <row r="581" spans="1:14" x14ac:dyDescent="0.3">
      <c r="A581" s="8"/>
      <c r="B581" t="str">
        <f xml:space="preserve"> _xll.EPMOlapMemberO("[CLACO].[PARENTH1].[AMSAREMUNERACI.SS]","","Remuneraciones Super","","000")</f>
        <v>Remuneraciones Super</v>
      </c>
      <c r="C581" s="6">
        <v>6758120.6500000004</v>
      </c>
      <c r="D581" s="6">
        <v>6621081.7300000004</v>
      </c>
      <c r="E581" s="6">
        <f t="shared" si="32"/>
        <v>-137038.91999999993</v>
      </c>
      <c r="F581" s="6">
        <v>7534744.25</v>
      </c>
      <c r="G581" s="6">
        <v>7294402.8300000001</v>
      </c>
      <c r="H581" s="6">
        <f t="shared" si="33"/>
        <v>-240341.41999999993</v>
      </c>
      <c r="I581" s="6">
        <v>6600467.7400000002</v>
      </c>
      <c r="J581" s="6">
        <v>7668219.6799999997</v>
      </c>
      <c r="K581" s="6">
        <f t="shared" si="34"/>
        <v>1067751.9399999995</v>
      </c>
      <c r="L581" s="6">
        <v>6527482.9199999999</v>
      </c>
      <c r="M581" s="6">
        <v>7274577.8200000003</v>
      </c>
      <c r="N581" s="6">
        <f t="shared" si="35"/>
        <v>747094.90000000037</v>
      </c>
    </row>
    <row r="582" spans="1:14" x14ac:dyDescent="0.3">
      <c r="A582" s="8"/>
      <c r="B582" t="str">
        <f xml:space="preserve"> _xll.EPMOlapMemberO("[CLACO].[PARENTH1].[AMSAMAT_Y_REP.2]","","Materiales y repuest","","000")</f>
        <v>Materiales y repuest</v>
      </c>
      <c r="C582" s="6">
        <v>-286298.56</v>
      </c>
      <c r="D582" s="6">
        <v>5449.99</v>
      </c>
      <c r="E582" s="6">
        <f t="shared" si="32"/>
        <v>291748.55</v>
      </c>
      <c r="F582" s="6">
        <v>0</v>
      </c>
      <c r="G582" s="6"/>
      <c r="H582" s="6">
        <f t="shared" si="33"/>
        <v>0</v>
      </c>
      <c r="I582" s="6"/>
      <c r="J582" s="6"/>
      <c r="K582" s="6">
        <f t="shared" si="34"/>
        <v>0</v>
      </c>
      <c r="L582" s="6">
        <v>129.41</v>
      </c>
      <c r="M582" s="6"/>
      <c r="N582" s="6">
        <f t="shared" si="35"/>
        <v>-129.41</v>
      </c>
    </row>
    <row r="583" spans="1:14" x14ac:dyDescent="0.3">
      <c r="A583" s="8"/>
      <c r="B583" t="str">
        <f xml:space="preserve"> _xll.EPMOlapMemberO("[CLACO].[PARENTH1].[AMSAADM_PERSON]","","Administración Perso","","000")</f>
        <v>Administración Perso</v>
      </c>
      <c r="C583" s="6">
        <v>-1924.71</v>
      </c>
      <c r="D583" s="6"/>
      <c r="E583" s="6">
        <f t="shared" si="32"/>
        <v>1924.71</v>
      </c>
      <c r="F583" s="6"/>
      <c r="G583" s="6"/>
      <c r="H583" s="6">
        <f t="shared" si="33"/>
        <v>0</v>
      </c>
      <c r="I583" s="6">
        <v>765.51</v>
      </c>
      <c r="J583" s="6"/>
      <c r="K583" s="6">
        <f t="shared" si="34"/>
        <v>-765.51</v>
      </c>
      <c r="L583" s="6">
        <v>8602.69</v>
      </c>
      <c r="M583" s="6"/>
      <c r="N583" s="6">
        <f t="shared" si="35"/>
        <v>-8602.69</v>
      </c>
    </row>
    <row r="584" spans="1:14" x14ac:dyDescent="0.3">
      <c r="A584" s="8"/>
      <c r="B584" t="str">
        <f xml:space="preserve"> _xll.EPMOlapMemberO("[CLACO].[PARENTH1].[AMSAENTRENAMI]","","Entrenamiento","","000")</f>
        <v>Entrenamiento</v>
      </c>
      <c r="C584" s="6"/>
      <c r="D584" s="6"/>
      <c r="E584" s="6">
        <f t="shared" si="32"/>
        <v>0</v>
      </c>
      <c r="F584" s="6"/>
      <c r="G584" s="6"/>
      <c r="H584" s="6">
        <f t="shared" si="33"/>
        <v>0</v>
      </c>
      <c r="I584" s="6"/>
      <c r="J584" s="6"/>
      <c r="K584" s="6">
        <f t="shared" si="34"/>
        <v>0</v>
      </c>
      <c r="L584" s="6">
        <v>7167.12</v>
      </c>
      <c r="M584" s="6"/>
      <c r="N584" s="6">
        <f t="shared" si="35"/>
        <v>-7167.12</v>
      </c>
    </row>
    <row r="585" spans="1:14" x14ac:dyDescent="0.3">
      <c r="A585" s="8"/>
      <c r="B585" t="str">
        <f xml:space="preserve"> _xll.EPMOlapMemberO("[CLACO].[PARENTH1].[AMSAASESORIAS]","","Asesorías y Consulto","","000")</f>
        <v>Asesorías y Consulto</v>
      </c>
      <c r="C585" s="6">
        <v>20720.849999999999</v>
      </c>
      <c r="D585" s="6"/>
      <c r="E585" s="6">
        <f t="shared" si="32"/>
        <v>-20720.849999999999</v>
      </c>
      <c r="F585" s="6">
        <v>4339.63</v>
      </c>
      <c r="G585" s="6"/>
      <c r="H585" s="6">
        <f t="shared" si="33"/>
        <v>-4339.63</v>
      </c>
      <c r="I585" s="6"/>
      <c r="J585" s="6"/>
      <c r="K585" s="6">
        <f t="shared" si="34"/>
        <v>0</v>
      </c>
      <c r="L585" s="6"/>
      <c r="M585" s="6"/>
      <c r="N585" s="6">
        <f t="shared" si="35"/>
        <v>0</v>
      </c>
    </row>
    <row r="586" spans="1:14" x14ac:dyDescent="0.3">
      <c r="A586" s="8"/>
      <c r="B586" t="str">
        <f xml:space="preserve"> _xll.EPMOlapMemberO("[CLACO].[PARENTH1].[AMSAARRIENDOS]","","Arriendos","","000")</f>
        <v>Arriendos</v>
      </c>
      <c r="C586" s="6">
        <v>3536.84</v>
      </c>
      <c r="D586" s="6"/>
      <c r="E586" s="6">
        <f t="shared" si="32"/>
        <v>-3536.84</v>
      </c>
      <c r="F586" s="6">
        <v>0</v>
      </c>
      <c r="G586" s="6"/>
      <c r="H586" s="6">
        <f t="shared" si="33"/>
        <v>0</v>
      </c>
      <c r="I586" s="6">
        <v>0</v>
      </c>
      <c r="J586" s="6"/>
      <c r="K586" s="6">
        <f t="shared" si="34"/>
        <v>0</v>
      </c>
      <c r="L586" s="6">
        <v>0</v>
      </c>
      <c r="M586" s="6"/>
      <c r="N586" s="6">
        <f t="shared" si="35"/>
        <v>0</v>
      </c>
    </row>
    <row r="587" spans="1:14" x14ac:dyDescent="0.3">
      <c r="A587" s="8"/>
      <c r="B587" t="str">
        <f xml:space="preserve"> _xll.EPMOlapMemberO("[CLACO].[PARENTH1].[AMSASERVICIOS]","","Servicios","","000")</f>
        <v>Servicios</v>
      </c>
      <c r="C587" s="6">
        <v>32928.400000000001</v>
      </c>
      <c r="D587" s="6"/>
      <c r="E587" s="6">
        <f t="shared" ref="E587:E650" si="36">+D587-C587</f>
        <v>-32928.400000000001</v>
      </c>
      <c r="F587" s="6">
        <v>2473.9699999999998</v>
      </c>
      <c r="G587" s="6"/>
      <c r="H587" s="6">
        <f t="shared" ref="H587:H650" si="37">+G587-F587</f>
        <v>-2473.9699999999998</v>
      </c>
      <c r="I587" s="6"/>
      <c r="J587" s="6"/>
      <c r="K587" s="6">
        <f t="shared" ref="K587:K650" si="38">+J587-I587</f>
        <v>0</v>
      </c>
      <c r="L587" s="6">
        <v>-734.63</v>
      </c>
      <c r="M587" s="6"/>
      <c r="N587" s="6">
        <f t="shared" ref="N587:N650" si="39">+M587-L587</f>
        <v>734.63</v>
      </c>
    </row>
    <row r="588" spans="1:14" x14ac:dyDescent="0.3">
      <c r="A588" s="8"/>
      <c r="B588" t="str">
        <f xml:space="preserve"> _xll.EPMOlapMemberO("[CLACO].[PARENTH1].[AMSASERMANTO.REPA]","","Servicios Mantenimie","","000")</f>
        <v>Servicios Mantenimie</v>
      </c>
      <c r="C588" s="6">
        <v>96711.11</v>
      </c>
      <c r="D588" s="6">
        <v>123186.11</v>
      </c>
      <c r="E588" s="6">
        <f t="shared" si="36"/>
        <v>26475</v>
      </c>
      <c r="F588" s="6">
        <v>114772.32</v>
      </c>
      <c r="G588" s="6">
        <v>111478.76</v>
      </c>
      <c r="H588" s="6">
        <f t="shared" si="37"/>
        <v>-3293.5600000000122</v>
      </c>
      <c r="I588" s="6">
        <v>84785.14</v>
      </c>
      <c r="J588" s="6">
        <v>141511.74</v>
      </c>
      <c r="K588" s="6">
        <f t="shared" si="38"/>
        <v>56726.599999999991</v>
      </c>
      <c r="L588" s="6">
        <v>177403.02</v>
      </c>
      <c r="M588" s="6">
        <v>140930.31</v>
      </c>
      <c r="N588" s="6">
        <f t="shared" si="39"/>
        <v>-36472.709999999992</v>
      </c>
    </row>
    <row r="589" spans="1:14" x14ac:dyDescent="0.3">
      <c r="A589" s="8"/>
      <c r="B589" t="str">
        <f xml:space="preserve"> _xll.EPMOlapMemberO("[CLACO].[PARENTH1].[AMSAINFORMATIC]","","Informática y Comuni","","000")</f>
        <v>Informática y Comuni</v>
      </c>
      <c r="C589" s="6">
        <v>4092323.57</v>
      </c>
      <c r="D589" s="6">
        <v>4140819.24</v>
      </c>
      <c r="E589" s="6">
        <f t="shared" si="36"/>
        <v>48495.670000000391</v>
      </c>
      <c r="F589" s="6">
        <v>4156491.71</v>
      </c>
      <c r="G589" s="6">
        <v>4241459.33</v>
      </c>
      <c r="H589" s="6">
        <f t="shared" si="37"/>
        <v>84967.620000000112</v>
      </c>
      <c r="I589" s="6">
        <v>3747139.22</v>
      </c>
      <c r="J589" s="6">
        <v>3912305.99</v>
      </c>
      <c r="K589" s="6">
        <f t="shared" si="38"/>
        <v>165166.77000000002</v>
      </c>
      <c r="L589" s="6">
        <v>3894001.95</v>
      </c>
      <c r="M589" s="6">
        <v>3985652.33</v>
      </c>
      <c r="N589" s="6">
        <f t="shared" si="39"/>
        <v>91650.379999999888</v>
      </c>
    </row>
    <row r="590" spans="1:14" x14ac:dyDescent="0.3">
      <c r="A590" s="8"/>
      <c r="B590" t="str">
        <f xml:space="preserve"> _xll.EPMOlapMemberO("[CLACO].[PARENTH1].[AMSAG_VIAJES]","","Gastos de Viajes","","000")</f>
        <v>Gastos de Viajes</v>
      </c>
      <c r="C590" s="6">
        <v>66340.55</v>
      </c>
      <c r="D590" s="6">
        <v>43122.19</v>
      </c>
      <c r="E590" s="6">
        <f t="shared" si="36"/>
        <v>-23218.36</v>
      </c>
      <c r="F590" s="6">
        <v>91188.53</v>
      </c>
      <c r="G590" s="6">
        <v>51022.01</v>
      </c>
      <c r="H590" s="6">
        <f t="shared" si="37"/>
        <v>-40166.519999999997</v>
      </c>
      <c r="I590" s="6">
        <v>97345.03</v>
      </c>
      <c r="J590" s="6">
        <v>52039.98</v>
      </c>
      <c r="K590" s="6">
        <f t="shared" si="38"/>
        <v>-45305.049999999996</v>
      </c>
      <c r="L590" s="6">
        <v>91988.41</v>
      </c>
      <c r="M590" s="6">
        <v>75117.64</v>
      </c>
      <c r="N590" s="6">
        <f t="shared" si="39"/>
        <v>-16870.770000000004</v>
      </c>
    </row>
    <row r="591" spans="1:14" x14ac:dyDescent="0.3">
      <c r="A591" s="8"/>
      <c r="B591" t="str">
        <f xml:space="preserve"> _xll.EPMOlapMemberO("[CLACO].[PARENTH1].[AMSAGGENERALES.2]","","Otros Gastos","","000")</f>
        <v>Otros Gastos</v>
      </c>
      <c r="C591" s="6">
        <v>43175.72</v>
      </c>
      <c r="D591" s="6">
        <v>9541.7099999999991</v>
      </c>
      <c r="E591" s="6">
        <f t="shared" si="36"/>
        <v>-33634.01</v>
      </c>
      <c r="F591" s="6">
        <v>5960.44</v>
      </c>
      <c r="G591" s="6">
        <v>7976.53</v>
      </c>
      <c r="H591" s="6">
        <f t="shared" si="37"/>
        <v>2016.0900000000001</v>
      </c>
      <c r="I591" s="6">
        <v>7891.59</v>
      </c>
      <c r="J591" s="6">
        <v>7721.41</v>
      </c>
      <c r="K591" s="6">
        <f t="shared" si="38"/>
        <v>-170.18000000000029</v>
      </c>
      <c r="L591" s="6">
        <v>3708.75</v>
      </c>
      <c r="M591" s="6">
        <v>2446.8000000000002</v>
      </c>
      <c r="N591" s="6">
        <f t="shared" si="39"/>
        <v>-1261.9499999999998</v>
      </c>
    </row>
    <row r="592" spans="1:14" x14ac:dyDescent="0.3">
      <c r="A592" s="8" t="str">
        <f xml:space="preserve"> _xll.EPMOlapMemberO("[CECO].[PARENTH3].[AMSA1000AC7010]","","VP Estrategia e Inno","","000")</f>
        <v>VP Estrategia e Inno</v>
      </c>
      <c r="B592" t="str">
        <f xml:space="preserve"> _xll.EPMOlapMemberO("[CLACO].[PARENTH1].[AMSAREMUNERACI.SS]","","Remuneraciones Super","","000")</f>
        <v>Remuneraciones Super</v>
      </c>
      <c r="C592" s="6">
        <v>1518264.76</v>
      </c>
      <c r="D592" s="6">
        <v>1521098.27</v>
      </c>
      <c r="E592" s="6">
        <f t="shared" si="36"/>
        <v>2833.5100000000093</v>
      </c>
      <c r="F592" s="6">
        <v>1999783.38</v>
      </c>
      <c r="G592" s="6">
        <v>1599222.98</v>
      </c>
      <c r="H592" s="6">
        <f t="shared" si="37"/>
        <v>-400560.39999999991</v>
      </c>
      <c r="I592" s="6">
        <v>3338051.56</v>
      </c>
      <c r="J592" s="6">
        <v>2499423.94</v>
      </c>
      <c r="K592" s="6">
        <f t="shared" si="38"/>
        <v>-838627.62000000011</v>
      </c>
      <c r="L592" s="6">
        <v>4862250.76</v>
      </c>
      <c r="M592" s="6">
        <v>3926555.35</v>
      </c>
      <c r="N592" s="6">
        <f t="shared" si="39"/>
        <v>-935695.40999999968</v>
      </c>
    </row>
    <row r="593" spans="1:14" x14ac:dyDescent="0.3">
      <c r="A593" s="8"/>
      <c r="B593" t="str">
        <f xml:space="preserve"> _xll.EPMOlapMemberO("[CLACO].[PARENTH1].[AMSAMAT_Y_REP.2]","","Materiales y repuest","","000")</f>
        <v>Materiales y repuest</v>
      </c>
      <c r="C593" s="6"/>
      <c r="D593" s="6"/>
      <c r="E593" s="6">
        <f t="shared" si="36"/>
        <v>0</v>
      </c>
      <c r="F593" s="6">
        <v>0</v>
      </c>
      <c r="G593" s="6"/>
      <c r="H593" s="6">
        <f t="shared" si="37"/>
        <v>0</v>
      </c>
      <c r="I593" s="6"/>
      <c r="J593" s="6"/>
      <c r="K593" s="6">
        <f t="shared" si="38"/>
        <v>0</v>
      </c>
      <c r="L593" s="6">
        <v>69.260000000000005</v>
      </c>
      <c r="M593" s="6"/>
      <c r="N593" s="6">
        <f t="shared" si="39"/>
        <v>-69.260000000000005</v>
      </c>
    </row>
    <row r="594" spans="1:14" x14ac:dyDescent="0.3">
      <c r="A594" s="8"/>
      <c r="B594" t="str">
        <f xml:space="preserve"> _xll.EPMOlapMemberO("[CLACO].[PARENTH1].[AMSAADM_PERSON]","","Administración Perso","","000")</f>
        <v>Administración Perso</v>
      </c>
      <c r="C594" s="6">
        <v>53726.91</v>
      </c>
      <c r="D594" s="6"/>
      <c r="E594" s="6">
        <f t="shared" si="36"/>
        <v>-53726.91</v>
      </c>
      <c r="F594" s="6">
        <v>640.01</v>
      </c>
      <c r="G594" s="6"/>
      <c r="H594" s="6">
        <f t="shared" si="37"/>
        <v>-640.01</v>
      </c>
      <c r="I594" s="6">
        <v>2230.54</v>
      </c>
      <c r="J594" s="6"/>
      <c r="K594" s="6">
        <f t="shared" si="38"/>
        <v>-2230.54</v>
      </c>
      <c r="L594" s="6">
        <v>5416.05</v>
      </c>
      <c r="M594" s="6"/>
      <c r="N594" s="6">
        <f t="shared" si="39"/>
        <v>-5416.05</v>
      </c>
    </row>
    <row r="595" spans="1:14" x14ac:dyDescent="0.3">
      <c r="A595" s="8"/>
      <c r="B595" t="str">
        <f xml:space="preserve"> _xll.EPMOlapMemberO("[CLACO].[PARENTH1].[AMSAENTRENAMI]","","Entrenamiento","","000")</f>
        <v>Entrenamiento</v>
      </c>
      <c r="C595" s="6">
        <v>4939.1099999999997</v>
      </c>
      <c r="D595" s="6"/>
      <c r="E595" s="6">
        <f t="shared" si="36"/>
        <v>-4939.1099999999997</v>
      </c>
      <c r="F595" s="6">
        <v>11418.1</v>
      </c>
      <c r="G595" s="6">
        <v>52432.3</v>
      </c>
      <c r="H595" s="6">
        <f t="shared" si="37"/>
        <v>41014.200000000004</v>
      </c>
      <c r="I595" s="6">
        <v>30176.76</v>
      </c>
      <c r="J595" s="6">
        <v>14635.29</v>
      </c>
      <c r="K595" s="6">
        <f t="shared" si="38"/>
        <v>-15541.469999999998</v>
      </c>
      <c r="L595" s="6">
        <v>8201.9</v>
      </c>
      <c r="M595" s="6"/>
      <c r="N595" s="6">
        <f t="shared" si="39"/>
        <v>-8201.9</v>
      </c>
    </row>
    <row r="596" spans="1:14" x14ac:dyDescent="0.3">
      <c r="A596" s="8"/>
      <c r="B596" t="str">
        <f xml:space="preserve"> _xll.EPMOlapMemberO("[CLACO].[PARENTH1].[AMSAASESORIAS]","","Asesorías y Consulto","","000")</f>
        <v>Asesorías y Consulto</v>
      </c>
      <c r="C596" s="6">
        <v>246236.88</v>
      </c>
      <c r="D596" s="6">
        <v>428071</v>
      </c>
      <c r="E596" s="6">
        <f t="shared" si="36"/>
        <v>181834.12</v>
      </c>
      <c r="F596" s="6">
        <v>98454.88</v>
      </c>
      <c r="G596" s="6">
        <v>131297.20000000001</v>
      </c>
      <c r="H596" s="6">
        <f t="shared" si="37"/>
        <v>32842.320000000007</v>
      </c>
      <c r="I596" s="6">
        <v>20049.900000000001</v>
      </c>
      <c r="J596" s="6"/>
      <c r="K596" s="6">
        <f t="shared" si="38"/>
        <v>-20049.900000000001</v>
      </c>
      <c r="L596" s="6">
        <v>9288.6</v>
      </c>
      <c r="M596" s="6"/>
      <c r="N596" s="6">
        <f t="shared" si="39"/>
        <v>-9288.6</v>
      </c>
    </row>
    <row r="597" spans="1:14" x14ac:dyDescent="0.3">
      <c r="A597" s="8"/>
      <c r="B597" t="str">
        <f xml:space="preserve"> _xll.EPMOlapMemberO("[CLACO].[PARENTH1].[AMSASERVICIOS]","","Servicios","","000")</f>
        <v>Servicios</v>
      </c>
      <c r="C597" s="6">
        <v>7413.43</v>
      </c>
      <c r="D597" s="6"/>
      <c r="E597" s="6">
        <f t="shared" si="36"/>
        <v>-7413.43</v>
      </c>
      <c r="F597" s="6">
        <v>189338.07</v>
      </c>
      <c r="G597" s="6">
        <v>199997.91</v>
      </c>
      <c r="H597" s="6">
        <f t="shared" si="37"/>
        <v>10659.839999999997</v>
      </c>
      <c r="I597" s="6">
        <v>121672.58</v>
      </c>
      <c r="J597" s="6">
        <v>300492.43</v>
      </c>
      <c r="K597" s="6">
        <f t="shared" si="38"/>
        <v>178819.84999999998</v>
      </c>
      <c r="L597" s="6">
        <v>63527.27</v>
      </c>
      <c r="M597" s="6">
        <v>129698.72</v>
      </c>
      <c r="N597" s="6">
        <f t="shared" si="39"/>
        <v>66171.450000000012</v>
      </c>
    </row>
    <row r="598" spans="1:14" x14ac:dyDescent="0.3">
      <c r="A598" s="8"/>
      <c r="B598" t="str">
        <f xml:space="preserve"> _xll.EPMOlapMemberO("[CLACO].[PARENTH1].[AMSAINFORMATIC]","","Informática y Comuni","","000")</f>
        <v>Informática y Comuni</v>
      </c>
      <c r="C598" s="6">
        <v>40972.44</v>
      </c>
      <c r="D598" s="6">
        <v>539.38</v>
      </c>
      <c r="E598" s="6">
        <f t="shared" si="36"/>
        <v>-40433.060000000005</v>
      </c>
      <c r="F598" s="6">
        <v>3538.6</v>
      </c>
      <c r="G598" s="6">
        <v>1072.04</v>
      </c>
      <c r="H598" s="6">
        <f t="shared" si="37"/>
        <v>-2466.56</v>
      </c>
      <c r="I598" s="6">
        <v>17351.740000000002</v>
      </c>
      <c r="J598" s="6">
        <v>3980.9</v>
      </c>
      <c r="K598" s="6">
        <f t="shared" si="38"/>
        <v>-13370.840000000002</v>
      </c>
      <c r="L598" s="6">
        <v>6978.75</v>
      </c>
      <c r="M598" s="6">
        <v>5633.37</v>
      </c>
      <c r="N598" s="6">
        <f t="shared" si="39"/>
        <v>-1345.38</v>
      </c>
    </row>
    <row r="599" spans="1:14" x14ac:dyDescent="0.3">
      <c r="A599" s="8"/>
      <c r="B599" t="str">
        <f xml:space="preserve"> _xll.EPMOlapMemberO("[CLACO].[PARENTH1].[AMSAG_VIAJES]","","Gastos de Viajes","","000")</f>
        <v>Gastos de Viajes</v>
      </c>
      <c r="C599" s="6">
        <v>26363.74</v>
      </c>
      <c r="D599" s="6">
        <v>46132.08</v>
      </c>
      <c r="E599" s="6">
        <f t="shared" si="36"/>
        <v>19768.34</v>
      </c>
      <c r="F599" s="6">
        <v>33369.78</v>
      </c>
      <c r="G599" s="6">
        <v>26542.880000000001</v>
      </c>
      <c r="H599" s="6">
        <f t="shared" si="37"/>
        <v>-6826.8999999999978</v>
      </c>
      <c r="I599" s="6">
        <v>57223.59</v>
      </c>
      <c r="J599" s="6">
        <v>53367.08</v>
      </c>
      <c r="K599" s="6">
        <f t="shared" si="38"/>
        <v>-3856.5099999999948</v>
      </c>
      <c r="L599" s="6">
        <v>98674.75</v>
      </c>
      <c r="M599" s="6">
        <v>63959.16</v>
      </c>
      <c r="N599" s="6">
        <f t="shared" si="39"/>
        <v>-34715.589999999997</v>
      </c>
    </row>
    <row r="600" spans="1:14" x14ac:dyDescent="0.3">
      <c r="A600" s="8"/>
      <c r="B600" t="str">
        <f xml:space="preserve"> _xll.EPMOlapMemberO("[CLACO].[PARENTH1].[AMSAIMP_PATEN]","","Impuestos / Patentes","","000")</f>
        <v>Impuestos / Patentes</v>
      </c>
      <c r="C600" s="6"/>
      <c r="D600" s="6"/>
      <c r="E600" s="6">
        <f t="shared" si="36"/>
        <v>0</v>
      </c>
      <c r="F600" s="6">
        <v>88.63</v>
      </c>
      <c r="G600" s="6"/>
      <c r="H600" s="6">
        <f t="shared" si="37"/>
        <v>-88.63</v>
      </c>
      <c r="I600" s="6"/>
      <c r="J600" s="6"/>
      <c r="K600" s="6">
        <f t="shared" si="38"/>
        <v>0</v>
      </c>
      <c r="L600" s="6"/>
      <c r="M600" s="6"/>
      <c r="N600" s="6">
        <f t="shared" si="39"/>
        <v>0</v>
      </c>
    </row>
    <row r="601" spans="1:14" x14ac:dyDescent="0.3">
      <c r="A601" s="8"/>
      <c r="B601" t="str">
        <f xml:space="preserve"> _xll.EPMOlapMemberO("[CLACO].[PARENTH1].[AMSAGGENERALES.2]","","Otros Gastos","","000")</f>
        <v>Otros Gastos</v>
      </c>
      <c r="C601" s="6">
        <v>1804.61</v>
      </c>
      <c r="D601" s="6">
        <v>281.73</v>
      </c>
      <c r="E601" s="6">
        <f t="shared" si="36"/>
        <v>-1522.8799999999999</v>
      </c>
      <c r="F601" s="6">
        <v>36779.839999999997</v>
      </c>
      <c r="G601" s="6">
        <v>74337.570000000007</v>
      </c>
      <c r="H601" s="6">
        <f t="shared" si="37"/>
        <v>37557.73000000001</v>
      </c>
      <c r="I601" s="6">
        <v>8291.5499999999993</v>
      </c>
      <c r="J601" s="6">
        <v>16243.17</v>
      </c>
      <c r="K601" s="6">
        <f t="shared" si="38"/>
        <v>7951.6200000000008</v>
      </c>
      <c r="L601" s="6">
        <v>64762.34</v>
      </c>
      <c r="M601" s="6">
        <v>17266.650000000001</v>
      </c>
      <c r="N601" s="6">
        <f t="shared" si="39"/>
        <v>-47495.689999999995</v>
      </c>
    </row>
    <row r="602" spans="1:14" x14ac:dyDescent="0.3">
      <c r="A602" s="8" t="str">
        <f xml:space="preserve"> _xll.EPMOlapMemberO("[CECO].[PARENTH3].[AMSA1000AC7012]","","Data y Analít Avanza","","000")</f>
        <v>Data y Analít Avanza</v>
      </c>
      <c r="B602" t="str">
        <f xml:space="preserve"> _xll.EPMOlapMemberO("[CLACO].[PARENTH1].[AMSAREMUNERACI.SS]","","Remuneraciones Super","","000")</f>
        <v>Remuneraciones Super</v>
      </c>
      <c r="C602" s="6">
        <v>746226.02</v>
      </c>
      <c r="D602" s="6">
        <v>870004.59</v>
      </c>
      <c r="E602" s="6">
        <f t="shared" si="36"/>
        <v>123778.56999999995</v>
      </c>
      <c r="F602" s="6">
        <v>1173200.8700000001</v>
      </c>
      <c r="G602" s="6">
        <v>838288.79</v>
      </c>
      <c r="H602" s="6">
        <f t="shared" si="37"/>
        <v>-334912.08000000007</v>
      </c>
      <c r="I602" s="6">
        <v>1269032.29</v>
      </c>
      <c r="J602" s="6">
        <v>1416368.33</v>
      </c>
      <c r="K602" s="6">
        <f t="shared" si="38"/>
        <v>147336.04000000004</v>
      </c>
      <c r="L602" s="6">
        <v>1539198.49</v>
      </c>
      <c r="M602" s="6">
        <v>1456352.99</v>
      </c>
      <c r="N602" s="6">
        <f t="shared" si="39"/>
        <v>-82845.5</v>
      </c>
    </row>
    <row r="603" spans="1:14" x14ac:dyDescent="0.3">
      <c r="A603" s="8"/>
      <c r="B603" t="str">
        <f xml:space="preserve"> _xll.EPMOlapMemberO("[CLACO].[PARENTH1].[AMSAMAT_Y_REP.2]","","Materiales y repuest","","000")</f>
        <v>Materiales y repuest</v>
      </c>
      <c r="C603" s="6"/>
      <c r="D603" s="6"/>
      <c r="E603" s="6">
        <f t="shared" si="36"/>
        <v>0</v>
      </c>
      <c r="F603" s="6">
        <v>0</v>
      </c>
      <c r="G603" s="6"/>
      <c r="H603" s="6">
        <f t="shared" si="37"/>
        <v>0</v>
      </c>
      <c r="I603" s="6"/>
      <c r="J603" s="6"/>
      <c r="K603" s="6">
        <f t="shared" si="38"/>
        <v>0</v>
      </c>
      <c r="L603" s="6"/>
      <c r="M603" s="6"/>
      <c r="N603" s="6">
        <f t="shared" si="39"/>
        <v>0</v>
      </c>
    </row>
    <row r="604" spans="1:14" x14ac:dyDescent="0.3">
      <c r="A604" s="8"/>
      <c r="B604" t="str">
        <f xml:space="preserve"> _xll.EPMOlapMemberO("[CLACO].[PARENTH1].[AMSAADM_PERSON]","","Administración Perso","","000")</f>
        <v>Administración Perso</v>
      </c>
      <c r="C604" s="6"/>
      <c r="D604" s="6"/>
      <c r="E604" s="6">
        <f t="shared" si="36"/>
        <v>0</v>
      </c>
      <c r="F604" s="6"/>
      <c r="G604" s="6"/>
      <c r="H604" s="6">
        <f t="shared" si="37"/>
        <v>0</v>
      </c>
      <c r="I604" s="6"/>
      <c r="J604" s="6"/>
      <c r="K604" s="6">
        <f t="shared" si="38"/>
        <v>0</v>
      </c>
      <c r="L604" s="6">
        <v>10.27</v>
      </c>
      <c r="M604" s="6"/>
      <c r="N604" s="6">
        <f t="shared" si="39"/>
        <v>-10.27</v>
      </c>
    </row>
    <row r="605" spans="1:14" x14ac:dyDescent="0.3">
      <c r="A605" s="8"/>
      <c r="B605" t="str">
        <f xml:space="preserve"> _xll.EPMOlapMemberO("[CLACO].[PARENTH1].[AMSAENTRENAMI]","","Entrenamiento","","000")</f>
        <v>Entrenamiento</v>
      </c>
      <c r="C605" s="6">
        <v>-659.18</v>
      </c>
      <c r="D605" s="6"/>
      <c r="E605" s="6">
        <f t="shared" si="36"/>
        <v>659.18</v>
      </c>
      <c r="F605" s="6"/>
      <c r="G605" s="6"/>
      <c r="H605" s="6">
        <f t="shared" si="37"/>
        <v>0</v>
      </c>
      <c r="I605" s="6">
        <v>8715.57</v>
      </c>
      <c r="J605" s="6"/>
      <c r="K605" s="6">
        <f t="shared" si="38"/>
        <v>-8715.57</v>
      </c>
      <c r="L605" s="6">
        <v>712.07</v>
      </c>
      <c r="M605" s="6"/>
      <c r="N605" s="6">
        <f t="shared" si="39"/>
        <v>-712.07</v>
      </c>
    </row>
    <row r="606" spans="1:14" x14ac:dyDescent="0.3">
      <c r="A606" s="8"/>
      <c r="B606" t="str">
        <f xml:space="preserve"> _xll.EPMOlapMemberO("[CLACO].[PARENTH1].[AMSAASESORIAS]","","Asesorías y Consulto","","000")</f>
        <v>Asesorías y Consulto</v>
      </c>
      <c r="C606" s="6">
        <v>640000</v>
      </c>
      <c r="D606" s="6">
        <v>527493.34</v>
      </c>
      <c r="E606" s="6">
        <f t="shared" si="36"/>
        <v>-112506.66000000003</v>
      </c>
      <c r="F606" s="6">
        <v>506.42</v>
      </c>
      <c r="G606" s="6"/>
      <c r="H606" s="6">
        <f t="shared" si="37"/>
        <v>-506.42</v>
      </c>
      <c r="I606" s="6"/>
      <c r="J606" s="6"/>
      <c r="K606" s="6">
        <f t="shared" si="38"/>
        <v>0</v>
      </c>
      <c r="L606" s="6"/>
      <c r="M606" s="6"/>
      <c r="N606" s="6">
        <f t="shared" si="39"/>
        <v>0</v>
      </c>
    </row>
    <row r="607" spans="1:14" x14ac:dyDescent="0.3">
      <c r="A607" s="8"/>
      <c r="B607" t="str">
        <f xml:space="preserve"> _xll.EPMOlapMemberO("[CLACO].[PARENTH1].[AMSAARRIENDOS]","","Arriendos","","000")</f>
        <v>Arriendos</v>
      </c>
      <c r="C607" s="6"/>
      <c r="D607" s="6"/>
      <c r="E607" s="6">
        <f t="shared" si="36"/>
        <v>0</v>
      </c>
      <c r="F607" s="6"/>
      <c r="G607" s="6"/>
      <c r="H607" s="6">
        <f t="shared" si="37"/>
        <v>0</v>
      </c>
      <c r="I607" s="6"/>
      <c r="J607" s="6"/>
      <c r="K607" s="6">
        <f t="shared" si="38"/>
        <v>0</v>
      </c>
      <c r="L607" s="6">
        <v>165.77</v>
      </c>
      <c r="M607" s="6"/>
      <c r="N607" s="6">
        <f t="shared" si="39"/>
        <v>-165.77</v>
      </c>
    </row>
    <row r="608" spans="1:14" x14ac:dyDescent="0.3">
      <c r="A608" s="8"/>
      <c r="B608" t="str">
        <f xml:space="preserve"> _xll.EPMOlapMemberO("[CLACO].[PARENTH1].[AMSASERVICIOS]","","Servicios","","000")</f>
        <v>Servicios</v>
      </c>
      <c r="C608" s="6"/>
      <c r="D608" s="6"/>
      <c r="E608" s="6">
        <f t="shared" si="36"/>
        <v>0</v>
      </c>
      <c r="F608" s="6">
        <v>293.52</v>
      </c>
      <c r="G608" s="6"/>
      <c r="H608" s="6">
        <f t="shared" si="37"/>
        <v>-293.52</v>
      </c>
      <c r="I608" s="6">
        <v>13935.73</v>
      </c>
      <c r="J608" s="6"/>
      <c r="K608" s="6">
        <f t="shared" si="38"/>
        <v>-13935.73</v>
      </c>
      <c r="L608" s="6">
        <v>8341.27</v>
      </c>
      <c r="M608" s="6">
        <v>2910.56</v>
      </c>
      <c r="N608" s="6">
        <f t="shared" si="39"/>
        <v>-5430.7100000000009</v>
      </c>
    </row>
    <row r="609" spans="1:14" x14ac:dyDescent="0.3">
      <c r="A609" s="8"/>
      <c r="B609" t="str">
        <f xml:space="preserve"> _xll.EPMOlapMemberO("[CLACO].[PARENTH1].[AMSASERMANTO.REPA]","","Servicios Mantenimie","","000")</f>
        <v>Servicios Mantenimie</v>
      </c>
      <c r="C609" s="6"/>
      <c r="D609" s="6"/>
      <c r="E609" s="6">
        <f t="shared" si="36"/>
        <v>0</v>
      </c>
      <c r="F609" s="6"/>
      <c r="G609" s="6"/>
      <c r="H609" s="6">
        <f t="shared" si="37"/>
        <v>0</v>
      </c>
      <c r="I609" s="6"/>
      <c r="J609" s="6"/>
      <c r="K609" s="6">
        <f t="shared" si="38"/>
        <v>0</v>
      </c>
      <c r="L609" s="6">
        <v>21.82</v>
      </c>
      <c r="M609" s="6"/>
      <c r="N609" s="6">
        <f t="shared" si="39"/>
        <v>-21.82</v>
      </c>
    </row>
    <row r="610" spans="1:14" x14ac:dyDescent="0.3">
      <c r="A610" s="8"/>
      <c r="B610" t="str">
        <f xml:space="preserve"> _xll.EPMOlapMemberO("[CLACO].[PARENTH1].[AMSAINFORMATIC]","","Informática y Comuni","","000")</f>
        <v>Informática y Comuni</v>
      </c>
      <c r="C610" s="6">
        <v>5209061.6399999997</v>
      </c>
      <c r="D610" s="6">
        <v>4101251.9</v>
      </c>
      <c r="E610" s="6">
        <f t="shared" si="36"/>
        <v>-1107809.7399999998</v>
      </c>
      <c r="F610" s="6">
        <v>4639259.25</v>
      </c>
      <c r="G610" s="6">
        <v>4508466.3899999997</v>
      </c>
      <c r="H610" s="6">
        <f t="shared" si="37"/>
        <v>-130792.86000000034</v>
      </c>
      <c r="I610" s="6">
        <v>4309639.7699999996</v>
      </c>
      <c r="J610" s="6">
        <v>4607234.22</v>
      </c>
      <c r="K610" s="6">
        <f t="shared" si="38"/>
        <v>297594.45000000019</v>
      </c>
      <c r="L610" s="6">
        <v>3625361.42</v>
      </c>
      <c r="M610" s="6">
        <v>3679327.9</v>
      </c>
      <c r="N610" s="6">
        <f t="shared" si="39"/>
        <v>53966.479999999981</v>
      </c>
    </row>
    <row r="611" spans="1:14" x14ac:dyDescent="0.3">
      <c r="A611" s="8"/>
      <c r="B611" t="str">
        <f xml:space="preserve"> _xll.EPMOlapMemberO("[CLACO].[PARENTH1].[AMSAG_VIAJES]","","Gastos de Viajes","","000")</f>
        <v>Gastos de Viajes</v>
      </c>
      <c r="C611" s="6">
        <v>7409.94</v>
      </c>
      <c r="D611" s="6">
        <v>9086.3700000000008</v>
      </c>
      <c r="E611" s="6">
        <f t="shared" si="36"/>
        <v>1676.4300000000012</v>
      </c>
      <c r="F611" s="6">
        <v>20607.97</v>
      </c>
      <c r="G611" s="6">
        <v>8615.4</v>
      </c>
      <c r="H611" s="6">
        <f t="shared" si="37"/>
        <v>-11992.570000000002</v>
      </c>
      <c r="I611" s="6">
        <v>35591.78</v>
      </c>
      <c r="J611" s="6">
        <v>18805.37</v>
      </c>
      <c r="K611" s="6">
        <f t="shared" si="38"/>
        <v>-16786.41</v>
      </c>
      <c r="L611" s="6">
        <v>56610.6</v>
      </c>
      <c r="M611" s="6">
        <v>40870.93</v>
      </c>
      <c r="N611" s="6">
        <f t="shared" si="39"/>
        <v>-15739.669999999998</v>
      </c>
    </row>
    <row r="612" spans="1:14" x14ac:dyDescent="0.3">
      <c r="A612" s="8"/>
      <c r="B612" t="str">
        <f xml:space="preserve"> _xll.EPMOlapMemberO("[CLACO].[PARENTH1].[AMSAGGENERALES.2]","","Otros Gastos","","000")</f>
        <v>Otros Gastos</v>
      </c>
      <c r="C612" s="6">
        <v>1583.24</v>
      </c>
      <c r="D612" s="6">
        <v>1016.3</v>
      </c>
      <c r="E612" s="6">
        <f t="shared" si="36"/>
        <v>-566.94000000000005</v>
      </c>
      <c r="F612" s="6">
        <v>10273.31</v>
      </c>
      <c r="G612" s="6">
        <v>4007.98</v>
      </c>
      <c r="H612" s="6">
        <f t="shared" si="37"/>
        <v>-6265.33</v>
      </c>
      <c r="I612" s="6">
        <v>2477.9899999999998</v>
      </c>
      <c r="J612" s="6">
        <v>731.76</v>
      </c>
      <c r="K612" s="6">
        <f t="shared" si="38"/>
        <v>-1746.2299999999998</v>
      </c>
      <c r="L612" s="6">
        <v>13322.12</v>
      </c>
      <c r="M612" s="6">
        <v>20734.259999999998</v>
      </c>
      <c r="N612" s="6">
        <f t="shared" si="39"/>
        <v>7412.1399999999976</v>
      </c>
    </row>
    <row r="613" spans="1:14" x14ac:dyDescent="0.3">
      <c r="A613" s="8" t="str">
        <f xml:space="preserve"> _xll.EPMOlapMemberO("[CECO].[PARENTH3].[AMSA1000AC7014]","","Transformación Digit","","000")</f>
        <v>Transformación Digit</v>
      </c>
      <c r="B613" t="str">
        <f xml:space="preserve"> _xll.EPMOlapMemberO("[CLACO].[PARENTH1].[AMSAREMUNERACI.SS]","","Remuneraciones Super","","000")</f>
        <v>Remuneraciones Super</v>
      </c>
      <c r="C613" s="6">
        <v>-2.75</v>
      </c>
      <c r="D613" s="6"/>
      <c r="E613" s="6">
        <f t="shared" si="36"/>
        <v>2.75</v>
      </c>
      <c r="F613" s="6"/>
      <c r="G613" s="6"/>
      <c r="H613" s="6">
        <f t="shared" si="37"/>
        <v>0</v>
      </c>
      <c r="I613" s="6"/>
      <c r="J613" s="6"/>
      <c r="K613" s="6">
        <f t="shared" si="38"/>
        <v>0</v>
      </c>
      <c r="L613" s="6"/>
      <c r="M613" s="6"/>
      <c r="N613" s="6">
        <f t="shared" si="39"/>
        <v>0</v>
      </c>
    </row>
    <row r="614" spans="1:14" x14ac:dyDescent="0.3">
      <c r="A614" s="8"/>
      <c r="B614" t="str">
        <f xml:space="preserve"> _xll.EPMOlapMemberO("[CLACO].[PARENTH1].[AMSAENTRENAMI]","","Entrenamiento","","000")</f>
        <v>Entrenamiento</v>
      </c>
      <c r="C614" s="6">
        <v>-15731.41</v>
      </c>
      <c r="D614" s="6"/>
      <c r="E614" s="6">
        <f t="shared" si="36"/>
        <v>15731.41</v>
      </c>
      <c r="F614" s="6"/>
      <c r="G614" s="6"/>
      <c r="H614" s="6">
        <f t="shared" si="37"/>
        <v>0</v>
      </c>
      <c r="I614" s="6"/>
      <c r="J614" s="6"/>
      <c r="K614" s="6">
        <f t="shared" si="38"/>
        <v>0</v>
      </c>
      <c r="L614" s="6"/>
      <c r="M614" s="6"/>
      <c r="N614" s="6">
        <f t="shared" si="39"/>
        <v>0</v>
      </c>
    </row>
    <row r="615" spans="1:14" x14ac:dyDescent="0.3">
      <c r="A615" s="8"/>
      <c r="B615" t="str">
        <f xml:space="preserve"> _xll.EPMOlapMemberO("[CLACO].[PARENTH1].[AMSAASESORIAS]","","Asesorías y Consulto","","000")</f>
        <v>Asesorías y Consulto</v>
      </c>
      <c r="C615" s="6">
        <v>4184.46</v>
      </c>
      <c r="D615" s="6"/>
      <c r="E615" s="6">
        <f t="shared" si="36"/>
        <v>-4184.46</v>
      </c>
      <c r="F615" s="6"/>
      <c r="G615" s="6"/>
      <c r="H615" s="6">
        <f t="shared" si="37"/>
        <v>0</v>
      </c>
      <c r="I615" s="6"/>
      <c r="J615" s="6"/>
      <c r="K615" s="6">
        <f t="shared" si="38"/>
        <v>0</v>
      </c>
      <c r="L615" s="6"/>
      <c r="M615" s="6"/>
      <c r="N615" s="6">
        <f t="shared" si="39"/>
        <v>0</v>
      </c>
    </row>
    <row r="616" spans="1:14" x14ac:dyDescent="0.3">
      <c r="A616" s="8"/>
      <c r="B616" t="str">
        <f xml:space="preserve"> _xll.EPMOlapMemberO("[CLACO].[PARENTH1].[AMSAINFORMATIC]","","Informática y Comuni","","000")</f>
        <v>Informática y Comuni</v>
      </c>
      <c r="C616" s="6">
        <v>1490.71</v>
      </c>
      <c r="D616" s="6"/>
      <c r="E616" s="6">
        <f t="shared" si="36"/>
        <v>-1490.71</v>
      </c>
      <c r="F616" s="6">
        <v>0.18</v>
      </c>
      <c r="G616" s="6"/>
      <c r="H616" s="6">
        <f t="shared" si="37"/>
        <v>-0.18</v>
      </c>
      <c r="I616" s="6"/>
      <c r="J616" s="6"/>
      <c r="K616" s="6">
        <f t="shared" si="38"/>
        <v>0</v>
      </c>
      <c r="L616" s="6"/>
      <c r="M616" s="6"/>
      <c r="N616" s="6">
        <f t="shared" si="39"/>
        <v>0</v>
      </c>
    </row>
    <row r="617" spans="1:14" x14ac:dyDescent="0.3">
      <c r="A617" s="8"/>
      <c r="B617" t="str">
        <f xml:space="preserve"> _xll.EPMOlapMemberO("[CLACO].[PARENTH1].[AMSAGGENERALES.2]","","Otros Gastos","","000")</f>
        <v>Otros Gastos</v>
      </c>
      <c r="C617" s="6">
        <v>2.0699999999999998</v>
      </c>
      <c r="D617" s="6"/>
      <c r="E617" s="6">
        <f t="shared" si="36"/>
        <v>-2.0699999999999998</v>
      </c>
      <c r="F617" s="6"/>
      <c r="G617" s="6"/>
      <c r="H617" s="6">
        <f t="shared" si="37"/>
        <v>0</v>
      </c>
      <c r="I617" s="6"/>
      <c r="J617" s="6"/>
      <c r="K617" s="6">
        <f t="shared" si="38"/>
        <v>0</v>
      </c>
      <c r="L617" s="6"/>
      <c r="M617" s="6"/>
      <c r="N617" s="6">
        <f t="shared" si="39"/>
        <v>0</v>
      </c>
    </row>
    <row r="618" spans="1:14" x14ac:dyDescent="0.3">
      <c r="A618" s="8" t="str">
        <f xml:space="preserve"> _xll.EPMOlapMemberO("[CECO].[PARENTH3].[AMSA1000AC7016]","","Geren de Descarboniz","","000")</f>
        <v>Geren de Descarboniz</v>
      </c>
      <c r="B618" t="str">
        <f xml:space="preserve"> _xll.EPMOlapMemberO("[CLACO].[PARENTH1].[AMSAADM_PERSON]","","Administración Perso","","000")</f>
        <v>Administración Perso</v>
      </c>
      <c r="C618" s="6"/>
      <c r="D618" s="6"/>
      <c r="E618" s="6">
        <f t="shared" si="36"/>
        <v>0</v>
      </c>
      <c r="F618" s="6"/>
      <c r="G618" s="6"/>
      <c r="H618" s="6">
        <f t="shared" si="37"/>
        <v>0</v>
      </c>
      <c r="I618" s="6"/>
      <c r="J618" s="6"/>
      <c r="K618" s="6">
        <f t="shared" si="38"/>
        <v>0</v>
      </c>
      <c r="L618" s="6">
        <v>1629.29</v>
      </c>
      <c r="M618" s="6"/>
      <c r="N618" s="6">
        <f t="shared" si="39"/>
        <v>-1629.29</v>
      </c>
    </row>
    <row r="619" spans="1:14" x14ac:dyDescent="0.3">
      <c r="A619" s="8"/>
      <c r="B619" t="str">
        <f xml:space="preserve"> _xll.EPMOlapMemberO("[CLACO].[PARENTH1].[AMSAENTRENAMI]","","Entrenamiento","","000")</f>
        <v>Entrenamiento</v>
      </c>
      <c r="C619" s="6"/>
      <c r="D619" s="6"/>
      <c r="E619" s="6">
        <f t="shared" si="36"/>
        <v>0</v>
      </c>
      <c r="F619" s="6"/>
      <c r="G619" s="6"/>
      <c r="H619" s="6">
        <f t="shared" si="37"/>
        <v>0</v>
      </c>
      <c r="I619" s="6"/>
      <c r="J619" s="6"/>
      <c r="K619" s="6">
        <f t="shared" si="38"/>
        <v>0</v>
      </c>
      <c r="L619" s="6">
        <v>10315.11</v>
      </c>
      <c r="M619" s="6">
        <v>4537.78</v>
      </c>
      <c r="N619" s="6">
        <f t="shared" si="39"/>
        <v>-5777.3300000000008</v>
      </c>
    </row>
    <row r="620" spans="1:14" x14ac:dyDescent="0.3">
      <c r="A620" s="8"/>
      <c r="B620" t="str">
        <f xml:space="preserve"> _xll.EPMOlapMemberO("[CLACO].[PARENTH1].[AMSAASESORIAS]","","Asesorías y Consulto","","000")</f>
        <v>Asesorías y Consulto</v>
      </c>
      <c r="C620" s="6"/>
      <c r="D620" s="6"/>
      <c r="E620" s="6">
        <f t="shared" si="36"/>
        <v>0</v>
      </c>
      <c r="F620" s="6">
        <v>10614.83</v>
      </c>
      <c r="G620" s="6"/>
      <c r="H620" s="6">
        <f t="shared" si="37"/>
        <v>-10614.83</v>
      </c>
      <c r="I620" s="6">
        <v>93685.78</v>
      </c>
      <c r="J620" s="6">
        <v>191600</v>
      </c>
      <c r="K620" s="6">
        <f t="shared" si="38"/>
        <v>97914.22</v>
      </c>
      <c r="L620" s="6">
        <v>237996.87</v>
      </c>
      <c r="M620" s="6">
        <v>245002.03</v>
      </c>
      <c r="N620" s="6">
        <f t="shared" si="39"/>
        <v>7005.1600000000035</v>
      </c>
    </row>
    <row r="621" spans="1:14" x14ac:dyDescent="0.3">
      <c r="A621" s="8"/>
      <c r="B621" t="str">
        <f xml:space="preserve"> _xll.EPMOlapMemberO("[CLACO].[PARENTH1].[AMSASERVICIOS]","","Servicios","","000")</f>
        <v>Servicios</v>
      </c>
      <c r="C621" s="6"/>
      <c r="D621" s="6"/>
      <c r="E621" s="6">
        <f t="shared" si="36"/>
        <v>0</v>
      </c>
      <c r="F621" s="6">
        <v>71333.570000000007</v>
      </c>
      <c r="G621" s="6"/>
      <c r="H621" s="6">
        <f t="shared" si="37"/>
        <v>-71333.570000000007</v>
      </c>
      <c r="I621" s="6">
        <v>152165.70000000001</v>
      </c>
      <c r="J621" s="6">
        <v>60975</v>
      </c>
      <c r="K621" s="6">
        <f t="shared" si="38"/>
        <v>-91190.700000000012</v>
      </c>
      <c r="L621" s="6">
        <v>402036.69</v>
      </c>
      <c r="M621" s="6">
        <v>460402.09</v>
      </c>
      <c r="N621" s="6">
        <f t="shared" si="39"/>
        <v>58365.400000000023</v>
      </c>
    </row>
    <row r="622" spans="1:14" x14ac:dyDescent="0.3">
      <c r="A622" s="8"/>
      <c r="B622" t="str">
        <f xml:space="preserve"> _xll.EPMOlapMemberO("[CLACO].[PARENTH1].[AMSASERMANTO.REPA]","","Servicios Mantenimie","","000")</f>
        <v>Servicios Mantenimie</v>
      </c>
      <c r="C622" s="6"/>
      <c r="D622" s="6"/>
      <c r="E622" s="6">
        <f t="shared" si="36"/>
        <v>0</v>
      </c>
      <c r="F622" s="6"/>
      <c r="G622" s="6"/>
      <c r="H622" s="6">
        <f t="shared" si="37"/>
        <v>0</v>
      </c>
      <c r="I622" s="6"/>
      <c r="J622" s="6"/>
      <c r="K622" s="6">
        <f t="shared" si="38"/>
        <v>0</v>
      </c>
      <c r="L622" s="6">
        <v>1061.22</v>
      </c>
      <c r="M622" s="6"/>
      <c r="N622" s="6">
        <f t="shared" si="39"/>
        <v>-1061.22</v>
      </c>
    </row>
    <row r="623" spans="1:14" x14ac:dyDescent="0.3">
      <c r="A623" s="8"/>
      <c r="B623" t="str">
        <f xml:space="preserve"> _xll.EPMOlapMemberO("[CLACO].[PARENTH1].[AMSAINFORMATIC]","","Informática y Comuni","","000")</f>
        <v>Informática y Comuni</v>
      </c>
      <c r="C623" s="6"/>
      <c r="D623" s="6"/>
      <c r="E623" s="6">
        <f t="shared" si="36"/>
        <v>0</v>
      </c>
      <c r="F623" s="6">
        <v>34.979999999999997</v>
      </c>
      <c r="G623" s="6"/>
      <c r="H623" s="6">
        <f t="shared" si="37"/>
        <v>-34.979999999999997</v>
      </c>
      <c r="I623" s="6">
        <v>37059.06</v>
      </c>
      <c r="J623" s="6">
        <v>6904.28</v>
      </c>
      <c r="K623" s="6">
        <f t="shared" si="38"/>
        <v>-30154.78</v>
      </c>
      <c r="L623" s="6">
        <v>32342.89</v>
      </c>
      <c r="M623" s="6">
        <v>64661.919999999998</v>
      </c>
      <c r="N623" s="6">
        <f t="shared" si="39"/>
        <v>32319.03</v>
      </c>
    </row>
    <row r="624" spans="1:14" x14ac:dyDescent="0.3">
      <c r="A624" s="8"/>
      <c r="B624" t="str">
        <f xml:space="preserve"> _xll.EPMOlapMemberO("[CLACO].[PARENTH1].[AMSAG_VIAJES]","","Gastos de Viajes","","000")</f>
        <v>Gastos de Viajes</v>
      </c>
      <c r="C624" s="6"/>
      <c r="D624" s="6"/>
      <c r="E624" s="6">
        <f t="shared" si="36"/>
        <v>0</v>
      </c>
      <c r="F624" s="6">
        <v>13618.31</v>
      </c>
      <c r="G624" s="6"/>
      <c r="H624" s="6">
        <f t="shared" si="37"/>
        <v>-13618.31</v>
      </c>
      <c r="I624" s="6">
        <v>77712.3</v>
      </c>
      <c r="J624" s="6">
        <v>43756.43</v>
      </c>
      <c r="K624" s="6">
        <f t="shared" si="38"/>
        <v>-33955.870000000003</v>
      </c>
      <c r="L624" s="6">
        <v>42917.58</v>
      </c>
      <c r="M624" s="6">
        <v>37567.46</v>
      </c>
      <c r="N624" s="6">
        <f t="shared" si="39"/>
        <v>-5350.1200000000026</v>
      </c>
    </row>
    <row r="625" spans="1:14" x14ac:dyDescent="0.3">
      <c r="A625" s="8"/>
      <c r="B625" t="str">
        <f xml:space="preserve"> _xll.EPMOlapMemberO("[CLACO].[PARENTH1].[AMSAGGENERALES.2]","","Otros Gastos","","000")</f>
        <v>Otros Gastos</v>
      </c>
      <c r="C625" s="6"/>
      <c r="D625" s="6"/>
      <c r="E625" s="6">
        <f t="shared" si="36"/>
        <v>0</v>
      </c>
      <c r="F625" s="6">
        <v>28308.38</v>
      </c>
      <c r="G625" s="6"/>
      <c r="H625" s="6">
        <f t="shared" si="37"/>
        <v>-28308.38</v>
      </c>
      <c r="I625" s="6">
        <v>22741.37</v>
      </c>
      <c r="J625" s="6">
        <v>530676.9</v>
      </c>
      <c r="K625" s="6">
        <f t="shared" si="38"/>
        <v>507935.53</v>
      </c>
      <c r="L625" s="6">
        <v>10666.22</v>
      </c>
      <c r="M625" s="6">
        <v>12412.84</v>
      </c>
      <c r="N625" s="6">
        <f t="shared" si="39"/>
        <v>1746.6200000000008</v>
      </c>
    </row>
    <row r="626" spans="1:14" x14ac:dyDescent="0.3">
      <c r="A626" s="8" t="str">
        <f xml:space="preserve"> _xll.EPMOlapMemberO("[CECO].[PARENTH3].[AMSA1000AC4504]","","Gerencia Rep y Sust","","000")</f>
        <v>Gerencia Rep y Sust</v>
      </c>
      <c r="B626" t="str">
        <f xml:space="preserve"> _xll.EPMOlapMemberO("[CLACO].[PARENTH1].[AMSAREMUNERACI.SS]","","Remuneraciones Super","","000")</f>
        <v>Remuneraciones Super</v>
      </c>
      <c r="C626" s="6"/>
      <c r="D626" s="6"/>
      <c r="E626" s="6">
        <f t="shared" si="36"/>
        <v>0</v>
      </c>
      <c r="F626" s="6"/>
      <c r="G626" s="6">
        <v>698314.6</v>
      </c>
      <c r="H626" s="6">
        <f t="shared" si="37"/>
        <v>698314.6</v>
      </c>
      <c r="I626" s="6"/>
      <c r="J626" s="6"/>
      <c r="K626" s="6">
        <f t="shared" si="38"/>
        <v>0</v>
      </c>
      <c r="L626" s="6"/>
      <c r="M626" s="6"/>
      <c r="N626" s="6">
        <f t="shared" si="39"/>
        <v>0</v>
      </c>
    </row>
    <row r="627" spans="1:14" x14ac:dyDescent="0.3">
      <c r="A627" s="8"/>
      <c r="B627" t="str">
        <f xml:space="preserve"> _xll.EPMOlapMemberO("[CLACO].[PARENTH1].[AMSAASESORIAS]","","Asesorías y Consulto","","000")</f>
        <v>Asesorías y Consulto</v>
      </c>
      <c r="C627" s="6"/>
      <c r="D627" s="6"/>
      <c r="E627" s="6">
        <f t="shared" si="36"/>
        <v>0</v>
      </c>
      <c r="F627" s="6">
        <v>31807.49</v>
      </c>
      <c r="G627" s="6">
        <v>18051.009999999998</v>
      </c>
      <c r="H627" s="6">
        <f t="shared" si="37"/>
        <v>-13756.480000000003</v>
      </c>
      <c r="I627" s="6">
        <v>-5780.01</v>
      </c>
      <c r="J627" s="6"/>
      <c r="K627" s="6">
        <f t="shared" si="38"/>
        <v>5780.01</v>
      </c>
      <c r="L627" s="6">
        <v>0</v>
      </c>
      <c r="M627" s="6"/>
      <c r="N627" s="6">
        <f t="shared" si="39"/>
        <v>0</v>
      </c>
    </row>
    <row r="628" spans="1:14" x14ac:dyDescent="0.3">
      <c r="A628" s="8"/>
      <c r="B628" t="str">
        <f xml:space="preserve"> _xll.EPMOlapMemberO("[CLACO].[PARENTH1].[AMSASERVICIOS]","","Servicios","","000")</f>
        <v>Servicios</v>
      </c>
      <c r="C628" s="6"/>
      <c r="D628" s="6"/>
      <c r="E628" s="6">
        <f t="shared" si="36"/>
        <v>0</v>
      </c>
      <c r="F628" s="6">
        <v>21959.52</v>
      </c>
      <c r="G628" s="6">
        <v>22972.3</v>
      </c>
      <c r="H628" s="6">
        <f t="shared" si="37"/>
        <v>1012.7799999999988</v>
      </c>
      <c r="I628" s="6">
        <v>44108.9</v>
      </c>
      <c r="J628" s="6">
        <v>32125.599999999999</v>
      </c>
      <c r="K628" s="6">
        <f t="shared" si="38"/>
        <v>-11983.300000000003</v>
      </c>
      <c r="L628" s="6">
        <v>34187.07</v>
      </c>
      <c r="M628" s="6">
        <v>21732.68</v>
      </c>
      <c r="N628" s="6">
        <f t="shared" si="39"/>
        <v>-12454.39</v>
      </c>
    </row>
    <row r="629" spans="1:14" x14ac:dyDescent="0.3">
      <c r="A629" s="8"/>
      <c r="B629" t="str">
        <f xml:space="preserve"> _xll.EPMOlapMemberO("[CLACO].[PARENTH1].[AMSAINFORMATIC]","","Informática y Comuni","","000")</f>
        <v>Informática y Comuni</v>
      </c>
      <c r="C629" s="6"/>
      <c r="D629" s="6"/>
      <c r="E629" s="6">
        <f t="shared" si="36"/>
        <v>0</v>
      </c>
      <c r="F629" s="6">
        <v>35240.410000000003</v>
      </c>
      <c r="G629" s="6">
        <v>30941.47</v>
      </c>
      <c r="H629" s="6">
        <f t="shared" si="37"/>
        <v>-4298.9400000000023</v>
      </c>
      <c r="I629" s="6">
        <v>30.62</v>
      </c>
      <c r="J629" s="6">
        <v>609.78</v>
      </c>
      <c r="K629" s="6">
        <f t="shared" si="38"/>
        <v>579.16</v>
      </c>
      <c r="L629" s="6">
        <v>649.5</v>
      </c>
      <c r="M629" s="6">
        <v>607.48</v>
      </c>
      <c r="N629" s="6">
        <f t="shared" si="39"/>
        <v>-42.019999999999982</v>
      </c>
    </row>
    <row r="630" spans="1:14" x14ac:dyDescent="0.3">
      <c r="A630" s="8"/>
      <c r="B630" t="str">
        <f xml:space="preserve"> _xll.EPMOlapMemberO("[CLACO].[PARENTH1].[AMSAG_VIAJES]","","Gastos de Viajes","","000")</f>
        <v>Gastos de Viajes</v>
      </c>
      <c r="C630" s="6"/>
      <c r="D630" s="6"/>
      <c r="E630" s="6">
        <f t="shared" si="36"/>
        <v>0</v>
      </c>
      <c r="F630" s="6">
        <v>51837.37</v>
      </c>
      <c r="G630" s="6">
        <v>44882.41</v>
      </c>
      <c r="H630" s="6">
        <f t="shared" si="37"/>
        <v>-6954.9599999999991</v>
      </c>
      <c r="I630" s="6">
        <v>19375.349999999999</v>
      </c>
      <c r="J630" s="6">
        <v>41952.17</v>
      </c>
      <c r="K630" s="6">
        <f t="shared" si="38"/>
        <v>22576.82</v>
      </c>
      <c r="L630" s="6">
        <v>13770.82</v>
      </c>
      <c r="M630" s="6">
        <v>42494.92</v>
      </c>
      <c r="N630" s="6">
        <f t="shared" si="39"/>
        <v>28724.1</v>
      </c>
    </row>
    <row r="631" spans="1:14" x14ac:dyDescent="0.3">
      <c r="A631" s="8"/>
      <c r="B631" t="str">
        <f xml:space="preserve"> _xll.EPMOlapMemberO("[CLACO].[PARENTH1].[AMSAGGENERALES.2]","","Otros Gastos","","000")</f>
        <v>Otros Gastos</v>
      </c>
      <c r="C631" s="6"/>
      <c r="D631" s="6"/>
      <c r="E631" s="6">
        <f t="shared" si="36"/>
        <v>0</v>
      </c>
      <c r="F631" s="6">
        <v>240.95</v>
      </c>
      <c r="G631" s="6">
        <v>24516.14</v>
      </c>
      <c r="H631" s="6">
        <f t="shared" si="37"/>
        <v>24275.19</v>
      </c>
      <c r="I631" s="6">
        <v>47.42</v>
      </c>
      <c r="J631" s="6"/>
      <c r="K631" s="6">
        <f t="shared" si="38"/>
        <v>-47.42</v>
      </c>
      <c r="L631" s="6">
        <v>9301.48</v>
      </c>
      <c r="M631" s="6"/>
      <c r="N631" s="6">
        <f t="shared" si="39"/>
        <v>-9301.48</v>
      </c>
    </row>
    <row r="632" spans="1:14" x14ac:dyDescent="0.3">
      <c r="A632" s="8" t="str">
        <f xml:space="preserve"> _xll.EPMOlapMemberO("[CECO].[PARENTH3].[AMSA1000AC4506]","","Gcia Medioambiente","","000")</f>
        <v>Gcia Medioambiente</v>
      </c>
      <c r="B632" t="str">
        <f xml:space="preserve"> _xll.EPMOlapMemberO("[CLACO].[PARENTH1].[AMSAREMUNERACI.SS]","","Remuneraciones Super","","000")</f>
        <v>Remuneraciones Super</v>
      </c>
      <c r="C632" s="6">
        <v>1103458.44</v>
      </c>
      <c r="D632" s="6">
        <v>1238879.5</v>
      </c>
      <c r="E632" s="6">
        <f t="shared" si="36"/>
        <v>135421.06000000006</v>
      </c>
      <c r="F632" s="6">
        <v>1337113.71</v>
      </c>
      <c r="G632" s="6">
        <v>1151045.6599999999</v>
      </c>
      <c r="H632" s="6">
        <f t="shared" si="37"/>
        <v>-186068.05000000005</v>
      </c>
      <c r="I632" s="6">
        <v>1225988.8400000001</v>
      </c>
      <c r="J632" s="6">
        <v>1724686.53</v>
      </c>
      <c r="K632" s="6">
        <f t="shared" si="38"/>
        <v>498697.68999999994</v>
      </c>
      <c r="L632" s="6">
        <v>1097168.33</v>
      </c>
      <c r="M632" s="6">
        <v>1180184.49</v>
      </c>
      <c r="N632" s="6">
        <f t="shared" si="39"/>
        <v>83016.159999999916</v>
      </c>
    </row>
    <row r="633" spans="1:14" x14ac:dyDescent="0.3">
      <c r="A633" s="8"/>
      <c r="B633" t="str">
        <f xml:space="preserve"> _xll.EPMOlapMemberO("[CLACO].[PARENTH1].[AMSAMAT_Y_REP.2]","","Materiales y repuest","","000")</f>
        <v>Materiales y repuest</v>
      </c>
      <c r="C633" s="6"/>
      <c r="D633" s="6"/>
      <c r="E633" s="6">
        <f t="shared" si="36"/>
        <v>0</v>
      </c>
      <c r="F633" s="6">
        <v>0</v>
      </c>
      <c r="G633" s="6"/>
      <c r="H633" s="6">
        <f t="shared" si="37"/>
        <v>0</v>
      </c>
      <c r="I633" s="6"/>
      <c r="J633" s="6"/>
      <c r="K633" s="6">
        <f t="shared" si="38"/>
        <v>0</v>
      </c>
      <c r="L633" s="6">
        <v>1839.38</v>
      </c>
      <c r="M633" s="6"/>
      <c r="N633" s="6">
        <f t="shared" si="39"/>
        <v>-1839.38</v>
      </c>
    </row>
    <row r="634" spans="1:14" x14ac:dyDescent="0.3">
      <c r="A634" s="8"/>
      <c r="B634" t="str">
        <f xml:space="preserve"> _xll.EPMOlapMemberO("[CLACO].[PARENTH1].[AMSAENTRENAMI]","","Entrenamiento","","000")</f>
        <v>Entrenamiento</v>
      </c>
      <c r="C634" s="6"/>
      <c r="D634" s="6">
        <v>5144.45</v>
      </c>
      <c r="E634" s="6">
        <f t="shared" si="36"/>
        <v>5144.45</v>
      </c>
      <c r="F634" s="6">
        <v>1885.29</v>
      </c>
      <c r="G634" s="6">
        <v>3635.93</v>
      </c>
      <c r="H634" s="6">
        <f t="shared" si="37"/>
        <v>1750.6399999999999</v>
      </c>
      <c r="I634" s="6"/>
      <c r="J634" s="6">
        <v>1800</v>
      </c>
      <c r="K634" s="6">
        <f t="shared" si="38"/>
        <v>1800</v>
      </c>
      <c r="L634" s="6">
        <v>17739.32</v>
      </c>
      <c r="M634" s="6">
        <v>6069.72</v>
      </c>
      <c r="N634" s="6">
        <f t="shared" si="39"/>
        <v>-11669.599999999999</v>
      </c>
    </row>
    <row r="635" spans="1:14" x14ac:dyDescent="0.3">
      <c r="A635" s="8"/>
      <c r="B635" t="str">
        <f xml:space="preserve"> _xll.EPMOlapMemberO("[CLACO].[PARENTH1].[AMSAASESORIAS]","","Asesorías y Consulto","","000")</f>
        <v>Asesorías y Consulto</v>
      </c>
      <c r="C635" s="6">
        <v>533862.43000000005</v>
      </c>
      <c r="D635" s="6">
        <v>535396.68000000005</v>
      </c>
      <c r="E635" s="6">
        <f t="shared" si="36"/>
        <v>1534.25</v>
      </c>
      <c r="F635" s="6">
        <v>837952.02</v>
      </c>
      <c r="G635" s="6">
        <v>807357.17</v>
      </c>
      <c r="H635" s="6">
        <f t="shared" si="37"/>
        <v>-30594.849999999977</v>
      </c>
      <c r="I635" s="6">
        <v>788407.6</v>
      </c>
      <c r="J635" s="6">
        <v>833693.64</v>
      </c>
      <c r="K635" s="6">
        <f t="shared" si="38"/>
        <v>45286.040000000037</v>
      </c>
      <c r="L635" s="6">
        <v>785131.7</v>
      </c>
      <c r="M635" s="6">
        <v>906577.04</v>
      </c>
      <c r="N635" s="6">
        <f t="shared" si="39"/>
        <v>121445.34000000008</v>
      </c>
    </row>
    <row r="636" spans="1:14" x14ac:dyDescent="0.3">
      <c r="A636" s="8"/>
      <c r="B636" t="str">
        <f xml:space="preserve"> _xll.EPMOlapMemberO("[CLACO].[PARENTH1].[AMSASERVICIOS]","","Servicios","","000")</f>
        <v>Servicios</v>
      </c>
      <c r="C636" s="6"/>
      <c r="D636" s="6"/>
      <c r="E636" s="6">
        <f t="shared" si="36"/>
        <v>0</v>
      </c>
      <c r="F636" s="6">
        <v>42.38</v>
      </c>
      <c r="G636" s="6"/>
      <c r="H636" s="6">
        <f t="shared" si="37"/>
        <v>-42.38</v>
      </c>
      <c r="I636" s="6">
        <v>17785.8</v>
      </c>
      <c r="J636" s="6"/>
      <c r="K636" s="6">
        <f t="shared" si="38"/>
        <v>-17785.8</v>
      </c>
      <c r="L636" s="6">
        <v>1758.01</v>
      </c>
      <c r="M636" s="6">
        <v>2835.13</v>
      </c>
      <c r="N636" s="6">
        <f t="shared" si="39"/>
        <v>1077.1200000000001</v>
      </c>
    </row>
    <row r="637" spans="1:14" x14ac:dyDescent="0.3">
      <c r="A637" s="8"/>
      <c r="B637" t="str">
        <f xml:space="preserve"> _xll.EPMOlapMemberO("[CLACO].[PARENTH1].[AMSAINFORMATIC]","","Informática y Comuni","","000")</f>
        <v>Informática y Comuni</v>
      </c>
      <c r="C637" s="6">
        <v>2618.65</v>
      </c>
      <c r="D637" s="6">
        <v>21728.43</v>
      </c>
      <c r="E637" s="6">
        <f t="shared" si="36"/>
        <v>19109.78</v>
      </c>
      <c r="F637" s="6">
        <v>1736.13</v>
      </c>
      <c r="G637" s="6">
        <v>11484.44</v>
      </c>
      <c r="H637" s="6">
        <f t="shared" si="37"/>
        <v>9748.3100000000013</v>
      </c>
      <c r="I637" s="6">
        <v>18077.810000000001</v>
      </c>
      <c r="J637" s="6">
        <v>21294.68</v>
      </c>
      <c r="K637" s="6">
        <f t="shared" si="38"/>
        <v>3216.869999999999</v>
      </c>
      <c r="L637" s="6">
        <v>173893.11</v>
      </c>
      <c r="M637" s="6">
        <v>40507.22</v>
      </c>
      <c r="N637" s="6">
        <f t="shared" si="39"/>
        <v>-133385.88999999998</v>
      </c>
    </row>
    <row r="638" spans="1:14" x14ac:dyDescent="0.3">
      <c r="A638" s="8"/>
      <c r="B638" t="str">
        <f xml:space="preserve"> _xll.EPMOlapMemberO("[CLACO].[PARENTH1].[AMSAG_VIAJES]","","Gastos de Viajes","","000")</f>
        <v>Gastos de Viajes</v>
      </c>
      <c r="C638" s="6">
        <v>32427.01</v>
      </c>
      <c r="D638" s="6">
        <v>50923.45</v>
      </c>
      <c r="E638" s="6">
        <f t="shared" si="36"/>
        <v>18496.439999999999</v>
      </c>
      <c r="F638" s="6">
        <v>50335.98</v>
      </c>
      <c r="G638" s="6">
        <v>54914.83</v>
      </c>
      <c r="H638" s="6">
        <f t="shared" si="37"/>
        <v>4578.8499999999985</v>
      </c>
      <c r="I638" s="6">
        <v>46564.94</v>
      </c>
      <c r="J638" s="6">
        <v>104856.16</v>
      </c>
      <c r="K638" s="6">
        <f t="shared" si="38"/>
        <v>58291.22</v>
      </c>
      <c r="L638" s="6">
        <v>70652.03</v>
      </c>
      <c r="M638" s="6">
        <v>115234.47</v>
      </c>
      <c r="N638" s="6">
        <f t="shared" si="39"/>
        <v>44582.44</v>
      </c>
    </row>
    <row r="639" spans="1:14" x14ac:dyDescent="0.3">
      <c r="A639" s="8"/>
      <c r="B639" t="str">
        <f xml:space="preserve"> _xll.EPMOlapMemberO("[CLACO].[PARENTH1].[AMSAGGENERALES.2]","","Otros Gastos","","000")</f>
        <v>Otros Gastos</v>
      </c>
      <c r="C639" s="6">
        <v>31061.55</v>
      </c>
      <c r="D639" s="6">
        <v>42672.31</v>
      </c>
      <c r="E639" s="6">
        <f t="shared" si="36"/>
        <v>11610.759999999998</v>
      </c>
      <c r="F639" s="6">
        <v>861.45</v>
      </c>
      <c r="G639" s="6">
        <v>22057.82</v>
      </c>
      <c r="H639" s="6">
        <f t="shared" si="37"/>
        <v>21196.37</v>
      </c>
      <c r="I639" s="6">
        <v>4584.55</v>
      </c>
      <c r="J639" s="6">
        <v>1524.39</v>
      </c>
      <c r="K639" s="6">
        <f t="shared" si="38"/>
        <v>-3060.16</v>
      </c>
      <c r="L639" s="6">
        <v>1800.74</v>
      </c>
      <c r="M639" s="6">
        <v>1518.71</v>
      </c>
      <c r="N639" s="6">
        <f t="shared" si="39"/>
        <v>-282.02999999999997</v>
      </c>
    </row>
    <row r="640" spans="1:14" x14ac:dyDescent="0.3">
      <c r="A640" s="8" t="str">
        <f xml:space="preserve"> _xll.EPMOlapMemberO("[CECO].[PARENTH3].[AMSA1000AC5001]","","Gerencia de S&amp;SO","","000")</f>
        <v>Gerencia de S&amp;SO</v>
      </c>
      <c r="B640" t="str">
        <f xml:space="preserve"> _xll.EPMOlapMemberO("[CLACO].[PARENTH1].[AMSAREMUNERACI.SS]","","Remuneraciones Super","","000")</f>
        <v>Remuneraciones Super</v>
      </c>
      <c r="C640" s="6">
        <v>1256189.26</v>
      </c>
      <c r="D640" s="6">
        <v>1236170.51</v>
      </c>
      <c r="E640" s="6">
        <f t="shared" si="36"/>
        <v>-20018.75</v>
      </c>
      <c r="F640" s="6">
        <v>1155929.77</v>
      </c>
      <c r="G640" s="6">
        <v>1280787.07</v>
      </c>
      <c r="H640" s="6">
        <f t="shared" si="37"/>
        <v>124857.30000000005</v>
      </c>
      <c r="I640" s="6">
        <v>979787.82</v>
      </c>
      <c r="J640" s="6">
        <v>968049.39</v>
      </c>
      <c r="K640" s="6">
        <f t="shared" si="38"/>
        <v>-11738.429999999935</v>
      </c>
      <c r="L640" s="6">
        <v>1176459.05</v>
      </c>
      <c r="M640" s="6">
        <v>970923.85</v>
      </c>
      <c r="N640" s="6">
        <f t="shared" si="39"/>
        <v>-205535.20000000007</v>
      </c>
    </row>
    <row r="641" spans="1:14" x14ac:dyDescent="0.3">
      <c r="A641" s="8"/>
      <c r="B641" t="str">
        <f xml:space="preserve"> _xll.EPMOlapMemberO("[CLACO].[PARENTH1].[AMSAMAT_Y_REP.2]","","Materiales y repuest","","000")</f>
        <v>Materiales y repuest</v>
      </c>
      <c r="C641" s="6"/>
      <c r="D641" s="6"/>
      <c r="E641" s="6">
        <f t="shared" si="36"/>
        <v>0</v>
      </c>
      <c r="F641" s="6">
        <v>0</v>
      </c>
      <c r="G641" s="6"/>
      <c r="H641" s="6">
        <f t="shared" si="37"/>
        <v>0</v>
      </c>
      <c r="I641" s="6"/>
      <c r="J641" s="6"/>
      <c r="K641" s="6">
        <f t="shared" si="38"/>
        <v>0</v>
      </c>
      <c r="L641" s="6"/>
      <c r="M641" s="6"/>
      <c r="N641" s="6">
        <f t="shared" si="39"/>
        <v>0</v>
      </c>
    </row>
    <row r="642" spans="1:14" x14ac:dyDescent="0.3">
      <c r="A642" s="8"/>
      <c r="B642" t="str">
        <f xml:space="preserve"> _xll.EPMOlapMemberO("[CLACO].[PARENTH1].[AMSAADM_PERSON]","","Administración Perso","","000")</f>
        <v>Administración Perso</v>
      </c>
      <c r="C642" s="6">
        <v>166750.62</v>
      </c>
      <c r="D642" s="6">
        <v>486822.1</v>
      </c>
      <c r="E642" s="6">
        <f t="shared" si="36"/>
        <v>320071.48</v>
      </c>
      <c r="F642" s="6">
        <v>-114083</v>
      </c>
      <c r="G642" s="6"/>
      <c r="H642" s="6">
        <f t="shared" si="37"/>
        <v>114083</v>
      </c>
      <c r="I642" s="6">
        <v>0</v>
      </c>
      <c r="J642" s="6"/>
      <c r="K642" s="6">
        <f t="shared" si="38"/>
        <v>0</v>
      </c>
      <c r="L642" s="6">
        <v>-269.43</v>
      </c>
      <c r="M642" s="6"/>
      <c r="N642" s="6">
        <f t="shared" si="39"/>
        <v>269.43</v>
      </c>
    </row>
    <row r="643" spans="1:14" x14ac:dyDescent="0.3">
      <c r="A643" s="8"/>
      <c r="B643" t="str">
        <f xml:space="preserve"> _xll.EPMOlapMemberO("[CLACO].[PARENTH1].[AMSAENTRENAMI]","","Entrenamiento","","000")</f>
        <v>Entrenamiento</v>
      </c>
      <c r="C643" s="6">
        <v>2457.23</v>
      </c>
      <c r="D643" s="6">
        <v>6402.79</v>
      </c>
      <c r="E643" s="6">
        <f t="shared" si="36"/>
        <v>3945.56</v>
      </c>
      <c r="F643" s="6">
        <v>16942.72</v>
      </c>
      <c r="G643" s="6">
        <v>2874.01</v>
      </c>
      <c r="H643" s="6">
        <f t="shared" si="37"/>
        <v>-14068.710000000001</v>
      </c>
      <c r="I643" s="6">
        <v>20325.14</v>
      </c>
      <c r="J643" s="6"/>
      <c r="K643" s="6">
        <f t="shared" si="38"/>
        <v>-20325.14</v>
      </c>
      <c r="L643" s="6">
        <v>11557.4</v>
      </c>
      <c r="M643" s="6"/>
      <c r="N643" s="6">
        <f t="shared" si="39"/>
        <v>-11557.4</v>
      </c>
    </row>
    <row r="644" spans="1:14" x14ac:dyDescent="0.3">
      <c r="A644" s="8"/>
      <c r="B644" t="str">
        <f xml:space="preserve"> _xll.EPMOlapMemberO("[CLACO].[PARENTH1].[AMSAASESORIAS]","","Asesorías y Consulto","","000")</f>
        <v>Asesorías y Consulto</v>
      </c>
      <c r="C644" s="6">
        <v>96094.83</v>
      </c>
      <c r="D644" s="6">
        <v>244671.62</v>
      </c>
      <c r="E644" s="6">
        <f t="shared" si="36"/>
        <v>148576.78999999998</v>
      </c>
      <c r="F644" s="6">
        <v>176794.93</v>
      </c>
      <c r="G644" s="6">
        <v>180323.74</v>
      </c>
      <c r="H644" s="6">
        <f t="shared" si="37"/>
        <v>3528.8099999999977</v>
      </c>
      <c r="I644" s="6">
        <v>-30565.07</v>
      </c>
      <c r="J644" s="6">
        <v>91313.72</v>
      </c>
      <c r="K644" s="6">
        <f t="shared" si="38"/>
        <v>121878.79000000001</v>
      </c>
      <c r="L644" s="6">
        <v>8.58</v>
      </c>
      <c r="M644" s="6"/>
      <c r="N644" s="6">
        <f t="shared" si="39"/>
        <v>-8.58</v>
      </c>
    </row>
    <row r="645" spans="1:14" x14ac:dyDescent="0.3">
      <c r="A645" s="8"/>
      <c r="B645" t="str">
        <f xml:space="preserve"> _xll.EPMOlapMemberO("[CLACO].[PARENTH1].[AMSASERVICIOS]","","Servicios","","000")</f>
        <v>Servicios</v>
      </c>
      <c r="C645" s="6">
        <v>15517.3</v>
      </c>
      <c r="D645" s="6">
        <v>46233.52</v>
      </c>
      <c r="E645" s="6">
        <f t="shared" si="36"/>
        <v>30716.219999999998</v>
      </c>
      <c r="F645" s="6">
        <v>-39213.620000000003</v>
      </c>
      <c r="G645" s="6">
        <v>34204.089999999997</v>
      </c>
      <c r="H645" s="6">
        <f t="shared" si="37"/>
        <v>73417.709999999992</v>
      </c>
      <c r="I645" s="6">
        <v>19038.23</v>
      </c>
      <c r="J645" s="6">
        <v>50482.35</v>
      </c>
      <c r="K645" s="6">
        <f t="shared" si="38"/>
        <v>31444.12</v>
      </c>
      <c r="L645" s="6">
        <v>31645.439999999999</v>
      </c>
      <c r="M645" s="6">
        <v>33983.32</v>
      </c>
      <c r="N645" s="6">
        <f t="shared" si="39"/>
        <v>2337.880000000001</v>
      </c>
    </row>
    <row r="646" spans="1:14" x14ac:dyDescent="0.3">
      <c r="A646" s="8"/>
      <c r="B646" t="str">
        <f xml:space="preserve"> _xll.EPMOlapMemberO("[CLACO].[PARENTH1].[AMSASERMANTO.REPA]","","Servicios Mantenimie","","000")</f>
        <v>Servicios Mantenimie</v>
      </c>
      <c r="C646" s="6"/>
      <c r="D646" s="6"/>
      <c r="E646" s="6">
        <f t="shared" si="36"/>
        <v>0</v>
      </c>
      <c r="F646" s="6"/>
      <c r="G646" s="6"/>
      <c r="H646" s="6">
        <f t="shared" si="37"/>
        <v>0</v>
      </c>
      <c r="I646" s="6"/>
      <c r="J646" s="6"/>
      <c r="K646" s="6">
        <f t="shared" si="38"/>
        <v>0</v>
      </c>
      <c r="L646" s="6">
        <v>0</v>
      </c>
      <c r="M646" s="6"/>
      <c r="N646" s="6">
        <f t="shared" si="39"/>
        <v>0</v>
      </c>
    </row>
    <row r="647" spans="1:14" x14ac:dyDescent="0.3">
      <c r="A647" s="8"/>
      <c r="B647" t="str">
        <f xml:space="preserve"> _xll.EPMOlapMemberO("[CLACO].[PARENTH1].[AMSAINFORMATIC]","","Informática y Comuni","","000")</f>
        <v>Informática y Comuni</v>
      </c>
      <c r="C647" s="6">
        <v>5548.05</v>
      </c>
      <c r="D647" s="6">
        <v>9000.1299999999992</v>
      </c>
      <c r="E647" s="6">
        <f t="shared" si="36"/>
        <v>3452.079999999999</v>
      </c>
      <c r="F647" s="6">
        <v>183461.69</v>
      </c>
      <c r="G647" s="6">
        <v>7990.12</v>
      </c>
      <c r="H647" s="6">
        <f t="shared" si="37"/>
        <v>-175471.57</v>
      </c>
      <c r="I647" s="6">
        <v>80312.13</v>
      </c>
      <c r="J647" s="6">
        <v>80207.75</v>
      </c>
      <c r="K647" s="6">
        <f t="shared" si="38"/>
        <v>-104.38000000000466</v>
      </c>
      <c r="L647" s="6">
        <v>66337.759999999995</v>
      </c>
      <c r="M647" s="6">
        <v>76469.61</v>
      </c>
      <c r="N647" s="6">
        <f t="shared" si="39"/>
        <v>10131.850000000006</v>
      </c>
    </row>
    <row r="648" spans="1:14" x14ac:dyDescent="0.3">
      <c r="A648" s="8"/>
      <c r="B648" t="str">
        <f xml:space="preserve"> _xll.EPMOlapMemberO("[CLACO].[PARENTH1].[AMSAG_VIAJES]","","Gastos de Viajes","","000")</f>
        <v>Gastos de Viajes</v>
      </c>
      <c r="C648" s="6">
        <v>98145.64</v>
      </c>
      <c r="D648" s="6">
        <v>102530.33</v>
      </c>
      <c r="E648" s="6">
        <f t="shared" si="36"/>
        <v>4384.6900000000023</v>
      </c>
      <c r="F648" s="6">
        <v>100752.04</v>
      </c>
      <c r="G648" s="6">
        <v>140126.38</v>
      </c>
      <c r="H648" s="6">
        <f t="shared" si="37"/>
        <v>39374.340000000011</v>
      </c>
      <c r="I648" s="6">
        <v>110969.47</v>
      </c>
      <c r="J648" s="6">
        <v>100361.58</v>
      </c>
      <c r="K648" s="6">
        <f t="shared" si="38"/>
        <v>-10607.89</v>
      </c>
      <c r="L648" s="6">
        <v>101460.35</v>
      </c>
      <c r="M648" s="6">
        <v>96097.07</v>
      </c>
      <c r="N648" s="6">
        <f t="shared" si="39"/>
        <v>-5363.2799999999988</v>
      </c>
    </row>
    <row r="649" spans="1:14" x14ac:dyDescent="0.3">
      <c r="A649" s="8"/>
      <c r="B649" t="str">
        <f xml:space="preserve"> _xll.EPMOlapMemberO("[CLACO].[PARENTH1].[AMSAGGENERALES.2]","","Otros Gastos","","000")</f>
        <v>Otros Gastos</v>
      </c>
      <c r="C649" s="6">
        <v>18178.669999999998</v>
      </c>
      <c r="D649" s="6">
        <v>12745.05</v>
      </c>
      <c r="E649" s="6">
        <f t="shared" si="36"/>
        <v>-5433.619999999999</v>
      </c>
      <c r="F649" s="6">
        <v>34115.82</v>
      </c>
      <c r="G649" s="6">
        <v>13818.3</v>
      </c>
      <c r="H649" s="6">
        <f t="shared" si="37"/>
        <v>-20297.52</v>
      </c>
      <c r="I649" s="6">
        <v>15783.86</v>
      </c>
      <c r="J649" s="6">
        <v>13396.47</v>
      </c>
      <c r="K649" s="6">
        <f t="shared" si="38"/>
        <v>-2387.3900000000012</v>
      </c>
      <c r="L649" s="6">
        <v>4746.92</v>
      </c>
      <c r="M649" s="6">
        <v>12625.87</v>
      </c>
      <c r="N649" s="6">
        <f t="shared" si="39"/>
        <v>7878.9500000000007</v>
      </c>
    </row>
    <row r="650" spans="1:14" x14ac:dyDescent="0.3">
      <c r="A650" s="8" t="str">
        <f xml:space="preserve"> _xll.EPMOlapMemberO("[CECO].[PARENTH3].[AMSA1000AC7201]","","VP Sustentabilidad","","000")</f>
        <v>VP Sustentabilidad</v>
      </c>
      <c r="B650" t="str">
        <f xml:space="preserve"> _xll.EPMOlapMemberO("[CLACO].[PARENTH1].[AMSAREMUNERACI.SS]","","Remuneraciones Super","","000")</f>
        <v>Remuneraciones Super</v>
      </c>
      <c r="C650" s="6"/>
      <c r="D650" s="6"/>
      <c r="E650" s="6">
        <f t="shared" si="36"/>
        <v>0</v>
      </c>
      <c r="F650" s="6"/>
      <c r="G650" s="6"/>
      <c r="H650" s="6">
        <f t="shared" si="37"/>
        <v>0</v>
      </c>
      <c r="I650" s="6"/>
      <c r="J650" s="6"/>
      <c r="K650" s="6">
        <f t="shared" si="38"/>
        <v>0</v>
      </c>
      <c r="L650" s="6">
        <v>1486955.78</v>
      </c>
      <c r="M650" s="6">
        <v>1166368.68</v>
      </c>
      <c r="N650" s="6">
        <f t="shared" si="39"/>
        <v>-320587.10000000009</v>
      </c>
    </row>
    <row r="651" spans="1:14" x14ac:dyDescent="0.3">
      <c r="A651" s="8"/>
      <c r="B651" t="str">
        <f xml:space="preserve"> _xll.EPMOlapMemberO("[CLACO].[PARENTH1].[AMSAENTRENAMI]","","Entrenamiento","","000")</f>
        <v>Entrenamiento</v>
      </c>
      <c r="C651" s="6"/>
      <c r="D651" s="6"/>
      <c r="E651" s="6">
        <f t="shared" ref="E651:E655" si="40">+D651-C651</f>
        <v>0</v>
      </c>
      <c r="F651" s="6"/>
      <c r="G651" s="6"/>
      <c r="H651" s="6">
        <f t="shared" ref="H651:H655" si="41">+G651-F651</f>
        <v>0</v>
      </c>
      <c r="I651" s="6"/>
      <c r="J651" s="6"/>
      <c r="K651" s="6">
        <f t="shared" ref="K651:K655" si="42">+J651-I651</f>
        <v>0</v>
      </c>
      <c r="L651" s="6">
        <v>13159.46</v>
      </c>
      <c r="M651" s="6"/>
      <c r="N651" s="6">
        <f t="shared" ref="N651:N655" si="43">+M651-L651</f>
        <v>-13159.46</v>
      </c>
    </row>
    <row r="652" spans="1:14" x14ac:dyDescent="0.3">
      <c r="A652" s="8"/>
      <c r="B652" t="str">
        <f xml:space="preserve"> _xll.EPMOlapMemberO("[CLACO].[PARENTH1].[AMSAASESORIAS]","","Asesorías y Consulto","","000")</f>
        <v>Asesorías y Consulto</v>
      </c>
      <c r="C652" s="6"/>
      <c r="D652" s="6"/>
      <c r="E652" s="6">
        <f t="shared" si="40"/>
        <v>0</v>
      </c>
      <c r="F652" s="6"/>
      <c r="G652" s="6"/>
      <c r="H652" s="6">
        <f t="shared" si="41"/>
        <v>0</v>
      </c>
      <c r="I652" s="6"/>
      <c r="J652" s="6"/>
      <c r="K652" s="6">
        <f t="shared" si="42"/>
        <v>0</v>
      </c>
      <c r="L652" s="6">
        <v>21746.94</v>
      </c>
      <c r="M652" s="6">
        <v>21065.55</v>
      </c>
      <c r="N652" s="6">
        <f t="shared" si="43"/>
        <v>-681.38999999999942</v>
      </c>
    </row>
    <row r="653" spans="1:14" x14ac:dyDescent="0.3">
      <c r="A653" s="8"/>
      <c r="B653" t="str">
        <f xml:space="preserve"> _xll.EPMOlapMemberO("[CLACO].[PARENTH1].[AMSAINFORMATIC]","","Informática y Comuni","","000")</f>
        <v>Informática y Comuni</v>
      </c>
      <c r="C653" s="6"/>
      <c r="D653" s="6"/>
      <c r="E653" s="6">
        <f t="shared" si="40"/>
        <v>0</v>
      </c>
      <c r="F653" s="6"/>
      <c r="G653" s="6"/>
      <c r="H653" s="6">
        <f t="shared" si="41"/>
        <v>0</v>
      </c>
      <c r="I653" s="6"/>
      <c r="J653" s="6"/>
      <c r="K653" s="6">
        <f t="shared" si="42"/>
        <v>0</v>
      </c>
      <c r="L653" s="6">
        <v>2756.12</v>
      </c>
      <c r="M653" s="6">
        <v>2721.39</v>
      </c>
      <c r="N653" s="6">
        <f t="shared" si="43"/>
        <v>-34.730000000000018</v>
      </c>
    </row>
    <row r="654" spans="1:14" x14ac:dyDescent="0.3">
      <c r="A654" s="8"/>
      <c r="B654" t="str">
        <f xml:space="preserve"> _xll.EPMOlapMemberO("[CLACO].[PARENTH1].[AMSAG_VIAJES]","","Gastos de Viajes","","000")</f>
        <v>Gastos de Viajes</v>
      </c>
      <c r="C654" s="6"/>
      <c r="D654" s="6"/>
      <c r="E654" s="6">
        <f t="shared" si="40"/>
        <v>0</v>
      </c>
      <c r="F654" s="6"/>
      <c r="G654" s="6"/>
      <c r="H654" s="6">
        <f t="shared" si="41"/>
        <v>0</v>
      </c>
      <c r="I654" s="6"/>
      <c r="J654" s="6"/>
      <c r="K654" s="6">
        <f t="shared" si="42"/>
        <v>0</v>
      </c>
      <c r="L654" s="6">
        <v>77627.070000000007</v>
      </c>
      <c r="M654" s="6">
        <v>95810.41</v>
      </c>
      <c r="N654" s="6">
        <f t="shared" si="43"/>
        <v>18183.339999999997</v>
      </c>
    </row>
    <row r="655" spans="1:14" x14ac:dyDescent="0.3">
      <c r="A655" s="8"/>
      <c r="B655" t="str">
        <f xml:space="preserve"> _xll.EPMOlapMemberO("[CLACO].[PARENTH1].[AMSAGGENERALES.2]","","Otros Gastos","","000")</f>
        <v>Otros Gastos</v>
      </c>
      <c r="C655" s="6"/>
      <c r="D655" s="6"/>
      <c r="E655" s="6">
        <f t="shared" si="40"/>
        <v>0</v>
      </c>
      <c r="F655" s="6"/>
      <c r="G655" s="6"/>
      <c r="H655" s="6">
        <f t="shared" si="41"/>
        <v>0</v>
      </c>
      <c r="I655" s="6"/>
      <c r="J655" s="6"/>
      <c r="K655" s="6">
        <f t="shared" si="42"/>
        <v>0</v>
      </c>
      <c r="L655" s="6">
        <v>3826.36</v>
      </c>
      <c r="M655" s="6">
        <v>7961.99</v>
      </c>
      <c r="N655" s="6">
        <f t="shared" si="43"/>
        <v>4135.6299999999992</v>
      </c>
    </row>
    <row r="656" spans="1:14" x14ac:dyDescent="0.3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3:14" x14ac:dyDescent="0.3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</sheetData>
  <pageMargins left="0.7" right="0.7" top="0.75" bottom="0.75" header="0.3" footer="0.3"/>
  <customProperties>
    <customPr name="EpmWorksheetKeyString_GUID" r:id="rId1"/>
  </customProperties>
  <drawing r:id="rId2"/>
  <legacyDrawing r:id="rId3"/>
  <controls>
    <mc:AlternateContent xmlns:mc="http://schemas.openxmlformats.org/markup-compatibility/2006">
      <mc:Choice Requires="x14">
        <control shapeId="5121" r:id="rId4" name="FPMExcelClientSheetOptionstb1">
          <controlPr defaultSize="0" autoLin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5121" r:id="rId4" name="FPMExcelClientSheetOptionstb1"/>
      </mc:Fallback>
    </mc:AlternateContent>
    <mc:AlternateContent xmlns:mc="http://schemas.openxmlformats.org/markup-compatibility/2006">
      <mc:Choice Requires="x14">
        <control shapeId="5122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5122" r:id="rId6" name="ConnectionDescriptorsInfotb1"/>
      </mc:Fallback>
    </mc:AlternateContent>
    <mc:AlternateContent xmlns:mc="http://schemas.openxmlformats.org/markup-compatibility/2006">
      <mc:Choice Requires="x14">
        <control shapeId="5123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5123" r:id="rId8" name="MultipleReportManagerInfotb1"/>
      </mc:Fallback>
    </mc:AlternateContent>
    <mc:AlternateContent xmlns:mc="http://schemas.openxmlformats.org/markup-compatibility/2006">
      <mc:Choice Requires="x14">
        <control shapeId="5124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5124" r:id="rId10" name="AnalyzerDynReport000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 Corpo</vt:lpstr>
      <vt:lpstr>Act Corpo Items</vt:lpstr>
      <vt:lpstr>Act Corpo VP+items</vt:lpstr>
      <vt:lpstr>Act Corpo VP+Gerencia+items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San Martin Ardiles</dc:creator>
  <cp:lastModifiedBy>Michelle Belen Madrid Araya</cp:lastModifiedBy>
  <dcterms:created xsi:type="dcterms:W3CDTF">2026-05-25T13:34:13Z</dcterms:created>
  <dcterms:modified xsi:type="dcterms:W3CDTF">2026-06-15T15:51:35Z</dcterms:modified>
</cp:coreProperties>
</file>