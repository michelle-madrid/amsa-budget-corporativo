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msmmadrida\Repositorios Personales Control Gestion\amsa-budget-corporativo\tablero\uploads\"/>
    </mc:Choice>
  </mc:AlternateContent>
  <xr:revisionPtr revIDLastSave="0" documentId="13_ncr:1_{CF7FBE16-43E1-40B4-BA6F-40767BACBAA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externalReferences>
    <externalReference r:id="rId2"/>
    <externalReference r:id="rId3"/>
  </externalReferences>
  <definedNames>
    <definedName name="DOLAR_OBS_ADO" localSheetId="0">Hoja1!$A$4:$AM$6</definedName>
    <definedName name="DOLAR_OBS_ADO_1" localSheetId="0">Hoja1!$A$12:$AM$14</definedName>
    <definedName name="DOLAR_OBS_ADO_2" localSheetId="0">Hoja1!$A$20:$AM$22</definedName>
    <definedName name="DOLAR_OBS_ADO_3" localSheetId="0">Hoja1!$A$28:$AM$30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9" i="1" l="1"/>
  <c r="BD28" i="1"/>
  <c r="BD27" i="1"/>
  <c r="AZ23" i="1" l="1"/>
  <c r="BA23" i="1"/>
  <c r="BB23" i="1"/>
  <c r="BC23" i="1"/>
  <c r="BD23" i="1"/>
  <c r="BE23" i="1"/>
  <c r="BF23" i="1"/>
  <c r="BG23" i="1"/>
  <c r="BH23" i="1"/>
  <c r="BI23" i="1"/>
  <c r="BJ23" i="1"/>
  <c r="AY23" i="1"/>
  <c r="AZ22" i="1"/>
  <c r="BA22" i="1"/>
  <c r="BB22" i="1"/>
  <c r="BD22" i="1"/>
  <c r="BE22" i="1"/>
  <c r="BF22" i="1"/>
  <c r="BG22" i="1"/>
  <c r="BH22" i="1"/>
  <c r="BI22" i="1"/>
  <c r="BJ22" i="1"/>
  <c r="AY22" i="1"/>
  <c r="AZ20" i="1"/>
  <c r="BA20" i="1"/>
  <c r="BB20" i="1"/>
  <c r="BC20" i="1"/>
  <c r="BD20" i="1"/>
  <c r="BE20" i="1"/>
  <c r="BF20" i="1"/>
  <c r="BG20" i="1"/>
  <c r="BH20" i="1"/>
  <c r="BI20" i="1"/>
  <c r="BJ20" i="1"/>
  <c r="AY20" i="1"/>
  <c r="AZ19" i="1"/>
  <c r="BA19" i="1"/>
  <c r="BB19" i="1"/>
  <c r="BC19" i="1"/>
  <c r="BD19" i="1"/>
  <c r="BE19" i="1"/>
  <c r="BF19" i="1"/>
  <c r="BG19" i="1"/>
  <c r="BH19" i="1"/>
  <c r="BI19" i="1"/>
  <c r="BJ19" i="1"/>
  <c r="AY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tc={E388792B-3538-475A-A757-4280E8F8BA23}</author>
    <author>tc={EEC41950-6022-427A-B5EF-C10980E7C5E0}</author>
    <author>Michelle Madrid Araya</author>
    <author>tc={9F2CFE62-0FBF-427C-A3D7-CE6A2626B092}</author>
    <author>tc={393151C9-8594-4A72-A728-6E5BB649AF4D}</author>
  </authors>
  <commentList>
    <comment ref="C4" authorId="0" shapeId="0" xr:uid="{E388792B-3538-475A-A757-4280E8F8BA2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Fuente: INE Chile, Serie histórica empalmada IPC base 2023=100 (archivo: serie-histórica-empalmada-ipc-diciembre-2009-a-la-fecha-xls.xlsx)</t>
      </text>
    </comment>
    <comment ref="C7" authorId="1" shapeId="0" xr:uid="{EEC41950-6022-427A-B5EF-C10980E7C5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Fuente: UF_IVP_UTM_F.xlsx, hoja Cuadro (UF fin de mes)</t>
      </text>
    </comment>
    <comment ref="BD7" authorId="2" shapeId="0" xr:uid="{08E81770-D868-4457-B325-7F19AD693048}">
      <text>
        <r>
          <rPr>
            <b/>
            <sz val="9"/>
            <color indexed="81"/>
            <rFont val="Tahoma"/>
            <charset val="1"/>
          </rPr>
          <t>Michelle Madrid Araya:</t>
        </r>
        <r>
          <rPr>
            <sz val="9"/>
            <color indexed="81"/>
            <rFont val="Tahoma"/>
            <charset val="1"/>
          </rPr>
          <t xml:space="preserve">
Real
</t>
        </r>
      </text>
    </comment>
    <comment ref="C12" authorId="3" shapeId="0" xr:uid="{9F2CFE62-0FBF-427C-A3D7-CE6A2626B09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Fuente: INE Chile, Serie histórica empalmada IPC base 2023=100 (archivo: serie-histórica-empalmada-ipc-diciembre-2009-a-la-fecha-xls.xlsx)</t>
      </text>
    </comment>
    <comment ref="C15" authorId="4" shapeId="0" xr:uid="{393151C9-8594-4A72-A728-6E5BB649AF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Fuente: UF_IVP_UTM_F.xlsx, hoja Cuadro (UF fin de mes)</t>
      </text>
    </comment>
    <comment ref="BD15" authorId="2" shapeId="0" xr:uid="{E978CB9E-565D-49EC-9975-00B351CE88CB}">
      <text>
        <r>
          <rPr>
            <b/>
            <sz val="9"/>
            <color indexed="81"/>
            <rFont val="Tahoma"/>
            <charset val="1"/>
          </rPr>
          <t>Michelle Madrid Araya:</t>
        </r>
        <r>
          <rPr>
            <sz val="9"/>
            <color indexed="81"/>
            <rFont val="Tahoma"/>
            <charset val="1"/>
          </rPr>
          <t xml:space="preserve">
Real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odcFile="Z:\01 Control de Gestión\02 Control de Gestion\2016\2016-03\Flash Report\Anexos\DOLAR_OBS_ADO.iqy" name="DOLAR_OBS_ADO" type="4" refreshedVersion="4" background="1" saveData="1">
    <webPr consecutive="1" xl2000="1" url="http://si3.bcentral.cl/SieteIQY/secure/carga_series_excel.aspx" post="fechaInicio=[&quot;añoInicial&quot;,&quot;Año inicial&quot;]&amp;fechaFin=[&quot;añoFinal&quot;,&quot;Año final&quot;]&amp;param=Wkw0YXVsWGl5eGRyblFhNTczJmFoczhpaDF2Li1DXyZkUmJHekUzJnMyQWtkLjVfTEZqdS1BMS1ELkt4Jm9lMTFRYTd0RHNGJCBhaiBTYTVyJFUgKC45ZzhBIDdiZiA5w7M4MFIpJmJIMDB3TkJFM0R3RzV2JHAkOE9pWCNheV9DVGp6RSQ2U1VUX24wVUZxw7M0TyQgVXlrMHN6alJuOzJ1Nm5ZLmpWN29GRHZBTUxIMFE4RWUyb1VOVjgwQzRWdE/Ds3JEbyB1X0Q0SyRG" htmlTables="1" htmlFormat="all"/>
    <parameters count="2">
      <parameter name="añoInicial" prompt="Año inicial"/>
      <parameter name="añoFinal" prompt="Año final"/>
    </parameters>
  </connection>
  <connection id="2" xr16:uid="{87FA9FD6-E93E-441F-BD07-442A6AEC90B7}" odcFile="Z:\01 Control de Gestión\02 Control de Gestion\2016\2016-03\Flash Report\Anexos\DOLAR_OBS_ADO.iqy" name="DOLAR_OBS_ADO1" type="4" refreshedVersion="4" background="1" saveData="1">
    <webPr consecutive="1" xl2000="1" url="http://si3.bcentral.cl/SieteIQY/secure/carga_series_excel.aspx" post="fechaInicio=[&quot;añoInicial&quot;,&quot;Año inicial&quot;]&amp;fechaFin=[&quot;añoFinal&quot;,&quot;Año final&quot;]&amp;param=Wkw0YXVsWGl5eGRyblFhNTczJmFoczhpaDF2Li1DXyZkUmJHekUzJnMyQWtkLjVfTEZqdS1BMS1ELkt4Jm9lMTFRYTd0RHNGJCBhaiBTYTVyJFUgKC45ZzhBIDdiZiA5w7M4MFIpJmJIMDB3TkJFM0R3RzV2JHAkOE9pWCNheV9DVGp6RSQ2U1VUX24wVUZxw7M0TyQgVXlrMHN6alJuOzJ1Nm5ZLmpWN29GRHZBTUxIMFE4RWUyb1VOVjgwQzRWdE/Ds3JEbyB1X0Q0SyRG" htmlTables="1" htmlFormat="all"/>
    <parameters count="2">
      <parameter name="añoInicial" prompt="Año inicial"/>
      <parameter name="añoFinal" prompt="Año final"/>
    </parameters>
  </connection>
  <connection id="3" xr16:uid="{138FA4FE-4D7F-415A-B766-631ECECE2B8F}" odcFile="Z:\01 Control de Gestión\02 Control de Gestion\2016\2016-03\Flash Report\Anexos\DOLAR_OBS_ADO.iqy" name="DOLAR_OBS_ADO2" type="4" refreshedVersion="4" background="1" saveData="1">
    <webPr consecutive="1" xl2000="1" url="http://si3.bcentral.cl/SieteIQY/secure/carga_series_excel.aspx" post="fechaInicio=[&quot;añoInicial&quot;,&quot;Año inicial&quot;]&amp;fechaFin=[&quot;añoFinal&quot;,&quot;Año final&quot;]&amp;param=Wkw0YXVsWGl5eGRyblFhNTczJmFoczhpaDF2Li1DXyZkUmJHekUzJnMyQWtkLjVfTEZqdS1BMS1ELkt4Jm9lMTFRYTd0RHNGJCBhaiBTYTVyJFUgKC45ZzhBIDdiZiA5w7M4MFIpJmJIMDB3TkJFM0R3RzV2JHAkOE9pWCNheV9DVGp6RSQ2U1VUX24wVUZxw7M0TyQgVXlrMHN6alJuOzJ1Nm5ZLmpWN29GRHZBTUxIMFE4RWUyb1VOVjgwQzRWdE/Ds3JEbyB1X0Q0SyRG" htmlTables="1" htmlFormat="all"/>
    <parameters count="2">
      <parameter name="añoInicial" prompt="Año inicial"/>
      <parameter name="añoFinal" prompt="Año final"/>
    </parameters>
  </connection>
  <connection id="4" xr16:uid="{2CB6BA14-D2B2-4AB2-9427-28F33EE58F5C}" odcFile="Z:\01 Control de Gestión\02 Control de Gestion\2016\2016-03\Flash Report\Anexos\DOLAR_OBS_ADO.iqy" name="DOLAR_OBS_ADO3" type="4" refreshedVersion="4" background="1" saveData="1">
    <webPr consecutive="1" xl2000="1" url="http://si3.bcentral.cl/SieteIQY/secure/carga_series_excel.aspx" post="fechaInicio=[&quot;añoInicial&quot;,&quot;Año inicial&quot;]&amp;fechaFin=[&quot;añoFinal&quot;,&quot;Año final&quot;]&amp;param=Wkw0YXVsWGl5eGRyblFhNTczJmFoczhpaDF2Li1DXyZkUmJHekUzJnMyQWtkLjVfTEZqdS1BMS1ELkt4Jm9lMTFRYTd0RHNGJCBhaiBTYTVyJFUgKC45ZzhBIDdiZiA5w7M4MFIpJmJIMDB3TkJFM0R3RzV2JHAkOE9pWCNheV9DVGp6RSQ2U1VUX24wVUZxw7M0TyQgVXlrMHN6alJuOzJ1Nm5ZLmpWN29GRHZBTUxIMFE4RWUyb1VOVjgwQzRWdE/Ds3JEbyB1X0Q0SyRG" htmlTables="1" htmlFormat="all"/>
    <parameters count="2">
      <parameter name="añoInicial" prompt="Año inicial"/>
      <parameter name="añoFinal" prompt="Año final"/>
    </parameters>
  </connection>
</connections>
</file>

<file path=xl/sharedStrings.xml><?xml version="1.0" encoding="utf-8"?>
<sst xmlns="http://schemas.openxmlformats.org/spreadsheetml/2006/main" count="212" uniqueCount="83">
  <si>
    <t>Real</t>
  </si>
  <si>
    <t>IPC</t>
  </si>
  <si>
    <t>CPI</t>
  </si>
  <si>
    <t>2025.01</t>
  </si>
  <si>
    <t>2025.02</t>
  </si>
  <si>
    <t>2025.03</t>
  </si>
  <si>
    <t>2025.04</t>
  </si>
  <si>
    <t>2025.05</t>
  </si>
  <si>
    <t>2025.06</t>
  </si>
  <si>
    <t>2025.07</t>
  </si>
  <si>
    <t>2025.08</t>
  </si>
  <si>
    <t>2025.09</t>
  </si>
  <si>
    <t>2025.10</t>
  </si>
  <si>
    <t>2025.11</t>
  </si>
  <si>
    <t>2025.12</t>
  </si>
  <si>
    <t>2022.01</t>
  </si>
  <si>
    <t>2022.02</t>
  </si>
  <si>
    <t>2022.03</t>
  </si>
  <si>
    <t>2022.04</t>
  </si>
  <si>
    <t>2022.05</t>
  </si>
  <si>
    <t>2022.06</t>
  </si>
  <si>
    <t>2022.07</t>
  </si>
  <si>
    <t>2022.08</t>
  </si>
  <si>
    <t>2022.09</t>
  </si>
  <si>
    <t>2022.10</t>
  </si>
  <si>
    <t>2022.11</t>
  </si>
  <si>
    <t>2022.12</t>
  </si>
  <si>
    <t>2023.01</t>
  </si>
  <si>
    <t>2023.02</t>
  </si>
  <si>
    <t>2023.03</t>
  </si>
  <si>
    <t>2023.04</t>
  </si>
  <si>
    <t>2023.05</t>
  </si>
  <si>
    <t>2023.06</t>
  </si>
  <si>
    <t>2023.07</t>
  </si>
  <si>
    <t>2023.08</t>
  </si>
  <si>
    <t>2023.09</t>
  </si>
  <si>
    <t>2023.10</t>
  </si>
  <si>
    <t>2023.11</t>
  </si>
  <si>
    <t>2023.12</t>
  </si>
  <si>
    <t>2024.01</t>
  </si>
  <si>
    <t>2024.02</t>
  </si>
  <si>
    <t>2024.03</t>
  </si>
  <si>
    <t>2024.04</t>
  </si>
  <si>
    <t>2024.05</t>
  </si>
  <si>
    <t>2024.06</t>
  </si>
  <si>
    <t>2024.07</t>
  </si>
  <si>
    <t>2024.08</t>
  </si>
  <si>
    <t>2024.09</t>
  </si>
  <si>
    <t>2024.10</t>
  </si>
  <si>
    <t>2024.11</t>
  </si>
  <si>
    <t>2024.12</t>
  </si>
  <si>
    <t>2026.01</t>
  </si>
  <si>
    <t>2026.02</t>
  </si>
  <si>
    <t>2026.03</t>
  </si>
  <si>
    <t>2026.04</t>
  </si>
  <si>
    <t>2026.05</t>
  </si>
  <si>
    <t>2026.06</t>
  </si>
  <si>
    <t>2026.07</t>
  </si>
  <si>
    <t>2026.08</t>
  </si>
  <si>
    <t>2026.09</t>
  </si>
  <si>
    <t>2026.10</t>
  </si>
  <si>
    <t>2026.11</t>
  </si>
  <si>
    <t>2026.12</t>
  </si>
  <si>
    <t>2027.01</t>
  </si>
  <si>
    <t>Dólar (CLP/USD)</t>
  </si>
  <si>
    <t>IPC Empalmado CLP</t>
  </si>
  <si>
    <t>2027.02</t>
  </si>
  <si>
    <t>2027.03</t>
  </si>
  <si>
    <t>2027.04</t>
  </si>
  <si>
    <t>2027.05</t>
  </si>
  <si>
    <t>2027.06</t>
  </si>
  <si>
    <t>2027.07</t>
  </si>
  <si>
    <t>2027.08</t>
  </si>
  <si>
    <t>2027.09</t>
  </si>
  <si>
    <t>2027.10</t>
  </si>
  <si>
    <t>2027.11</t>
  </si>
  <si>
    <t>2027.12</t>
  </si>
  <si>
    <t>CLP/UF</t>
  </si>
  <si>
    <t>Presupuesto</t>
  </si>
  <si>
    <t>Forecast 5+6 2026</t>
  </si>
  <si>
    <t>Forecast 5+6</t>
  </si>
  <si>
    <t>Outlook 6+6 2026</t>
  </si>
  <si>
    <t>Outlook 6+6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</si>
</sst>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2" borderId="0" xfId="0" applyFont="1" applyFill="1"/>
    <xf numFmtId="0" fontId="0" fillId="2" borderId="0" xfId="0" applyFill="1"/>
    <xf numFmtId="0" fontId="2" fillId="2" borderId="0" xfId="0" applyFont="1" applyFill="1" applyAlignment="1">
      <alignment horizontal="center"/>
    </xf>
    <xf numFmtId="4" fontId="3" fillId="2" borderId="0" xfId="0" applyNumberFormat="1" applyFont="1" applyFill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2" fontId="3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/>
    </xf>
    <xf numFmtId="0" fontId="0" fillId="3" borderId="0" xfId="0" applyFill="1"/>
    <xf numFmtId="2" fontId="4" fillId="2" borderId="0" xfId="0" applyNumberFormat="1" applyFont="1" applyFill="1" applyAlignment="1">
      <alignment horizontal="center" vertical="center" wrapText="1"/>
    </xf>
    <xf numFmtId="2" fontId="3" fillId="4" borderId="0" xfId="0" applyNumberFormat="1" applyFont="1" applyFill="1" applyAlignment="1">
      <alignment horizontal="center" vertical="center" wrapText="1"/>
    </xf>
    <xf numFmtId="4" fontId="3" fillId="5" borderId="0" xfId="0" applyNumberFormat="1" applyFont="1" applyFill="1" applyAlignment="1">
      <alignment horizontal="center" vertical="center" wrapText="1"/>
    </xf>
    <xf numFmtId="4" fontId="3" fillId="6" borderId="0" xfId="0" applyNumberFormat="1" applyFont="1" applyFill="1" applyAlignment="1">
      <alignment horizontal="center" vertical="center" wrapText="1"/>
    </xf>
    <xf numFmtId="2" fontId="4" fillId="6" borderId="0" xfId="0" applyNumberFormat="1" applyFont="1" applyFill="1" applyAlignment="1">
      <alignment horizontal="center" vertical="center" wrapText="1"/>
    </xf>
    <xf numFmtId="2" fontId="3" fillId="6" borderId="0" xfId="0" applyNumberFormat="1" applyFont="1" applyFill="1" applyAlignment="1">
      <alignment horizontal="center" vertical="center" wrapText="1"/>
    </xf>
    <xf numFmtId="0" fontId="0" fillId="7" borderId="0" xfId="0" applyFill="1"/>
    <xf numFmtId="164" fontId="0" fillId="7" borderId="0" xfId="1" applyNumberFormat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msmmadrida\Repositorios%20Personales%20Control%20Gestion\amsa-budget-corporativo\tablero\uploads\Moneda%20Transacci&#243;n%20Original\Par&#225;metros%205+7%202026%20(1).xlsx" TargetMode="External"/><Relationship Id="rId1" Type="http://schemas.openxmlformats.org/officeDocument/2006/relationships/externalLinkPath" Target="Moneda%20Transacci&#243;n%20Original/Par&#225;metros%205+7%202026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01%20Reporting\06%20Reporte%20gesti&#243;n\2026\06-2026\02%20Costos\Robot%202026%20-%20Junio%202026.xlsx" TargetMode="External"/><Relationship Id="rId1" Type="http://schemas.openxmlformats.org/officeDocument/2006/relationships/externalLinkPath" Target="file:///N:\01%20Reporting\06%20Reporte%20gesti&#243;n\2026\06-2026\02%20Costos\Robot%202026%20-%20Jun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ros Finales 5+7"/>
      <sheetName val="Cálculos"/>
    </sheetNames>
    <sheetDataSet>
      <sheetData sheetId="0">
        <row r="5">
          <cell r="B5">
            <v>325.25</v>
          </cell>
          <cell r="C5">
            <v>326.79000000000002</v>
          </cell>
          <cell r="D5">
            <v>330.21300000000002</v>
          </cell>
          <cell r="E5">
            <v>333.02</v>
          </cell>
          <cell r="G5">
            <v>335.31262836398241</v>
          </cell>
          <cell r="H5">
            <v>336.46485449886205</v>
          </cell>
          <cell r="I5">
            <v>337.62103999868532</v>
          </cell>
          <cell r="J5">
            <v>338.78119846891582</v>
          </cell>
          <cell r="K5">
            <v>339.94534356176928</v>
          </cell>
          <cell r="L5">
            <v>341.11348897637419</v>
          </cell>
          <cell r="M5">
            <v>337.67191993396398</v>
          </cell>
        </row>
        <row r="8">
          <cell r="B8">
            <v>109.71</v>
          </cell>
          <cell r="C8">
            <v>109.7</v>
          </cell>
          <cell r="D8">
            <v>110.75</v>
          </cell>
          <cell r="E8">
            <v>112.18</v>
          </cell>
          <cell r="F8">
            <v>112.4</v>
          </cell>
          <cell r="G8">
            <v>112.79504026264377</v>
          </cell>
          <cell r="H8">
            <v>113.19146893106253</v>
          </cell>
          <cell r="I8">
            <v>113.58929088493763</v>
          </cell>
          <cell r="J8">
            <v>113.98851102110048</v>
          </cell>
          <cell r="K8">
            <v>114.38913425359289</v>
          </cell>
          <cell r="L8">
            <v>114.79116551372751</v>
          </cell>
          <cell r="M8">
            <v>113.95818</v>
          </cell>
        </row>
        <row r="11">
          <cell r="B11">
            <v>881.96</v>
          </cell>
          <cell r="C11">
            <v>862.34</v>
          </cell>
          <cell r="D11">
            <v>912.44</v>
          </cell>
          <cell r="E11">
            <v>896.72</v>
          </cell>
          <cell r="F11">
            <v>896.98</v>
          </cell>
          <cell r="G11">
            <v>900</v>
          </cell>
          <cell r="H11">
            <v>900</v>
          </cell>
          <cell r="I11">
            <v>900</v>
          </cell>
          <cell r="J11">
            <v>900</v>
          </cell>
          <cell r="K11">
            <v>900</v>
          </cell>
          <cell r="L11">
            <v>900</v>
          </cell>
          <cell r="M11">
            <v>900</v>
          </cell>
        </row>
        <row r="14">
          <cell r="B14">
            <v>39706.07</v>
          </cell>
          <cell r="C14">
            <v>39790.629999999997</v>
          </cell>
          <cell r="D14">
            <v>39841.72</v>
          </cell>
          <cell r="E14">
            <v>40120.199999999997</v>
          </cell>
          <cell r="F14">
            <v>40610.69</v>
          </cell>
          <cell r="G14">
            <v>40753.420050211251</v>
          </cell>
          <cell r="H14">
            <v>40896.65173846986</v>
          </cell>
          <cell r="I14">
            <v>41040.386827829432</v>
          </cell>
          <cell r="J14">
            <v>41184.627087540001</v>
          </cell>
          <cell r="K14">
            <v>41329.374293069777</v>
          </cell>
          <cell r="L14">
            <v>41474.630226127047</v>
          </cell>
          <cell r="M14">
            <v>41173.668335802504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Control"/>
      <sheetName val="Parámetros"/>
      <sheetName val="Periodo"/>
      <sheetName val="Inputs MLP"/>
      <sheetName val="Inputs CEN"/>
      <sheetName val="Inputs ANT"/>
      <sheetName val="Inputs CMZ"/>
      <sheetName val="Análisis Costo YTD"/>
      <sheetName val="Análisis Costo Mes"/>
      <sheetName val="Explicaciones"/>
      <sheetName val="Gráficos CD"/>
      <sheetName val="Gráficos"/>
      <sheetName val="Resumen CD"/>
      <sheetName val="Costos Ajustados"/>
      <sheetName val="Insumos CD"/>
      <sheetName val="Efecto Pr_Insumos"/>
      <sheetName val="Combustible 2021"/>
      <sheetName val="Costos Aj Mes (CM)"/>
      <sheetName val="Costos Aj Mes"/>
      <sheetName val="Cascada OPRd"/>
      <sheetName val="Calculos OPRd"/>
      <sheetName val="CM P2021 "/>
      <sheetName val="CM P2022"/>
      <sheetName val="Análisis Costo YTD (PCC)"/>
      <sheetName val="Desglose efectos mater"/>
      <sheetName val="Gráficos (pcc)"/>
      <sheetName val="Detalle Mes"/>
      <sheetName val="Detalle Año"/>
      <sheetName val="Flash Report"/>
      <sheetName val="Flash Producciones"/>
      <sheetName val="diferencias "/>
      <sheetName val="Back-up"/>
    </sheetNames>
    <sheetDataSet>
      <sheetData sheetId="0" refreshError="1"/>
      <sheetData sheetId="1" refreshError="1"/>
      <sheetData sheetId="2">
        <row r="5">
          <cell r="H5">
            <v>904.88761899999997</v>
          </cell>
        </row>
        <row r="7">
          <cell r="H7">
            <v>112.35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ichelle Belen Madrid Araya" id="{50860DAD-A217-40AC-975A-03A6080E2F06}" userId="S::mmadrida@pelambres.cl::80daeb9b-a907-480b-a9d1-e3507dc2823d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AR_OBS_ADO_2" preserveFormatting="0" connectionId="3" xr16:uid="{F3F2CB51-1BDC-4F2C-8F28-69AF521ABD79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AR_OBS_ADO_1" preserveFormatting="0" connectionId="2" xr16:uid="{3BAE89B8-646B-466C-946C-2E20CADB0863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AR_OBS_ADO" preserveFormatting="0" connectionId="1" xr16:uid="{19AE37AA-B59B-48F4-B557-DF0F7B3A9E3E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LAR_OBS_ADO_3" preserveFormatting="0" connectionId="4" xr16:uid="{1A81FDA6-2994-406F-B8D5-2504C4CC48A6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" dT="2026-07-02T15:42:20.92" personId="{50860DAD-A217-40AC-975A-03A6080E2F06}" id="{E388792B-3538-475A-A757-4280E8F8BA23}">
    <text>Fuente: INE Chile, Serie histórica empalmada IPC base 2023=100 (archivo: serie-histórica-empalmada-ipc-diciembre-2009-a-la-fecha-xls.xlsx)</text>
  </threadedComment>
  <threadedComment ref="C7" dT="2026-07-02T15:34:13.48" personId="{50860DAD-A217-40AC-975A-03A6080E2F06}" id="{EEC41950-6022-427A-B5EF-C10980E7C5E0}">
    <text>Fuente: UF_IVP_UTM_F.xlsx, hoja Cuadro (UF fin de mes)</text>
  </threadedComment>
  <threadedComment ref="C12" dT="2026-07-02T15:42:20.92" personId="{50860DAD-A217-40AC-975A-03A6080E2F06}" id="{9F2CFE62-0FBF-427C-A3D7-CE6A2626B092}">
    <text>Fuente: INE Chile, Serie histórica empalmada IPC base 2023=100 (archivo: serie-histórica-empalmada-ipc-diciembre-2009-a-la-fecha-xls.xlsx)</text>
  </threadedComment>
  <threadedComment ref="C15" dT="2026-07-02T15:34:13.48" personId="{50860DAD-A217-40AC-975A-03A6080E2F06}" id="{393151C9-8594-4A72-A728-6E5BB649AF4D}">
    <text>Fuente: UF_IVP_UTM_F.xlsx, hoja Cuadro (UF fin de mes)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D1F0587-6718-4DEB-A5D4-271B65F2861A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ec9f67b5-dbe9-41cd-afe7-0fe081ef6c3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queryTable" Target="../queryTables/queryTable1.xml"/><Relationship Id="rId7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Relationship Id="rId6" Type="http://schemas.openxmlformats.org/officeDocument/2006/relationships/queryTable" Target="../queryTables/queryTable4.xml"/><Relationship Id="rId5" Type="http://schemas.openxmlformats.org/officeDocument/2006/relationships/queryTable" Target="../queryTables/queryTable3.xml"/><Relationship Id="rId4" Type="http://schemas.openxmlformats.org/officeDocument/2006/relationships/queryTable" Target="../queryTables/query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V31"/>
  <sheetViews>
    <sheetView tabSelected="1" zoomScale="115" zoomScaleNormal="115" workbookViewId="0">
      <selection activeCell="A26" sqref="A26:XFD26"/>
    </sheetView>
  </sheetViews>
  <sheetFormatPr baseColWidth="10" defaultColWidth="8.88671875" defaultRowHeight="14.4" x14ac:dyDescent="0.3"/>
  <cols>
    <col min="1" max="1" width="17.44140625" bestFit="1" customWidth="1"/>
    <col min="2" max="2" width="11.44140625" bestFit="1" customWidth="1"/>
    <col min="3" max="3" width="11.33203125" customWidth="1"/>
    <col min="4" max="4" width="11.5546875" customWidth="1"/>
    <col min="5" max="5" width="11.6640625" customWidth="1"/>
    <col min="6" max="6" width="10.44140625" customWidth="1"/>
    <col min="7" max="7" width="10.5546875" customWidth="1"/>
    <col min="8" max="62" width="10.33203125" customWidth="1"/>
  </cols>
  <sheetData>
    <row r="1" spans="1:74" x14ac:dyDescent="0.3">
      <c r="A1" s="1" t="s">
        <v>0</v>
      </c>
      <c r="B1" s="2"/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20</v>
      </c>
      <c r="I1" s="7" t="s">
        <v>21</v>
      </c>
      <c r="J1" s="7" t="s">
        <v>22</v>
      </c>
      <c r="K1" s="7" t="s">
        <v>23</v>
      </c>
      <c r="L1" s="7" t="s">
        <v>24</v>
      </c>
      <c r="M1" s="7" t="s">
        <v>25</v>
      </c>
      <c r="N1" s="7" t="s">
        <v>26</v>
      </c>
      <c r="O1" s="7" t="s">
        <v>27</v>
      </c>
      <c r="P1" s="7" t="s">
        <v>28</v>
      </c>
      <c r="Q1" s="7" t="s">
        <v>29</v>
      </c>
      <c r="R1" s="7" t="s">
        <v>30</v>
      </c>
      <c r="S1" s="7" t="s">
        <v>31</v>
      </c>
      <c r="T1" s="7" t="s">
        <v>32</v>
      </c>
      <c r="U1" s="7" t="s">
        <v>33</v>
      </c>
      <c r="V1" s="7" t="s">
        <v>34</v>
      </c>
      <c r="W1" s="7" t="s">
        <v>35</v>
      </c>
      <c r="X1" s="7" t="s">
        <v>36</v>
      </c>
      <c r="Y1" s="7" t="s">
        <v>37</v>
      </c>
      <c r="Z1" s="7" t="s">
        <v>38</v>
      </c>
      <c r="AA1" s="7" t="s">
        <v>39</v>
      </c>
      <c r="AB1" s="7" t="s">
        <v>40</v>
      </c>
      <c r="AC1" s="7" t="s">
        <v>41</v>
      </c>
      <c r="AD1" s="7" t="s">
        <v>42</v>
      </c>
      <c r="AE1" s="7" t="s">
        <v>43</v>
      </c>
      <c r="AF1" s="7" t="s">
        <v>44</v>
      </c>
      <c r="AG1" s="7" t="s">
        <v>45</v>
      </c>
      <c r="AH1" s="7" t="s">
        <v>46</v>
      </c>
      <c r="AI1" s="7" t="s">
        <v>47</v>
      </c>
      <c r="AJ1" s="7" t="s">
        <v>48</v>
      </c>
      <c r="AK1" s="7" t="s">
        <v>49</v>
      </c>
      <c r="AL1" s="7" t="s">
        <v>50</v>
      </c>
      <c r="AM1" s="3" t="s">
        <v>3</v>
      </c>
      <c r="AN1" s="3" t="s">
        <v>4</v>
      </c>
      <c r="AO1" s="3" t="s">
        <v>5</v>
      </c>
      <c r="AP1" s="3" t="s">
        <v>6</v>
      </c>
      <c r="AQ1" s="3" t="s">
        <v>7</v>
      </c>
      <c r="AR1" s="3" t="s">
        <v>8</v>
      </c>
      <c r="AS1" s="3" t="s">
        <v>9</v>
      </c>
      <c r="AT1" s="3" t="s">
        <v>10</v>
      </c>
      <c r="AU1" s="3" t="s">
        <v>11</v>
      </c>
      <c r="AV1" s="3" t="s">
        <v>12</v>
      </c>
      <c r="AW1" s="3" t="s">
        <v>13</v>
      </c>
      <c r="AX1" s="3" t="s">
        <v>14</v>
      </c>
      <c r="AY1" s="7" t="s">
        <v>51</v>
      </c>
      <c r="AZ1" s="7" t="s">
        <v>52</v>
      </c>
      <c r="BA1" s="7" t="s">
        <v>53</v>
      </c>
      <c r="BB1" s="7" t="s">
        <v>54</v>
      </c>
      <c r="BC1" s="7" t="s">
        <v>55</v>
      </c>
      <c r="BD1" s="7" t="s">
        <v>56</v>
      </c>
      <c r="BE1" s="7" t="s">
        <v>57</v>
      </c>
      <c r="BF1" s="7" t="s">
        <v>58</v>
      </c>
      <c r="BG1" s="7" t="s">
        <v>59</v>
      </c>
      <c r="BH1" s="7" t="s">
        <v>60</v>
      </c>
      <c r="BI1" s="7" t="s">
        <v>61</v>
      </c>
      <c r="BJ1" s="7" t="s">
        <v>62</v>
      </c>
      <c r="BK1" s="7" t="s">
        <v>63</v>
      </c>
      <c r="BL1" s="7" t="s">
        <v>66</v>
      </c>
      <c r="BM1" s="7" t="s">
        <v>67</v>
      </c>
      <c r="BN1" s="7" t="s">
        <v>68</v>
      </c>
      <c r="BO1" s="7" t="s">
        <v>69</v>
      </c>
      <c r="BP1" s="7" t="s">
        <v>70</v>
      </c>
      <c r="BQ1" s="7" t="s">
        <v>71</v>
      </c>
      <c r="BR1" s="7" t="s">
        <v>72</v>
      </c>
      <c r="BS1" s="7" t="s">
        <v>73</v>
      </c>
      <c r="BT1" s="7" t="s">
        <v>74</v>
      </c>
      <c r="BU1" s="7" t="s">
        <v>75</v>
      </c>
      <c r="BV1" s="7" t="s">
        <v>76</v>
      </c>
    </row>
    <row r="2" spans="1:74" ht="4.2" customHeight="1" x14ac:dyDescent="0.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6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</row>
    <row r="3" spans="1:74" x14ac:dyDescent="0.3">
      <c r="A3" s="2" t="s">
        <v>64</v>
      </c>
      <c r="B3" s="2" t="s">
        <v>0</v>
      </c>
      <c r="C3" s="4">
        <v>820.10666670000001</v>
      </c>
      <c r="D3" s="4">
        <v>806.77449999999999</v>
      </c>
      <c r="E3" s="4">
        <v>798.75130430000002</v>
      </c>
      <c r="F3" s="4">
        <v>818.26300000000003</v>
      </c>
      <c r="G3" s="4">
        <v>848.18863639999995</v>
      </c>
      <c r="H3" s="4">
        <v>863.15599999999995</v>
      </c>
      <c r="I3" s="4">
        <v>952.42142850000005</v>
      </c>
      <c r="J3" s="4">
        <v>904.03136370000004</v>
      </c>
      <c r="K3" s="4">
        <v>924.11749999999995</v>
      </c>
      <c r="L3" s="4">
        <v>954.63736840000001</v>
      </c>
      <c r="M3" s="4">
        <v>915.07523809999998</v>
      </c>
      <c r="N3" s="4">
        <v>873.80619049999996</v>
      </c>
      <c r="O3" s="4">
        <v>823.87952380000002</v>
      </c>
      <c r="P3" s="4">
        <v>799.54200000000003</v>
      </c>
      <c r="Q3" s="4">
        <v>807.78391309999995</v>
      </c>
      <c r="R3" s="4">
        <v>804.51526309999997</v>
      </c>
      <c r="S3" s="4">
        <v>799.01318179999998</v>
      </c>
      <c r="T3" s="4">
        <v>799.375</v>
      </c>
      <c r="U3" s="4">
        <v>815.25571430000002</v>
      </c>
      <c r="V3" s="4">
        <v>856.25818179999999</v>
      </c>
      <c r="W3" s="4">
        <v>886.60052629999996</v>
      </c>
      <c r="X3" s="4">
        <v>926.53899999999999</v>
      </c>
      <c r="Y3" s="4">
        <v>885.19142859999999</v>
      </c>
      <c r="Z3" s="4">
        <v>875.06368420000001</v>
      </c>
      <c r="AA3" s="4">
        <v>910.4931818</v>
      </c>
      <c r="AB3" s="4">
        <v>965.23523809999995</v>
      </c>
      <c r="AC3" s="4">
        <v>968.52250000000004</v>
      </c>
      <c r="AD3" s="4">
        <v>958.89</v>
      </c>
      <c r="AE3" s="4">
        <v>916.09238100000005</v>
      </c>
      <c r="AF3" s="4">
        <v>927.53210520000005</v>
      </c>
      <c r="AG3" s="4">
        <v>937.53545459999998</v>
      </c>
      <c r="AH3" s="4">
        <v>928.47666660000004</v>
      </c>
      <c r="AI3" s="4">
        <v>925.30833340000004</v>
      </c>
      <c r="AJ3" s="4">
        <v>936.70363629999997</v>
      </c>
      <c r="AK3" s="4">
        <v>972.41849999999999</v>
      </c>
      <c r="AL3" s="4">
        <v>983.23599999999999</v>
      </c>
      <c r="AM3" s="4">
        <v>1000.2072727</v>
      </c>
      <c r="AN3" s="4">
        <v>955.12</v>
      </c>
      <c r="AO3" s="4">
        <v>932.49714289999997</v>
      </c>
      <c r="AP3" s="4">
        <v>962.0809524</v>
      </c>
      <c r="AQ3" s="4">
        <v>940.32749999999999</v>
      </c>
      <c r="AR3" s="4">
        <v>937.60950000000003</v>
      </c>
      <c r="AS3" s="4">
        <v>953.52181810000002</v>
      </c>
      <c r="AT3" s="4">
        <v>965.72749999999996</v>
      </c>
      <c r="AU3" s="4">
        <v>960.22299999999996</v>
      </c>
      <c r="AV3" s="4">
        <v>953.12318189999996</v>
      </c>
      <c r="AW3" s="4">
        <v>934.92100000000005</v>
      </c>
      <c r="AX3" s="5">
        <v>915.11149999999998</v>
      </c>
      <c r="AY3" s="4">
        <v>881.9642857</v>
      </c>
      <c r="AZ3" s="4">
        <v>862.33550000000002</v>
      </c>
      <c r="BA3" s="4">
        <v>912.4409091</v>
      </c>
      <c r="BB3" s="4">
        <v>896.72380950000002</v>
      </c>
      <c r="BC3" s="4">
        <v>896.98473690000003</v>
      </c>
      <c r="BD3" s="4">
        <v>900</v>
      </c>
      <c r="BE3" s="4">
        <v>900</v>
      </c>
      <c r="BF3" s="4">
        <v>900</v>
      </c>
      <c r="BG3" s="4">
        <v>900</v>
      </c>
      <c r="BH3" s="4">
        <v>900</v>
      </c>
      <c r="BI3" s="4">
        <v>900</v>
      </c>
      <c r="BJ3" s="4">
        <v>900</v>
      </c>
      <c r="BK3" s="4">
        <v>910</v>
      </c>
      <c r="BL3" s="4">
        <v>910</v>
      </c>
      <c r="BM3" s="4">
        <v>910</v>
      </c>
      <c r="BN3" s="4">
        <v>910</v>
      </c>
      <c r="BO3" s="4">
        <v>910</v>
      </c>
      <c r="BP3" s="4">
        <v>910</v>
      </c>
      <c r="BQ3" s="4">
        <v>910</v>
      </c>
      <c r="BR3" s="4">
        <v>910</v>
      </c>
      <c r="BS3" s="4">
        <v>910</v>
      </c>
      <c r="BT3" s="4">
        <v>910</v>
      </c>
      <c r="BU3" s="4">
        <v>910</v>
      </c>
      <c r="BV3" s="4">
        <v>910</v>
      </c>
    </row>
    <row r="4" spans="1:74" x14ac:dyDescent="0.3">
      <c r="A4" s="8" t="s">
        <v>65</v>
      </c>
      <c r="B4" s="8" t="s">
        <v>0</v>
      </c>
      <c r="C4" s="9">
        <v>87.23</v>
      </c>
      <c r="D4" s="9">
        <v>87.48</v>
      </c>
      <c r="E4" s="9">
        <v>89.11</v>
      </c>
      <c r="F4" s="9">
        <v>90.35</v>
      </c>
      <c r="G4" s="9">
        <v>91.43</v>
      </c>
      <c r="H4" s="9">
        <v>92.29</v>
      </c>
      <c r="I4" s="9">
        <v>93.56</v>
      </c>
      <c r="J4" s="9">
        <v>94.69</v>
      </c>
      <c r="K4" s="9">
        <v>95.51</v>
      </c>
      <c r="L4" s="9">
        <v>96</v>
      </c>
      <c r="M4" s="9">
        <v>96.94</v>
      </c>
      <c r="N4" s="9">
        <v>97.21</v>
      </c>
      <c r="O4" s="9">
        <v>98</v>
      </c>
      <c r="P4" s="9">
        <v>97.93</v>
      </c>
      <c r="Q4" s="9">
        <v>99</v>
      </c>
      <c r="R4" s="9">
        <v>99.3</v>
      </c>
      <c r="S4" s="9">
        <v>99.41</v>
      </c>
      <c r="T4" s="9">
        <v>99.26</v>
      </c>
      <c r="U4" s="9">
        <v>99.61</v>
      </c>
      <c r="V4" s="9">
        <v>99.72</v>
      </c>
      <c r="W4" s="9">
        <v>100.39</v>
      </c>
      <c r="X4" s="9">
        <v>100.84</v>
      </c>
      <c r="Y4" s="9">
        <v>101.59</v>
      </c>
      <c r="Z4" s="9">
        <v>101.04</v>
      </c>
      <c r="AA4" s="9">
        <v>101.72</v>
      </c>
      <c r="AB4" s="9">
        <v>102.32</v>
      </c>
      <c r="AC4" s="9">
        <v>102.7</v>
      </c>
      <c r="AD4" s="9">
        <v>103.24</v>
      </c>
      <c r="AE4" s="9">
        <v>103.52</v>
      </c>
      <c r="AF4" s="9">
        <v>103.42</v>
      </c>
      <c r="AG4" s="9">
        <v>104.19</v>
      </c>
      <c r="AH4" s="9">
        <v>104.45</v>
      </c>
      <c r="AI4" s="9">
        <v>104.54</v>
      </c>
      <c r="AJ4" s="9">
        <v>105.56</v>
      </c>
      <c r="AK4" s="9">
        <v>105.83</v>
      </c>
      <c r="AL4" s="9">
        <v>105.62</v>
      </c>
      <c r="AM4" s="9">
        <v>106.74</v>
      </c>
      <c r="AN4" s="9">
        <v>107.16</v>
      </c>
      <c r="AO4" s="9">
        <v>107.7</v>
      </c>
      <c r="AP4" s="9">
        <v>107.91</v>
      </c>
      <c r="AQ4" s="9">
        <v>108.12</v>
      </c>
      <c r="AR4" s="9">
        <v>107.68</v>
      </c>
      <c r="AS4" s="9">
        <v>108.62</v>
      </c>
      <c r="AT4" s="9">
        <v>108.66</v>
      </c>
      <c r="AU4" s="9">
        <v>109.14</v>
      </c>
      <c r="AV4" s="9">
        <v>109.19</v>
      </c>
      <c r="AW4" s="9">
        <v>109.47</v>
      </c>
      <c r="AX4" s="9">
        <v>109.26</v>
      </c>
      <c r="AY4" s="9">
        <v>109.71</v>
      </c>
      <c r="AZ4" s="9">
        <v>109.7</v>
      </c>
      <c r="BA4" s="9">
        <v>110.75</v>
      </c>
      <c r="BB4" s="9">
        <v>112.18</v>
      </c>
      <c r="BC4" s="9">
        <v>112.37</v>
      </c>
      <c r="BD4" s="4">
        <v>112.8</v>
      </c>
      <c r="BE4" s="4">
        <v>113.19</v>
      </c>
      <c r="BF4" s="4">
        <v>113.59</v>
      </c>
      <c r="BG4" s="4">
        <v>113.99</v>
      </c>
      <c r="BH4" s="4">
        <v>114.39</v>
      </c>
      <c r="BI4" s="4">
        <v>114.79</v>
      </c>
      <c r="BJ4" s="4">
        <v>113.96</v>
      </c>
      <c r="BK4" s="4">
        <v>114.25</v>
      </c>
      <c r="BL4" s="4">
        <v>114.54</v>
      </c>
      <c r="BM4" s="4">
        <v>114.83</v>
      </c>
      <c r="BN4" s="4">
        <v>115.12</v>
      </c>
      <c r="BO4" s="4">
        <v>115.42</v>
      </c>
      <c r="BP4" s="4">
        <v>115.71</v>
      </c>
      <c r="BQ4" s="4">
        <v>116.01</v>
      </c>
      <c r="BR4" s="4">
        <v>116.3</v>
      </c>
      <c r="BS4" s="4">
        <v>116.6</v>
      </c>
      <c r="BT4" s="4">
        <v>116.89</v>
      </c>
      <c r="BU4" s="4">
        <v>117.19</v>
      </c>
      <c r="BV4" s="4">
        <v>117.49</v>
      </c>
    </row>
    <row r="5" spans="1:74" hidden="1" x14ac:dyDescent="0.3">
      <c r="A5" s="2" t="s">
        <v>1</v>
      </c>
      <c r="B5" s="2" t="s">
        <v>0</v>
      </c>
      <c r="C5" s="4">
        <v>115.77</v>
      </c>
      <c r="D5" s="4">
        <v>116.1</v>
      </c>
      <c r="E5" s="4">
        <v>118.26</v>
      </c>
      <c r="F5" s="4">
        <v>119.91</v>
      </c>
      <c r="G5" s="4">
        <v>121.35</v>
      </c>
      <c r="H5" s="4">
        <v>122.48</v>
      </c>
      <c r="I5" s="4">
        <v>124.16</v>
      </c>
      <c r="J5" s="4">
        <v>125.67</v>
      </c>
      <c r="K5" s="4">
        <v>126.75</v>
      </c>
      <c r="L5" s="4">
        <v>127.38374999999999</v>
      </c>
      <c r="M5" s="4">
        <v>128.65</v>
      </c>
      <c r="N5" s="4">
        <v>129.02000000000001</v>
      </c>
      <c r="O5" s="4">
        <v>130.05000000000001</v>
      </c>
      <c r="P5" s="4">
        <v>129.97</v>
      </c>
      <c r="Q5" s="4">
        <v>131.38</v>
      </c>
      <c r="R5" s="4">
        <v>131.79</v>
      </c>
      <c r="S5" s="4">
        <v>131.94</v>
      </c>
      <c r="T5" s="4">
        <v>131.74</v>
      </c>
      <c r="U5" s="4">
        <v>132.19999999999999</v>
      </c>
      <c r="V5" s="4">
        <v>132.35</v>
      </c>
      <c r="W5" s="4">
        <v>133.24</v>
      </c>
      <c r="X5" s="4">
        <v>133.82</v>
      </c>
      <c r="Y5" s="4">
        <v>134.82</v>
      </c>
      <c r="Z5" s="4">
        <v>134.1</v>
      </c>
      <c r="AA5" s="4">
        <v>101.72</v>
      </c>
      <c r="AB5" s="4">
        <v>102.32</v>
      </c>
      <c r="AC5" s="4">
        <v>102.7</v>
      </c>
      <c r="AD5" s="4">
        <v>103.24</v>
      </c>
      <c r="AE5" s="4">
        <v>103.52</v>
      </c>
      <c r="AF5" s="4">
        <v>103.42</v>
      </c>
      <c r="AG5" s="4">
        <v>104.19</v>
      </c>
      <c r="AH5" s="4">
        <v>104.45</v>
      </c>
      <c r="AI5" s="4">
        <v>104.54</v>
      </c>
      <c r="AJ5" s="4">
        <v>105.56</v>
      </c>
      <c r="AK5" s="4">
        <v>105.83</v>
      </c>
      <c r="AL5" s="4">
        <v>105.62</v>
      </c>
      <c r="AM5" s="4">
        <v>106.74</v>
      </c>
      <c r="AN5" s="6">
        <v>107.16</v>
      </c>
      <c r="AO5" s="6">
        <v>107.7</v>
      </c>
      <c r="AP5" s="6">
        <v>107.91</v>
      </c>
      <c r="AQ5" s="6">
        <v>108.12</v>
      </c>
      <c r="AR5" s="6">
        <v>107.68</v>
      </c>
      <c r="AS5" s="6">
        <v>108.62</v>
      </c>
      <c r="AT5" s="6">
        <v>108.66</v>
      </c>
      <c r="AU5" s="6">
        <v>109.14</v>
      </c>
      <c r="AV5" s="6">
        <v>109.19</v>
      </c>
      <c r="AW5" s="6">
        <v>109.47</v>
      </c>
      <c r="AX5" s="6">
        <v>109.26</v>
      </c>
      <c r="AY5" s="4">
        <v>109.71</v>
      </c>
      <c r="AZ5" s="4">
        <v>109.7</v>
      </c>
      <c r="BA5" s="4">
        <v>110.75</v>
      </c>
      <c r="BB5" s="4">
        <v>112.18</v>
      </c>
      <c r="BC5" s="4">
        <v>112.37</v>
      </c>
      <c r="BD5" s="4">
        <v>112.8</v>
      </c>
      <c r="BE5" s="4">
        <v>113.19</v>
      </c>
      <c r="BF5" s="4">
        <v>113.59</v>
      </c>
      <c r="BG5" s="4">
        <v>113.99</v>
      </c>
      <c r="BH5" s="4">
        <v>114.39</v>
      </c>
      <c r="BI5" s="4">
        <v>114.79</v>
      </c>
      <c r="BJ5" s="4">
        <v>113.96</v>
      </c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</row>
    <row r="6" spans="1:74" x14ac:dyDescent="0.3">
      <c r="A6" s="2" t="s">
        <v>2</v>
      </c>
      <c r="B6" s="2" t="s">
        <v>0</v>
      </c>
      <c r="C6" s="6">
        <v>281.14800000000002</v>
      </c>
      <c r="D6" s="6">
        <v>283.71600000000001</v>
      </c>
      <c r="E6" s="6">
        <v>287.50400000000002</v>
      </c>
      <c r="F6" s="6">
        <v>289.10899999999998</v>
      </c>
      <c r="G6" s="6">
        <v>292.29599999999999</v>
      </c>
      <c r="H6" s="6">
        <v>296.31099999999998</v>
      </c>
      <c r="I6" s="6">
        <v>296.27600000000001</v>
      </c>
      <c r="J6" s="6">
        <v>296.17099999999999</v>
      </c>
      <c r="K6" s="6">
        <v>296.80799999999999</v>
      </c>
      <c r="L6" s="6">
        <v>298.012</v>
      </c>
      <c r="M6" s="6">
        <v>297.71100000000001</v>
      </c>
      <c r="N6" s="6">
        <v>296.79700000000003</v>
      </c>
      <c r="O6" s="6">
        <v>299.17</v>
      </c>
      <c r="P6" s="6">
        <v>300.83999999999997</v>
      </c>
      <c r="Q6" s="6">
        <v>301.83600000000001</v>
      </c>
      <c r="R6" s="6">
        <v>303.363</v>
      </c>
      <c r="S6" s="6">
        <v>304.12700000000001</v>
      </c>
      <c r="T6" s="6">
        <v>305.10899999999998</v>
      </c>
      <c r="U6" s="6">
        <v>305.69099999999997</v>
      </c>
      <c r="V6" s="6">
        <v>307.02600000000001</v>
      </c>
      <c r="W6" s="6">
        <v>307.78899999999999</v>
      </c>
      <c r="X6" s="6">
        <v>307.67099999999999</v>
      </c>
      <c r="Y6" s="6">
        <v>307.05099999999999</v>
      </c>
      <c r="Z6" s="6">
        <v>306.99599999999998</v>
      </c>
      <c r="AA6" s="6">
        <v>308.41699999999997</v>
      </c>
      <c r="AB6" s="6">
        <v>310.32600000000002</v>
      </c>
      <c r="AC6" s="6">
        <v>312.33199999999999</v>
      </c>
      <c r="AD6" s="6">
        <v>313.548</v>
      </c>
      <c r="AE6" s="6">
        <v>314.06900000000002</v>
      </c>
      <c r="AF6" s="6">
        <v>314.17500000000001</v>
      </c>
      <c r="AG6" s="6">
        <v>314.54000000000002</v>
      </c>
      <c r="AH6" s="6">
        <v>314.79599999999999</v>
      </c>
      <c r="AI6" s="6">
        <v>315.30099999999999</v>
      </c>
      <c r="AJ6" s="6">
        <v>315.66399999999999</v>
      </c>
      <c r="AK6" s="6">
        <v>315.49299999999999</v>
      </c>
      <c r="AL6" s="6">
        <v>315.58764789999998</v>
      </c>
      <c r="AM6" s="6">
        <v>317.67099999999999</v>
      </c>
      <c r="AN6" s="6">
        <v>319.08199999999999</v>
      </c>
      <c r="AO6" s="6">
        <v>319.79899999999998</v>
      </c>
      <c r="AP6" s="6">
        <v>320.79500000000002</v>
      </c>
      <c r="AQ6" s="6">
        <v>321.46499999999997</v>
      </c>
      <c r="AR6" s="6">
        <v>322.56099999999998</v>
      </c>
      <c r="AS6" s="6">
        <v>323.048</v>
      </c>
      <c r="AT6" s="6">
        <v>323.976</v>
      </c>
      <c r="AU6" s="6">
        <v>324.8</v>
      </c>
      <c r="AV6" s="10">
        <v>324.46100000000001</v>
      </c>
      <c r="AW6" s="6">
        <v>324.12200000000001</v>
      </c>
      <c r="AX6" s="6">
        <v>324.05399999999997</v>
      </c>
      <c r="AY6" s="6">
        <v>325.25200000000001</v>
      </c>
      <c r="AZ6" s="6">
        <v>326.78500000000003</v>
      </c>
      <c r="BA6" s="6">
        <v>330.21300000000002</v>
      </c>
      <c r="BB6" s="6">
        <v>333.02</v>
      </c>
      <c r="BC6" s="6">
        <v>335.12299999999999</v>
      </c>
      <c r="BD6" s="4">
        <v>335.31</v>
      </c>
      <c r="BE6" s="4">
        <v>336.46</v>
      </c>
      <c r="BF6" s="4">
        <v>337.62</v>
      </c>
      <c r="BG6" s="4">
        <v>338.78</v>
      </c>
      <c r="BH6" s="4">
        <v>339.95</v>
      </c>
      <c r="BI6" s="4">
        <v>341.11</v>
      </c>
      <c r="BJ6" s="4">
        <v>337.67</v>
      </c>
      <c r="BK6" s="4">
        <v>338.41</v>
      </c>
      <c r="BL6" s="4">
        <v>339.17</v>
      </c>
      <c r="BM6" s="4">
        <v>339.92</v>
      </c>
      <c r="BN6" s="4">
        <v>340.68</v>
      </c>
      <c r="BO6" s="4">
        <v>341.43</v>
      </c>
      <c r="BP6" s="4">
        <v>342.19</v>
      </c>
      <c r="BQ6" s="4">
        <v>342.95</v>
      </c>
      <c r="BR6" s="4">
        <v>343.71</v>
      </c>
      <c r="BS6" s="4">
        <v>344.48</v>
      </c>
      <c r="BT6" s="4">
        <v>345.24</v>
      </c>
      <c r="BU6" s="4">
        <v>346.01</v>
      </c>
      <c r="BV6" s="4">
        <v>346.78</v>
      </c>
    </row>
    <row r="7" spans="1:74" x14ac:dyDescent="0.3">
      <c r="A7" s="8" t="s">
        <v>77</v>
      </c>
      <c r="B7" s="8" t="s">
        <v>0</v>
      </c>
      <c r="C7" s="6">
        <v>31212.65</v>
      </c>
      <c r="D7" s="6">
        <v>31539.200000000001</v>
      </c>
      <c r="E7" s="6">
        <v>31727.74</v>
      </c>
      <c r="F7" s="6">
        <v>32176.49</v>
      </c>
      <c r="G7" s="6">
        <v>32679.54</v>
      </c>
      <c r="H7" s="6">
        <v>33086.83</v>
      </c>
      <c r="I7" s="6">
        <v>33417.26</v>
      </c>
      <c r="J7" s="6">
        <v>33836.51</v>
      </c>
      <c r="K7" s="6">
        <v>34258.230000000003</v>
      </c>
      <c r="L7" s="6">
        <v>34600.35</v>
      </c>
      <c r="M7" s="6">
        <v>34811.800000000003</v>
      </c>
      <c r="N7" s="6">
        <v>35110.980000000003</v>
      </c>
      <c r="O7" s="6">
        <v>35287.5</v>
      </c>
      <c r="P7" s="6">
        <v>35509.68</v>
      </c>
      <c r="Q7" s="6">
        <v>35575.480000000003</v>
      </c>
      <c r="R7" s="6">
        <v>35838.550000000003</v>
      </c>
      <c r="S7" s="6">
        <v>36032.89</v>
      </c>
      <c r="T7" s="6">
        <v>36089.480000000003</v>
      </c>
      <c r="U7" s="6">
        <v>36049.050000000003</v>
      </c>
      <c r="V7" s="6">
        <v>36130.31</v>
      </c>
      <c r="W7" s="6">
        <v>36197.53</v>
      </c>
      <c r="X7" s="6">
        <v>36388.07</v>
      </c>
      <c r="Y7" s="6">
        <v>36563.870000000003</v>
      </c>
      <c r="Z7" s="6">
        <v>36789.360000000001</v>
      </c>
      <c r="AA7" s="6">
        <v>36733.040000000001</v>
      </c>
      <c r="AB7" s="6">
        <v>36856.5</v>
      </c>
      <c r="AC7" s="6">
        <v>37093.519999999997</v>
      </c>
      <c r="AD7" s="6">
        <v>37261.980000000003</v>
      </c>
      <c r="AE7" s="6">
        <v>37438.910000000003</v>
      </c>
      <c r="AF7" s="6">
        <v>37571.86</v>
      </c>
      <c r="AG7" s="6">
        <v>37578.949999999997</v>
      </c>
      <c r="AH7" s="6">
        <v>37754.47</v>
      </c>
      <c r="AI7" s="6">
        <v>37910.42</v>
      </c>
      <c r="AJ7" s="6">
        <v>37971.42</v>
      </c>
      <c r="AK7" s="6">
        <v>38247.919999999998</v>
      </c>
      <c r="AL7" s="6">
        <v>38416.69</v>
      </c>
      <c r="AM7" s="6">
        <v>38384.410000000003</v>
      </c>
      <c r="AN7" s="6">
        <v>38647.94</v>
      </c>
      <c r="AO7" s="6">
        <v>38894.11</v>
      </c>
      <c r="AP7" s="6">
        <v>39075.410000000003</v>
      </c>
      <c r="AQ7" s="6">
        <v>39189.449999999997</v>
      </c>
      <c r="AR7" s="6">
        <v>39267.07</v>
      </c>
      <c r="AS7" s="6">
        <v>39179.01</v>
      </c>
      <c r="AT7" s="6">
        <v>39383.07</v>
      </c>
      <c r="AU7" s="6">
        <v>39485.65</v>
      </c>
      <c r="AV7" s="6">
        <v>39597.67</v>
      </c>
      <c r="AW7" s="6">
        <v>39643.589999999997</v>
      </c>
      <c r="AX7" s="6">
        <v>39727.96</v>
      </c>
      <c r="AY7" s="6">
        <v>39706.07</v>
      </c>
      <c r="AZ7" s="6">
        <v>39790.629999999997</v>
      </c>
      <c r="BA7" s="6">
        <v>39841.72</v>
      </c>
      <c r="BB7" s="6">
        <v>40120.199999999997</v>
      </c>
      <c r="BC7" s="6">
        <v>40610.69</v>
      </c>
      <c r="BD7" s="4">
        <v>40820.31</v>
      </c>
      <c r="BE7" s="4">
        <v>40896.699999999997</v>
      </c>
      <c r="BF7" s="4">
        <v>41040.400000000001</v>
      </c>
      <c r="BG7" s="4">
        <v>41184.6</v>
      </c>
      <c r="BH7" s="4">
        <v>41329.4</v>
      </c>
      <c r="BI7" s="4">
        <v>41474.6</v>
      </c>
      <c r="BJ7" s="4">
        <v>41173.699999999997</v>
      </c>
      <c r="BK7" s="4">
        <v>41449</v>
      </c>
      <c r="BL7" s="4">
        <v>41555</v>
      </c>
      <c r="BM7" s="4">
        <v>41661</v>
      </c>
      <c r="BN7" s="4">
        <v>41767</v>
      </c>
      <c r="BO7" s="4">
        <v>41873</v>
      </c>
      <c r="BP7" s="4">
        <v>41980</v>
      </c>
      <c r="BQ7" s="4">
        <v>42087</v>
      </c>
      <c r="BR7" s="4">
        <v>42194</v>
      </c>
      <c r="BS7" s="4">
        <v>42302</v>
      </c>
      <c r="BT7" s="4">
        <v>42409</v>
      </c>
      <c r="BU7" s="4">
        <v>42517</v>
      </c>
      <c r="BV7" s="4">
        <v>42626</v>
      </c>
    </row>
    <row r="8" spans="1:74" x14ac:dyDescent="0.3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</row>
    <row r="9" spans="1:74" x14ac:dyDescent="0.3">
      <c r="A9" s="1" t="s">
        <v>78</v>
      </c>
      <c r="B9" s="2"/>
      <c r="C9" s="7" t="s">
        <v>15</v>
      </c>
      <c r="D9" s="7" t="s">
        <v>16</v>
      </c>
      <c r="E9" s="7" t="s">
        <v>17</v>
      </c>
      <c r="F9" s="7" t="s">
        <v>18</v>
      </c>
      <c r="G9" s="7" t="s">
        <v>19</v>
      </c>
      <c r="H9" s="7" t="s">
        <v>20</v>
      </c>
      <c r="I9" s="7" t="s">
        <v>21</v>
      </c>
      <c r="J9" s="7" t="s">
        <v>22</v>
      </c>
      <c r="K9" s="7" t="s">
        <v>23</v>
      </c>
      <c r="L9" s="7" t="s">
        <v>24</v>
      </c>
      <c r="M9" s="7" t="s">
        <v>25</v>
      </c>
      <c r="N9" s="7" t="s">
        <v>26</v>
      </c>
      <c r="O9" s="7" t="s">
        <v>27</v>
      </c>
      <c r="P9" s="7" t="s">
        <v>28</v>
      </c>
      <c r="Q9" s="7" t="s">
        <v>29</v>
      </c>
      <c r="R9" s="7" t="s">
        <v>30</v>
      </c>
      <c r="S9" s="7" t="s">
        <v>31</v>
      </c>
      <c r="T9" s="7" t="s">
        <v>32</v>
      </c>
      <c r="U9" s="7" t="s">
        <v>33</v>
      </c>
      <c r="V9" s="7" t="s">
        <v>34</v>
      </c>
      <c r="W9" s="7" t="s">
        <v>35</v>
      </c>
      <c r="X9" s="7" t="s">
        <v>36</v>
      </c>
      <c r="Y9" s="7" t="s">
        <v>37</v>
      </c>
      <c r="Z9" s="7" t="s">
        <v>38</v>
      </c>
      <c r="AA9" s="7" t="s">
        <v>39</v>
      </c>
      <c r="AB9" s="7" t="s">
        <v>40</v>
      </c>
      <c r="AC9" s="7" t="s">
        <v>41</v>
      </c>
      <c r="AD9" s="7" t="s">
        <v>42</v>
      </c>
      <c r="AE9" s="7" t="s">
        <v>43</v>
      </c>
      <c r="AF9" s="7" t="s">
        <v>44</v>
      </c>
      <c r="AG9" s="7" t="s">
        <v>45</v>
      </c>
      <c r="AH9" s="7" t="s">
        <v>46</v>
      </c>
      <c r="AI9" s="7" t="s">
        <v>47</v>
      </c>
      <c r="AJ9" s="7" t="s">
        <v>48</v>
      </c>
      <c r="AK9" s="7" t="s">
        <v>49</v>
      </c>
      <c r="AL9" s="7" t="s">
        <v>50</v>
      </c>
      <c r="AM9" s="3" t="s">
        <v>3</v>
      </c>
      <c r="AN9" s="3" t="s">
        <v>4</v>
      </c>
      <c r="AO9" s="3" t="s">
        <v>5</v>
      </c>
      <c r="AP9" s="3" t="s">
        <v>6</v>
      </c>
      <c r="AQ9" s="3" t="s">
        <v>7</v>
      </c>
      <c r="AR9" s="3" t="s">
        <v>8</v>
      </c>
      <c r="AS9" s="3" t="s">
        <v>9</v>
      </c>
      <c r="AT9" s="3" t="s">
        <v>10</v>
      </c>
      <c r="AU9" s="3" t="s">
        <v>11</v>
      </c>
      <c r="AV9" s="3" t="s">
        <v>12</v>
      </c>
      <c r="AW9" s="3" t="s">
        <v>13</v>
      </c>
      <c r="AX9" s="3" t="s">
        <v>14</v>
      </c>
      <c r="AY9" s="7" t="s">
        <v>51</v>
      </c>
      <c r="AZ9" s="7" t="s">
        <v>52</v>
      </c>
      <c r="BA9" s="7" t="s">
        <v>53</v>
      </c>
      <c r="BB9" s="7" t="s">
        <v>54</v>
      </c>
      <c r="BC9" s="7" t="s">
        <v>55</v>
      </c>
      <c r="BD9" s="7" t="s">
        <v>56</v>
      </c>
      <c r="BE9" s="7" t="s">
        <v>57</v>
      </c>
      <c r="BF9" s="7" t="s">
        <v>58</v>
      </c>
      <c r="BG9" s="7" t="s">
        <v>59</v>
      </c>
      <c r="BH9" s="7" t="s">
        <v>60</v>
      </c>
      <c r="BI9" s="7" t="s">
        <v>61</v>
      </c>
      <c r="BJ9" s="7" t="s">
        <v>62</v>
      </c>
      <c r="BK9" s="7" t="s">
        <v>63</v>
      </c>
      <c r="BL9" s="7" t="s">
        <v>66</v>
      </c>
      <c r="BM9" s="7" t="s">
        <v>67</v>
      </c>
      <c r="BN9" s="7" t="s">
        <v>68</v>
      </c>
      <c r="BO9" s="7" t="s">
        <v>69</v>
      </c>
      <c r="BP9" s="7" t="s">
        <v>70</v>
      </c>
      <c r="BQ9" s="7" t="s">
        <v>71</v>
      </c>
      <c r="BR9" s="7" t="s">
        <v>72</v>
      </c>
      <c r="BS9" s="7" t="s">
        <v>73</v>
      </c>
      <c r="BT9" s="7" t="s">
        <v>74</v>
      </c>
      <c r="BU9" s="7" t="s">
        <v>75</v>
      </c>
      <c r="BV9" s="7" t="s">
        <v>76</v>
      </c>
    </row>
    <row r="10" spans="1:74" ht="7.8" customHeight="1" x14ac:dyDescent="0.3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  <c r="BJ10" s="15"/>
      <c r="BK10" s="15"/>
      <c r="BL10" s="15"/>
      <c r="BM10" s="15"/>
      <c r="BN10" s="15"/>
      <c r="BO10" s="15"/>
      <c r="BP10" s="15"/>
      <c r="BQ10" s="15"/>
      <c r="BR10" s="15"/>
      <c r="BS10" s="15"/>
      <c r="BT10" s="15"/>
      <c r="BU10" s="15"/>
      <c r="BV10" s="15"/>
    </row>
    <row r="11" spans="1:74" x14ac:dyDescent="0.3">
      <c r="A11" s="2" t="s">
        <v>64</v>
      </c>
      <c r="B11" s="2" t="s">
        <v>78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5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>
        <v>910</v>
      </c>
      <c r="BL11" s="4">
        <v>910</v>
      </c>
      <c r="BM11" s="4">
        <v>910</v>
      </c>
      <c r="BN11" s="4">
        <v>910</v>
      </c>
      <c r="BO11" s="4">
        <v>910</v>
      </c>
      <c r="BP11" s="4">
        <v>910</v>
      </c>
      <c r="BQ11" s="4">
        <v>910</v>
      </c>
      <c r="BR11" s="4">
        <v>910</v>
      </c>
      <c r="BS11" s="4">
        <v>910</v>
      </c>
      <c r="BT11" s="4">
        <v>910</v>
      </c>
      <c r="BU11" s="4">
        <v>910</v>
      </c>
      <c r="BV11" s="4">
        <v>910</v>
      </c>
    </row>
    <row r="12" spans="1:74" x14ac:dyDescent="0.3">
      <c r="A12" s="8" t="s">
        <v>65</v>
      </c>
      <c r="B12" s="8" t="s">
        <v>78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4"/>
      <c r="BE12" s="4"/>
      <c r="BF12" s="4"/>
      <c r="BG12" s="4"/>
      <c r="BH12" s="4"/>
      <c r="BI12" s="4"/>
      <c r="BJ12" s="4"/>
      <c r="BK12" s="4">
        <v>114.25</v>
      </c>
      <c r="BL12" s="4">
        <v>114.54</v>
      </c>
      <c r="BM12" s="4">
        <v>114.83</v>
      </c>
      <c r="BN12" s="4">
        <v>115.12</v>
      </c>
      <c r="BO12" s="4">
        <v>115.42</v>
      </c>
      <c r="BP12" s="4">
        <v>115.71</v>
      </c>
      <c r="BQ12" s="4">
        <v>116.01</v>
      </c>
      <c r="BR12" s="4">
        <v>116.3</v>
      </c>
      <c r="BS12" s="4">
        <v>116.6</v>
      </c>
      <c r="BT12" s="4">
        <v>116.89</v>
      </c>
      <c r="BU12" s="4">
        <v>117.19</v>
      </c>
      <c r="BV12" s="4">
        <v>117.49</v>
      </c>
    </row>
    <row r="13" spans="1:74" x14ac:dyDescent="0.3">
      <c r="A13" s="2" t="s">
        <v>1</v>
      </c>
      <c r="B13" s="2" t="s">
        <v>78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</row>
    <row r="14" spans="1:74" x14ac:dyDescent="0.3">
      <c r="A14" s="2" t="s">
        <v>2</v>
      </c>
      <c r="B14" s="2" t="s">
        <v>78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10"/>
      <c r="AW14" s="6"/>
      <c r="AX14" s="6"/>
      <c r="AY14" s="6"/>
      <c r="AZ14" s="6"/>
      <c r="BA14" s="6"/>
      <c r="BB14" s="6"/>
      <c r="BC14" s="6"/>
      <c r="BD14" s="4"/>
      <c r="BE14" s="4"/>
      <c r="BF14" s="4"/>
      <c r="BG14" s="4"/>
      <c r="BH14" s="4"/>
      <c r="BI14" s="4"/>
      <c r="BJ14" s="4"/>
      <c r="BK14" s="4">
        <v>338.41</v>
      </c>
      <c r="BL14" s="4">
        <v>339.17</v>
      </c>
      <c r="BM14" s="4">
        <v>339.92</v>
      </c>
      <c r="BN14" s="4">
        <v>340.68</v>
      </c>
      <c r="BO14" s="4">
        <v>341.43</v>
      </c>
      <c r="BP14" s="4">
        <v>342.19</v>
      </c>
      <c r="BQ14" s="4">
        <v>342.95</v>
      </c>
      <c r="BR14" s="4">
        <v>343.71</v>
      </c>
      <c r="BS14" s="4">
        <v>344.48</v>
      </c>
      <c r="BT14" s="4">
        <v>345.24</v>
      </c>
      <c r="BU14" s="4">
        <v>346.01</v>
      </c>
      <c r="BV14" s="4">
        <v>346.78</v>
      </c>
    </row>
    <row r="15" spans="1:74" x14ac:dyDescent="0.3">
      <c r="A15" s="8" t="s">
        <v>77</v>
      </c>
      <c r="B15" s="8" t="s">
        <v>78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4"/>
      <c r="BE15" s="4"/>
      <c r="BF15" s="4"/>
      <c r="BG15" s="4"/>
      <c r="BH15" s="4"/>
      <c r="BI15" s="4"/>
      <c r="BJ15" s="4"/>
      <c r="BK15" s="4">
        <v>41449</v>
      </c>
      <c r="BL15" s="4">
        <v>41555</v>
      </c>
      <c r="BM15" s="4">
        <v>41661</v>
      </c>
      <c r="BN15" s="4">
        <v>41767</v>
      </c>
      <c r="BO15" s="4">
        <v>41873</v>
      </c>
      <c r="BP15" s="4">
        <v>41980</v>
      </c>
      <c r="BQ15" s="4">
        <v>42087</v>
      </c>
      <c r="BR15" s="4">
        <v>42194</v>
      </c>
      <c r="BS15" s="4">
        <v>42302</v>
      </c>
      <c r="BT15" s="4">
        <v>42409</v>
      </c>
      <c r="BU15" s="4">
        <v>42517</v>
      </c>
      <c r="BV15" s="4">
        <v>42626</v>
      </c>
    </row>
    <row r="16" spans="1:74" s="15" customFormat="1" x14ac:dyDescent="0.3"/>
    <row r="17" spans="1:74" x14ac:dyDescent="0.3">
      <c r="A17" s="1" t="s">
        <v>79</v>
      </c>
      <c r="B17" s="2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7" t="s">
        <v>51</v>
      </c>
      <c r="AZ17" s="7" t="s">
        <v>52</v>
      </c>
      <c r="BA17" s="7" t="s">
        <v>53</v>
      </c>
      <c r="BB17" s="7" t="s">
        <v>54</v>
      </c>
      <c r="BC17" s="7" t="s">
        <v>55</v>
      </c>
      <c r="BD17" s="7" t="s">
        <v>56</v>
      </c>
      <c r="BE17" s="7" t="s">
        <v>57</v>
      </c>
      <c r="BF17" s="7" t="s">
        <v>58</v>
      </c>
      <c r="BG17" s="7" t="s">
        <v>59</v>
      </c>
      <c r="BH17" s="7" t="s">
        <v>60</v>
      </c>
      <c r="BI17" s="7" t="s">
        <v>61</v>
      </c>
      <c r="BJ17" s="7" t="s">
        <v>62</v>
      </c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</row>
    <row r="18" spans="1:74" ht="7.8" customHeight="1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</row>
    <row r="19" spans="1:74" x14ac:dyDescent="0.3">
      <c r="A19" s="2" t="s">
        <v>64</v>
      </c>
      <c r="B19" s="2" t="s">
        <v>80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5"/>
      <c r="AY19" s="4">
        <f>'[1]Parametros Finales 5+7'!B$11</f>
        <v>881.96</v>
      </c>
      <c r="AZ19" s="4">
        <f>'[1]Parametros Finales 5+7'!C$11</f>
        <v>862.34</v>
      </c>
      <c r="BA19" s="4">
        <f>'[1]Parametros Finales 5+7'!D$11</f>
        <v>912.44</v>
      </c>
      <c r="BB19" s="4">
        <f>'[1]Parametros Finales 5+7'!E$11</f>
        <v>896.72</v>
      </c>
      <c r="BC19" s="4">
        <f>'[1]Parametros Finales 5+7'!F$11</f>
        <v>896.98</v>
      </c>
      <c r="BD19" s="12">
        <f>'[1]Parametros Finales 5+7'!G$11</f>
        <v>900</v>
      </c>
      <c r="BE19" s="12">
        <f>'[1]Parametros Finales 5+7'!H$11</f>
        <v>900</v>
      </c>
      <c r="BF19" s="12">
        <f>'[1]Parametros Finales 5+7'!I$11</f>
        <v>900</v>
      </c>
      <c r="BG19" s="12">
        <f>'[1]Parametros Finales 5+7'!J$11</f>
        <v>900</v>
      </c>
      <c r="BH19" s="12">
        <f>'[1]Parametros Finales 5+7'!K$11</f>
        <v>900</v>
      </c>
      <c r="BI19" s="12">
        <f>'[1]Parametros Finales 5+7'!L$11</f>
        <v>900</v>
      </c>
      <c r="BJ19" s="12">
        <f>'[1]Parametros Finales 5+7'!M$11</f>
        <v>900</v>
      </c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</row>
    <row r="20" spans="1:74" x14ac:dyDescent="0.3">
      <c r="A20" s="8" t="s">
        <v>65</v>
      </c>
      <c r="B20" s="8" t="s">
        <v>80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>
        <f>'[1]Parametros Finales 5+7'!B$8</f>
        <v>109.71</v>
      </c>
      <c r="AZ20" s="9">
        <f>'[1]Parametros Finales 5+7'!C$8</f>
        <v>109.7</v>
      </c>
      <c r="BA20" s="9">
        <f>'[1]Parametros Finales 5+7'!D$8</f>
        <v>110.75</v>
      </c>
      <c r="BB20" s="9">
        <f>'[1]Parametros Finales 5+7'!E$8</f>
        <v>112.18</v>
      </c>
      <c r="BC20" s="9">
        <f>'[1]Parametros Finales 5+7'!F$8</f>
        <v>112.4</v>
      </c>
      <c r="BD20" s="13">
        <f>'[1]Parametros Finales 5+7'!G$8</f>
        <v>112.79504026264377</v>
      </c>
      <c r="BE20" s="13">
        <f>'[1]Parametros Finales 5+7'!H$8</f>
        <v>113.19146893106253</v>
      </c>
      <c r="BF20" s="13">
        <f>'[1]Parametros Finales 5+7'!I$8</f>
        <v>113.58929088493763</v>
      </c>
      <c r="BG20" s="13">
        <f>'[1]Parametros Finales 5+7'!J$8</f>
        <v>113.98851102110048</v>
      </c>
      <c r="BH20" s="13">
        <f>'[1]Parametros Finales 5+7'!K$8</f>
        <v>114.38913425359289</v>
      </c>
      <c r="BI20" s="13">
        <f>'[1]Parametros Finales 5+7'!L$8</f>
        <v>114.79116551372751</v>
      </c>
      <c r="BJ20" s="13">
        <f>'[1]Parametros Finales 5+7'!M$8</f>
        <v>113.95818</v>
      </c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</row>
    <row r="21" spans="1:74" x14ac:dyDescent="0.3">
      <c r="A21" s="2" t="s">
        <v>1</v>
      </c>
      <c r="B21" s="2" t="s">
        <v>80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4">
        <v>109.71</v>
      </c>
      <c r="AZ21" s="4">
        <v>109.7</v>
      </c>
      <c r="BA21" s="4">
        <v>110.75</v>
      </c>
      <c r="BB21" s="4">
        <v>112.18</v>
      </c>
      <c r="BC21" s="4">
        <v>112.37</v>
      </c>
      <c r="BD21" s="12">
        <v>112.8</v>
      </c>
      <c r="BE21" s="12">
        <v>113.19</v>
      </c>
      <c r="BF21" s="12">
        <v>113.59</v>
      </c>
      <c r="BG21" s="12">
        <v>113.99</v>
      </c>
      <c r="BH21" s="12">
        <v>114.39</v>
      </c>
      <c r="BI21" s="12">
        <v>114.79</v>
      </c>
      <c r="BJ21" s="12">
        <v>113.96</v>
      </c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</row>
    <row r="22" spans="1:74" x14ac:dyDescent="0.3">
      <c r="A22" s="2" t="s">
        <v>2</v>
      </c>
      <c r="B22" s="2" t="s">
        <v>80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>
        <f>'[1]Parametros Finales 5+7'!B$5</f>
        <v>325.25</v>
      </c>
      <c r="AZ22" s="6">
        <f>'[1]Parametros Finales 5+7'!C$5</f>
        <v>326.79000000000002</v>
      </c>
      <c r="BA22" s="6">
        <f>'[1]Parametros Finales 5+7'!D$5</f>
        <v>330.21300000000002</v>
      </c>
      <c r="BB22" s="6">
        <f>'[1]Parametros Finales 5+7'!E$5</f>
        <v>333.02</v>
      </c>
      <c r="BC22" s="6">
        <v>335.12</v>
      </c>
      <c r="BD22" s="14">
        <f>'[1]Parametros Finales 5+7'!G$5</f>
        <v>335.31262836398241</v>
      </c>
      <c r="BE22" s="14">
        <f>'[1]Parametros Finales 5+7'!H$5</f>
        <v>336.46485449886205</v>
      </c>
      <c r="BF22" s="14">
        <f>'[1]Parametros Finales 5+7'!I$5</f>
        <v>337.62103999868532</v>
      </c>
      <c r="BG22" s="14">
        <f>'[1]Parametros Finales 5+7'!J$5</f>
        <v>338.78119846891582</v>
      </c>
      <c r="BH22" s="14">
        <f>'[1]Parametros Finales 5+7'!K$5</f>
        <v>339.94534356176928</v>
      </c>
      <c r="BI22" s="14">
        <f>'[1]Parametros Finales 5+7'!L$5</f>
        <v>341.11348897637419</v>
      </c>
      <c r="BJ22" s="14">
        <f>'[1]Parametros Finales 5+7'!M$5</f>
        <v>337.67191993396398</v>
      </c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</row>
    <row r="23" spans="1:74" x14ac:dyDescent="0.3">
      <c r="A23" s="8" t="s">
        <v>77</v>
      </c>
      <c r="B23" s="8" t="s">
        <v>80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>
        <f>'[1]Parametros Finales 5+7'!B$14</f>
        <v>39706.07</v>
      </c>
      <c r="AZ23" s="6">
        <f>'[1]Parametros Finales 5+7'!C$14</f>
        <v>39790.629999999997</v>
      </c>
      <c r="BA23" s="6">
        <f>'[1]Parametros Finales 5+7'!D$14</f>
        <v>39841.72</v>
      </c>
      <c r="BB23" s="6">
        <f>'[1]Parametros Finales 5+7'!E$14</f>
        <v>40120.199999999997</v>
      </c>
      <c r="BC23" s="6">
        <f>'[1]Parametros Finales 5+7'!F$14</f>
        <v>40610.69</v>
      </c>
      <c r="BD23" s="14">
        <f>'[1]Parametros Finales 5+7'!G$14</f>
        <v>40753.420050211251</v>
      </c>
      <c r="BE23" s="14">
        <f>'[1]Parametros Finales 5+7'!H$14</f>
        <v>40896.65173846986</v>
      </c>
      <c r="BF23" s="14">
        <f>'[1]Parametros Finales 5+7'!I$14</f>
        <v>41040.386827829432</v>
      </c>
      <c r="BG23" s="14">
        <f>'[1]Parametros Finales 5+7'!J$14</f>
        <v>41184.627087540001</v>
      </c>
      <c r="BH23" s="14">
        <f>'[1]Parametros Finales 5+7'!K$14</f>
        <v>41329.374293069777</v>
      </c>
      <c r="BI23" s="14">
        <f>'[1]Parametros Finales 5+7'!L$14</f>
        <v>41474.630226127047</v>
      </c>
      <c r="BJ23" s="14">
        <f>'[1]Parametros Finales 5+7'!M$14</f>
        <v>41173.668335802504</v>
      </c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</row>
    <row r="24" spans="1:74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3">
      <c r="A25" s="1" t="s">
        <v>81</v>
      </c>
      <c r="B25" s="2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7" t="s">
        <v>51</v>
      </c>
      <c r="AZ25" s="7" t="s">
        <v>52</v>
      </c>
      <c r="BA25" s="7" t="s">
        <v>53</v>
      </c>
      <c r="BB25" s="7" t="s">
        <v>54</v>
      </c>
      <c r="BC25" s="7" t="s">
        <v>55</v>
      </c>
      <c r="BD25" s="7" t="s">
        <v>56</v>
      </c>
      <c r="BE25" s="7" t="s">
        <v>57</v>
      </c>
      <c r="BF25" s="7" t="s">
        <v>58</v>
      </c>
      <c r="BG25" s="7" t="s">
        <v>59</v>
      </c>
      <c r="BH25" s="7" t="s">
        <v>60</v>
      </c>
      <c r="BI25" s="7" t="s">
        <v>61</v>
      </c>
      <c r="BJ25" s="7" t="s">
        <v>62</v>
      </c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</row>
    <row r="26" spans="1:74" ht="7.8" customHeight="1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  <c r="BJ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3">
      <c r="A27" s="2" t="s">
        <v>64</v>
      </c>
      <c r="B27" s="2" t="s">
        <v>82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5"/>
      <c r="AY27" s="4">
        <v>881.9642857</v>
      </c>
      <c r="AZ27" s="4">
        <v>862.33550000000002</v>
      </c>
      <c r="BA27" s="4">
        <v>912.4409091</v>
      </c>
      <c r="BB27" s="4">
        <v>896.72380950000002</v>
      </c>
      <c r="BC27" s="4">
        <v>896.98473690000003</v>
      </c>
      <c r="BD27" s="4">
        <f>[2]Parámetros!$H$5</f>
        <v>904.88761899999997</v>
      </c>
      <c r="BE27" s="11">
        <v>900</v>
      </c>
      <c r="BF27" s="11">
        <v>900</v>
      </c>
      <c r="BG27" s="11">
        <v>900</v>
      </c>
      <c r="BH27" s="11">
        <v>900</v>
      </c>
      <c r="BI27" s="11">
        <v>900</v>
      </c>
      <c r="BJ27" s="11">
        <v>900</v>
      </c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</row>
    <row r="28" spans="1:74" x14ac:dyDescent="0.3">
      <c r="A28" s="8" t="s">
        <v>65</v>
      </c>
      <c r="B28" s="8" t="s">
        <v>82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>
        <v>109.71</v>
      </c>
      <c r="AZ28" s="9">
        <v>109.7</v>
      </c>
      <c r="BA28" s="9">
        <v>110.75</v>
      </c>
      <c r="BB28" s="9">
        <v>112.18</v>
      </c>
      <c r="BC28" s="9">
        <v>112.37</v>
      </c>
      <c r="BD28" s="4">
        <f>[2]Parámetros!$H$7</f>
        <v>112.35</v>
      </c>
      <c r="BE28" s="11">
        <v>113.19</v>
      </c>
      <c r="BF28" s="11">
        <v>113.59</v>
      </c>
      <c r="BG28" s="11">
        <v>113.99</v>
      </c>
      <c r="BH28" s="11">
        <v>114.39</v>
      </c>
      <c r="BI28" s="11">
        <v>114.79</v>
      </c>
      <c r="BJ28" s="11">
        <v>113.96</v>
      </c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</row>
    <row r="29" spans="1:74" x14ac:dyDescent="0.3">
      <c r="A29" s="2" t="s">
        <v>1</v>
      </c>
      <c r="B29" s="2" t="s">
        <v>82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4">
        <v>109.71</v>
      </c>
      <c r="AZ29" s="4">
        <v>109.7</v>
      </c>
      <c r="BA29" s="4">
        <v>110.75</v>
      </c>
      <c r="BB29" s="4">
        <v>112.18</v>
      </c>
      <c r="BC29" s="4">
        <v>112.37</v>
      </c>
      <c r="BD29" s="4">
        <f>BD28</f>
        <v>112.35</v>
      </c>
      <c r="BE29" s="11">
        <v>113.19</v>
      </c>
      <c r="BF29" s="11">
        <v>113.59</v>
      </c>
      <c r="BG29" s="11">
        <v>113.99</v>
      </c>
      <c r="BH29" s="11">
        <v>114.39</v>
      </c>
      <c r="BI29" s="11">
        <v>114.79</v>
      </c>
      <c r="BJ29" s="11">
        <v>113.96</v>
      </c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</row>
    <row r="30" spans="1:74" x14ac:dyDescent="0.3">
      <c r="A30" s="2" t="s">
        <v>2</v>
      </c>
      <c r="B30" s="2" t="s">
        <v>82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>
        <v>325.25200000000001</v>
      </c>
      <c r="AZ30" s="6">
        <v>326.78500000000003</v>
      </c>
      <c r="BA30" s="6">
        <v>330.21300000000002</v>
      </c>
      <c r="BB30" s="6">
        <v>333.02</v>
      </c>
      <c r="BC30" s="6">
        <v>335.12299999999999</v>
      </c>
      <c r="BD30" s="4">
        <v>336.07</v>
      </c>
      <c r="BE30" s="11">
        <v>336.46</v>
      </c>
      <c r="BF30" s="11">
        <v>337.62</v>
      </c>
      <c r="BG30" s="11">
        <v>338.78</v>
      </c>
      <c r="BH30" s="11">
        <v>339.95</v>
      </c>
      <c r="BI30" s="11">
        <v>341.11</v>
      </c>
      <c r="BJ30" s="11">
        <v>337.67</v>
      </c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</row>
    <row r="31" spans="1:74" x14ac:dyDescent="0.3">
      <c r="A31" s="8" t="s">
        <v>77</v>
      </c>
      <c r="B31" s="8" t="s">
        <v>82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>
        <v>39706.07</v>
      </c>
      <c r="AZ31" s="6">
        <v>39790.629999999997</v>
      </c>
      <c r="BA31" s="6">
        <v>39841.72</v>
      </c>
      <c r="BB31" s="6">
        <v>40120.199999999997</v>
      </c>
      <c r="BC31" s="6">
        <v>40610.69</v>
      </c>
      <c r="BD31" s="4">
        <v>40820.31</v>
      </c>
      <c r="BE31" s="11">
        <v>40896.699999999997</v>
      </c>
      <c r="BF31" s="11">
        <v>41040.400000000001</v>
      </c>
      <c r="BG31" s="11">
        <v>41184.6</v>
      </c>
      <c r="BH31" s="11">
        <v>41329.4</v>
      </c>
      <c r="BI31" s="11">
        <v>41474.6</v>
      </c>
      <c r="BJ31" s="11">
        <v>41173.699999999997</v>
      </c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</row>
  </sheetData>
  <phoneticPr fontId="7" type="noConversion"/>
  <pageMargins left="0.7" right="0.7" top="0.75" bottom="0.75" header="0.3" footer="0.3"/>
  <customProperties>
    <customPr name="EpmWorksheetKeyString_GUID" r:id="rId1"/>
  </customProperti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4</vt:i4>
      </vt:variant>
    </vt:vector>
  </HeadingPairs>
  <TitlesOfParts>
    <vt:vector size="5" baseType="lpstr">
      <vt:lpstr>Hoja1</vt:lpstr>
      <vt:lpstr>Hoja1!DOLAR_OBS_ADO</vt:lpstr>
      <vt:lpstr>Hoja1!DOLAR_OBS_ADO_1</vt:lpstr>
      <vt:lpstr>Hoja1!DOLAR_OBS_ADO_2</vt:lpstr>
      <vt:lpstr>Hoja1!DOLAR_OBS_ADO_3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Belen Madrid Araya</dc:creator>
  <cp:lastModifiedBy>Michelle Belen Madrid Araya</cp:lastModifiedBy>
  <dcterms:created xsi:type="dcterms:W3CDTF">2015-06-05T18:19:34Z</dcterms:created>
  <dcterms:modified xsi:type="dcterms:W3CDTF">2026-08-03T18:19:37Z</dcterms:modified>
</cp:coreProperties>
</file>